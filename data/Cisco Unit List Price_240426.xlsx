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sco" sheetId="1" r:id="rId5"/>
    <sheet state="visible" name="AP_input" sheetId="2" r:id="rId6"/>
    <sheet state="visible" name="AP" sheetId="3" r:id="rId7"/>
    <sheet state="visible" name="C8000_secure_input" sheetId="4" r:id="rId8"/>
    <sheet state="visible" name="mapping_C8000_secure" sheetId="5" r:id="rId9"/>
    <sheet state="visible" name="C8000_secure" sheetId="6" r:id="rId10"/>
    <sheet state="visible" name="ISR1000_input" sheetId="7" r:id="rId11"/>
    <sheet state="visible" name="ISR1000" sheetId="8" r:id="rId12"/>
    <sheet state="visible" name="ACI" sheetId="9" r:id="rId13"/>
    <sheet state="visible" name="C1300" sheetId="10" r:id="rId14"/>
    <sheet state="visible" name="C9200" sheetId="11" r:id="rId15"/>
    <sheet state="visible" name="C9300" sheetId="12" r:id="rId16"/>
    <sheet state="visible" name="C9500" sheetId="13" r:id="rId17"/>
    <sheet state="visible" name="C8000" sheetId="14" r:id="rId18"/>
    <sheet state="visible" name="SFP" sheetId="15" r:id="rId19"/>
  </sheets>
  <definedNames>
    <definedName hidden="1" localSheetId="0" name="_xlnm._FilterDatabase">Cisco!$A$1:$W$1000</definedName>
    <definedName hidden="1" localSheetId="3" name="_xlnm._FilterDatabase">'C8000_secure_input'!$A$1:$Z$306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Map giá theo bảng tại cột I,J,K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đã bỏ CISCO-NETWORK-SUB và CISCO-ROUT-SUB
đính kèm note lần lượt, trừ C8500 k có full, C8130-G2 và C8140-G2 k có license SDWAN
sử dụng dl từ bảng mapping sang</t>
      </text>
    </comment>
    <comment authorId="0" ref="D1">
      <text>
        <t xml:space="preserve">Giá base của thiết bị</t>
      </text>
    </comment>
    <comment authorId="0" ref="F1">
      <text>
        <t xml:space="preserve">các license có trong CISCO-NETWORK-SUB và CISCO-ROUT-SUB (unique- để bỏ trùng) và giá đi kèm
</t>
      </text>
    </comment>
    <comment authorId="0" ref="N1">
      <text>
        <t xml:space="preserve">Cột B xác định mã thiết bị + loại cấu hình
Cột D:E lấy giá base của thiết bị
Cột F:G lấy giá từng license
Cột T:X là bảng map license theo từng cấu hình
Final Price = Base + tổng giá các license trong cấu hình tương ứng
Quy ước:
Default Routing = chỉ Base
Adv Routing = Base + license ở V
SDWAN = Base + license ở W
Full Adds On = Base + toàn bộ license ở X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chú ý trong Bom thì license đi kèm ngay với thiết bị ở trước nó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chỉ lấy stt lẻ và bỏ -A ở cuối của mã thiết bị</t>
      </text>
    </comment>
    <comment authorId="0" ref="N1">
      <text>
        <t xml:space="preserve">Nếu giá trị tại ô ở cột D bắt đầu là L- thì cộng giá của ô đó vào thiết bị ngay trước</t>
      </text>
    </comment>
  </commentList>
</comments>
</file>

<file path=xl/sharedStrings.xml><?xml version="1.0" encoding="utf-8"?>
<sst xmlns="http://schemas.openxmlformats.org/spreadsheetml/2006/main" count="13123" uniqueCount="1552">
  <si>
    <t>Giá AM nhập</t>
  </si>
  <si>
    <t>Final Price</t>
  </si>
  <si>
    <t>Line Number</t>
  </si>
  <si>
    <t>Item Name</t>
  </si>
  <si>
    <t>Smart Account Mandatory</t>
  </si>
  <si>
    <t>Description</t>
  </si>
  <si>
    <t>Group Name</t>
  </si>
  <si>
    <t>Service Duration (Months)</t>
  </si>
  <si>
    <t>Estimated Lead Time (Days)</t>
  </si>
  <si>
    <t>Included Item</t>
  </si>
  <si>
    <t>Quantity</t>
  </si>
  <si>
    <t>Pricing Term</t>
  </si>
  <si>
    <t>ListPrice</t>
  </si>
  <si>
    <t>Extended ListPrice</t>
  </si>
  <si>
    <t>Discount %</t>
  </si>
  <si>
    <t>Selling Price</t>
  </si>
  <si>
    <t>Service Type</t>
  </si>
  <si>
    <t>C9136I-ROW</t>
  </si>
  <si>
    <t>-</t>
  </si>
  <si>
    <t>Cisco Catalyst 9136ISeries, Internal Antennas,-ROW Regulat</t>
  </si>
  <si>
    <t>Default</t>
  </si>
  <si>
    <t>N/A</t>
  </si>
  <si>
    <t>No</t>
  </si>
  <si>
    <t>1.0.1</t>
  </si>
  <si>
    <t>CON-L1NBD-C9136IRW</t>
  </si>
  <si>
    <t>CX LEVEL 1 8X5XNBD Cisco Catalyst 9136I Series, Internal A</t>
  </si>
  <si>
    <t>PRIMARYSERVICE</t>
  </si>
  <si>
    <t>CDNA-A-C9136</t>
  </si>
  <si>
    <t>Wireless Cisco DNA On-Prem Advantage, 9136 Tracking</t>
  </si>
  <si>
    <t>Yes</t>
  </si>
  <si>
    <t>1.1.1</t>
  </si>
  <si>
    <t>DNA-A-3Y-C9136</t>
  </si>
  <si>
    <t>C9136I Cisco DNA On-Prem Advantage,3Y Term,Trk Lic</t>
  </si>
  <si>
    <t>AIR-DNA-A</t>
  </si>
  <si>
    <t>Wireless Cisco DNA On-Prem Advantage, Term Lic</t>
  </si>
  <si>
    <t>1.2.0.1</t>
  </si>
  <si>
    <t>CON-L1SWT-AIRDNAA</t>
  </si>
  <si>
    <t>CX LEVEL 1 SW SUB Aironet CISCO DNA Ad</t>
  </si>
  <si>
    <t>1.2.1</t>
  </si>
  <si>
    <t>AIR-DNA-A-3Y</t>
  </si>
  <si>
    <t>Wireless Cisco DNA On-Prem Advantage, 3Y Term Lic</t>
  </si>
  <si>
    <t>AIR-DNA-A-T</t>
  </si>
  <si>
    <t>Wireless Cisco DNA On-Prem Advantage, Term, Tracker Lic</t>
  </si>
  <si>
    <t>1.3.1</t>
  </si>
  <si>
    <t>AIR-DNA-A-T-3Y</t>
  </si>
  <si>
    <t>Wireless Cisco DNA On-Prem Advantage, 3Y Term, Tracker Lic</t>
  </si>
  <si>
    <t>SPACES-EXT-T</t>
  </si>
  <si>
    <t>Cisco Spaces Extend Term License for Cisco DNA Advantage</t>
  </si>
  <si>
    <t>1.4.1</t>
  </si>
  <si>
    <t>SPACES-EXT-3Y</t>
  </si>
  <si>
    <t>Cisco Spaces Extend for Cisco DNA Advantage</t>
  </si>
  <si>
    <t>SW9136-CAPWAP-K9</t>
  </si>
  <si>
    <t>Capwap software for Catalyst 9136I</t>
  </si>
  <si>
    <t>AIR-AP-T-RAIL-R</t>
  </si>
  <si>
    <t>Ceiling Grid Clip for APs &amp; Cellular Gateways-Recessed</t>
  </si>
  <si>
    <t>AIR-AP-BRACKET-1</t>
  </si>
  <si>
    <t>802.11 AP Low Profile Mounting Bracket (Default)</t>
  </si>
  <si>
    <t>AIR-DNA-NWSTACK-A</t>
  </si>
  <si>
    <t>Wireless DNA Perpetual Network Stack - Advantage</t>
  </si>
  <si>
    <t>NETWORK-PNP-LIC</t>
  </si>
  <si>
    <t>Network Plug-n-Play Connect for zero-touch device deployment</t>
  </si>
  <si>
    <t>C9136I-MULTI</t>
  </si>
  <si>
    <t>Minimum Quantity = 10</t>
  </si>
  <si>
    <t>SubTotal</t>
  </si>
  <si>
    <t>CW9162I-ROW</t>
  </si>
  <si>
    <t>Catalyst Wireless 9162I AP (W6E, tri-band 2x2) w/Reg ROW</t>
  </si>
  <si>
    <t>2.0.1</t>
  </si>
  <si>
    <t>CON-L1NBD-CW9162RW</t>
  </si>
  <si>
    <t>CX LEVEL 1 8X5XNBD CAT WLS 9162I AP W6E tri-band 2x2 ROW</t>
  </si>
  <si>
    <t>CDNA-A-C9162</t>
  </si>
  <si>
    <t>Wireless Cisco DNA On-Prem Advantage, 9162 Tracking</t>
  </si>
  <si>
    <t>2.1.1</t>
  </si>
  <si>
    <t>DNA-A-3Y-C9162</t>
  </si>
  <si>
    <t>C9162I Cisco DNA On-Prem Advantage,3Y Term,Trk Lic</t>
  </si>
  <si>
    <t>2.2.0.1</t>
  </si>
  <si>
    <t>2.2.1</t>
  </si>
  <si>
    <t>2.3.1</t>
  </si>
  <si>
    <t>2.4.1</t>
  </si>
  <si>
    <t>SW9162-CAPWAP-K9</t>
  </si>
  <si>
    <t>Capwap software for Catalyst 9162I</t>
  </si>
  <si>
    <t>CW9162I-MULTI</t>
  </si>
  <si>
    <t>CW9164I-ROW</t>
  </si>
  <si>
    <t>Catalyst 9164I AP (W6E, tri-band 4x4) w/Reg-ROW</t>
  </si>
  <si>
    <t>3.0.1</t>
  </si>
  <si>
    <t>CON-L1NBD-CW9164RW</t>
  </si>
  <si>
    <t>CX LEVEL 1 8X5XNBD Catalyst 9164I AP (W6E, tri-band 4x4) w</t>
  </si>
  <si>
    <t>CDNA-A-C9164</t>
  </si>
  <si>
    <t>Wireless Cisco DNA On-Prem Advantage, 9164 Tracking</t>
  </si>
  <si>
    <t>3.1.1</t>
  </si>
  <si>
    <t>DNA-A-3Y-C9164</t>
  </si>
  <si>
    <t>C164I Cisco DNA On-Prem Advantage,3Y Term,Trk Lic</t>
  </si>
  <si>
    <t>3.2.0.1</t>
  </si>
  <si>
    <t>3.2.1</t>
  </si>
  <si>
    <t>3.3.1</t>
  </si>
  <si>
    <t>3.4.1</t>
  </si>
  <si>
    <t>SW9164-CAPWAP-K9</t>
  </si>
  <si>
    <t>Capwap software for Catalyst 9164I</t>
  </si>
  <si>
    <t>CW9164I-MULTI</t>
  </si>
  <si>
    <t>CW9166I-ROW</t>
  </si>
  <si>
    <t>Catalyst 9166I AP (W6E, tri-band 4x4, XOR) w/Reg-ROW</t>
  </si>
  <si>
    <t>4.0.1</t>
  </si>
  <si>
    <t>CON-L1NBD-CW9166IO</t>
  </si>
  <si>
    <t>CX LEVEL 1 8X5XNBD Catalyst 9166I AP (W6E, tri-band 4x4, XO</t>
  </si>
  <si>
    <t>CDNA-A-C9166</t>
  </si>
  <si>
    <t>Wireless Cisco DNA On-Prem Advantage, 9166 Tracking</t>
  </si>
  <si>
    <t>4.1.1</t>
  </si>
  <si>
    <t>DNA-A-3Y-C9166</t>
  </si>
  <si>
    <t>C166I Cisco DNA On-Prem Advantage,3Y Term,Trk Lic</t>
  </si>
  <si>
    <t>4.2.0.1</t>
  </si>
  <si>
    <t>4.2.1</t>
  </si>
  <si>
    <t>4.3.1</t>
  </si>
  <si>
    <t>4.4.1</t>
  </si>
  <si>
    <t>SW9166-CAPWAP-K9</t>
  </si>
  <si>
    <t>Capwap software for Catalyst 9166I</t>
  </si>
  <si>
    <t>CW9166I-MULTI</t>
  </si>
  <si>
    <t>CW9166D1-ROW</t>
  </si>
  <si>
    <t>Catalyst 9166D1 AP (W6E, tri-band 4x4, XOR) w/Reg-ROW</t>
  </si>
  <si>
    <t>5.0.1</t>
  </si>
  <si>
    <t>CON-L1NBD-CW9166RO</t>
  </si>
  <si>
    <t>CX LEVEL 1 8X5XNBD Catalyst 9166D1 AP W6E, tri-band 4x4, X</t>
  </si>
  <si>
    <t>CDNA-A-C9166D1</t>
  </si>
  <si>
    <t>5.1.1</t>
  </si>
  <si>
    <t>DNA-A-3Y-C9166D1</t>
  </si>
  <si>
    <t>C9166D1 Cisco DNA On-Prem Advantage,3Y Term,Trk Lic</t>
  </si>
  <si>
    <t>5.2.0.1</t>
  </si>
  <si>
    <t>5.2.1</t>
  </si>
  <si>
    <t>5.3.1</t>
  </si>
  <si>
    <t>5.4.1</t>
  </si>
  <si>
    <t>SW9166D1-CAPWAP-K9</t>
  </si>
  <si>
    <t>Capwap software for Catalyst 9166ID1</t>
  </si>
  <si>
    <t>AIR-AP-BRACKET-2</t>
  </si>
  <si>
    <t>802.11 AP Universal Mounting Bracket</t>
  </si>
  <si>
    <t>CW9166D1-MULTI</t>
  </si>
  <si>
    <t>CW9166D1 Multipack option, qty=10</t>
  </si>
  <si>
    <t>CW9172I-RTG</t>
  </si>
  <si>
    <t>Cisco Wireless 9172I(W7,3 radio,3 band 2x2),Global</t>
  </si>
  <si>
    <t>6.0.1</t>
  </si>
  <si>
    <t>CON-L1NBD-CW9172IR</t>
  </si>
  <si>
    <t>ENH 8X5XNBD Cisco Wireless 9172I</t>
  </si>
  <si>
    <t>CW9172H-RTG</t>
  </si>
  <si>
    <t>Cisco Wireless 9172H(W7,3 radio,3 band 2x2),Global</t>
  </si>
  <si>
    <t>7.0.1</t>
  </si>
  <si>
    <t>CON-L1NBD-CW9172HR</t>
  </si>
  <si>
    <t>ENH 8X5XNBD Cisco Wireless 9172H</t>
  </si>
  <si>
    <t>CW9176I-RTG</t>
  </si>
  <si>
    <t>Cisco Wireless 9176I(W7,3 radio,3 band 4x4,UWB),Global</t>
  </si>
  <si>
    <t>8.0.1</t>
  </si>
  <si>
    <t>CON-L1NBD-CW917IRT</t>
  </si>
  <si>
    <t>ENH 8X5XNBD Cisco Wireless 9176I</t>
  </si>
  <si>
    <t>CW9176D1-RTG</t>
  </si>
  <si>
    <t>Cisco Wireless 9176D1(W7,3 radio,3 band 4x4,UWB),Global</t>
  </si>
  <si>
    <t>9.0.1</t>
  </si>
  <si>
    <t>CON-L1NBD-CW91D1RT</t>
  </si>
  <si>
    <t>ENH 8X5XNBD Cisco Wireless 9176D</t>
  </si>
  <si>
    <t>CW9178I-RTG</t>
  </si>
  <si>
    <t>Cisco Wireless 9178I(W7,4 radio,3 band 4x4,UWB),Global</t>
  </si>
  <si>
    <t>10.0.1</t>
  </si>
  <si>
    <t>CON-L1NBD-CW918IRT</t>
  </si>
  <si>
    <t>ENH 8X5XNBD Cisco Wireless 9178I</t>
  </si>
  <si>
    <t>CISCO-NETWORK-SUB</t>
  </si>
  <si>
    <t>Cisco Networking Subscription</t>
  </si>
  <si>
    <t>LIC-CW-A</t>
  </si>
  <si>
    <t>Cisco Wireless License - Advantage</t>
  </si>
  <si>
    <t>LIC-SPACES-ADV</t>
  </si>
  <si>
    <t>Cisco Spaces Advantage for Cisco Wireless Advantage License</t>
  </si>
  <si>
    <t>SVS-L0SPT-CN</t>
  </si>
  <si>
    <t>Cisco Network Product Support</t>
  </si>
  <si>
    <t>C9124AXI-ROW</t>
  </si>
  <si>
    <t>Wi-Fi 6 Outdoor AP, Internal Ant, -ROW Regulatory Domain</t>
  </si>
  <si>
    <t>12.0.1</t>
  </si>
  <si>
    <t>CON-SSSNT-C912AROW</t>
  </si>
  <si>
    <t>SOLN SUPP 8X5XNBD Wi-Fi 6 Outdoor AP, Internal Ant, -ROW R</t>
  </si>
  <si>
    <t>12.2.1</t>
  </si>
  <si>
    <t>12.3.1</t>
  </si>
  <si>
    <t>CDNA-A-C9124</t>
  </si>
  <si>
    <t>Wireless Cisco DNA On-Prem Advantage, 9124 Tracking</t>
  </si>
  <si>
    <t>12.5.1</t>
  </si>
  <si>
    <t>DNA-A-3Y-C9124</t>
  </si>
  <si>
    <t>C9124AX Cisco DNA On-Prem Advantage 3Y Term,Trk Lic</t>
  </si>
  <si>
    <t>AIR-AP-NO-BRACKET</t>
  </si>
  <si>
    <t>AP Bracket not shipped</t>
  </si>
  <si>
    <t>SW9124AX-CAPWAP-K9</t>
  </si>
  <si>
    <t>Capwap software for Catalyst 9124AX</t>
  </si>
  <si>
    <t>12.8.0.1</t>
  </si>
  <si>
    <t>CON-SSTCM-AIRDNAA</t>
  </si>
  <si>
    <t>SOLN SUPP SW SUBAironet CISCO DNA Ad</t>
  </si>
  <si>
    <t>12.8.1</t>
  </si>
  <si>
    <t>C9124AXD-ROW</t>
  </si>
  <si>
    <t>Wi-Fi 6 Outdoor AP, Directional Ant, -ROW Regulatory Domain</t>
  </si>
  <si>
    <t>13.0.1</t>
  </si>
  <si>
    <t>CON-SSSNT-C91O4AXD</t>
  </si>
  <si>
    <t>SOLN SUPP 8X5XNBD Wi-Fi 6 Outdoor AP, Directional Ant, -RO</t>
  </si>
  <si>
    <t>13.2.1</t>
  </si>
  <si>
    <t>13.3.1</t>
  </si>
  <si>
    <t>13.5.1</t>
  </si>
  <si>
    <t>13.7.0.1</t>
  </si>
  <si>
    <t>13.7.1</t>
  </si>
  <si>
    <t>C9124AXE-ROW</t>
  </si>
  <si>
    <t>Wi-Fi 6 Outdoor AP, External Ant, -ROW Regulatory Domain</t>
  </si>
  <si>
    <t>14.0.1</t>
  </si>
  <si>
    <t>CON-SSSNT-C9124ROW</t>
  </si>
  <si>
    <t>SOLN SUPP 8X5XNBD Wi-Fi 6 Outdoor AP, External Ant, -ROW R</t>
  </si>
  <si>
    <t>14.2.1</t>
  </si>
  <si>
    <t>14.3.1</t>
  </si>
  <si>
    <t>14.5.1</t>
  </si>
  <si>
    <t>SW9124AXE-CW-K9</t>
  </si>
  <si>
    <t>14.7.0.1</t>
  </si>
  <si>
    <t>14.7.1</t>
  </si>
  <si>
    <t>CW9163E-ROW</t>
  </si>
  <si>
    <t>Catalyst 9163E AP(W6E, tri-band 2x2,Outdoor) w/Reg-ROW</t>
  </si>
  <si>
    <t>15.0.1</t>
  </si>
  <si>
    <t>CON-L1NBD-CW91EROW</t>
  </si>
  <si>
    <t>CX LEVEL 1 8X5XNBD Catalyst 9163E AP(W6E, tri-band 2x2,Outd</t>
  </si>
  <si>
    <t>15.2.1</t>
  </si>
  <si>
    <t>CDNA-A-C9163</t>
  </si>
  <si>
    <t>Wireless Cisco DNA On-Prem Advantage, 9163 Tracking</t>
  </si>
  <si>
    <t>15.4.1</t>
  </si>
  <si>
    <t>DNA-A-3Y-C9163</t>
  </si>
  <si>
    <t>C9163 Cisco DNA On-Prem Advantage,3Y Term,Trk Lic</t>
  </si>
  <si>
    <t>SW9163E-CAPWAP-K9</t>
  </si>
  <si>
    <t>Capwap software for Catalyst 9163E</t>
  </si>
  <si>
    <t>15.6.0.1</t>
  </si>
  <si>
    <t>15.6.1</t>
  </si>
  <si>
    <t>15.7.1</t>
  </si>
  <si>
    <t>bracket cho AP outdoor</t>
  </si>
  <si>
    <t>AIR-MNT-VERT1=</t>
  </si>
  <si>
    <t>Vertical pole/wall mounting kit for Catalyst APs</t>
  </si>
  <si>
    <t>IW-PWRINJ-60RGDMG=</t>
  </si>
  <si>
    <t>Power Injector, 60W, outdoor mGig</t>
  </si>
  <si>
    <t>AIR-PWRINJ7=</t>
  </si>
  <si>
    <t>Power Injector (802.3bt), 5G mGig Ethernet</t>
  </si>
  <si>
    <t>AIR-PWR-CORD-CE</t>
  </si>
  <si>
    <t>AIR Line Cord Central Europe</t>
  </si>
  <si>
    <t>Estimate Total</t>
  </si>
  <si>
    <t>STT</t>
  </si>
  <si>
    <t>Devices</t>
  </si>
  <si>
    <t>Indoor</t>
  </si>
  <si>
    <t>License</t>
  </si>
  <si>
    <t>Injector</t>
  </si>
  <si>
    <t>final price</t>
  </si>
  <si>
    <t>Final price</t>
  </si>
  <si>
    <t>C9136I</t>
  </si>
  <si>
    <t xml:space="preserve"> base + injector</t>
  </si>
  <si>
    <t>CW9162I</t>
  </si>
  <si>
    <t>CW9164I</t>
  </si>
  <si>
    <t>CW9166I</t>
  </si>
  <si>
    <t>CW9166D1</t>
  </si>
  <si>
    <t>CW9172I</t>
  </si>
  <si>
    <t>base + Injector + license</t>
  </si>
  <si>
    <t>CW9172H</t>
  </si>
  <si>
    <t>CW9176I</t>
  </si>
  <si>
    <t>CW9176D1</t>
  </si>
  <si>
    <t>CW9178I</t>
  </si>
  <si>
    <t>Out door</t>
  </si>
  <si>
    <t>Bracket</t>
  </si>
  <si>
    <t>C9124AXI</t>
  </si>
  <si>
    <t xml:space="preserve">IW-PWRINJ-60RGDMG=
</t>
  </si>
  <si>
    <t>base + Injector + bracket</t>
  </si>
  <si>
    <t>C9124AXD</t>
  </si>
  <si>
    <t>C9124AXE</t>
  </si>
  <si>
    <t/>
  </si>
  <si>
    <t>CW9163E</t>
  </si>
  <si>
    <t>routing</t>
  </si>
  <si>
    <t>C8355-G2</t>
  </si>
  <si>
    <t>Cisco C8300 Series Secure Router, C8355-G2</t>
  </si>
  <si>
    <t>CON-L1NBD-C8355G2A</t>
  </si>
  <si>
    <t>CX LEVEL 1 8X5XNBD Cisco C8300 Series S</t>
  </si>
  <si>
    <t>C8300-RM-19-F</t>
  </si>
  <si>
    <t>Rack mount kit - 19" Fixed for Cisco 8300 Series</t>
  </si>
  <si>
    <t>C83G2-ADPT-BRKT</t>
  </si>
  <si>
    <t>Power Adapter Bracket for Cisco 8300 Series</t>
  </si>
  <si>
    <t>C-RFID-1R</t>
  </si>
  <si>
    <t>RFID - 1RU for Cisco 8200/8300/8400/8500L Series</t>
  </si>
  <si>
    <t>C8300-PIM-BLANK</t>
  </si>
  <si>
    <t>PIM Blank for Cisco 8300 Series</t>
  </si>
  <si>
    <t>R-OS-L-E</t>
  </si>
  <si>
    <t>Cisco OS Essentials - Large (Embedded, Perpetual)</t>
  </si>
  <si>
    <t>IOSXE-AUTO-MODE</t>
  </si>
  <si>
    <t>IOS XE Autonomous for Unified image</t>
  </si>
  <si>
    <t>TE-R-SW-G2</t>
  </si>
  <si>
    <t>TE agent for IOSXE on Enterprise Routing for G2 Platforms</t>
  </si>
  <si>
    <t>SC83G2UK9-1718</t>
  </si>
  <si>
    <t>IOS XE 17.18</t>
  </si>
  <si>
    <t>PWR-CC1-230WAC</t>
  </si>
  <si>
    <t>230W AC Power supply with PoE for Cisco 8200/8300 Series</t>
  </si>
  <si>
    <t>CAB-ACE</t>
  </si>
  <si>
    <t>AC Power Cord (Europe), C13, CEE 7, 1.5M</t>
  </si>
  <si>
    <t>SDWAN full</t>
  </si>
  <si>
    <t>IOSXE-CTRL-MODE</t>
  </si>
  <si>
    <t>IOS XE SD-WAN boot up mode for Unified image</t>
  </si>
  <si>
    <t>base</t>
  </si>
  <si>
    <t>C8375-E-G2</t>
  </si>
  <si>
    <t>Cisco C8300 Series Secure Router, C8375-E-G2</t>
  </si>
  <si>
    <t>CON-L1NBD-C8375EG2</t>
  </si>
  <si>
    <t>CX LEVEL 1 8X5XNBD Cisco Secure WAN C83</t>
  </si>
  <si>
    <t>MEM-C83G2-16GB</t>
  </si>
  <si>
    <t>16GB Memory for Cisco 8300-G2 Series</t>
  </si>
  <si>
    <t>C8300-RM-19-1R</t>
  </si>
  <si>
    <t>Rack mount kit - 19" 1RU for Cisco 8300 Series</t>
  </si>
  <si>
    <t>C8300-NIM-BLANK</t>
  </si>
  <si>
    <t>NIM Blank for Cisco 8300 Series</t>
  </si>
  <si>
    <t>C8300-SM-BLANK</t>
  </si>
  <si>
    <t>SM Blank for Cisco 8300 Series</t>
  </si>
  <si>
    <t>C-M2-BLANK</t>
  </si>
  <si>
    <t>M.2 Blank for Cisco 8200/8300/8400/8500L Series</t>
  </si>
  <si>
    <t>PWR-CC1-760WAC</t>
  </si>
  <si>
    <t>760W AC Power supply with PoE for Cisco 8300 Series</t>
  </si>
  <si>
    <t>routing C8500</t>
  </si>
  <si>
    <t>C8550-G2</t>
  </si>
  <si>
    <t>Cisco 8500 Secure Router, C8550-G2</t>
  </si>
  <si>
    <t>CON-L1NBD-C8550G2A</t>
  </si>
  <si>
    <t>CX LEVEL 1 8X5XNBD Cisco 8550 Secure Ro</t>
  </si>
  <si>
    <t>MEM-C85G2-32GB</t>
  </si>
  <si>
    <t>32GB DRAM</t>
  </si>
  <si>
    <t>SSD-C85G2-480GB</t>
  </si>
  <si>
    <t>480GB SSD</t>
  </si>
  <si>
    <t>C85G2-ACCKIT-19</t>
  </si>
  <si>
    <t>19" Rack Mount</t>
  </si>
  <si>
    <t>C8500-RFID-1R</t>
  </si>
  <si>
    <t>Cisco C8500 RFID - 1RU</t>
  </si>
  <si>
    <t>TE-R-SW</t>
  </si>
  <si>
    <t>TE agent for IOSXE on Enterprise Routing</t>
  </si>
  <si>
    <t>R-OS-XL-E</t>
  </si>
  <si>
    <t>Cisco OS Essentials - XLarge (Embedded, Perpetual)</t>
  </si>
  <si>
    <t>SC85G2UK9-1718</t>
  </si>
  <si>
    <t>PWR-CH1-750WACR</t>
  </si>
  <si>
    <t>750W AC Power Supply</t>
  </si>
  <si>
    <t>full</t>
  </si>
  <si>
    <t>C8570-G2</t>
  </si>
  <si>
    <t>Cisco 8500 Secure Router, C8570-G2</t>
  </si>
  <si>
    <t>CON-L1NBD-C8570G2A</t>
  </si>
  <si>
    <t>CX LEVEL 1 8X5XNBD Cisco 8570 Secure Ro</t>
  </si>
  <si>
    <t>C8400_routing</t>
  </si>
  <si>
    <t>C8455-G2</t>
  </si>
  <si>
    <t>Cisco 8400 Secure Router, C8455-G2</t>
  </si>
  <si>
    <t>CON-L1NBD-C8455G2A</t>
  </si>
  <si>
    <t>CX LEVEL 1 8X5XNBD Cisco 8455 Secure Ro</t>
  </si>
  <si>
    <t>C84G2-ACCKIT-19</t>
  </si>
  <si>
    <t>M2USB-32G</t>
  </si>
  <si>
    <t>M.2 USB 32GB for Cisco 8300/8400/8500L Series</t>
  </si>
  <si>
    <t>SC84G2UK9-1718</t>
  </si>
  <si>
    <t>PWR-CH1-250WAC</t>
  </si>
  <si>
    <t>250W AC Power Supply</t>
  </si>
  <si>
    <t>C8475-G2</t>
  </si>
  <si>
    <t>Cisco 8400 Secure Router, C8475-G2</t>
  </si>
  <si>
    <t>CON-L1NBD-C8475G2A</t>
  </si>
  <si>
    <t>CX LEVEL 1 8X5XNBD Cisco 8475 Secure Ro</t>
  </si>
  <si>
    <t>MEM-C84G2-32GB</t>
  </si>
  <si>
    <t>PWR-CH1-400WAC</t>
  </si>
  <si>
    <t>400W AC Power Supply</t>
  </si>
  <si>
    <t>routing C8200</t>
  </si>
  <si>
    <t>C8235-E-G2</t>
  </si>
  <si>
    <t>Cisco C8200 Series Secure Router, C8235-E-G2</t>
  </si>
  <si>
    <t>CON-L1NBD-C8A2E2G2</t>
  </si>
  <si>
    <t>ENH 8X5XNBD Cisco C8200 Series Secure Router, C8235</t>
  </si>
  <si>
    <t>C8200-RM-19-1R</t>
  </si>
  <si>
    <t>Cisco Catalyst 8200 Rack mount kit - 19" 1R</t>
  </si>
  <si>
    <t>C8200-NIM-BLANK</t>
  </si>
  <si>
    <t>Cisco Catalyst 8200 Edge NIM Blank</t>
  </si>
  <si>
    <t>C8200-PIM-BLANK</t>
  </si>
  <si>
    <t>PIM Blank for Cisco 8200 Series</t>
  </si>
  <si>
    <t>C-E1S-BLANK</t>
  </si>
  <si>
    <t>Cisco Catalyst E1.S Disk Blank</t>
  </si>
  <si>
    <t>C8200-FAN-BLANK</t>
  </si>
  <si>
    <t>Fan Tray Blank Cover for Cisco 8200 Series</t>
  </si>
  <si>
    <t>R-OS-M-E</t>
  </si>
  <si>
    <t>Cisco OS Essentials - Medium (Embedded, Perpetual)</t>
  </si>
  <si>
    <t>SC82G2UK9-1718</t>
  </si>
  <si>
    <t>SDWAN 8200</t>
  </si>
  <si>
    <t>11.0.1</t>
  </si>
  <si>
    <t>C8231-E-G2</t>
  </si>
  <si>
    <t>Cisco C8200 Series Secure Router, C8231-E-G2</t>
  </si>
  <si>
    <t>CON-L1NBD-C8A2E1G2</t>
  </si>
  <si>
    <t>ENH 8X5XNBD Cisco C8200 Series Secure Router, C8231</t>
  </si>
  <si>
    <t>C8235-G2</t>
  </si>
  <si>
    <t>Cisco C8200 Series Secure Router, C8235-G2</t>
  </si>
  <si>
    <t>CON-L1NBD-C8235G2A</t>
  </si>
  <si>
    <t>CX LEVEL 1 8X5XNBD Cisco C8200 Series S</t>
  </si>
  <si>
    <t>C-RFID-2R</t>
  </si>
  <si>
    <t>RFID - 2RU for Cisco 8200/8300 Series</t>
  </si>
  <si>
    <t>C82G2-POE-DC-F</t>
  </si>
  <si>
    <t>PoE Daughter Card for Cisco 8200 Series</t>
  </si>
  <si>
    <t>C8231-G2</t>
  </si>
  <si>
    <t>Cisco C8200 Series Secure Router, C8231-G2</t>
  </si>
  <si>
    <t>CON-L1NBD-C8231G2A</t>
  </si>
  <si>
    <t>PWR-CC1-115WAC</t>
  </si>
  <si>
    <t>115W AC Power supply with PoE for Cisco 8200 Series</t>
  </si>
  <si>
    <t>CAB-AC-C5-EUR</t>
  </si>
  <si>
    <t>AC Power Cord, Type C5, Europe</t>
  </si>
  <si>
    <t>routing adv</t>
  </si>
  <si>
    <t>C8130-G2</t>
  </si>
  <si>
    <t>Cisco 8100 Series Secure Router, 8130-G2</t>
  </si>
  <si>
    <t>CON-L1NBD-C8130G2A</t>
  </si>
  <si>
    <t>CX LEVEL 1 8X5XNBD Cisco Secure WAN 810</t>
  </si>
  <si>
    <t>PWR-CC1-30WAC</t>
  </si>
  <si>
    <t>Cisco 30W AC Power Supply with 4-PIN connector</t>
  </si>
  <si>
    <t>R-OS-S-E</t>
  </si>
  <si>
    <t>Cisco OS Essentials - Small (Embedded, Perpetual)</t>
  </si>
  <si>
    <t>C8131-G2</t>
  </si>
  <si>
    <t>Cisco 8100 Series Secure Router, 8131-G2</t>
  </si>
  <si>
    <t>16.0.1</t>
  </si>
  <si>
    <t>CON-L1NBD-C8131GG2</t>
  </si>
  <si>
    <t>ENH 8X5XNBD Cisco 8100 Series Secure Router, 8131-G2</t>
  </si>
  <si>
    <t>C8140-G2</t>
  </si>
  <si>
    <t>Cisco 8100 Series Secure Router, 8140-G2</t>
  </si>
  <si>
    <t>17.0.1</t>
  </si>
  <si>
    <t>CON-L1NBD-C8140G2A</t>
  </si>
  <si>
    <t>PWR-CC1-66WAC</t>
  </si>
  <si>
    <t>66W AC Power supply with 4-Pin Connector</t>
  </si>
  <si>
    <t>C8151-G2</t>
  </si>
  <si>
    <t>Cisco 8100 Series Secure Router, 8151-G2</t>
  </si>
  <si>
    <t>18.0.1</t>
  </si>
  <si>
    <t>CON-L1NBD-C8151G2A</t>
  </si>
  <si>
    <t>C8100-PIM-BLANK</t>
  </si>
  <si>
    <t>Cisco 8100 Series PIM Blank</t>
  </si>
  <si>
    <t>SC81G2UK9-1718</t>
  </si>
  <si>
    <t>C8161-G2</t>
  </si>
  <si>
    <t>Cisco 8100 Series Secure Router, 8161-G2</t>
  </si>
  <si>
    <t>19.0.1</t>
  </si>
  <si>
    <t>CON-L1NBD-C8161G2A</t>
  </si>
  <si>
    <t>PWR-150W-AC</t>
  </si>
  <si>
    <t>Cisco 150W AC Power Supply for PoE</t>
  </si>
  <si>
    <t>LIC-CSWAN-L-A</t>
  </si>
  <si>
    <t>Cisco SD-WAN Advantage Lic - Large</t>
  </si>
  <si>
    <t>LIC-SEC-L-T</t>
  </si>
  <si>
    <t>Cisco 8000 Large series Security Add-on (Threat)</t>
  </si>
  <si>
    <t>LIC-SEC-L-C</t>
  </si>
  <si>
    <t>Cisco 8000 Large series Security Add-on (URL-F)</t>
  </si>
  <si>
    <t>LIC-SEC-L-M</t>
  </si>
  <si>
    <t>Cisco 8000 Large series Security Add-on (AMP)</t>
  </si>
  <si>
    <t>TE-EMBED-WANI-S</t>
  </si>
  <si>
    <t>Cisco ThousandEyes WAN Insights Embedded</t>
  </si>
  <si>
    <t>LIC-CSWAN-XL-A</t>
  </si>
  <si>
    <t>Cisco SD-WAN Advantage Lic - XLarge</t>
  </si>
  <si>
    <t>LIC-SEC-XL-M</t>
  </si>
  <si>
    <t>Cisco 8000 Xlarge series Security Add-on (AMP)</t>
  </si>
  <si>
    <t>LIC-SEC-XL-T</t>
  </si>
  <si>
    <t>Cisco 8000 Xlarge series Security Add-on (Threat)</t>
  </si>
  <si>
    <t>LIC-SEC-XL-C</t>
  </si>
  <si>
    <t>Cisco 8000 Xlarge series Security Add-on (URL-F)</t>
  </si>
  <si>
    <t>LIC-CSWAN-M-A</t>
  </si>
  <si>
    <t>Cisco SD-WAN Advantage Lic - Medium</t>
  </si>
  <si>
    <t>LIC-SEC-M-M</t>
  </si>
  <si>
    <t>Cisco 8000 Medium series Security Add-on (AMP)</t>
  </si>
  <si>
    <t>LIC-SEC-M-C</t>
  </si>
  <si>
    <t>Cisco 8000 Medium series Security Add-on (URL-F)</t>
  </si>
  <si>
    <t>LIC-SEC-M-T</t>
  </si>
  <si>
    <t>Cisco 8000 Medium series Security Add-on (Threat)</t>
  </si>
  <si>
    <t>LIC-CSWAN-S-A</t>
  </si>
  <si>
    <t>Cisco SD-WAN Advantage Lic - Small</t>
  </si>
  <si>
    <t>LIC-SEC-S-C</t>
  </si>
  <si>
    <t>Cisco 8000 Small series Security Add-on (URL-F)</t>
  </si>
  <si>
    <t>LIC-SEC-S-T</t>
  </si>
  <si>
    <t>Cisco 8000 Small series Security Add-on (Threat)</t>
  </si>
  <si>
    <t>LIC-SEC-S-M</t>
  </si>
  <si>
    <t>Cisco 8000 Small series Security Add-on (AMP)</t>
  </si>
  <si>
    <t>CISCO-ROUT-SUB</t>
  </si>
  <si>
    <t>Cisco Secure Routing Subscription</t>
  </si>
  <si>
    <t>LIC-ROS-L-A</t>
  </si>
  <si>
    <t>Cisco Routing Advantage Lic - Large</t>
  </si>
  <si>
    <t>LIC-ROS-XL-A</t>
  </si>
  <si>
    <t>Cisco Routing Advantage Lic - XLarge</t>
  </si>
  <si>
    <t>LIC-ROS-M-A</t>
  </si>
  <si>
    <t>Cisco Routing Advantage Lic - Medium</t>
  </si>
  <si>
    <t>LIC-ROS-S-A</t>
  </si>
  <si>
    <t>Cisco Routing Advantage Lic - Small</t>
  </si>
  <si>
    <t>Product</t>
  </si>
  <si>
    <t>Default Routing</t>
  </si>
  <si>
    <t>Adv Routing</t>
  </si>
  <si>
    <t>SDWAN</t>
  </si>
  <si>
    <t>Full Adds On</t>
  </si>
  <si>
    <t>Base</t>
  </si>
  <si>
    <t>Base + LIC-ROS-L-A</t>
  </si>
  <si>
    <t>Base + LIC-CSWAN-L-A</t>
  </si>
  <si>
    <t>Base + LIC-CSWAN-L-A + LIC-SEC-L-T + LIC-SEC-L-C + LIC-SEC-L-M</t>
  </si>
  <si>
    <t xml:space="preserve">Tài liệu tham khảo: 
https://www.cisco.com/c/en/us/products/collateral/networking/software/networking-subscription-ds.html
https://www.cisco.com/c/en/us/td/docs/routers/cloud_edge/licensing/8000-series-secure-routers-licensing.html
https://www.cisco.com/c/en/us/products/collateral/networking/software/next-generation-licensing-routing-wan-so.html
https://www.cisco.com/c/en/us/products/routers/router-comparison.html?product_id=217|218|221|220|222|214|215|216
</t>
  </si>
  <si>
    <t>Base + LIC-ROS-XL-A</t>
  </si>
  <si>
    <t>Base + LIC-CSWAN-XL-A</t>
  </si>
  <si>
    <t>không có</t>
  </si>
  <si>
    <t>Base + LIC-CSWAN-XL-A + LIC-SEC-XL-T + LIC-SEC-XL-M + LIC-SEC-XL-C</t>
  </si>
  <si>
    <t>Base + LIC-CSWAN-XL-A  + LIC-SEC-XL-T + LIC-SEC-XL-M + LIC-SEC-XL-C</t>
  </si>
  <si>
    <t>Base + LIC-ROS-M-A</t>
  </si>
  <si>
    <t>Base + LIC-CSWAN-M-A</t>
  </si>
  <si>
    <t>Base + LIC-CSWAN-M-A  + LIC-SEC-M-T + LIC-SEC-M-M + LIC-SEC-M-C</t>
  </si>
  <si>
    <t>Base + LIC-CSWAN-M-A + LIC-SEC-M-T + LIC-SEC-M-M + LIC-SEC-M-C</t>
  </si>
  <si>
    <t>Base + LIC-ROS-S-A</t>
  </si>
  <si>
    <t>Base + LIC-CSWAN-S-A</t>
  </si>
  <si>
    <t>Base + LIC-CSWAN-S-A + LIC-SEC-S-T + LIC-SEC-S-M + LIC-SEC-S-C</t>
  </si>
  <si>
    <t>C1161X-8P</t>
  </si>
  <si>
    <t>ISR 1100 8P Dual 8GB GE SFP Higher Perf Router</t>
  </si>
  <si>
    <t>CON-L1NBD-PC116186</t>
  </si>
  <si>
    <t>CX LEVEL 1 8X5XNBD ISR 1100 8P Dual 8GB</t>
  </si>
  <si>
    <t>PWR-66W-AC-V2</t>
  </si>
  <si>
    <t>Power Supply 66 Watt AC V2 for C890 and C1100 series</t>
  </si>
  <si>
    <t>SL-1K-8P-IPB</t>
  </si>
  <si>
    <t>IP Base License for Cisco ISR 1120 and 1160 8 Ports Series</t>
  </si>
  <si>
    <t>GREEN-OPTION</t>
  </si>
  <si>
    <t>Eco-friendly - Ship router with only Power cables only</t>
  </si>
  <si>
    <t>SISR1100UK9-1712</t>
  </si>
  <si>
    <t>Cisco ISR1100 Series IOS XE - UNIVERSAL</t>
  </si>
  <si>
    <t>License cho C1161X-8P</t>
  </si>
  <si>
    <t>L-DNA-TIER-ADD</t>
  </si>
  <si>
    <t>Cisco DNA Subscription License for Routing and SD-WAN</t>
  </si>
  <si>
    <t>DNA-P-T1-A-3Y</t>
  </si>
  <si>
    <t>Cisco DNA Advantage On-Prem Lic 3Y - upto 250M (Aggr, 500M)</t>
  </si>
  <si>
    <t>SVS-PSTL1-T1-A3Y</t>
  </si>
  <si>
    <t>Cisco Support Enhanced - DNA Advantage OnPrem Lic, T1, 3Y</t>
  </si>
  <si>
    <t>DSTACK-T1-A</t>
  </si>
  <si>
    <t>Cisco DNA Advantage Stack - upto 250M (Aggr, 500M)</t>
  </si>
  <si>
    <t>SDWAN-UMB-ADV</t>
  </si>
  <si>
    <t>Cisco Umbrella for DNA Advantage</t>
  </si>
  <si>
    <t>TE-EMBED-WANI</t>
  </si>
  <si>
    <t>C1100-8P-DNA-PF</t>
  </si>
  <si>
    <t>ISR1100 8-Port Platform Selection for DNA</t>
  </si>
  <si>
    <t>FL-1100-8P-HSEC-L</t>
  </si>
  <si>
    <t>IPSEC HSEC License for Cisco ISR 1100 8P Series</t>
  </si>
  <si>
    <t>SL-1100-8P-NA-A-L</t>
  </si>
  <si>
    <t>Cisco ISR1100 8 Port Network Stack Advantage Lic</t>
  </si>
  <si>
    <t>DNA-HSEC-UPGD</t>
  </si>
  <si>
    <t>U.S. Export Restriction Compliance license for all ISRs</t>
  </si>
  <si>
    <t>IOSXE-CTRL-MODE-PF</t>
  </si>
  <si>
    <t>IOS XE SD-WAN boot up mode for Unified image -Deployment Opt</t>
  </si>
  <si>
    <t>SDWAN-ONPREM-PF</t>
  </si>
  <si>
    <t>Cisco SDWAN On Prem Deployment Option</t>
  </si>
  <si>
    <t>C1127-8PLTEP</t>
  </si>
  <si>
    <t>ISR 1100 8P xDSL GE SFP Router Pluggable SMS/GPS</t>
  </si>
  <si>
    <t>CON-L1NBD-C8178PL2</t>
  </si>
  <si>
    <t>CX LEVEL 1 8X5XNBD ISR 1100 8P xDSL GE</t>
  </si>
  <si>
    <t>P-BLANK</t>
  </si>
  <si>
    <t>Blank Pluggable</t>
  </si>
  <si>
    <t>FW-VA-1117-39T</t>
  </si>
  <si>
    <t>1117 (A&amp;M) VDSL2/ADSL2+ Firmware for Multimode DSL products</t>
  </si>
  <si>
    <t>License cho C1127-8PLTEP</t>
  </si>
  <si>
    <t>ISR1100-4GLTE-PF</t>
  </si>
  <si>
    <t>ISR1100 4GLTE Series Platform Selection for DNA</t>
  </si>
  <si>
    <t>C1117-4P</t>
  </si>
  <si>
    <t>ISR 1100 4 Ports DSL Annex A/M and GE WAN Router</t>
  </si>
  <si>
    <t>CON-L1NBD-C11174P1</t>
  </si>
  <si>
    <t>CX LEVEL 1 8X5XNBD ISR 1100 4 Ports DSL</t>
  </si>
  <si>
    <t>SL-1100-4P-IPB</t>
  </si>
  <si>
    <t>IP Base License for Cisco ISR 1100 4P Series</t>
  </si>
  <si>
    <t>License cho C1117-4P</t>
  </si>
  <si>
    <t>C1100-4P-DNA-PF</t>
  </si>
  <si>
    <t>ISR1100 4-Port Platform Selection for DNA</t>
  </si>
  <si>
    <t>FL-1100-4P-HSEC-L</t>
  </si>
  <si>
    <t>IPSEC HSEC License for Cisco ISR 1100 4P Series</t>
  </si>
  <si>
    <t>SL-1100-4P-NA-A-L</t>
  </si>
  <si>
    <t>Cisco ISR1100 4 Port Network Stack Advantage Lic</t>
  </si>
  <si>
    <t>C1109-4PLTE2P</t>
  </si>
  <si>
    <t>ISR 1109 M2M 4P GE Ethernet, LTE Adv and DUAL Pluggables</t>
  </si>
  <si>
    <t>CON-L1NBD-C11094P2</t>
  </si>
  <si>
    <t>CX LEVEL 1 8X5XNBD ISR 1109 M2M 4P GE E</t>
  </si>
  <si>
    <t>PWR-30W-I-AC</t>
  </si>
  <si>
    <t>1109 M2M Power Supply iTemp 30 Watt AC</t>
  </si>
  <si>
    <t>SISR1100UK9-1715</t>
  </si>
  <si>
    <t>Cisco C11xx Series IOS XE Universal</t>
  </si>
  <si>
    <t>License cho C1109-4PLTE2P</t>
  </si>
  <si>
    <t>C1161-8P</t>
  </si>
  <si>
    <t>ISR 1100 8P Dual GE SFP Higher Perf Router</t>
  </si>
  <si>
    <t>CON-L1NCD-C1618PC1</t>
  </si>
  <si>
    <t>CX LEVEL 1 8X7NCDISR 1100 8P Dual GE</t>
  </si>
  <si>
    <t>License cho C1161-8P</t>
  </si>
  <si>
    <t>C1131-8PWS</t>
  </si>
  <si>
    <t>ISR 1100 8P Dual GE SFP Router Pluggable SMS/GPS - S Wifi</t>
  </si>
  <si>
    <t>CON-L1NBD-C1138PWS</t>
  </si>
  <si>
    <t>CX LEVEL 1 8X5XNBD ISR 1100 8P Dual GE SFP Router Pluggable</t>
  </si>
  <si>
    <t>SW9105AX-EWCEX-K9</t>
  </si>
  <si>
    <t>Embedded Wireless Controller software for C1130/C1130X</t>
  </si>
  <si>
    <t>License cho C1131-8PWS</t>
  </si>
  <si>
    <t>C1131X-8PWS</t>
  </si>
  <si>
    <t>ISR 1100X 8P Dual GE SFP Router Pluggable SMS/GPS - S Wifi</t>
  </si>
  <si>
    <t>CON-L1NBD-C113XPWS</t>
  </si>
  <si>
    <t>CX LEVEL 1 8X5XNBD ISR 1100X 8P Dual GE SFP Router Pluggabl</t>
  </si>
  <si>
    <t>License cho C1131X-8PWS</t>
  </si>
  <si>
    <t>C1121-4P</t>
  </si>
  <si>
    <t>ISR 1100 4P Dual GE SFP Router</t>
  </si>
  <si>
    <t>CON-L1NBD-C11214PK</t>
  </si>
  <si>
    <t>CX LEVEL 1 8X5XNBD ISR 1100 4P Dual GE</t>
  </si>
  <si>
    <t>SL-1K-4P-IPB</t>
  </si>
  <si>
    <t>IP Base License for Cisco ISR 1120 4P Series</t>
  </si>
  <si>
    <t>License cho C1121-4P</t>
  </si>
  <si>
    <t>C1121-8P</t>
  </si>
  <si>
    <t>ISR 1100 8P Dual GE SFP Router</t>
  </si>
  <si>
    <t>CON-L1NBD-C11218P2</t>
  </si>
  <si>
    <t>CX LEVEL 1 8X5XNBD ISR 1100 8P Dual GE</t>
  </si>
  <si>
    <t>License cho C1121-8P</t>
  </si>
  <si>
    <t>C1116-4P</t>
  </si>
  <si>
    <t>ISR 1100 4 Ports DSL Annex B/J and GE WAN Router</t>
  </si>
  <si>
    <t>CON-L1NBD-C1114P6</t>
  </si>
  <si>
    <t>FW-VA-1116-39G1</t>
  </si>
  <si>
    <t>1116 Series VDSL2/ADSL2+ Firmware for Multimode DSL products</t>
  </si>
  <si>
    <t>License cho C1116-4P</t>
  </si>
  <si>
    <t>C1112-8P</t>
  </si>
  <si>
    <t>ISR 1100 G.FAST with GE SFP Ethernet Router</t>
  </si>
  <si>
    <t>21.0.1</t>
  </si>
  <si>
    <t>CON-L1NBD-C11128PK</t>
  </si>
  <si>
    <t>CX LEVEL 1 8X5XNBD ISR 1100 GFAST with</t>
  </si>
  <si>
    <t>FW-GFAST-1112-43J</t>
  </si>
  <si>
    <t>1112 Series GFAST Firmware for Multimode DSL products</t>
  </si>
  <si>
    <t>SL-1100-8P-IPB</t>
  </si>
  <si>
    <t>IP Base License for Cisco ISR 1100 8 Ports Series</t>
  </si>
  <si>
    <t>License cho C1112-8P</t>
  </si>
  <si>
    <t>APIC-CLUSTERG5</t>
  </si>
  <si>
    <t>Major line bundle for APIC cluster, fifth generation servers</t>
  </si>
  <si>
    <t>APIC-SERVER-G5</t>
  </si>
  <si>
    <t>APIC Appliance - 5th Generation</t>
  </si>
  <si>
    <t>1.1.0.1</t>
  </si>
  <si>
    <t>CON-L1SNB-APICSEG5</t>
  </si>
  <si>
    <t>ENH 8X5XSNBD APIC Appliance 5th Generation</t>
  </si>
  <si>
    <t>APIC-DK9-6.2</t>
  </si>
  <si>
    <t>APIC Base Software Release 6.2</t>
  </si>
  <si>
    <t>1.1.2</t>
  </si>
  <si>
    <t>CAB-9K10A-EU</t>
  </si>
  <si>
    <t>Power Cord, 250VAC 10A CEE 7/7 Plug, EU</t>
  </si>
  <si>
    <t>1.1.3</t>
  </si>
  <si>
    <t>APIC-TPM2-002D-D</t>
  </si>
  <si>
    <t>TPM 2.0 FIPS 140-2 MSW2022 compliant AMD M8 servers</t>
  </si>
  <si>
    <t>1.1.4</t>
  </si>
  <si>
    <t>APIC-M2-480G-D</t>
  </si>
  <si>
    <t>480GB M.2 SATA SSD</t>
  </si>
  <si>
    <t>1.1.5</t>
  </si>
  <si>
    <t>APIC-M2-HWRAID-D</t>
  </si>
  <si>
    <t>Cisco Boot optimized M.2 Raid controller</t>
  </si>
  <si>
    <t>1.1.6</t>
  </si>
  <si>
    <t>APIC-MRX32G1RE3</t>
  </si>
  <si>
    <t>32GB DDR5-5600 RDIMM 1Rx4 (16Gb)</t>
  </si>
  <si>
    <t>1.1.7</t>
  </si>
  <si>
    <t>APIC-RIS1A-225M8</t>
  </si>
  <si>
    <t>C225 M8 1U Riser 1A PCIe Gen4 x16 HH</t>
  </si>
  <si>
    <t>1.1.8</t>
  </si>
  <si>
    <t>APIC-NVMEG4-M1600D</t>
  </si>
  <si>
    <t>1.6TB 2.5in U.3 15mm P7450 Hg Perf Hg End NVMe (3X)</t>
  </si>
  <si>
    <t>1.1.9</t>
  </si>
  <si>
    <t>APIC-P-V5Q50G-D</t>
  </si>
  <si>
    <t>Cisco VIC 15425 4x 10/25/50G PCIe C-Series w/Secure Boot</t>
  </si>
  <si>
    <t>1.1.10</t>
  </si>
  <si>
    <t>APIC-O-ID10GC-D</t>
  </si>
  <si>
    <t>APIC Intel X710T2LOCPV3G1L 2x10GbE RJ45 OCP3.0 NIC</t>
  </si>
  <si>
    <t>1.1.11</t>
  </si>
  <si>
    <t>APIC-OCP3-KIT-D</t>
  </si>
  <si>
    <t>APIC C2XX OCP 3.0 Interposer W/Mech Assy</t>
  </si>
  <si>
    <t>1.1.12</t>
  </si>
  <si>
    <t>APIC-PSU1-1200W-D</t>
  </si>
  <si>
    <t>1200w AC Titanium Power Supply for C-series Rack Servers</t>
  </si>
  <si>
    <t>1.1.13</t>
  </si>
  <si>
    <t>APIC-CPU-A9354P</t>
  </si>
  <si>
    <t>AMD 9354P 3.25GHz 280W 32C/256MB Cache DDR5 4800MT/s</t>
  </si>
  <si>
    <t>N9K-C9504</t>
  </si>
  <si>
    <t>Nexus 9504 Chassis with 4 linecard slots</t>
  </si>
  <si>
    <t>CON-SNT-N9504</t>
  </si>
  <si>
    <t>SNTC-8X5XNBD Nexus 9504 Chassis with 4 linecard slots</t>
  </si>
  <si>
    <t>N9K-C9500-ACK</t>
  </si>
  <si>
    <t>Nexus 9500 Accessory Kit</t>
  </si>
  <si>
    <t>MODE-ACI-SPINE</t>
  </si>
  <si>
    <t>Mode selection between ACI and NXOS</t>
  </si>
  <si>
    <t>N9K-C9504-FAN2</t>
  </si>
  <si>
    <t>Fan Tray V2 for Nexus 9504 chassis, Port-side Intake</t>
  </si>
  <si>
    <t>N9K-PDC-3000W-B</t>
  </si>
  <si>
    <t>Nexus 9500 3000W -48V DC PS, Port-side Intake</t>
  </si>
  <si>
    <t>DCN-OTHER</t>
  </si>
  <si>
    <t>Select if this product will NOT be used for AI Applications</t>
  </si>
  <si>
    <t>ACI64-N9KDK9-16.2</t>
  </si>
  <si>
    <t>Nexus 9500 or 9300 ACI Base Software NX-OS Rel 16.1 64bit</t>
  </si>
  <si>
    <t>N9K-SC-A</t>
  </si>
  <si>
    <t>System Controller for Nexus 9500</t>
  </si>
  <si>
    <t>N9K-C9504-FM-G</t>
  </si>
  <si>
    <t>Nexus 9500 4-slot chassis 400G cloud scale fabric module</t>
  </si>
  <si>
    <t>N9K-C9504-RMK</t>
  </si>
  <si>
    <t>Nexus 9504 Rack Mount Kit</t>
  </si>
  <si>
    <t>N9K-C9500-LC-CV</t>
  </si>
  <si>
    <t>Nexus 9500 Linecard slot cover</t>
  </si>
  <si>
    <t>N9K-C9504-FAN-PWR</t>
  </si>
  <si>
    <t>Nexus 9504 Fabric Module Blank with Fan Power Connector</t>
  </si>
  <si>
    <t>N9K-SUP-B+</t>
  </si>
  <si>
    <t>Supervisor B+ for Nexus 9500</t>
  </si>
  <si>
    <t>C1A1TN9500M4-3Y</t>
  </si>
  <si>
    <t>DCN Advantage Term N9500 M4, 3Y</t>
  </si>
  <si>
    <t>SVS-B-N9K-ADV-M4</t>
  </si>
  <si>
    <t>EMBEDDED SOLN SUPPORT SWSS FOR NEXUS 9K</t>
  </si>
  <si>
    <t>DCN-ADOPT-BAS</t>
  </si>
  <si>
    <t>Nexus(DCN) - Virtual adopt session http://cs.co/requestCSS</t>
  </si>
  <si>
    <t>SW-OTHER</t>
  </si>
  <si>
    <t>N9K-X9736C-FX3=</t>
  </si>
  <si>
    <t>Nexus 9500 36p 100G NX-OS Agg, ACI Spine, MACSec line card</t>
  </si>
  <si>
    <t>N9K-C93600CD-GX</t>
  </si>
  <si>
    <t>Nexus 9300 Series, 28p 100G and 8p 400G Switch</t>
  </si>
  <si>
    <t>CON-L1SNB-N9KC936G</t>
  </si>
  <si>
    <t>ENH 8X5XSNBDCX LEVEL 1 8X5XNBD Nexus 9300 with 28p</t>
  </si>
  <si>
    <t>NXK-AF-PI</t>
  </si>
  <si>
    <t>Dummy PID for Airflow Selection Port-side Intake</t>
  </si>
  <si>
    <t>MODE-ACI-LEAF</t>
  </si>
  <si>
    <t>NXK-ACC-KIT-1RU</t>
  </si>
  <si>
    <t>Nexus 3K/9K Fixed Accessory Kit, 1RU front and rear removal</t>
  </si>
  <si>
    <t>NXA-FAN-35CFM-PI</t>
  </si>
  <si>
    <t>Nexus Fan, 35CFM, port side intake airflow</t>
  </si>
  <si>
    <t>NXA-PAC-1100W-PI2</t>
  </si>
  <si>
    <t>Nexus AC 1100W PSU - Port Side Intake</t>
  </si>
  <si>
    <t>C1A1TN9300XF2-3Y</t>
  </si>
  <si>
    <t>Data Center Networking Advantage Term N9300 XF2, 3Y</t>
  </si>
  <si>
    <t>SVS-L1N9KA-XF2-3Y</t>
  </si>
  <si>
    <t>Cisco Support Enhanced for DCN Advantage Term N9300 XF2, 3Y</t>
  </si>
  <si>
    <t>N9K-C93180YC-FX3</t>
  </si>
  <si>
    <t>Nexus 9300 48p 1/10/25G, 6p 40/100G, MACsec,SyncE</t>
  </si>
  <si>
    <t>CON-L1SNB-N9KC93X3</t>
  </si>
  <si>
    <t>ENH 8X5XSNBDCX LEVEL 1 8X5XNBD Nexus 9300 48p 1102</t>
  </si>
  <si>
    <t>NXK-MEM-16GB</t>
  </si>
  <si>
    <t>Additional memory of 16GB for Nexus Switches</t>
  </si>
  <si>
    <t>NXA-PAC-650W-PI</t>
  </si>
  <si>
    <t>Nexus NEBs AC 650W PSU - Port Side Intake</t>
  </si>
  <si>
    <t>C1A1TN9300XF-3Y</t>
  </si>
  <si>
    <t>DCN Advantage Term N9300 XF, 3Y</t>
  </si>
  <si>
    <t>SVS-L1N9KA-XF-3Y</t>
  </si>
  <si>
    <t>Cisco Support Enhanced for DCN Advantage Term N9300 XF, 3Y</t>
  </si>
  <si>
    <t>N9K-C9348GC-FX3</t>
  </si>
  <si>
    <t>Nexus 9300 with 48p 100M/1GT, 4p 10/25G &amp; 2p 40/100G QSFP28</t>
  </si>
  <si>
    <t>CON-L1SNB-N9KC9FX3</t>
  </si>
  <si>
    <t>ENH 8X5XSNBDCX LEVEL 1 8X5XNBD Nexus 9300 with 48p 1</t>
  </si>
  <si>
    <t>NXA-SFAN-30CFM-PI</t>
  </si>
  <si>
    <t>Nexus Fan, 30CFM, port side intake airflow /w EEPROM</t>
  </si>
  <si>
    <t>MEM-UPG-OPT-OUT</t>
  </si>
  <si>
    <t>OPT OUT PID FOR MEM UPGRADE USE ONLY</t>
  </si>
  <si>
    <t>NXA-PAC-350W-PI2</t>
  </si>
  <si>
    <t>Nexus AC 350W PSU - Port Side Intake w platinum efficiency</t>
  </si>
  <si>
    <t>C1A1TN9300GF-3Y</t>
  </si>
  <si>
    <t>Data Center Networking Advantage Term N9300 GF, 3Y</t>
  </si>
  <si>
    <t>SVS-L1N9KA-GF-3Y</t>
  </si>
  <si>
    <t>Cisco Support Enhanced for DCN Advantage Term N9300 GF, 3Y</t>
  </si>
  <si>
    <t>QSFP-100G-LR-S=</t>
  </si>
  <si>
    <t>100G QSFP28 100G-LR, 10km SMF, duplex, LC Connector</t>
  </si>
  <si>
    <t>C1300-8T-E-2G</t>
  </si>
  <si>
    <t>Catalyst 1300 8-port GE, Ext PS, 2x1G Combo</t>
  </si>
  <si>
    <t>CON-SNT-C1300G8T</t>
  </si>
  <si>
    <t>SNTC-8X5XNBD Catalyst 1300 8-port GE, Ext PS, 2x1G Co</t>
  </si>
  <si>
    <t>PWRADPT-WM-18-EU</t>
  </si>
  <si>
    <t>Power adaptor 18W for C1200 and C1300 switches (Europe)</t>
  </si>
  <si>
    <t>C1300-8P-E-2G</t>
  </si>
  <si>
    <t>Catalyst 1300 8-port GE, PoE, Ext PS, 2x1G Combo</t>
  </si>
  <si>
    <t>CON-SNT-C13008PE</t>
  </si>
  <si>
    <t>SNTC-8X5XNBD Catalyst 1300 8-port GE, PoE, Ext PS, 2x</t>
  </si>
  <si>
    <t>C1300-8FP-2G</t>
  </si>
  <si>
    <t>Catalyst 1300 8-port GE, Full PoE, 2x1G Combo</t>
  </si>
  <si>
    <t>CON-SNT-C13008FG</t>
  </si>
  <si>
    <t>SNTC-8X5XNBD Catalyst 1300 8-port GE, Full PoE, 2x1G</t>
  </si>
  <si>
    <t>C1300-16T-2G</t>
  </si>
  <si>
    <t>Catalyst 1300 16-port GE, 2x1G SFP</t>
  </si>
  <si>
    <t>CON-SNT-C13001TG</t>
  </si>
  <si>
    <t>SNTC-8X5XNBD Catalyst 1300 16-por</t>
  </si>
  <si>
    <t>C1300-16P-2G</t>
  </si>
  <si>
    <t>Catalyst 1300 16-port GE, PoE, 2x1G SFP</t>
  </si>
  <si>
    <t>CON-SNT-C1300PG1</t>
  </si>
  <si>
    <t>SNTC-8X5XNBD Catalyst 1300 16-port GE, PoE, 2x1G SFP</t>
  </si>
  <si>
    <t>C1300-16FP-2G</t>
  </si>
  <si>
    <t>Catalyst 1300 16-port GE, Full PoE, 2x1G SFP</t>
  </si>
  <si>
    <t>CON-SNT-C130FPG6</t>
  </si>
  <si>
    <t>SNTC-8X5XNBD Catalyst 1300 16-port GE, Full PoE, 2x1G</t>
  </si>
  <si>
    <t>CAB-C15-ACE</t>
  </si>
  <si>
    <t>AC Power Cord (Europe), C15, CEE 7, 2.5m</t>
  </si>
  <si>
    <t>C1300-24T-4G</t>
  </si>
  <si>
    <t>Catalyst 1300 24-port GE, 4x1G SFP</t>
  </si>
  <si>
    <t>CON-SNT-C1300G24</t>
  </si>
  <si>
    <t>SNTC-8X5XNBD Catalyst 1300 24-port GE, 4x1G SFP</t>
  </si>
  <si>
    <t>C1300-24P-4G</t>
  </si>
  <si>
    <t>Catalyst 1300 24-port GE, PoE, 4x1G SFP</t>
  </si>
  <si>
    <t>CON-SNT-C13002PG</t>
  </si>
  <si>
    <t>SNTC-8X5XNBD Catalyst 1300 24-port GE, PoE, 4x1G SFP</t>
  </si>
  <si>
    <t>C1300-24FP-4G</t>
  </si>
  <si>
    <t>Catalyst 1300 24-port GE, Full PoE, 4x1G SFP</t>
  </si>
  <si>
    <t>CON-SNT-C13002GP</t>
  </si>
  <si>
    <t>SNTC-8X5XNBD Catalyst 1300 24-por</t>
  </si>
  <si>
    <t>C1300-48T-4G</t>
  </si>
  <si>
    <t>Catalyst 1300 48-port GE, 4x1G SFP</t>
  </si>
  <si>
    <t>CON-SNT-C130048T</t>
  </si>
  <si>
    <t>SNTC-8X5XNBD Catalyst 1300 48-port GE, 4x1G SFP</t>
  </si>
  <si>
    <t>C1300-48P-4G</t>
  </si>
  <si>
    <t>Catalyst 1300 48-port GE, PoE, 4x1G SFP</t>
  </si>
  <si>
    <t>CON-SNT-C1300P48</t>
  </si>
  <si>
    <t>SNTC-8X5XNBD Catalyst 1300 48-port GE, PoE, 4x1G SFP</t>
  </si>
  <si>
    <t>C1300-48FP-4G</t>
  </si>
  <si>
    <t>Catalyst 1300 48-port GE, Full PoE, 4x1G SFP</t>
  </si>
  <si>
    <t>CON-SNT-C1300F48</t>
  </si>
  <si>
    <t>SNTC-8X5XNBD Catalyst 1300 48-port GE, Full PoE, 4x1G</t>
  </si>
  <si>
    <t>C1300-16P-4X</t>
  </si>
  <si>
    <t>Catalyst 1300 16-port GE, PoE, 4x10G SFP+</t>
  </si>
  <si>
    <t>CON-SNT-C13001XP</t>
  </si>
  <si>
    <t>SNTC-8X5XNBD Catalyst 1300 16-port GE, PoE, 4x10G SFP</t>
  </si>
  <si>
    <t>C1300-24T-4X</t>
  </si>
  <si>
    <t>Catalyst 1300 24-port GE, 4x10G SFP+</t>
  </si>
  <si>
    <t>CON-SNT-C1300T24</t>
  </si>
  <si>
    <t>SNTC-8X5XNBD Catalyst 1300 24-port GE, 4x10G SFP</t>
  </si>
  <si>
    <t>C1300-24P-4X</t>
  </si>
  <si>
    <t>Catalyst 1300 24-port GE, PoE, 4x10G SFP+</t>
  </si>
  <si>
    <t>CON-SNT-C13002PX</t>
  </si>
  <si>
    <t>SNTC-8X5XNBD Catalyst 1300 24-port GE, PoE, 4x10G SFP</t>
  </si>
  <si>
    <t>C1300-24FP-4X</t>
  </si>
  <si>
    <t>Catalyst 1300 24-port GE, Full PoE, 4x10G SFP+</t>
  </si>
  <si>
    <t>CON-SNT-C13002FP</t>
  </si>
  <si>
    <t>SNTC-8X5XNBD Catalyst 1300 24-port GE, Full PoE, 4x10</t>
  </si>
  <si>
    <t>C1300-48T-4X</t>
  </si>
  <si>
    <t>Catalyst 1300 48-port GE, 4x10G SFP+</t>
  </si>
  <si>
    <t>CON-SNT-C130048X</t>
  </si>
  <si>
    <t>SNTC-8X5XNBD Catalyst 1300 48-port GE, 4x10G SFP</t>
  </si>
  <si>
    <t>C1300-48P-4X</t>
  </si>
  <si>
    <t>Catalyst 1300 48-port GE, PoE, 4x10G SFP+</t>
  </si>
  <si>
    <t>CON-SNT-C130048P</t>
  </si>
  <si>
    <t>SNTC-8X5XNBD Catalyst 1300 48-port GE, PoE, 4x10G SFP</t>
  </si>
  <si>
    <t>C1300-48FP-4X</t>
  </si>
  <si>
    <t>Catalyst 1300 48-port GE, Full PoE, 4x10G SFP+</t>
  </si>
  <si>
    <t>CON-SNT-C13004FX</t>
  </si>
  <si>
    <t>SNTC-8X5XNBD Catalyst 1300 48-port GE, Full PoE, 4x10</t>
  </si>
  <si>
    <t>C1300-12XT-2X</t>
  </si>
  <si>
    <t>Catalyst 1300 12-port 10GE, 2x10G SFP+</t>
  </si>
  <si>
    <t>20.0.1</t>
  </si>
  <si>
    <t>CON-SNT-C1300XTX</t>
  </si>
  <si>
    <t>SNTC-8X5XNBD Catalyst 1300 12-port 10GE, 2x10G SFP+</t>
  </si>
  <si>
    <t>C1300-12XS</t>
  </si>
  <si>
    <t>Catalyst 1300 12-port SFP+, 2x10GE Shared</t>
  </si>
  <si>
    <t>CON-SNT-C13002XS</t>
  </si>
  <si>
    <t>SNTC-8X5XNBD Catalyst 1300 12-port SFP+, 2x10GE Share</t>
  </si>
  <si>
    <t>C1300-16XTS</t>
  </si>
  <si>
    <t>Catalyst 1300 8-port 10GE, 8-port SFP+</t>
  </si>
  <si>
    <t>22.0.1</t>
  </si>
  <si>
    <t>CON-SNT-C1300XTS</t>
  </si>
  <si>
    <t>SNTC-8X5XNBD Catalyst 1300 8-port 10GE, 8-port SFP+</t>
  </si>
  <si>
    <t>C1300-24XS</t>
  </si>
  <si>
    <t>Catalyst 1300 24-port SFP+, 4x10GE Shared</t>
  </si>
  <si>
    <t>23.0.1</t>
  </si>
  <si>
    <t>CON-SNT-C13004XS</t>
  </si>
  <si>
    <t>SNTC-8X5XNBD Catalyst 1300 24-port SFP+, 4x10GE Share</t>
  </si>
  <si>
    <t>C1300-24XT</t>
  </si>
  <si>
    <t>Catalyst 1300 24-port 10GE, 4x10G SFP+ Shared</t>
  </si>
  <si>
    <t>24.0.1</t>
  </si>
  <si>
    <t>CON-SNT-C13024XT</t>
  </si>
  <si>
    <t>SNTC-8X5XNBD Catalyst 1300 24-port 10GE, 4x10G SFP+</t>
  </si>
  <si>
    <t>C1300-24XTS</t>
  </si>
  <si>
    <t>Catalyst 1300 12-port 10GE, 12-port SFP+</t>
  </si>
  <si>
    <t>25.0.1</t>
  </si>
  <si>
    <t>CON-SNT-C1324XTS</t>
  </si>
  <si>
    <t>SNTC-8X5XNBD Catalyst 1300 12-port 10GE, 12-port SFP</t>
  </si>
  <si>
    <t>C1300X-24T-4X</t>
  </si>
  <si>
    <t>Catalyst 1300X 24-port GE, 4x10G SFP+</t>
  </si>
  <si>
    <t>26.0.1</t>
  </si>
  <si>
    <t>CON-SNT-C13XNU8X</t>
  </si>
  <si>
    <t>STD 8X5XNBD Catalyst 1300X 24-port GE, 4x10G SFP+</t>
  </si>
  <si>
    <t>C1300X-48T-4X</t>
  </si>
  <si>
    <t>Catalyst 1300X 48-port GE, 4x10G SFP+</t>
  </si>
  <si>
    <t>27.0.1</t>
  </si>
  <si>
    <t>CON-SNT-C13XNU6X</t>
  </si>
  <si>
    <t>STD 8X5XNBD Catalyst 1300X 48-port GE, 4x10G SFP</t>
  </si>
  <si>
    <t>C1300X-24P-4X</t>
  </si>
  <si>
    <t>Catalyst 1300X 24-port GE, PoE, 4x10G SFP+</t>
  </si>
  <si>
    <t>28.0.1</t>
  </si>
  <si>
    <t>CON-SNT-C13XNU9X</t>
  </si>
  <si>
    <t>STD 8X5XNBD Catalyst 1300X 24-port GE, PoE, 4x10G SF</t>
  </si>
  <si>
    <t>C1300X-48P-4X</t>
  </si>
  <si>
    <t>Catalyst 1300X 48-port GE, PoE, 4x10G SFP+</t>
  </si>
  <si>
    <t>29.0.1</t>
  </si>
  <si>
    <t>CON-SNT-C13XNU7X</t>
  </si>
  <si>
    <t>STD 8X5XNBD Catalyst 1300X 48-port GE, PoE, 4x10G SF</t>
  </si>
  <si>
    <t>C9200-24T-A</t>
  </si>
  <si>
    <t>Catalyst 9200 24-port data only, Network Advantage</t>
  </si>
  <si>
    <t>CON-L1SNB-C920024A</t>
  </si>
  <si>
    <t>ENH 8X5XSNBD Catalyst 9200 24por</t>
  </si>
  <si>
    <t>C9200-DNA-A-24</t>
  </si>
  <si>
    <t>C9200 Cisco DNA Advantage, 24-port Term Licenses</t>
  </si>
  <si>
    <t>CON-L1SWT-C92A24</t>
  </si>
  <si>
    <t>CX LEVEL 1 SW SUB C9200 Cisco DNA Adva</t>
  </si>
  <si>
    <t>C9200-DNA-A-24-3Y</t>
  </si>
  <si>
    <t>C9200 Cisco DNA Advantage, 24-Port, 3 Year Term License</t>
  </si>
  <si>
    <t>PWR-C5-BLANK</t>
  </si>
  <si>
    <t>Config 5 Power Supply Blank</t>
  </si>
  <si>
    <t>C9200-NW-A-24</t>
  </si>
  <si>
    <t>C9200 Network Advantage, 24-port license</t>
  </si>
  <si>
    <t>CAB-TA-EU</t>
  </si>
  <si>
    <t>Europe AC Type A Power Cable</t>
  </si>
  <si>
    <t>C9200-NM-4X</t>
  </si>
  <si>
    <t>Catalyst 9200 4 x 10G Network Module</t>
  </si>
  <si>
    <t>C9K-ACC-RBFT</t>
  </si>
  <si>
    <t>RUBBER FEET FOR TABLE TOP SETUP 9200 and 93xx</t>
  </si>
  <si>
    <t>C9K-ACC-SCR-4</t>
  </si>
  <si>
    <t>12-24 and 10-32 SCREWS FOR RACK INSTALLATION, QTY 4</t>
  </si>
  <si>
    <t>CAB-GUIDE-1RU</t>
  </si>
  <si>
    <t>1RU CABLE MANAGEMENT GUIDES 9200 and 9300</t>
  </si>
  <si>
    <t>C9200-24P-A</t>
  </si>
  <si>
    <t>Catalyst 9200 24-port PoE+, Network Advantage</t>
  </si>
  <si>
    <t>CON-L1NBD-C92024PA</t>
  </si>
  <si>
    <t>CX LEVEL 1 8X5XNBD Catalyst 9200 24-port PoE+, Network Advan</t>
  </si>
  <si>
    <t>2.1.0.1</t>
  </si>
  <si>
    <t>C9200-48T-A</t>
  </si>
  <si>
    <t>Catalyst 9200 48-port data only, Network Advantage</t>
  </si>
  <si>
    <t>CON-L1NBD-C920048T</t>
  </si>
  <si>
    <t>CX LEVEL 1 8X5XNBD Catalyst 9200 48-port data only, Network</t>
  </si>
  <si>
    <t>C9200-DNA-A-48</t>
  </si>
  <si>
    <t>C9200 Cisco DNA Advantage, 48-Port Term Licenses</t>
  </si>
  <si>
    <t>3.1.0.1</t>
  </si>
  <si>
    <t>CON-L1SWT-C92A48</t>
  </si>
  <si>
    <t>C9200-DNA-A-48-3Y</t>
  </si>
  <si>
    <t>C9200 Cisco DNA Advantage, 48-Port, 3 Year Term License</t>
  </si>
  <si>
    <t>C9200-NW-A-48</t>
  </si>
  <si>
    <t>C9200 Network Advantage, 48-port license</t>
  </si>
  <si>
    <t>C9200-48P-A</t>
  </si>
  <si>
    <t>Catalyst 9200 48-port PoE+, Network Advantage</t>
  </si>
  <si>
    <t>CON-L1NBD-C920048P</t>
  </si>
  <si>
    <t>CX LEVEL 1 8X5XNBD Catalyst 9200 48-port PoE+, Network Advan</t>
  </si>
  <si>
    <t>4.1.0.1</t>
  </si>
  <si>
    <t>C9200L-24T-4G-A</t>
  </si>
  <si>
    <t>Catalyst 9200L 24-port data only, 4 x 1G, Network Advantage</t>
  </si>
  <si>
    <t>CON-L1NBD-C920L24A</t>
  </si>
  <si>
    <t>CX LEVEL 1 8X5XNBD Catalyst 9200L 24-port data only, 4 x 1G,</t>
  </si>
  <si>
    <t>C9200L-DNA-A-24</t>
  </si>
  <si>
    <t>C9200L Cisco DNA Advantage, 24-port Term license</t>
  </si>
  <si>
    <t>5.1.0.1</t>
  </si>
  <si>
    <t>CON-L1SWT-C92LA24</t>
  </si>
  <si>
    <t>CX LEVEL 1 SW SUB C9200L Cisco DNA Adv</t>
  </si>
  <si>
    <t>C9200L-DNA-A-24-3Y</t>
  </si>
  <si>
    <t>C9200L Cisco DNA Advantage, 24-port, 3 Year Term license</t>
  </si>
  <si>
    <t>C9200L-NW-A-24</t>
  </si>
  <si>
    <t>C9200L Network Advantage, 24-port license</t>
  </si>
  <si>
    <t>C9200-STACK-BLANK</t>
  </si>
  <si>
    <t>Catalyst 9200 Blank Stack Module</t>
  </si>
  <si>
    <t>C9200L-24P-4G-A</t>
  </si>
  <si>
    <t>Catalyst 9200L 24-port PoE+, 4 x 1G, Network Advantage</t>
  </si>
  <si>
    <t>CON-L1NBD-C920L2GA</t>
  </si>
  <si>
    <t>CX LEVEL 1 8X5XNBD Catalyst 9200L 24-port PoE+, 4 x 1G, Netw</t>
  </si>
  <si>
    <t>6.1.0.1</t>
  </si>
  <si>
    <t>6.1.1</t>
  </si>
  <si>
    <t>C9200L-48T-4G-A</t>
  </si>
  <si>
    <t>Catalyst 9200L 48-port data only, 4 x 1G, Network Advantage</t>
  </si>
  <si>
    <t>CON-L1NBD-C920048G</t>
  </si>
  <si>
    <t>CX LEVEL 1 8X5XNBD Catalyst 9200L 48-port data only, 4 x 1G,</t>
  </si>
  <si>
    <t>C9200L-DNA-A-48</t>
  </si>
  <si>
    <t>C9200L Cisco DNA Advantage, 48-port Term license</t>
  </si>
  <si>
    <t>7.1.0.1</t>
  </si>
  <si>
    <t>CON-L1SWT-C92LA48</t>
  </si>
  <si>
    <t>7.1.1</t>
  </si>
  <si>
    <t>C9200L-DNA-A-48-3Y</t>
  </si>
  <si>
    <t>C9200L Cisco DNA Advantage, 48-port, 3 Year Term license</t>
  </si>
  <si>
    <t>C9200L-NW-A-48</t>
  </si>
  <si>
    <t>C9200L Network Advantage, 48-port license</t>
  </si>
  <si>
    <t>C9200L-48P-4G-A</t>
  </si>
  <si>
    <t>Catalyst 9200L 48-port PoE+, 4 x 1G, Network Advantage</t>
  </si>
  <si>
    <t>CON-L1NBD-C9200L48</t>
  </si>
  <si>
    <t>CX LEVEL 1 8X5XNBD Catalyst 9200L 48-port PoE+, 4 x 1G, Netw</t>
  </si>
  <si>
    <t>8.1.0.1</t>
  </si>
  <si>
    <t>8.1.1</t>
  </si>
  <si>
    <t>C9200L-24T-4X-A</t>
  </si>
  <si>
    <t>Catalyst 9200L 24-port data only, 4 x 10G ,Network Advantage</t>
  </si>
  <si>
    <t>CON-L1NBD-C9200L24</t>
  </si>
  <si>
    <t>CX LEVEL 1 8X5XNBD Catalyst 9200L 24-port data only, 4 x 10G</t>
  </si>
  <si>
    <t>9.1.0.1</t>
  </si>
  <si>
    <t>9.1.1</t>
  </si>
  <si>
    <t>C9200L-24P-4X-A</t>
  </si>
  <si>
    <t>Catalyst 9200L 24-port PoE+, 4 x 10G, Network Advantage</t>
  </si>
  <si>
    <t>CON-L1NBD-C920L24P</t>
  </si>
  <si>
    <t>CX LEVEL 1 8X5XNBD Catalyst 9200L 24-port PoE+, 4 x 10G, Net</t>
  </si>
  <si>
    <t>10.1.0.1</t>
  </si>
  <si>
    <t>10.1.1</t>
  </si>
  <si>
    <t>C9200L-48T-4X-A</t>
  </si>
  <si>
    <t>Catalyst 9200L 48-port data only, 4 x 10G, Network Advantage</t>
  </si>
  <si>
    <t>CON-L1NBD-C920L48T</t>
  </si>
  <si>
    <t>CX LEVEL 1 8X5XNBD Catalyst 9200 48-port data only, 4 x 10G</t>
  </si>
  <si>
    <t>11.1.0.1</t>
  </si>
  <si>
    <t>11.1.1</t>
  </si>
  <si>
    <t>C9200L-48P-4X-A</t>
  </si>
  <si>
    <t>Catalyst 9200L 48-port PoE+, 4 x 10G, Network Advantage</t>
  </si>
  <si>
    <t>CON-L1NBD-C920L48P</t>
  </si>
  <si>
    <t>CX LEVEL 1 8X5XNBD Catalyst 9200L 48-port PoE+, 4 x 10G, Net</t>
  </si>
  <si>
    <t>12.1.0.1</t>
  </si>
  <si>
    <t>12.1.1</t>
  </si>
  <si>
    <t>C9200CX-8P-2X2G-A</t>
  </si>
  <si>
    <t>Catalyst 9000 Compact Switch 8 port PoE+, 240W, Adv</t>
  </si>
  <si>
    <t>CON-L1NBD-C920CXYZ</t>
  </si>
  <si>
    <t>CX LEVEL 1 8X5XNBD Catalyst 9000 Compact Switch 8 port PoE+</t>
  </si>
  <si>
    <t>C9200CX-DNA-A-8</t>
  </si>
  <si>
    <t>C9200CX Cisco DNA Advantage, 8-Port Term Licenses</t>
  </si>
  <si>
    <t>13.1.0.1</t>
  </si>
  <si>
    <t>CON-L1SWT-C9201CCD</t>
  </si>
  <si>
    <t>CX LEVEL 1 SW SUB C9200CX Cisco DNA Advantage, 8-Port Term</t>
  </si>
  <si>
    <t>13.1.1</t>
  </si>
  <si>
    <t>C9200CX-DNAA8-3Y</t>
  </si>
  <si>
    <t>C9200CX Cisco DNA Advantage, 3Y Term License, 8P</t>
  </si>
  <si>
    <t>C9200CX-NW-A-8</t>
  </si>
  <si>
    <t>C9200CX Network Advantage, 8-port license</t>
  </si>
  <si>
    <t>CAB-CON-USBRJ45</t>
  </si>
  <si>
    <t>Console Adapter - Micro USB to RJ45</t>
  </si>
  <si>
    <t>SCAT9200CXUK9-1715</t>
  </si>
  <si>
    <t>Cisco Catalyst 9200CX XE UNIVERSAL</t>
  </si>
  <si>
    <t>C9200CX-12T-2X2G-A</t>
  </si>
  <si>
    <t>Catalyst 9000 Compact Switch 12 Ports, Data Only, Adv</t>
  </si>
  <si>
    <t>CON-L1NBD-C9200XCX</t>
  </si>
  <si>
    <t>CX LEVEL 1 8X5XNBD Catalyst 9000 Compact Switch 12 Ports, D</t>
  </si>
  <si>
    <t>SCAT9200CXUK9-1718</t>
  </si>
  <si>
    <t>C9200CX-NW-A-12</t>
  </si>
  <si>
    <t>C9200CX Network Advantage, 12-port license</t>
  </si>
  <si>
    <t>C9200CX-DNA-A-12</t>
  </si>
  <si>
    <t>C9200CX Cisco DNA Advantage, 12-Port Term Licenses</t>
  </si>
  <si>
    <t>14.4.0.1</t>
  </si>
  <si>
    <t>CON-L1SWT-C9292CXD</t>
  </si>
  <si>
    <t>CX LEVEL 1 SW SUB C9200CX Cisco DNA Advantage, 12-Port Ter</t>
  </si>
  <si>
    <t>14.4.1</t>
  </si>
  <si>
    <t>C9200CX-DNAA12-3Y</t>
  </si>
  <si>
    <t>C9200CX Cisco DNA Advantage, 3Y Term License, 12P</t>
  </si>
  <si>
    <t>C9K-80W-ADPT</t>
  </si>
  <si>
    <t>Power Adaptor for Compact Switches, 80W</t>
  </si>
  <si>
    <t>CAB-AC2-EU</t>
  </si>
  <si>
    <t>AC Power Cord 2-Pins C7 Europlug 1.8m</t>
  </si>
  <si>
    <t>C9200CX-12P-2X2G-A</t>
  </si>
  <si>
    <t>Catalyst 9000 Compact Switch 12 port PoE+, 240W, Adv</t>
  </si>
  <si>
    <t>CON-L1NBD-C9200CXM</t>
  </si>
  <si>
    <t>CX LEVEL 1 8X5XNBD Catalyst 9000 Compact Switch 12 port PoE</t>
  </si>
  <si>
    <t>15.1.0.1</t>
  </si>
  <si>
    <t>15.1.1</t>
  </si>
  <si>
    <t>C9300L-24T-4G-A</t>
  </si>
  <si>
    <t>Catalyst 9300L 24p data, Network Advantage ,4x1G Uplink</t>
  </si>
  <si>
    <t>CON-L1NBD-C9300LA2</t>
  </si>
  <si>
    <t>CX LEVEL 1 8X5XNBD Catalyst 9300L 24p data, Network Advantag</t>
  </si>
  <si>
    <t>C9300L-DNA-A-24</t>
  </si>
  <si>
    <t>C9300L Cisco DNA Advantage, 24-port Term Licenses</t>
  </si>
  <si>
    <t>CON-L1SWT-C93LA24</t>
  </si>
  <si>
    <t>CX LEVEL 1 SW SUB C9300L Cisco DNA Adv</t>
  </si>
  <si>
    <t>C9300L-DNA-A-24-3Y</t>
  </si>
  <si>
    <t>C9300L Cisco DNA Advantage, 24-port, 3 Year Term license</t>
  </si>
  <si>
    <t>TE-EMBEDDED-T</t>
  </si>
  <si>
    <t>Cisco ThousandEyes Enterprise Agent IBN Embedded</t>
  </si>
  <si>
    <t>TE-EMBEDDED-T-3Y</t>
  </si>
  <si>
    <t>ThousandEyes - Enterprise Agents</t>
  </si>
  <si>
    <t>D-DNAS-EXT-S-T</t>
  </si>
  <si>
    <t>Cisco DNA Spaces Extend Term License for Catalyst Switches</t>
  </si>
  <si>
    <t>D-DNAS-EXT-S-3Y</t>
  </si>
  <si>
    <t>Cisco DNA Spaces Extend for Catalyst Switching - 3Year</t>
  </si>
  <si>
    <t>S9300LUK9-1715</t>
  </si>
  <si>
    <t>CAT9300/9400/9500/9600 UNIVERSAL</t>
  </si>
  <si>
    <t>C9300L-NW-A-24</t>
  </si>
  <si>
    <t>C9300L Network Advantage, 24-port license</t>
  </si>
  <si>
    <t>PWR-C1-BLANK</t>
  </si>
  <si>
    <t>Config 1 Power Supply Blank</t>
  </si>
  <si>
    <t>C9300L-STACK-BLANK</t>
  </si>
  <si>
    <t>Catalyst 9300L Blank Stack Module</t>
  </si>
  <si>
    <t>FAN-T2</t>
  </si>
  <si>
    <t>Cisco Type 2 Fan Module</t>
  </si>
  <si>
    <t>PWR-C1-350WAC-P</t>
  </si>
  <si>
    <t>350W AC 80+ platinum Config 1 Power Supply</t>
  </si>
  <si>
    <t>C9300L-SPS-NONE</t>
  </si>
  <si>
    <t>No Secondary Power Supply Selected</t>
  </si>
  <si>
    <t>SSD-240G</t>
  </si>
  <si>
    <t>Cisco pluggable USB3.0 SSD storage</t>
  </si>
  <si>
    <t>C9300L-24P-4G-A</t>
  </si>
  <si>
    <t>Catalyst 9300L 24p PoE, Network Advantage ,4x1G Uplink</t>
  </si>
  <si>
    <t>CON-L1NBD-C93004G4</t>
  </si>
  <si>
    <t>CX LEVEL 1 8X5XNBD Catalyst 9300L 24p PoE, Network Advantage</t>
  </si>
  <si>
    <t>TE-C9K-SW</t>
  </si>
  <si>
    <t>TE agent for IOSXE on C9K</t>
  </si>
  <si>
    <t>PWR-C1-715WAC-P</t>
  </si>
  <si>
    <t>715W AC 80+ platinum Config 1 Power Supply</t>
  </si>
  <si>
    <t>C9300-ACCKIT-NONE</t>
  </si>
  <si>
    <t>No Accessory Kit Selected</t>
  </si>
  <si>
    <t>C9300L-24T-4X-A</t>
  </si>
  <si>
    <t>Catalyst 9300L 24p data, Network Advantage ,4x10G Uplink</t>
  </si>
  <si>
    <t>CON-L1NBD-C00L2XAL</t>
  </si>
  <si>
    <t>C9300L-24P-4X-A</t>
  </si>
  <si>
    <t>Catalyst 9300L 24p PoE, Network Advantage ,4x10G Uplink</t>
  </si>
  <si>
    <t>CON-L1NBD-C93024PX</t>
  </si>
  <si>
    <t>C9300L-48T-4G-A</t>
  </si>
  <si>
    <t>Catalyst 9300L 48p data, Network Advantage ,4x1G Uplink</t>
  </si>
  <si>
    <t>CON-L1NBD-CAT9300L</t>
  </si>
  <si>
    <t>CX LEVEL 1 8X5XNBD Catalyst 9300L 48p data, Network Advantag</t>
  </si>
  <si>
    <t>C9300L-DNA-A-48</t>
  </si>
  <si>
    <t>C9300L Cisco DNA Advantage, 48-port license</t>
  </si>
  <si>
    <t>CON-L1SWT-C93LA48</t>
  </si>
  <si>
    <t>C9300L-DNA-A-48-3Y</t>
  </si>
  <si>
    <t>C9300L Cisco DNA Advantage, 48-port, 3 Year Term license</t>
  </si>
  <si>
    <t>C9300L-NW-A-48</t>
  </si>
  <si>
    <t>C9300L Network Advantage, 48-port license</t>
  </si>
  <si>
    <t>C9300L-48P-4G-A</t>
  </si>
  <si>
    <t>Catalyst 9300L 48p PoE, Network Advantage ,4x1G Uplink</t>
  </si>
  <si>
    <t>CON-L1NBD-C9300AG4</t>
  </si>
  <si>
    <t>CX LEVEL 1 8X5XNBD Catalyst 9300L 48p PoE, Network Advantage</t>
  </si>
  <si>
    <t>6.2.1</t>
  </si>
  <si>
    <t>6.3.1</t>
  </si>
  <si>
    <t>C9300L-48T-4X-A</t>
  </si>
  <si>
    <t>Catalyst 9300L 48p data, Network Advantage ,4x10G Uplink</t>
  </si>
  <si>
    <t>CON-L1NBD-CX9300L4</t>
  </si>
  <si>
    <t>7.2.1</t>
  </si>
  <si>
    <t>7.3.1</t>
  </si>
  <si>
    <t>C9300L-48P-4X-A</t>
  </si>
  <si>
    <t>Catalyst 9300L 48p PoE, Network Advantage,4x10G Uplink</t>
  </si>
  <si>
    <t>CON-L1NBD-CA00LXL8</t>
  </si>
  <si>
    <t>8.2.1</t>
  </si>
  <si>
    <t>8.3.1</t>
  </si>
  <si>
    <t>C9300-24T-A</t>
  </si>
  <si>
    <t>Catalyst 9300 24-port data only, Network Advantage</t>
  </si>
  <si>
    <t>CON-L1NBD-C93002TA</t>
  </si>
  <si>
    <t>CX LEVEL 1 8X5XNBD Catalyst 9300 24-port data only, Network</t>
  </si>
  <si>
    <t>C9300-DNA-A-24</t>
  </si>
  <si>
    <t>C9300 DNA Advantage, 24-port Term Licenses</t>
  </si>
  <si>
    <t>CON-L1SWT-C93A24</t>
  </si>
  <si>
    <t>CX LEVEL 1 SW SUB C9300 DNA Advantage</t>
  </si>
  <si>
    <t>C9300-DNA-A-24-3Y</t>
  </si>
  <si>
    <t>C9300 DNA Advantage, 24-Port, 3 Year Term License</t>
  </si>
  <si>
    <t>9.2.1</t>
  </si>
  <si>
    <t>9.3.1</t>
  </si>
  <si>
    <t>C9300-NW-A-24</t>
  </si>
  <si>
    <t>C9300 Network Advantage, 24-port license</t>
  </si>
  <si>
    <t>C9300-SPS-NONE</t>
  </si>
  <si>
    <t>STACK-T1-50CM</t>
  </si>
  <si>
    <t>50CM Type 1 Stacking Cable</t>
  </si>
  <si>
    <t>CAB-SPWR-30CM</t>
  </si>
  <si>
    <t>Catalyst Stack Power Cable 30 CM</t>
  </si>
  <si>
    <t>C9300-NM-8X</t>
  </si>
  <si>
    <t>Catalyst 9300 8 x 10GE Network Module</t>
  </si>
  <si>
    <t>SC9300UK9-179</t>
  </si>
  <si>
    <t>Cisco Catalyst 9300 XE 17.9 UNIVERSAL UNIVERSAL</t>
  </si>
  <si>
    <t>C9300-24P-A</t>
  </si>
  <si>
    <t>Catalyst 9300 24-port PoE+, Network Advantage</t>
  </si>
  <si>
    <t>CON-L1NBD-C93002PA</t>
  </si>
  <si>
    <t>CX LEVEL 1 8X5XNBD Catalyst 9300 24-port PoE+, Network Advan</t>
  </si>
  <si>
    <t>10.2.1</t>
  </si>
  <si>
    <t>10.3.1</t>
  </si>
  <si>
    <t>SC9300UK9-1713</t>
  </si>
  <si>
    <t>Cisco Catalyst 9300 XE 17.13 UNIVERSAL</t>
  </si>
  <si>
    <t>C9300-24U-A</t>
  </si>
  <si>
    <t>Catalyst 9300 24-port UPOE, Network Advantage</t>
  </si>
  <si>
    <t>CON-L1NBD-C93002UA</t>
  </si>
  <si>
    <t>CX LEVEL 1 8X5XNBD Catalyst 9300 24-port UPOE, Network Advan</t>
  </si>
  <si>
    <t>11.2.1</t>
  </si>
  <si>
    <t>11.3.1</t>
  </si>
  <si>
    <t>SC9300UK9-1715</t>
  </si>
  <si>
    <t>PWR-C1-1100WAC-P</t>
  </si>
  <si>
    <t>1100W AC 80+ platinum Config 1 Power Supply</t>
  </si>
  <si>
    <t>C9300-24H-A</t>
  </si>
  <si>
    <t>Catalyst 9300 24-port UPoE+, Network Advatege</t>
  </si>
  <si>
    <t>CON-L1NBD-C930210E</t>
  </si>
  <si>
    <t>CX LEVEL 1 8X5XNBD Catalyst 9300 24-port UPoE+, Network Adv</t>
  </si>
  <si>
    <t>C9K-SMART-BUILDING</t>
  </si>
  <si>
    <t>Smart Building Application Identifier</t>
  </si>
  <si>
    <t>C9300-24S-A</t>
  </si>
  <si>
    <t>Catalyst 9300 24 GE SFP Ports, modular uplink Switch</t>
  </si>
  <si>
    <t>CON-L1NBD-C930024A</t>
  </si>
  <si>
    <t>CX LEVEL 1 8X5XNBD Catalyst 9300 24 GE SFP Ports, modular u</t>
  </si>
  <si>
    <t>C9300-DNA-A-24S</t>
  </si>
  <si>
    <t>C9300 DNA Advantage, 24-port Fiber Term Licenses</t>
  </si>
  <si>
    <t>CON-L1SWT-C93A24S</t>
  </si>
  <si>
    <t>C9300-DNA-A-24S-3Y</t>
  </si>
  <si>
    <t>C9300 DNA Advantage, 24-Port Fiber, 3 Year Term License</t>
  </si>
  <si>
    <t>SC9300UK9-1718</t>
  </si>
  <si>
    <t>CAB-SPWR-150CM</t>
  </si>
  <si>
    <t>Catalyst Stack Power Cable 150 CM - Upgrade</t>
  </si>
  <si>
    <t>C9300-24UB-A</t>
  </si>
  <si>
    <t>Catalyst Deep Buffer 9300 24-port UPOE, Network Advantage</t>
  </si>
  <si>
    <t>CON-L1NBD-C930U2A4</t>
  </si>
  <si>
    <t>CX LEVEL 1 8X5XNBD Catalyst Deep Buffer 9300 24-port UPOE, N</t>
  </si>
  <si>
    <t>14.1.0.1</t>
  </si>
  <si>
    <t>14.1.1</t>
  </si>
  <si>
    <t>PWR-C1-1100WAC-P/2</t>
  </si>
  <si>
    <t>1100W AC 80+ platinum Config 1 Secondary Power Supply</t>
  </si>
  <si>
    <t>C9300-48T-A</t>
  </si>
  <si>
    <t>Catalyst 9300 48-port data only, Network Advantage</t>
  </si>
  <si>
    <t>CON-L1NBD-C93004TA</t>
  </si>
  <si>
    <t>CX LEVEL 1 8X5XNBD Catalyst 9300 48-port data only, Network</t>
  </si>
  <si>
    <t>C9300-DNA-A-48</t>
  </si>
  <si>
    <t>C9300 DNA Advantage, 48-Port Term Licenses</t>
  </si>
  <si>
    <t>CON-L1SWT-C93A48</t>
  </si>
  <si>
    <t>C9300-DNA-A-48-3Y</t>
  </si>
  <si>
    <t>C9300 DNA Advantage, 48-Port, 3 Year Term License</t>
  </si>
  <si>
    <t>15.3.1</t>
  </si>
  <si>
    <t>C9300-NW-A-48</t>
  </si>
  <si>
    <t>C9300 Network Advantage, 48-port license</t>
  </si>
  <si>
    <t>C9300-48P-A</t>
  </si>
  <si>
    <t>Catalyst 9300 48-port PoE+, Network Advantage</t>
  </si>
  <si>
    <t>CON-L1NBD-C93004PA</t>
  </si>
  <si>
    <t>CX LEVEL 1 8X5XNBD Catalyst 9300 48-port PoE+, Network Advan</t>
  </si>
  <si>
    <t>16.1.0.1</t>
  </si>
  <si>
    <t>16.1.1</t>
  </si>
  <si>
    <t>16.2.1</t>
  </si>
  <si>
    <t>16.3.1</t>
  </si>
  <si>
    <t>C9300-48U-A</t>
  </si>
  <si>
    <t>Catalyst 9300 48-port UPOE, Network Advantage</t>
  </si>
  <si>
    <t>CON-L1NBD-C93004UA</t>
  </si>
  <si>
    <t>CX LEVEL 1 8X5XNBD Catalyst 9300 48-port UPOE, Network Advan</t>
  </si>
  <si>
    <t>17.1.0.1</t>
  </si>
  <si>
    <t>17.1.1</t>
  </si>
  <si>
    <t>17.2.1</t>
  </si>
  <si>
    <t>17.3.1</t>
  </si>
  <si>
    <t>C9300-48H-A</t>
  </si>
  <si>
    <t>Catalyst 9300 48-port UPoE+, Network Advantage</t>
  </si>
  <si>
    <t>CON-L1NBD-C930210K</t>
  </si>
  <si>
    <t>CX LEVEL 1 8X5XNBD Catalyst 9300 48-port UPoE+, Network Adv</t>
  </si>
  <si>
    <t>18.13.0.1</t>
  </si>
  <si>
    <t>18.13.1</t>
  </si>
  <si>
    <t>18.14.1</t>
  </si>
  <si>
    <t>18.15.1</t>
  </si>
  <si>
    <t>C9300-48S-A</t>
  </si>
  <si>
    <t>Catalyst 9300 48 GE SFP Ports, modular uplink Switch</t>
  </si>
  <si>
    <t>CON-L1NBD-C93004SA</t>
  </si>
  <si>
    <t>CX LEVEL 1 8X5XNBD Catalyst 9300 48 GE SFP Ports, modular u</t>
  </si>
  <si>
    <t>C9300-DNA-A-48S</t>
  </si>
  <si>
    <t>C9300 DNA Advantage, 48-Port Fiber Term Licenses</t>
  </si>
  <si>
    <t>19.15.0.1</t>
  </si>
  <si>
    <t>CON-L1SWT-C93A48S</t>
  </si>
  <si>
    <t>19.15.1</t>
  </si>
  <si>
    <t>C9300-DNA-A-48S-3Y</t>
  </si>
  <si>
    <t>C9300 DNA Advantage, 48-Port Fiber, 3 Year Term License</t>
  </si>
  <si>
    <t>19.16.1</t>
  </si>
  <si>
    <t>19.17.1</t>
  </si>
  <si>
    <t>C9300-48UB-A</t>
  </si>
  <si>
    <t>Catalyst 9300 48-port UPOE Deep Buffer, Network Advantage</t>
  </si>
  <si>
    <t>CON-L1NBD-C93B0048</t>
  </si>
  <si>
    <t>CX LEVEL 1 8X5XNBD Catalyst 9300 48-port UPOE Deep Buffer, N</t>
  </si>
  <si>
    <t>20.1.0.1</t>
  </si>
  <si>
    <t>20.1.1</t>
  </si>
  <si>
    <t>20.2.1</t>
  </si>
  <si>
    <t>20.3.1</t>
  </si>
  <si>
    <t>C9500-32C-A</t>
  </si>
  <si>
    <t>Catalyst 9500 32-port 100G only, Advantage</t>
  </si>
  <si>
    <t>CON-L1NBD-C95AC032</t>
  </si>
  <si>
    <t>CX LEVEL 1 8X5XNBD Catalyst 9500 32-port 100G only, Advantag</t>
  </si>
  <si>
    <t>C9500-DNA-32C-A</t>
  </si>
  <si>
    <t>C9500 DNA Advantage, Term License</t>
  </si>
  <si>
    <t>CON-L1SWT-C9532CA</t>
  </si>
  <si>
    <t>CX LEVEL 1 SW SUB CX LEVEL 1 SW SUB C9</t>
  </si>
  <si>
    <t>C9500-DNA-A-3Y</t>
  </si>
  <si>
    <t>Cisco Catalyst 9500 DNA Advantage 3 Year License</t>
  </si>
  <si>
    <t>C9K-PWR-1600WAC-R</t>
  </si>
  <si>
    <t>Catalyst 9500 1600W Power Supply</t>
  </si>
  <si>
    <t>C9K-PWR-1600WACR/2</t>
  </si>
  <si>
    <t>1600W AC Config 4 Power Supply front to back cooling</t>
  </si>
  <si>
    <t>C9K-T2-FANTRAY</t>
  </si>
  <si>
    <t>Catalyst 9500 Type 5 front to back cooling Fan</t>
  </si>
  <si>
    <t>C9500-NW-A</t>
  </si>
  <si>
    <t>C9500 Network Stack, Advantage</t>
  </si>
  <si>
    <t>S9500UK9-1715</t>
  </si>
  <si>
    <t>C9K-F1-SSD-240G</t>
  </si>
  <si>
    <t>Cisco pluggable SSD storage</t>
  </si>
  <si>
    <t>C9500-RFID</t>
  </si>
  <si>
    <t>RFID Selected</t>
  </si>
  <si>
    <t>C9500-32QC-A</t>
  </si>
  <si>
    <t>Catalyst 9500 32-port 40/100G only, Advantage</t>
  </si>
  <si>
    <t>CON-L1NBD-C9532ACQ</t>
  </si>
  <si>
    <t>CX LEVEL 1 8X5XNBD Catalyst 9500 32-port 40/100G only, Advan</t>
  </si>
  <si>
    <t>C9500-DNA-32QC-A</t>
  </si>
  <si>
    <t>CON-L1SWT-C9532QCA</t>
  </si>
  <si>
    <t>C9K-PWR-650WAC-R</t>
  </si>
  <si>
    <t>650W AC Config 4 Power Supply front to back cooling</t>
  </si>
  <si>
    <t>C9500-SPS-NONE</t>
  </si>
  <si>
    <t>C9K-PWR-C5-BLANK</t>
  </si>
  <si>
    <t>Catalyst 9500 power supply blank cover</t>
  </si>
  <si>
    <t>C9K-T1-FANTRAY</t>
  </si>
  <si>
    <t>Catalyst 9500 Type 4 front to back cooling Fan</t>
  </si>
  <si>
    <t>C9500-48Y4C-A</t>
  </si>
  <si>
    <t>Catalyst 9500 48-port x 1/10/25G + 4-port 40/100G, Advantage</t>
  </si>
  <si>
    <t>CON-L1NBD-C9504YA4</t>
  </si>
  <si>
    <t>CX LEVEL 1 8X5XNBD Catalyst 9500 48-port x 1/10/25G + 4-port</t>
  </si>
  <si>
    <t>C9500-DNA-48Y4C-A</t>
  </si>
  <si>
    <t>CON-L1SWT-C9548Y4A</t>
  </si>
  <si>
    <t>C9500-24Y4C-A</t>
  </si>
  <si>
    <t>Catalyst 9500 24x1/10/25G and 4-port 40/100G, Advantage</t>
  </si>
  <si>
    <t>CON-L1NBD-C95024YA</t>
  </si>
  <si>
    <t>CX LEVEL 1 8X5XNBD Catalyst 9500 24x1/10/25G and 4-port 40/</t>
  </si>
  <si>
    <t>C9500-DNA-24Y4C-A</t>
  </si>
  <si>
    <t>CON-L1SWT-C9524YCA</t>
  </si>
  <si>
    <t>CX LEVEL 1 SW SUB C9500 DNA Advantage</t>
  </si>
  <si>
    <t>C9500-DNA-L-A-3Y</t>
  </si>
  <si>
    <t>C9500X-28C8D-A</t>
  </si>
  <si>
    <t>Catalyst 9500 28x100G + 8x400G, Advantage</t>
  </si>
  <si>
    <t>CON-L1NBD-CX28C8DA</t>
  </si>
  <si>
    <t>CX LEVEL 1 8X5XNBD Catalyst 9500 28x100</t>
  </si>
  <si>
    <t>C9500X-DNA-28C8D-A</t>
  </si>
  <si>
    <t>C9500X DNA Advantage, Term License</t>
  </si>
  <si>
    <t>CON-L1SWT-DA28C8DA</t>
  </si>
  <si>
    <t>CX LEVEL 1 SW SUB C9500X DNA Advantage</t>
  </si>
  <si>
    <t>C9500X-DNA-A-3Y</t>
  </si>
  <si>
    <t>Cisco Catalyst 9500X DNA Advantage 3 Year License</t>
  </si>
  <si>
    <t>C9K-PWR-1500WAC</t>
  </si>
  <si>
    <t>1500W AC Power Supply</t>
  </si>
  <si>
    <t>C9K-PWR-1500WAC/2</t>
  </si>
  <si>
    <t>PWR-CAB-AC-EU</t>
  </si>
  <si>
    <t>Power Cord for AC V2 Power Module (Europe)</t>
  </si>
  <si>
    <t>C9500X-NW-A</t>
  </si>
  <si>
    <t>C9500X Network Stack, Advantage</t>
  </si>
  <si>
    <t>C9K-F3-SSD-240GB</t>
  </si>
  <si>
    <t>Catalyst 9500X Series 240GB SSD Storage</t>
  </si>
  <si>
    <t>C9500X-FAN-1U-R</t>
  </si>
  <si>
    <t>Catalyst 9500X front to back (port-side intake) cooling Fan</t>
  </si>
  <si>
    <t>C9500X-RFID</t>
  </si>
  <si>
    <t>C9500X-60L4D-A</t>
  </si>
  <si>
    <t>Catalyst 9500 60x10/25/50G + 4x400G, Advantage</t>
  </si>
  <si>
    <t>CON-L1NBD-C954SXU5</t>
  </si>
  <si>
    <t>CX LEVEL 1 8X5XNBD Catalyst 9500 60x25/50G + 4x400G, Advant</t>
  </si>
  <si>
    <t>C9500X-DNA-60L4D-A</t>
  </si>
  <si>
    <t>CON-L1SWT-C955KX9D</t>
  </si>
  <si>
    <t>CX LEVEL 1 SW SUB C9500X DNA Advantage, Term License</t>
  </si>
  <si>
    <t>C9K-OPTICS-TOOL</t>
  </si>
  <si>
    <t>Optics extraction tool for C9000 Switches</t>
  </si>
  <si>
    <t>C8200L-1N-4T</t>
  </si>
  <si>
    <t>Cisco Catalyst 8200L with 1-NIM slot and 4x1G WAN ports</t>
  </si>
  <si>
    <t>CON-SNT-C8200TL1</t>
  </si>
  <si>
    <t>SNTC-8X5XNBD Cisco Catalyst 8200L with 1-NIM slot and</t>
  </si>
  <si>
    <t>DNA-C8200-SW</t>
  </si>
  <si>
    <t>Cisco DNA subscription for C8200 series</t>
  </si>
  <si>
    <t>SVS-PDNA-ADV</t>
  </si>
  <si>
    <t>Cisco Support Standard - Tiered DNA Advantage On-Prem</t>
  </si>
  <si>
    <t>1.4.2</t>
  </si>
  <si>
    <t>1.4.3</t>
  </si>
  <si>
    <t>1.4.4</t>
  </si>
  <si>
    <t>DNAC-ONPREM-PF</t>
  </si>
  <si>
    <t>Cisco DNA Center On Prem Deployment Option for WAN</t>
  </si>
  <si>
    <t>1.4.5</t>
  </si>
  <si>
    <t>C82L-1N-4T-PF</t>
  </si>
  <si>
    <t>C8200L-1N-4T Platform Selection for DNA Subscription</t>
  </si>
  <si>
    <t>1.4.6</t>
  </si>
  <si>
    <t>IOSXE-AUTO-MODE-PF</t>
  </si>
  <si>
    <t>1.4.7</t>
  </si>
  <si>
    <t>DNA-P-T2-A-3Y</t>
  </si>
  <si>
    <t>Cisco DNA Advantage On-Prem Lic 3Y - upto 1G (Aggr, 2G)</t>
  </si>
  <si>
    <t>1.4.8</t>
  </si>
  <si>
    <t>DSTACK-T2-A</t>
  </si>
  <si>
    <t>Cisco DNA Advantage Stack - upto 1G (Aggr, 2G)</t>
  </si>
  <si>
    <t>1.4.9</t>
  </si>
  <si>
    <t>NWSTACK-T2-A</t>
  </si>
  <si>
    <t>Cisco Network Advantage Stack - upto 1G (Aggr, 2G)</t>
  </si>
  <si>
    <t>C8000-HSEC</t>
  </si>
  <si>
    <t>U.S. Export Restriction Compliance license for C8000 series</t>
  </si>
  <si>
    <t>SC8KBEUK9-1715</t>
  </si>
  <si>
    <t>Catalyst 8200/8200L/8300 Series Edge - UNIVERSAL</t>
  </si>
  <si>
    <t>C-NIM-8T</t>
  </si>
  <si>
    <t>Cisco NIM Switch Module 8-port 1G RJ45</t>
  </si>
  <si>
    <t>MEM-C8200-16GB</t>
  </si>
  <si>
    <t>Cisco Catalyst 8200 Edge 16GB memory</t>
  </si>
  <si>
    <t>C8200-1N-4T</t>
  </si>
  <si>
    <t>Cisco Catalyst C8200-1N-4T Router</t>
  </si>
  <si>
    <t>CON-L1NBD-C82001N4</t>
  </si>
  <si>
    <t>CX LEVEL 1 8X5XNBD Cisco Catalyst C8200</t>
  </si>
  <si>
    <t>M2USB-16G</t>
  </si>
  <si>
    <t>Cisco Catalyst 8000 Edge M.2 USB 16GB</t>
  </si>
  <si>
    <t>2.8.1</t>
  </si>
  <si>
    <t>2.8.2</t>
  </si>
  <si>
    <t>SVS-PSTL1-T2-A3Y</t>
  </si>
  <si>
    <t>Cisco Support Enhanced - DNA Advantage OnPrem Lic, T2, 3Y</t>
  </si>
  <si>
    <t>2.8.3</t>
  </si>
  <si>
    <t>2.8.4</t>
  </si>
  <si>
    <t>2.8.5</t>
  </si>
  <si>
    <t>2.8.6</t>
  </si>
  <si>
    <t>2.8.7</t>
  </si>
  <si>
    <t>2.8.8</t>
  </si>
  <si>
    <t>C82-1N-4T-PF</t>
  </si>
  <si>
    <t>C8200-1N-4T Platform Selection for DNA Subscription</t>
  </si>
  <si>
    <t>2.8.9</t>
  </si>
  <si>
    <t>C8300-2N2S-4T2X</t>
  </si>
  <si>
    <t>Cisco Catalyst C8300-2N2S-4T2X Router</t>
  </si>
  <si>
    <t>CON-L1NBD-C8302TNX</t>
  </si>
  <si>
    <t>CX LEVEL 1 8X5XNBD Cisco Catalyst C8300-2N2S-4T2X Router</t>
  </si>
  <si>
    <t>C8300-RM-19-2R</t>
  </si>
  <si>
    <t>Cisco Catalyst 8300 Rack mount kit - 19" 2R</t>
  </si>
  <si>
    <t>C8300-FAN-2R</t>
  </si>
  <si>
    <t>Cisco Catalyst 8300 Edge Fan Tray, 2RU</t>
  </si>
  <si>
    <t>DNA-C8300-SW</t>
  </si>
  <si>
    <t>Cisco DNA subscription for C8300 series</t>
  </si>
  <si>
    <t>3.10.1</t>
  </si>
  <si>
    <t>3.10.2</t>
  </si>
  <si>
    <t>3.10.3</t>
  </si>
  <si>
    <t>3.10.4</t>
  </si>
  <si>
    <t>C83-2N2S-4T2X-PF</t>
  </si>
  <si>
    <t>C8300-2N2S-4T2X Platform Selection for DNA Subscription</t>
  </si>
  <si>
    <t>3.10.5</t>
  </si>
  <si>
    <t>3.10.6</t>
  </si>
  <si>
    <t>DNA-P-T3-A-3Y</t>
  </si>
  <si>
    <t>Cisco DNA Advantage On-Prem Lic 3Y - upto 10G (Aggr, 20G)</t>
  </si>
  <si>
    <t>3.10.7</t>
  </si>
  <si>
    <t>SVS-PSTL1-T3-A3Y</t>
  </si>
  <si>
    <t>Cisco Support Enhanced - DNA Advantage OnPrem Lic, T3, 3Y</t>
  </si>
  <si>
    <t>3.10.8</t>
  </si>
  <si>
    <t>DSTACK-T3-A</t>
  </si>
  <si>
    <t>Cisco DNA Advantage Stack - upto 10G (Aggr, 20G)</t>
  </si>
  <si>
    <t>3.10.9</t>
  </si>
  <si>
    <t>NWSTACK-T3-A</t>
  </si>
  <si>
    <t>Cisco Network Advantage Stack - upto 10G (Aggr, 20G)</t>
  </si>
  <si>
    <t>MEM-C8300-16GB</t>
  </si>
  <si>
    <t>Cisco Catalyst 8300 Edge 16GB memory</t>
  </si>
  <si>
    <t>C-POE-COVER</t>
  </si>
  <si>
    <t>Cover for empty POE slot on Cisco Catalyst Edge 8300</t>
  </si>
  <si>
    <t>PWR-CC1-650WAC</t>
  </si>
  <si>
    <t>Cisco C8300 2RU AC Power supply</t>
  </si>
  <si>
    <t>C8300-1N1S-4T2X</t>
  </si>
  <si>
    <t>Cisco Catalyst C8300-1N1S-4T2X Router</t>
  </si>
  <si>
    <t>CON-L1NBD-C8304T2X</t>
  </si>
  <si>
    <t>CX LEVEL 1 8X5XNBD Cisco Catalyst C8300-1N1S-4T2X Router</t>
  </si>
  <si>
    <t>4.10.1</t>
  </si>
  <si>
    <t>4.10.2</t>
  </si>
  <si>
    <t>4.10.3</t>
  </si>
  <si>
    <t>4.10.4</t>
  </si>
  <si>
    <t>4.10.5</t>
  </si>
  <si>
    <t>C83-1N1S-4T2X-PF</t>
  </si>
  <si>
    <t>C8300-1N1S-4T2X Platform Selection for DNA Subscription</t>
  </si>
  <si>
    <t>4.10.6</t>
  </si>
  <si>
    <t>4.10.7</t>
  </si>
  <si>
    <t>4.10.8</t>
  </si>
  <si>
    <t>4.10.9</t>
  </si>
  <si>
    <t>PWR-CC1-250WAC</t>
  </si>
  <si>
    <t>Cisco C8300 1RU 250W AC Power supply</t>
  </si>
  <si>
    <t>C8300-2N2S-6T</t>
  </si>
  <si>
    <t>Cisco Catalyst C8300-2N2S-6T Router</t>
  </si>
  <si>
    <t>CON-L1NBD-C8302S6T</t>
  </si>
  <si>
    <t>CX LEVEL 1 8X5XNBD Cisco Catalyst C8300-2N2S-6T Router</t>
  </si>
  <si>
    <t>5.12.1</t>
  </si>
  <si>
    <t>5.12.2</t>
  </si>
  <si>
    <t>5.12.3</t>
  </si>
  <si>
    <t>5.12.4</t>
  </si>
  <si>
    <t>5.12.5</t>
  </si>
  <si>
    <t>5.12.6</t>
  </si>
  <si>
    <t>5.12.7</t>
  </si>
  <si>
    <t>5.12.8</t>
  </si>
  <si>
    <t>C83-2N2S-6T-PF</t>
  </si>
  <si>
    <t>C8300-2N2S-6T Platform Selection for DNA Subscription</t>
  </si>
  <si>
    <t>5.12.9</t>
  </si>
  <si>
    <t>C8300-1N1S-6T</t>
  </si>
  <si>
    <t>Cisco Catalyst C8300-1N1S-6T Router</t>
  </si>
  <si>
    <t>CON-SNT-C830IN6T</t>
  </si>
  <si>
    <t>SNTC-8X5XNBD Cisco Catalyst C8300</t>
  </si>
  <si>
    <t>6.10.1</t>
  </si>
  <si>
    <t>6.10.2</t>
  </si>
  <si>
    <t>6.10.3</t>
  </si>
  <si>
    <t>6.10.4</t>
  </si>
  <si>
    <t>6.10.5</t>
  </si>
  <si>
    <t>6.10.6</t>
  </si>
  <si>
    <t>6.10.7</t>
  </si>
  <si>
    <t>6.10.8</t>
  </si>
  <si>
    <t>C83-1N1S-6T-PF</t>
  </si>
  <si>
    <t>C8300-1N1S-6T Platform Selection for DNA Subscription</t>
  </si>
  <si>
    <t>6.10.9</t>
  </si>
  <si>
    <t>C8500-20X6C</t>
  </si>
  <si>
    <t>Cisco Catalyst 8500-20X6C Edge Platform</t>
  </si>
  <si>
    <t>CON-SNT-C850PG2X</t>
  </si>
  <si>
    <t>SNTC-8X5XNBD Cisco Catalyst 8500 20X6C Edge Platform</t>
  </si>
  <si>
    <t>EDGE-SDWAN-AGG</t>
  </si>
  <si>
    <t>SD-WAN Aggregation (includes MT-Edge, MRF-BR, etc.)</t>
  </si>
  <si>
    <t>C8500-RFID-3R</t>
  </si>
  <si>
    <t>Cisco C8500 RFID - 3RU</t>
  </si>
  <si>
    <t>C8500-ACCKIT3R-19</t>
  </si>
  <si>
    <t>Cisco C8500 Accessory Kit - 19" rack for 3RU platforms</t>
  </si>
  <si>
    <t>PWR-8500-CVR</t>
  </si>
  <si>
    <t>Blank Power Cover for C8500-20X6C</t>
  </si>
  <si>
    <t>DNA-C8500-SW</t>
  </si>
  <si>
    <t>Cisco DNA subscription for C8500 series</t>
  </si>
  <si>
    <t>7.8.1</t>
  </si>
  <si>
    <t>7.8.2</t>
  </si>
  <si>
    <t>7.8.3</t>
  </si>
  <si>
    <t>7.8.4</t>
  </si>
  <si>
    <t>7.8.5</t>
  </si>
  <si>
    <t>C85-20X6C-PF</t>
  </si>
  <si>
    <t>C8500-20X6C Platform Selection for DNA Subscription</t>
  </si>
  <si>
    <t>7.8.6</t>
  </si>
  <si>
    <t>7.8.7</t>
  </si>
  <si>
    <t>DNA-P-T5-A-3Y</t>
  </si>
  <si>
    <t>Cisco DNA Advantage OnPrem Lic 3Y - up to 50G (Aggr, 100G)</t>
  </si>
  <si>
    <t>7.8.8</t>
  </si>
  <si>
    <t>DSTACK-T5-A</t>
  </si>
  <si>
    <t>Cisco DNA Advantage Stack - upto 50G (Aggr, 100G)</t>
  </si>
  <si>
    <t>7.8.9</t>
  </si>
  <si>
    <t>NWSTACK-T5-A</t>
  </si>
  <si>
    <t>Cisco Network Advantage Stack - up to 50G (Aggr, 100G)</t>
  </si>
  <si>
    <t>SC8KAEPUK9-1715</t>
  </si>
  <si>
    <t>Catalyst 8500 Series - UNIVERSAL</t>
  </si>
  <si>
    <t>PWR-CH1-1100WAC-D</t>
  </si>
  <si>
    <t>Cisco C8500 1100W AC Power Supply, Reverse Air</t>
  </si>
  <si>
    <t>C8500-12X4QC</t>
  </si>
  <si>
    <t>Cisco Catalyst 8500-12X4QC Edge Platform</t>
  </si>
  <si>
    <t>CON-SNT-C850QC12</t>
  </si>
  <si>
    <t>SNTC-8X5XNBD Cisco C8500-12X4QC S</t>
  </si>
  <si>
    <t>MEM-C8500-16GB</t>
  </si>
  <si>
    <t>Cisco C8500 16GB DRAM</t>
  </si>
  <si>
    <t>C8500-ACCKIT-19</t>
  </si>
  <si>
    <t>Cisco C8500 Accessory Kit - 19" rack</t>
  </si>
  <si>
    <t>8.8.1</t>
  </si>
  <si>
    <t>8.8.2</t>
  </si>
  <si>
    <t>8.8.3</t>
  </si>
  <si>
    <t>8.8.4</t>
  </si>
  <si>
    <t>8.8.5</t>
  </si>
  <si>
    <t>8.8.6</t>
  </si>
  <si>
    <t>8.8.7</t>
  </si>
  <si>
    <t>8.8.8</t>
  </si>
  <si>
    <t>C85-12X4QC-PF</t>
  </si>
  <si>
    <t>C8500-12X4QC Platform Selection for DNA Subscription</t>
  </si>
  <si>
    <t>8.8.9</t>
  </si>
  <si>
    <t>C8500-12X</t>
  </si>
  <si>
    <t>Cisco Catalyst 8500-12X Edge Platform</t>
  </si>
  <si>
    <t>CON-SNT-C85012X5</t>
  </si>
  <si>
    <t>SNTC-8X5XNBD Cisco C8500-12X10GE</t>
  </si>
  <si>
    <t>9.8.1</t>
  </si>
  <si>
    <t>9.8.2</t>
  </si>
  <si>
    <t>9.8.3</t>
  </si>
  <si>
    <t>9.8.4</t>
  </si>
  <si>
    <t>9.8.5</t>
  </si>
  <si>
    <t>9.8.6</t>
  </si>
  <si>
    <t>9.8.7</t>
  </si>
  <si>
    <t>9.8.8</t>
  </si>
  <si>
    <t>C85-12X-PF</t>
  </si>
  <si>
    <t>C8500-12X Platform Selection for DNA Subscription</t>
  </si>
  <si>
    <t>9.8.9</t>
  </si>
  <si>
    <t>C8500L-8S4X</t>
  </si>
  <si>
    <t>Cisco Catalyst 8500 Series 4x SFP+ and 8x SFP, 4x10GE, 8x1GE</t>
  </si>
  <si>
    <t>CON-SNT-C8500L8X</t>
  </si>
  <si>
    <t>SNTC-8X5XNBD Cisco Catalyst 8500 Series 12-port SFP+,</t>
  </si>
  <si>
    <t>MEM-C8500L-16GB</t>
  </si>
  <si>
    <t>Cisco C8500L 16GB DRAM</t>
  </si>
  <si>
    <t>C8500L-RM-19-1R</t>
  </si>
  <si>
    <t>Cisco Catalyst 8500L Rack mount kit - 19" 1R</t>
  </si>
  <si>
    <t>10.9.1</t>
  </si>
  <si>
    <t>10.9.2</t>
  </si>
  <si>
    <t>10.9.3</t>
  </si>
  <si>
    <t>10.9.4</t>
  </si>
  <si>
    <t>10.9.5</t>
  </si>
  <si>
    <t>C85L-8S4X-PF</t>
  </si>
  <si>
    <t>C8500L-8S4X Platform Selection for DNA Subscription</t>
  </si>
  <si>
    <t>10.9.6</t>
  </si>
  <si>
    <t>10.9.7</t>
  </si>
  <si>
    <t>10.9.8</t>
  </si>
  <si>
    <t>10.9.9</t>
  </si>
  <si>
    <t>SC8KAESUK9-1715</t>
  </si>
  <si>
    <t>Catalyst 8500L Series - UNIVERSAL</t>
  </si>
  <si>
    <t>100GQSFP-LR4-4=</t>
  </si>
  <si>
    <t>4 units of 100G LR4</t>
  </si>
  <si>
    <t>QSFP-100G-LR4-S</t>
  </si>
  <si>
    <t>100GBASE LR4 QSFP Transceiver, LC, 10km over SMF</t>
  </si>
  <si>
    <t>QSFP-100G-ER4L-S=</t>
  </si>
  <si>
    <t>100GBASE QSFP Transceiver, 40KM reach over SMF, Duplex LC</t>
  </si>
  <si>
    <t>QSFP-100G-ZR4-S=</t>
  </si>
  <si>
    <t>100GBASE QSFP Transceiver, 80KM reach over SMF, Duplex LC</t>
  </si>
  <si>
    <t>SFP-10G-SR=</t>
  </si>
  <si>
    <t>10GBASE-SR SFP Module</t>
  </si>
  <si>
    <t>SFP-10G-LR=</t>
  </si>
  <si>
    <t>10GBASE-LR SFP Module</t>
  </si>
  <si>
    <t>SFP-10G-ER=</t>
  </si>
  <si>
    <t>10GBASE-ER SFP Module</t>
  </si>
  <si>
    <t>SFP-10G-ZR=</t>
  </si>
  <si>
    <t>Cisco 10GBASE-ZR SFP10G Module for SMF</t>
  </si>
  <si>
    <t>GLC-LH-SMD=</t>
  </si>
  <si>
    <t>1000BASE-LX/LH SFP transceiver module, MMF/SMF, 1310nm, DOM</t>
  </si>
  <si>
    <t>GLC-EX-SMD=</t>
  </si>
  <si>
    <t>1000BASE-EX SFP transceiver module, SMF, 1310nm, DOM</t>
  </si>
  <si>
    <t>GLC-ZX-SMD=</t>
  </si>
  <si>
    <t>1000BASE-ZX SFP transceiver module, SMF, 1550nm, DOM</t>
  </si>
  <si>
    <t>GLC-TE=</t>
  </si>
  <si>
    <t>1000BASE-T SFP transceiver module for Category 5 copper wire</t>
  </si>
  <si>
    <t>SFP-10G-SR-S=</t>
  </si>
  <si>
    <t>10GBASE-SR SFP Module, Enterprise-Class</t>
  </si>
  <si>
    <t>SFP-10G-LR-S=</t>
  </si>
  <si>
    <t>10GBASE-LR SFP Module, Enterprise-Class</t>
  </si>
  <si>
    <t>SFP-10G-ER-S=</t>
  </si>
  <si>
    <t>10GBASE-ER SFP Module, Enterprise-Class</t>
  </si>
  <si>
    <t>SFP-10G-ZR-S=</t>
  </si>
  <si>
    <t>10GBASE-ZR SFP Module, Enterprise-Class</t>
  </si>
  <si>
    <t>GLC-SX-MMD=</t>
  </si>
  <si>
    <t>1000BASE-SX SFP transceiver module, MMF, 850nm, DOM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</si>
</sst>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yy H:mm:ss"/>
  </numFmts>
  <fonts count="1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Helvetica"/>
    </font>
    <font>
      <color theme="1"/>
      <name val="Arial"/>
    </font>
    <font>
      <sz val="9.0"/>
      <color theme="1"/>
      <name val="Helvetica"/>
    </font>
    <font>
      <b/>
      <sz val="9.0"/>
      <color rgb="FF0000FF"/>
      <name val="Helvetica"/>
    </font>
    <font/>
    <font>
      <b/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9.0"/>
      <color rgb="FF000000"/>
      <name val="Helvetica"/>
    </font>
    <font>
      <sz val="11.0"/>
      <color rgb="FF000000"/>
      <name val="Calibri"/>
    </font>
    <font>
      <sz val="9.0"/>
      <color rgb="FF000000"/>
      <name val="Helvetica"/>
    </font>
    <font>
      <b/>
      <color rgb="FF000000"/>
      <name val="Arial"/>
      <scheme val="minor"/>
    </font>
    <font>
      <sz val="9.0"/>
      <color rgb="FF000000"/>
      <name val="Arial"/>
      <scheme val="minor"/>
    </font>
    <font>
      <color rgb="FF000000"/>
      <name val="Arial"/>
      <scheme val="minor"/>
    </font>
    <font>
      <sz val="11.0"/>
      <color rgb="FF000000"/>
      <name val="Arial"/>
      <scheme val="minor"/>
    </font>
    <font>
      <sz val="9.0"/>
      <color rgb="FF1B1C1D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969696"/>
        <bgColor rgb="FF969696"/>
      </patternFill>
    </fill>
    <fill>
      <patternFill patternType="solid">
        <fgColor rgb="FF999999"/>
        <bgColor rgb="FF999999"/>
      </patternFill>
    </fill>
    <fill>
      <patternFill patternType="solid">
        <fgColor rgb="FFB6D7A8"/>
        <bgColor rgb="FFB6D7A8"/>
      </patternFill>
    </fill>
    <fill>
      <patternFill patternType="solid">
        <fgColor rgb="FF9BC2E6"/>
        <bgColor rgb="FF9BC2E6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</border>
    <border>
      <bottom style="thin">
        <color rgb="FF000000"/>
      </bottom>
    </border>
    <border>
      <right style="thin">
        <color rgb="FFC0C0C0"/>
      </right>
      <bottom style="thin">
        <color rgb="FF000000"/>
      </bottom>
    </border>
    <border>
      <left style="thin">
        <color rgb="FFC0C0C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164" xfId="0" applyAlignment="1" applyFont="1" applyNumberForma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vertical="center"/>
    </xf>
    <xf borderId="0" fillId="0" fontId="2" numFmtId="165" xfId="0" applyAlignment="1" applyFont="1" applyNumberFormat="1">
      <alignment vertical="center"/>
    </xf>
    <xf borderId="0" fillId="0" fontId="2" numFmtId="0" xfId="0" applyAlignment="1" applyFont="1">
      <alignment readingOrder="0" vertical="center"/>
    </xf>
    <xf borderId="1" fillId="3" fontId="3" numFmtId="0" xfId="0" applyAlignment="1" applyBorder="1" applyFill="1" applyFont="1">
      <alignment horizontal="center" vertical="bottom"/>
    </xf>
    <xf borderId="0" fillId="0" fontId="4" numFmtId="0" xfId="0" applyAlignment="1" applyFont="1">
      <alignment vertical="bottom"/>
    </xf>
    <xf borderId="2" fillId="0" fontId="3" numFmtId="0" xfId="0" applyAlignment="1" applyBorder="1" applyFont="1">
      <alignment vertical="bottom"/>
    </xf>
    <xf borderId="2" fillId="0" fontId="5" numFmtId="0" xfId="0" applyAlignment="1" applyBorder="1" applyFont="1">
      <alignment vertical="bottom"/>
    </xf>
    <xf borderId="2" fillId="0" fontId="5" numFmtId="0" xfId="0" applyAlignment="1" applyBorder="1" applyFont="1">
      <alignment horizontal="right" vertical="bottom"/>
    </xf>
    <xf borderId="2" fillId="0" fontId="4" numFmtId="0" xfId="0" applyAlignment="1" applyBorder="1" applyFont="1">
      <alignment vertical="bottom"/>
    </xf>
    <xf borderId="2" fillId="0" fontId="5" numFmtId="4" xfId="0" applyAlignment="1" applyBorder="1" applyFont="1" applyNumberFormat="1">
      <alignment horizontal="right" vertical="bottom"/>
    </xf>
    <xf borderId="3" fillId="0" fontId="4" numFmtId="0" xfId="0" applyAlignment="1" applyBorder="1" applyFont="1">
      <alignment vertical="bottom"/>
    </xf>
    <xf borderId="4" fillId="0" fontId="6" numFmtId="0" xfId="0" applyAlignment="1" applyBorder="1" applyFont="1">
      <alignment horizontal="right" vertical="bottom"/>
    </xf>
    <xf borderId="4" fillId="0" fontId="6" numFmtId="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vertical="bottom"/>
    </xf>
    <xf borderId="5" fillId="0" fontId="4" numFmtId="0" xfId="0" applyAlignment="1" applyBorder="1" applyFont="1">
      <alignment vertical="bottom"/>
    </xf>
    <xf borderId="6" fillId="0" fontId="3" numFmtId="0" xfId="0" applyAlignment="1" applyBorder="1" applyFont="1">
      <alignment vertical="bottom"/>
    </xf>
    <xf borderId="6" fillId="0" fontId="7" numFmtId="0" xfId="0" applyBorder="1" applyFont="1"/>
    <xf borderId="0" fillId="4" fontId="8" numFmtId="0" xfId="0" applyAlignment="1" applyFill="1" applyFont="1">
      <alignment vertical="bottom"/>
    </xf>
    <xf borderId="0" fillId="5" fontId="9" numFmtId="0" xfId="0" applyAlignment="1" applyFill="1" applyFont="1">
      <alignment shrinkToFit="0" vertical="bottom" wrapText="1"/>
    </xf>
    <xf borderId="0" fillId="5" fontId="8" numFmtId="0" xfId="0" applyAlignment="1" applyFont="1">
      <alignment shrinkToFit="0" vertical="bottom" wrapText="1"/>
    </xf>
    <xf borderId="0" fillId="4" fontId="4" numFmtId="0" xfId="0" applyAlignment="1" applyFont="1">
      <alignment vertical="bottom"/>
    </xf>
    <xf borderId="0" fillId="4" fontId="8" numFmtId="0" xfId="0" applyAlignment="1" applyFont="1">
      <alignment shrinkToFit="0" vertical="bottom" wrapText="1"/>
    </xf>
    <xf borderId="0" fillId="0" fontId="4" numFmtId="0" xfId="0" applyAlignment="1" applyFont="1">
      <alignment horizontal="right" vertical="bottom"/>
    </xf>
    <xf borderId="0" fillId="0" fontId="10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right" shrinkToFit="0" vertical="bottom" wrapText="1"/>
    </xf>
    <xf borderId="0" fillId="5" fontId="4" numFmtId="0" xfId="0" applyAlignment="1" applyFont="1">
      <alignment vertical="bottom"/>
    </xf>
    <xf borderId="0" fillId="0" fontId="2" numFmtId="0" xfId="0" applyFont="1"/>
    <xf borderId="1" fillId="3" fontId="11" numFmtId="0" xfId="0" applyAlignment="1" applyBorder="1" applyFont="1">
      <alignment horizontal="center" readingOrder="0"/>
    </xf>
    <xf borderId="0" fillId="0" fontId="12" numFmtId="0" xfId="0" applyAlignment="1" applyFont="1">
      <alignment shrinkToFit="0" vertical="bottom" wrapText="0"/>
    </xf>
    <xf borderId="5" fillId="0" fontId="12" numFmtId="0" xfId="0" applyAlignment="1" applyBorder="1" applyFont="1">
      <alignment horizontal="left"/>
    </xf>
    <xf borderId="6" fillId="0" fontId="11" numFmtId="0" xfId="0" applyAlignment="1" applyBorder="1" applyFont="1">
      <alignment horizontal="left" readingOrder="0"/>
    </xf>
    <xf borderId="2" fillId="0" fontId="11" numFmtId="0" xfId="0" applyAlignment="1" applyBorder="1" applyFont="1">
      <alignment horizontal="left" readingOrder="0"/>
    </xf>
    <xf borderId="2" fillId="0" fontId="13" numFmtId="0" xfId="0" applyAlignment="1" applyBorder="1" applyFont="1">
      <alignment horizontal="left" readingOrder="0" shrinkToFit="0" wrapText="0"/>
    </xf>
    <xf borderId="2" fillId="0" fontId="13" numFmtId="0" xfId="0" applyAlignment="1" applyBorder="1" applyFont="1">
      <alignment horizontal="left" readingOrder="0"/>
    </xf>
    <xf borderId="2" fillId="0" fontId="13" numFmtId="0" xfId="0" applyAlignment="1" applyBorder="1" applyFont="1">
      <alignment horizontal="right" readingOrder="0"/>
    </xf>
    <xf borderId="2" fillId="0" fontId="13" numFmtId="0" xfId="0" applyAlignment="1" applyBorder="1" applyFont="1">
      <alignment horizontal="right"/>
    </xf>
    <xf borderId="2" fillId="0" fontId="13" numFmtId="4" xfId="0" applyAlignment="1" applyBorder="1" applyFont="1" applyNumberFormat="1">
      <alignment horizontal="right" readingOrder="0"/>
    </xf>
    <xf borderId="2" fillId="0" fontId="13" numFmtId="0" xfId="0" applyAlignment="1" applyBorder="1" applyFont="1">
      <alignment horizontal="left" shrinkToFit="0" wrapText="0"/>
    </xf>
    <xf borderId="2" fillId="0" fontId="13" numFmtId="0" xfId="0" applyAlignment="1" applyBorder="1" applyFont="1">
      <alignment horizontal="left" shrinkToFit="0" wrapText="0"/>
    </xf>
    <xf borderId="3" fillId="0" fontId="12" numFmtId="0" xfId="0" applyAlignment="1" applyBorder="1" applyFont="1">
      <alignment shrinkToFit="0" vertical="bottom" wrapText="0"/>
    </xf>
    <xf borderId="3" fillId="0" fontId="12" numFmtId="0" xfId="0" applyAlignment="1" applyBorder="1" applyFont="1">
      <alignment shrinkToFit="0" vertical="bottom" wrapText="0"/>
    </xf>
    <xf borderId="3" fillId="0" fontId="12" numFmtId="4" xfId="0" applyAlignment="1" applyBorder="1" applyFont="1" applyNumberFormat="1">
      <alignment shrinkToFit="0" vertical="bottom" wrapText="0"/>
    </xf>
    <xf borderId="4" fillId="0" fontId="6" numFmtId="0" xfId="0" applyAlignment="1" applyBorder="1" applyFont="1">
      <alignment horizontal="right" readingOrder="0"/>
    </xf>
    <xf borderId="4" fillId="0" fontId="6" numFmtId="4" xfId="0" applyAlignment="1" applyBorder="1" applyFont="1" applyNumberFormat="1">
      <alignment horizontal="right" readingOrder="0"/>
    </xf>
    <xf borderId="4" fillId="0" fontId="6" numFmtId="0" xfId="0" applyAlignment="1" applyBorder="1" applyFont="1">
      <alignment horizontal="right"/>
    </xf>
    <xf borderId="2" fillId="0" fontId="13" numFmtId="0" xfId="0" applyAlignment="1" applyBorder="1" applyFont="1">
      <alignment horizontal="right"/>
    </xf>
    <xf borderId="0" fillId="0" fontId="12" numFmtId="0" xfId="0" applyAlignment="1" applyFont="1">
      <alignment shrinkToFit="0" vertical="bottom" wrapText="0"/>
    </xf>
    <xf borderId="4" fillId="0" fontId="6" numFmtId="0" xfId="0" applyAlignment="1" applyBorder="1" applyFont="1">
      <alignment horizontal="right"/>
    </xf>
    <xf borderId="5" fillId="0" fontId="12" numFmtId="0" xfId="0" applyAlignment="1" applyBorder="1" applyFont="1">
      <alignment horizontal="left"/>
    </xf>
    <xf borderId="1" fillId="6" fontId="14" numFmtId="0" xfId="0" applyAlignment="1" applyBorder="1" applyFill="1" applyFont="1">
      <alignment horizontal="center" readingOrder="0" vertical="bottom"/>
    </xf>
    <xf borderId="7" fillId="6" fontId="14" numFmtId="0" xfId="0" applyAlignment="1" applyBorder="1" applyFont="1">
      <alignment horizontal="center" readingOrder="0" vertical="bottom"/>
    </xf>
    <xf borderId="7" fillId="6" fontId="14" numFmtId="0" xfId="0" applyAlignment="1" applyBorder="1" applyFont="1">
      <alignment horizontal="center" readingOrder="0" shrinkToFit="0" vertical="bottom" wrapText="1"/>
    </xf>
    <xf borderId="0" fillId="0" fontId="1" numFmtId="0" xfId="0" applyFont="1"/>
    <xf borderId="8" fillId="0" fontId="15" numFmtId="0" xfId="0" applyAlignment="1" applyBorder="1" applyFont="1">
      <alignment readingOrder="0" vertical="bottom"/>
    </xf>
    <xf borderId="9" fillId="0" fontId="16" numFmtId="0" xfId="0" applyAlignment="1" applyBorder="1" applyFont="1">
      <alignment horizontal="center" readingOrder="0" vertical="bottom"/>
    </xf>
    <xf borderId="9" fillId="0" fontId="16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/>
    </xf>
    <xf borderId="8" fillId="0" fontId="17" numFmtId="0" xfId="0" applyAlignment="1" applyBorder="1" applyFont="1">
      <alignment readingOrder="0" vertical="bottom"/>
    </xf>
    <xf borderId="9" fillId="0" fontId="17" numFmtId="0" xfId="0" applyAlignment="1" applyBorder="1" applyFont="1">
      <alignment horizontal="center" readingOrder="0" vertical="bottom"/>
    </xf>
    <xf borderId="9" fillId="0" fontId="17" numFmtId="0" xfId="0" applyAlignment="1" applyBorder="1" applyFont="1">
      <alignment horizontal="center" readingOrder="0" shrinkToFit="0" vertical="bottom" wrapText="1"/>
    </xf>
    <xf borderId="9" fillId="0" fontId="17" numFmtId="0" xfId="0" applyAlignment="1" applyBorder="1" applyFont="1">
      <alignment readingOrder="0" shrinkToFit="0" vertical="bottom" wrapText="1"/>
    </xf>
    <xf borderId="9" fillId="0" fontId="18" numFmtId="0" xfId="0" applyAlignment="1" applyBorder="1" applyFont="1">
      <alignment readingOrder="0" shrinkToFit="0" vertical="bottom" wrapText="1"/>
    </xf>
    <xf borderId="0" fillId="4" fontId="1" numFmtId="0" xfId="0" applyAlignment="1" applyFont="1">
      <alignment readingOrder="0"/>
    </xf>
    <xf borderId="0" fillId="4" fontId="1" numFmtId="0" xfId="0" applyFont="1"/>
    <xf borderId="0" fillId="0" fontId="2" numFmtId="0" xfId="0" applyAlignment="1" applyFont="1">
      <alignment shrinkToFit="0" wrapText="1"/>
    </xf>
    <xf borderId="0" fillId="0" fontId="12" numFmtId="0" xfId="0" applyAlignment="1" applyFont="1">
      <alignment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12" numFmtId="4" xfId="0" applyAlignment="1" applyFont="1" applyNumberFormat="1">
      <alignment readingOrder="0" shrinkToFit="0" vertical="bottom" wrapText="0"/>
    </xf>
    <xf borderId="0" fillId="0" fontId="12" numFmtId="4" xfId="0" applyAlignment="1" applyFont="1" applyNumberFormat="1">
      <alignment horizontal="right" readingOrder="0" shrinkToFit="0" vertical="bottom" wrapText="0"/>
    </xf>
    <xf borderId="1" fillId="3" fontId="11" numFmtId="0" xfId="0" applyAlignment="1" applyBorder="1" applyFont="1">
      <alignment horizontal="center" readingOrder="0" shrinkToFit="0" wrapText="1"/>
    </xf>
    <xf borderId="2" fillId="0" fontId="11" numFmtId="0" xfId="0" applyAlignment="1" applyBorder="1" applyFont="1">
      <alignment horizontal="left" readingOrder="0" shrinkToFit="0" wrapText="1"/>
    </xf>
    <xf borderId="2" fillId="0" fontId="13" numFmtId="0" xfId="0" applyAlignment="1" applyBorder="1" applyFont="1">
      <alignment horizontal="left" readingOrder="0" shrinkToFit="0" wrapText="1"/>
    </xf>
    <xf borderId="2" fillId="0" fontId="13" numFmtId="0" xfId="0" applyAlignment="1" applyBorder="1" applyFont="1">
      <alignment horizontal="right" readingOrder="0" shrinkToFit="0" wrapText="1"/>
    </xf>
    <xf borderId="2" fillId="0" fontId="13" numFmtId="0" xfId="0" applyAlignment="1" applyBorder="1" applyFont="1">
      <alignment horizontal="right" shrinkToFit="0" wrapText="1"/>
    </xf>
    <xf borderId="2" fillId="0" fontId="13" numFmtId="4" xfId="0" applyAlignment="1" applyBorder="1" applyFont="1" applyNumberFormat="1">
      <alignment horizontal="right" readingOrder="0" shrinkToFit="0" wrapText="1"/>
    </xf>
    <xf borderId="2" fillId="0" fontId="13" numFmtId="0" xfId="0" applyAlignment="1" applyBorder="1" applyFont="1">
      <alignment horizontal="left" shrinkToFit="0" wrapText="1"/>
    </xf>
    <xf borderId="3" fillId="0" fontId="12" numFmtId="0" xfId="0" applyAlignment="1" applyBorder="1" applyFont="1">
      <alignment shrinkToFit="0" vertical="bottom" wrapText="1"/>
    </xf>
    <xf borderId="4" fillId="0" fontId="6" numFmtId="0" xfId="0" applyAlignment="1" applyBorder="1" applyFont="1">
      <alignment horizontal="right" readingOrder="0" shrinkToFit="0" wrapText="1"/>
    </xf>
    <xf borderId="4" fillId="0" fontId="6" numFmtId="4" xfId="0" applyAlignment="1" applyBorder="1" applyFont="1" applyNumberFormat="1">
      <alignment horizontal="right" readingOrder="0" shrinkToFit="0" wrapText="1"/>
    </xf>
    <xf borderId="4" fillId="0" fontId="6" numFmtId="0" xfId="0" applyAlignment="1" applyBorder="1" applyFont="1">
      <alignment horizontal="right" shrinkToFit="0" wrapText="1"/>
    </xf>
    <xf borderId="1" fillId="3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0" fontId="5" numFmtId="0" xfId="0" applyAlignment="1" applyBorder="1" applyFont="1">
      <alignment vertical="bottom"/>
    </xf>
    <xf borderId="2" fillId="0" fontId="5" numFmtId="0" xfId="0" applyAlignment="1" applyBorder="1" applyFont="1">
      <alignment horizontal="right" vertical="bottom"/>
    </xf>
    <xf borderId="4" fillId="0" fontId="6" numFmtId="0" xfId="0" applyAlignment="1" applyBorder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38"/>
    <col customWidth="1" min="3" max="3" width="17.0"/>
    <col customWidth="1" min="22" max="22" width="16.13"/>
  </cols>
  <sheetData>
    <row r="1" ht="29.25" customHeight="1">
      <c r="A1" s="1" t="str">
        <f>IFERROR(__xludf.DUMMYFUNCTION("{""Devices"",""List Price"";
 VSTACK(
   HSTACK(
     ARRAYFORMULA(REGEXREPLACE(
       FILTER('C8000'!B:B, REGEXMATCH(TO_TEXT('C8000'!A:A), ""^\d+(\.0)?$"")),
       ""-A$"",""""
     )),
     FILTER('C8000'!N:N, TRIM('C8000'!M:M)=""SubTotal"")
   ),
   "&amp;"HSTACK(
     ARRAYFORMULA(REGEXREPLACE(
       FILTER('C9200'!B:B, REGEXMATCH(TO_TEXT('C9200'!A:A), ""^\d+(\.0)?$"")),
       ""-A$"",""""
     )),
     FILTER('C9200'!N:N, TRIM('C9200'!M:M)=""SubTotal"")
   ), 
   HSTACK(
     ARRAYFORMULA(REGEXREPLACE(
"&amp;"       FILTER('C9300'!B:B, REGEXMATCH(TO_TEXT('C9300'!A:A), ""^\d+(\.0)?$"")),
       ""-A$"",""""
     )),
     FILTER('C9300'!N:N, TRIM('C9300'!M:M)=""SubTotal"")
   ), 
   HSTACK(
     ARRAYFORMULA(REGEXREPLACE(
       FILTER('C1300'!B:B, REGEXMATCH(TO"&amp;"_TEXT('C1300'!A:A), ""^\d+(\.0)?$"")),
       ""-A$"",""""
     )),
     FILTER('C1300'!N:N, TRIM('C1300'!M:M)=""SubTotal"")
   ), 
   HSTACK(
     ARRAYFORMULA(REGEXREPLACE(
       FILTER('C9500'!B:B, REGEXMATCH(TO_TEXT('C9500'!A:A), ""^\d+(\.0)?$"")),
 "&amp;"      ""-A$"",""""
     )),
     FILTER('C9500'!N:N, TRIM('C9500'!M:M)=""SubTotal"")
   ),
   HSTACK(
     ARRAYFORMULA(REGEXREPLACE(
       FILTER(ACI!B:B, REGEXMATCH(TO_TEXT(ACI!A:A), ""^\d+(\.0)?$"")),
       ""-A$"",""""
     )),
     FILTER(ACI!N:N, "&amp;"TRIM(ACI!M:M)=""SubTotal"")
   ), 
   HSTACK(
     ARRAYFORMULA(REGEXREPLACE(
       FILTER('ISR1000'!B:B, REGEXMATCH(TO_TEXT('ISR1000'!A:A), ""^\d+(\.0)?$"")),
       ""-A$"",""""
     )),
     FILTER('ISR1000'!N:N, TRIM('ISR1000'!M:M)=""SubTotal"")
   )"&amp;", 
   HSTACK(
     ARRAYFORMULA(REGEXREPLACE(
       FILTER('C8000_secure'!B:B, REGEXMATCH(TO_TEXT('C8000_secure'!A:A), ""^\d+(\.0)?$"")),
       ""-A$"",""""
     )),
     FILTER('C8000_secure'!N:N, TRIM('C8000_secure'!M:M)=""SubTotal"")
   ),
   HSTACK("&amp;"
     ARRAYFORMULA(REGEXREPLACE(
       FILTER(SFP!B:B, REGEXMATCH(TO_TEXT(SFP!A:A), ""^\d+(\.0)?$"")),
       ""-A$"",""""
     )),
     FILTER(SFP!N:N, TRIM(SFP!M:M)=""SubTotal"")
   ),
   HSTACK(
     ARRAYFORMULA(REGEXREPLACE(
       FILTER(AP!B:B, RE"&amp;"GEXMATCH(TO_TEXT(AP!A:A), ""^\d+(\.0)?$"")),
       ""-A$"",""""
     )),
     FILTER(AP!N:N, TRIM(AP!M:M)=""SubTotal"")
   )
 )
}
"),"Devices")</f>
        <v>Devices</v>
      </c>
      <c r="B1" s="2" t="str">
        <f>IFERROR(__xludf.DUMMYFUNCTION("""COMPUTED_VALUE"""),"List Price")</f>
        <v>List Price</v>
      </c>
      <c r="C1" s="3" t="s">
        <v>0</v>
      </c>
      <c r="D1" s="3" t="s">
        <v>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5"/>
      <c r="W1" s="4"/>
    </row>
    <row r="2">
      <c r="A2" s="6" t="str">
        <f>IFERROR(__xludf.DUMMYFUNCTION("""COMPUTED_VALUE"""),"C8200L-1N-4T")</f>
        <v>C8200L-1N-4T</v>
      </c>
      <c r="B2" s="7">
        <f>IFERROR(__xludf.DUMMYFUNCTION("""COMPUTED_VALUE"""),20055.59)</f>
        <v>20055.59</v>
      </c>
      <c r="C2" s="7">
        <f>IFERROR(__xludf.DUMMYFUNCTION("IMPORTRANGE(""https://docs.google.com/spreadsheets/d/1ZF-QDGfmo_fBzzZWWfaYOCy9-vh0mMaR1tyOWyJgUt4/edit?gid=2020288373#gid=2020288373"",""Cisco!C2:C1000"")"),18000.0)</f>
        <v>18000</v>
      </c>
      <c r="D2" s="7">
        <f t="shared" ref="D2:D1000" si="1">if(C2="",B2,C2)</f>
        <v>18000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8"/>
      <c r="W2" s="6"/>
    </row>
    <row r="3">
      <c r="A3" s="6" t="str">
        <f>IFERROR(__xludf.DUMMYFUNCTION("""COMPUTED_VALUE"""),"C8200-1N-4T")</f>
        <v>C8200-1N-4T</v>
      </c>
      <c r="B3" s="7">
        <f>IFERROR(__xludf.DUMMYFUNCTION("""COMPUTED_VALUE"""),26751.42)</f>
        <v>26751.42</v>
      </c>
      <c r="C3" s="7">
        <f>IFERROR(__xludf.DUMMYFUNCTION("""COMPUTED_VALUE"""),15000.0)</f>
        <v>15000</v>
      </c>
      <c r="D3" s="7">
        <f t="shared" si="1"/>
        <v>15000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8"/>
      <c r="W3" s="6"/>
    </row>
    <row r="4">
      <c r="A4" s="6" t="str">
        <f>IFERROR(__xludf.DUMMYFUNCTION("""COMPUTED_VALUE"""),"C8300-2N2S-4T2X")</f>
        <v>C8300-2N2S-4T2X</v>
      </c>
      <c r="B4" s="7">
        <f>IFERROR(__xludf.DUMMYFUNCTION("""COMPUTED_VALUE"""),87564.41)</f>
        <v>87564.41</v>
      </c>
      <c r="C4" s="6"/>
      <c r="D4" s="7">
        <f t="shared" si="1"/>
        <v>87564.41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"/>
      <c r="W4" s="6"/>
    </row>
    <row r="5">
      <c r="A5" s="6" t="str">
        <f>IFERROR(__xludf.DUMMYFUNCTION("""COMPUTED_VALUE"""),"C8300-1N1S-4T2X")</f>
        <v>C8300-1N1S-4T2X</v>
      </c>
      <c r="B5" s="7">
        <f>IFERROR(__xludf.DUMMYFUNCTION("""COMPUTED_VALUE"""),71768.03)</f>
        <v>71768.03</v>
      </c>
      <c r="C5" s="6"/>
      <c r="D5" s="7">
        <f t="shared" si="1"/>
        <v>71768.03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/>
      <c r="W5" s="6"/>
    </row>
    <row r="6">
      <c r="A6" s="6" t="str">
        <f>IFERROR(__xludf.DUMMYFUNCTION("""COMPUTED_VALUE"""),"C8300-2N2S-6T")</f>
        <v>C8300-2N2S-6T</v>
      </c>
      <c r="B6" s="7">
        <f>IFERROR(__xludf.DUMMYFUNCTION("""COMPUTED_VALUE"""),46344.92)</f>
        <v>46344.92</v>
      </c>
      <c r="C6" s="6"/>
      <c r="D6" s="7">
        <f t="shared" si="1"/>
        <v>46344.92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8"/>
      <c r="W6" s="6"/>
    </row>
    <row r="7">
      <c r="A7" s="6" t="str">
        <f>IFERROR(__xludf.DUMMYFUNCTION("""COMPUTED_VALUE"""),"C8300-1N1S-6T")</f>
        <v>C8300-1N1S-6T</v>
      </c>
      <c r="B7" s="7">
        <f>IFERROR(__xludf.DUMMYFUNCTION("""COMPUTED_VALUE"""),36965.33)</f>
        <v>36965.33</v>
      </c>
      <c r="C7" s="6"/>
      <c r="D7" s="7">
        <f t="shared" si="1"/>
        <v>36965.33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8"/>
      <c r="W7" s="6"/>
    </row>
    <row r="8">
      <c r="A8" s="6" t="str">
        <f>IFERROR(__xludf.DUMMYFUNCTION("""COMPUTED_VALUE"""),"C8500-20X6C")</f>
        <v>C8500-20X6C</v>
      </c>
      <c r="B8" s="7">
        <f>IFERROR(__xludf.DUMMYFUNCTION("""COMPUTED_VALUE"""),534067.23)</f>
        <v>534067.23</v>
      </c>
      <c r="C8" s="6"/>
      <c r="D8" s="7">
        <f t="shared" si="1"/>
        <v>534067.23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8"/>
      <c r="W8" s="6"/>
    </row>
    <row r="9">
      <c r="A9" s="6" t="str">
        <f>IFERROR(__xludf.DUMMYFUNCTION("""COMPUTED_VALUE"""),"C8500-12X4QC")</f>
        <v>C8500-12X4QC</v>
      </c>
      <c r="B9" s="7">
        <f>IFERROR(__xludf.DUMMYFUNCTION("""COMPUTED_VALUE"""),284449.0)</f>
        <v>284449</v>
      </c>
      <c r="C9" s="6"/>
      <c r="D9" s="7">
        <f t="shared" si="1"/>
        <v>284449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8"/>
      <c r="W9" s="6"/>
    </row>
    <row r="10">
      <c r="A10" s="6" t="str">
        <f>IFERROR(__xludf.DUMMYFUNCTION("""COMPUTED_VALUE"""),"C8500-12X")</f>
        <v>C8500-12X</v>
      </c>
      <c r="B10" s="7">
        <f>IFERROR(__xludf.DUMMYFUNCTION("""COMPUTED_VALUE"""),198921.55)</f>
        <v>198921.55</v>
      </c>
      <c r="C10" s="6"/>
      <c r="D10" s="7">
        <f t="shared" si="1"/>
        <v>198921.55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8"/>
      <c r="W10" s="6"/>
    </row>
    <row r="11">
      <c r="A11" s="6" t="str">
        <f>IFERROR(__xludf.DUMMYFUNCTION("""COMPUTED_VALUE"""),"C8500L-8S4X")</f>
        <v>C8500L-8S4X</v>
      </c>
      <c r="B11" s="7">
        <f>IFERROR(__xludf.DUMMYFUNCTION("""COMPUTED_VALUE"""),92549.95)</f>
        <v>92549.95</v>
      </c>
      <c r="C11" s="6"/>
      <c r="D11" s="7">
        <f t="shared" si="1"/>
        <v>92549.95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8"/>
      <c r="W11" s="6"/>
    </row>
    <row r="12">
      <c r="A12" s="6" t="str">
        <f>IFERROR(__xludf.DUMMYFUNCTION("""COMPUTED_VALUE"""),"C9200-24T")</f>
        <v>C9200-24T</v>
      </c>
      <c r="B12" s="7">
        <f>IFERROR(__xludf.DUMMYFUNCTION("""COMPUTED_VALUE"""),10084.98)</f>
        <v>10084.98</v>
      </c>
      <c r="C12" s="6"/>
      <c r="D12" s="7">
        <f t="shared" si="1"/>
        <v>10084.98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8"/>
      <c r="W12" s="6"/>
    </row>
    <row r="13">
      <c r="A13" s="6" t="str">
        <f>IFERROR(__xludf.DUMMYFUNCTION("""COMPUTED_VALUE"""),"C9200-24P")</f>
        <v>C9200-24P</v>
      </c>
      <c r="B13" s="7">
        <f>IFERROR(__xludf.DUMMYFUNCTION("""COMPUTED_VALUE"""),11213.65)</f>
        <v>11213.65</v>
      </c>
      <c r="C13" s="6"/>
      <c r="D13" s="7">
        <f t="shared" si="1"/>
        <v>11213.65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8"/>
      <c r="W13" s="6"/>
    </row>
    <row r="14">
      <c r="A14" s="6" t="str">
        <f>IFERROR(__xludf.DUMMYFUNCTION("""COMPUTED_VALUE"""),"C9200-48T")</f>
        <v>C9200-48T</v>
      </c>
      <c r="B14" s="7">
        <f>IFERROR(__xludf.DUMMYFUNCTION("""COMPUTED_VALUE"""),15922.14)</f>
        <v>15922.14</v>
      </c>
      <c r="C14" s="6"/>
      <c r="D14" s="7">
        <f t="shared" si="1"/>
        <v>15922.14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8"/>
      <c r="W14" s="6"/>
    </row>
    <row r="15">
      <c r="A15" s="6" t="str">
        <f>IFERROR(__xludf.DUMMYFUNCTION("""COMPUTED_VALUE"""),"C9200-48P")</f>
        <v>C9200-48P</v>
      </c>
      <c r="B15" s="7">
        <f>IFERROR(__xludf.DUMMYFUNCTION("""COMPUTED_VALUE"""),20161.2)</f>
        <v>20161.2</v>
      </c>
      <c r="C15" s="6"/>
      <c r="D15" s="7">
        <f t="shared" si="1"/>
        <v>20161.2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8"/>
      <c r="W15" s="6"/>
    </row>
    <row r="16">
      <c r="A16" s="6" t="str">
        <f>IFERROR(__xludf.DUMMYFUNCTION("""COMPUTED_VALUE"""),"C9200L-24T-4G")</f>
        <v>C9200L-24T-4G</v>
      </c>
      <c r="B16" s="7">
        <f>IFERROR(__xludf.DUMMYFUNCTION("""COMPUTED_VALUE"""),6262.27)</f>
        <v>6262.27</v>
      </c>
      <c r="C16" s="6"/>
      <c r="D16" s="7">
        <f t="shared" si="1"/>
        <v>6262.27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8"/>
      <c r="W16" s="6"/>
    </row>
    <row r="17">
      <c r="A17" s="6" t="str">
        <f>IFERROR(__xludf.DUMMYFUNCTION("""COMPUTED_VALUE"""),"C9200L-24P-4G")</f>
        <v>C9200L-24P-4G</v>
      </c>
      <c r="B17" s="7">
        <f>IFERROR(__xludf.DUMMYFUNCTION("""COMPUTED_VALUE"""),7688.05)</f>
        <v>7688.05</v>
      </c>
      <c r="C17" s="6"/>
      <c r="D17" s="7">
        <f t="shared" si="1"/>
        <v>7688.05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8"/>
      <c r="W17" s="6"/>
    </row>
    <row r="18">
      <c r="A18" s="6" t="str">
        <f>IFERROR(__xludf.DUMMYFUNCTION("""COMPUTED_VALUE"""),"C9200L-48T-4G")</f>
        <v>C9200L-48T-4G</v>
      </c>
      <c r="B18" s="7">
        <f>IFERROR(__xludf.DUMMYFUNCTION("""COMPUTED_VALUE"""),11166.4)</f>
        <v>11166.4</v>
      </c>
      <c r="C18" s="6"/>
      <c r="D18" s="7">
        <f t="shared" si="1"/>
        <v>11166.4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8"/>
      <c r="W18" s="6"/>
    </row>
    <row r="19">
      <c r="A19" s="6" t="str">
        <f>IFERROR(__xludf.DUMMYFUNCTION("""COMPUTED_VALUE"""),"C9200L-48P-4G")</f>
        <v>C9200L-48P-4G</v>
      </c>
      <c r="B19" s="7">
        <f>IFERROR(__xludf.DUMMYFUNCTION("""COMPUTED_VALUE"""),15455.34)</f>
        <v>15455.34</v>
      </c>
      <c r="C19" s="6"/>
      <c r="D19" s="7">
        <f t="shared" si="1"/>
        <v>15455.34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8"/>
      <c r="W19" s="6"/>
    </row>
    <row r="20">
      <c r="A20" s="6" t="str">
        <f>IFERROR(__xludf.DUMMYFUNCTION("""COMPUTED_VALUE"""),"C9200L-24T-4X")</f>
        <v>C9200L-24T-4X</v>
      </c>
      <c r="B20" s="7">
        <f>IFERROR(__xludf.DUMMYFUNCTION("""COMPUTED_VALUE"""),8762.44)</f>
        <v>8762.44</v>
      </c>
      <c r="C20" s="6"/>
      <c r="D20" s="7">
        <f t="shared" si="1"/>
        <v>8762.44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8"/>
      <c r="W20" s="6"/>
    </row>
    <row r="21">
      <c r="A21" s="6" t="str">
        <f>IFERROR(__xludf.DUMMYFUNCTION("""COMPUTED_VALUE"""),"C9200L-24P-4X")</f>
        <v>C9200L-24P-4X</v>
      </c>
      <c r="B21" s="7">
        <f>IFERROR(__xludf.DUMMYFUNCTION("""COMPUTED_VALUE"""),10192.33)</f>
        <v>10192.33</v>
      </c>
      <c r="C21" s="6"/>
      <c r="D21" s="7">
        <f t="shared" si="1"/>
        <v>10192.33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8"/>
      <c r="W21" s="6"/>
    </row>
    <row r="22">
      <c r="A22" s="6" t="str">
        <f>IFERROR(__xludf.DUMMYFUNCTION("""COMPUTED_VALUE"""),"C9200L-48T-4X")</f>
        <v>C9200L-48T-4X</v>
      </c>
      <c r="B22" s="7">
        <f>IFERROR(__xludf.DUMMYFUNCTION("""COMPUTED_VALUE"""),13666.57)</f>
        <v>13666.57</v>
      </c>
      <c r="C22" s="6"/>
      <c r="D22" s="7">
        <f t="shared" si="1"/>
        <v>13666.57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8"/>
      <c r="W22" s="6"/>
    </row>
    <row r="23">
      <c r="A23" s="6" t="str">
        <f>IFERROR(__xludf.DUMMYFUNCTION("""COMPUTED_VALUE"""),"C9200L-48P-4X")</f>
        <v>C9200L-48P-4X</v>
      </c>
      <c r="B23" s="7">
        <f>IFERROR(__xludf.DUMMYFUNCTION("""COMPUTED_VALUE"""),17955.51)</f>
        <v>17955.51</v>
      </c>
      <c r="C23" s="6"/>
      <c r="D23" s="7">
        <f t="shared" si="1"/>
        <v>17955.51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8"/>
      <c r="W23" s="6"/>
    </row>
    <row r="24">
      <c r="A24" s="6" t="str">
        <f>IFERROR(__xludf.DUMMYFUNCTION("""COMPUTED_VALUE"""),"C9200CX-8P-2X2G")</f>
        <v>C9200CX-8P-2X2G</v>
      </c>
      <c r="B24" s="7">
        <f>IFERROR(__xludf.DUMMYFUNCTION("""COMPUTED_VALUE"""),5144.72)</f>
        <v>5144.72</v>
      </c>
      <c r="C24" s="6"/>
      <c r="D24" s="7">
        <f t="shared" si="1"/>
        <v>5144.72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8"/>
      <c r="W24" s="6"/>
    </row>
    <row r="25">
      <c r="A25" s="6" t="str">
        <f>IFERROR(__xludf.DUMMYFUNCTION("""COMPUTED_VALUE"""),"C9200CX-12T-2X2G")</f>
        <v>C9200CX-12T-2X2G</v>
      </c>
      <c r="B25" s="7">
        <f>IFERROR(__xludf.DUMMYFUNCTION("""COMPUTED_VALUE"""),4714.31)</f>
        <v>4714.31</v>
      </c>
      <c r="C25" s="6"/>
      <c r="D25" s="7">
        <f t="shared" si="1"/>
        <v>4714.31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8"/>
      <c r="W25" s="6"/>
    </row>
    <row r="26">
      <c r="A26" s="6" t="str">
        <f>IFERROR(__xludf.DUMMYFUNCTION("""COMPUTED_VALUE"""),"C9200CX-12P-2X2G")</f>
        <v>C9200CX-12P-2X2G</v>
      </c>
      <c r="B26" s="7">
        <f>IFERROR(__xludf.DUMMYFUNCTION("""COMPUTED_VALUE"""),5606.95)</f>
        <v>5606.95</v>
      </c>
      <c r="C26" s="6"/>
      <c r="D26" s="7">
        <f t="shared" si="1"/>
        <v>5606.95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8"/>
      <c r="W26" s="6"/>
    </row>
    <row r="27">
      <c r="A27" s="6" t="str">
        <f>IFERROR(__xludf.DUMMYFUNCTION("""COMPUTED_VALUE"""),"C9300L-24T-4G")</f>
        <v>C9300L-24T-4G</v>
      </c>
      <c r="B27" s="7">
        <f>IFERROR(__xludf.DUMMYFUNCTION("""COMPUTED_VALUE"""),13274.37)</f>
        <v>13274.37</v>
      </c>
      <c r="C27" s="6"/>
      <c r="D27" s="7">
        <f t="shared" si="1"/>
        <v>13274.37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8"/>
      <c r="W27" s="6"/>
    </row>
    <row r="28">
      <c r="A28" s="6" t="str">
        <f>IFERROR(__xludf.DUMMYFUNCTION("""COMPUTED_VALUE"""),"C9300L-24P-4G")</f>
        <v>C9300L-24P-4G</v>
      </c>
      <c r="B28" s="7">
        <f>IFERROR(__xludf.DUMMYFUNCTION("""COMPUTED_VALUE"""),14219.2)</f>
        <v>14219.2</v>
      </c>
      <c r="C28" s="6"/>
      <c r="D28" s="7">
        <f t="shared" si="1"/>
        <v>14219.2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8"/>
      <c r="W28" s="6"/>
    </row>
    <row r="29">
      <c r="A29" s="6" t="str">
        <f>IFERROR(__xludf.DUMMYFUNCTION("""COMPUTED_VALUE"""),"C9300L-24T-4X")</f>
        <v>C9300L-24T-4X</v>
      </c>
      <c r="B29" s="7">
        <f>IFERROR(__xludf.DUMMYFUNCTION("""COMPUTED_VALUE"""),16104.69)</f>
        <v>16104.69</v>
      </c>
      <c r="C29" s="6"/>
      <c r="D29" s="7">
        <f t="shared" si="1"/>
        <v>16104.69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8"/>
      <c r="W29" s="6"/>
    </row>
    <row r="30">
      <c r="A30" s="6" t="str">
        <f>IFERROR(__xludf.DUMMYFUNCTION("""COMPUTED_VALUE"""),"C9300L-24P-4X")</f>
        <v>C9300L-24P-4X</v>
      </c>
      <c r="B30" s="7">
        <f>IFERROR(__xludf.DUMMYFUNCTION("""COMPUTED_VALUE"""),17045.38)</f>
        <v>17045.38</v>
      </c>
      <c r="C30" s="6"/>
      <c r="D30" s="7">
        <f t="shared" si="1"/>
        <v>17045.38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8"/>
      <c r="W30" s="6"/>
    </row>
    <row r="31">
      <c r="A31" s="6" t="str">
        <f>IFERROR(__xludf.DUMMYFUNCTION("""COMPUTED_VALUE"""),"C9300L-48T-4G")</f>
        <v>C9300L-48T-4G</v>
      </c>
      <c r="B31" s="7">
        <f>IFERROR(__xludf.DUMMYFUNCTION("""COMPUTED_VALUE"""),19434.02)</f>
        <v>19434.02</v>
      </c>
      <c r="C31" s="6"/>
      <c r="D31" s="7">
        <f t="shared" si="1"/>
        <v>19434.02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8"/>
      <c r="W31" s="6"/>
    </row>
    <row r="32">
      <c r="A32" s="6" t="str">
        <f>IFERROR(__xludf.DUMMYFUNCTION("""COMPUTED_VALUE"""),"C9300L-48P-4G")</f>
        <v>C9300L-48P-4G</v>
      </c>
      <c r="B32" s="7">
        <f>IFERROR(__xludf.DUMMYFUNCTION("""COMPUTED_VALUE"""),22071.94)</f>
        <v>22071.94</v>
      </c>
      <c r="C32" s="6"/>
      <c r="D32" s="7">
        <f t="shared" si="1"/>
        <v>22071.94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8"/>
      <c r="W32" s="6"/>
    </row>
    <row r="33">
      <c r="A33" s="6" t="str">
        <f>IFERROR(__xludf.DUMMYFUNCTION("""COMPUTED_VALUE"""),"C9300L-48T-4X")</f>
        <v>C9300L-48T-4X</v>
      </c>
      <c r="B33" s="7">
        <f>IFERROR(__xludf.DUMMYFUNCTION("""COMPUTED_VALUE"""),22260.23)</f>
        <v>22260.23</v>
      </c>
      <c r="C33" s="6"/>
      <c r="D33" s="7">
        <f t="shared" si="1"/>
        <v>22260.23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8"/>
      <c r="W33" s="6"/>
    </row>
    <row r="34">
      <c r="A34" s="6" t="str">
        <f>IFERROR(__xludf.DUMMYFUNCTION("""COMPUTED_VALUE"""),"C9300L-48P-4X")</f>
        <v>C9300L-48P-4X</v>
      </c>
      <c r="B34" s="7">
        <f>IFERROR(__xludf.DUMMYFUNCTION("""COMPUTED_VALUE"""),24901.12)</f>
        <v>24901.12</v>
      </c>
      <c r="C34" s="6"/>
      <c r="D34" s="7">
        <f t="shared" si="1"/>
        <v>24901.12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8"/>
      <c r="W34" s="6"/>
    </row>
    <row r="35">
      <c r="A35" s="6" t="str">
        <f>IFERROR(__xludf.DUMMYFUNCTION("""COMPUTED_VALUE"""),"C9300-24T")</f>
        <v>C9300-24T</v>
      </c>
      <c r="B35" s="7">
        <f>IFERROR(__xludf.DUMMYFUNCTION("""COMPUTED_VALUE"""),17547.66)</f>
        <v>17547.66</v>
      </c>
      <c r="C35" s="6"/>
      <c r="D35" s="7">
        <f t="shared" si="1"/>
        <v>17547.66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8"/>
      <c r="W35" s="6"/>
    </row>
    <row r="36">
      <c r="A36" s="6" t="str">
        <f>IFERROR(__xludf.DUMMYFUNCTION("""COMPUTED_VALUE"""),"C9300-24P")</f>
        <v>C9300-24P</v>
      </c>
      <c r="B36" s="7">
        <f>IFERROR(__xludf.DUMMYFUNCTION("""COMPUTED_VALUE"""),19038.33)</f>
        <v>19038.33</v>
      </c>
      <c r="C36" s="6"/>
      <c r="D36" s="7">
        <f t="shared" si="1"/>
        <v>19038.33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8"/>
      <c r="W36" s="6"/>
    </row>
    <row r="37">
      <c r="A37" s="6" t="str">
        <f>IFERROR(__xludf.DUMMYFUNCTION("""COMPUTED_VALUE"""),"C9300-24U")</f>
        <v>C9300-24U</v>
      </c>
      <c r="B37" s="7">
        <f>IFERROR(__xludf.DUMMYFUNCTION("""COMPUTED_VALUE"""),19965.21)</f>
        <v>19965.21</v>
      </c>
      <c r="C37" s="6"/>
      <c r="D37" s="7">
        <f t="shared" si="1"/>
        <v>19965.21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8"/>
      <c r="W37" s="6"/>
    </row>
    <row r="38">
      <c r="A38" s="6" t="str">
        <f>IFERROR(__xludf.DUMMYFUNCTION("""COMPUTED_VALUE"""),"C9300-24H")</f>
        <v>C9300-24H</v>
      </c>
      <c r="B38" s="7">
        <f>IFERROR(__xludf.DUMMYFUNCTION("""COMPUTED_VALUE"""),20515.29)</f>
        <v>20515.29</v>
      </c>
      <c r="C38" s="6"/>
      <c r="D38" s="7">
        <f t="shared" si="1"/>
        <v>20515.29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8"/>
      <c r="W38" s="6"/>
    </row>
    <row r="39">
      <c r="A39" s="6" t="str">
        <f>IFERROR(__xludf.DUMMYFUNCTION("""COMPUTED_VALUE"""),"C9300-24S")</f>
        <v>C9300-24S</v>
      </c>
      <c r="B39" s="7">
        <f>IFERROR(__xludf.DUMMYFUNCTION("""COMPUTED_VALUE"""),48735.58)</f>
        <v>48735.58</v>
      </c>
      <c r="C39" s="6"/>
      <c r="D39" s="7">
        <f t="shared" si="1"/>
        <v>48735.58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8"/>
      <c r="W39" s="6"/>
    </row>
    <row r="40">
      <c r="A40" s="6" t="str">
        <f>IFERROR(__xludf.DUMMYFUNCTION("""COMPUTED_VALUE"""),"C9300-24UB")</f>
        <v>C9300-24UB</v>
      </c>
      <c r="B40" s="7">
        <f>IFERROR(__xludf.DUMMYFUNCTION("""COMPUTED_VALUE"""),24477.78)</f>
        <v>24477.78</v>
      </c>
      <c r="C40" s="6"/>
      <c r="D40" s="7">
        <f t="shared" si="1"/>
        <v>24477.78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8"/>
      <c r="W40" s="6"/>
    </row>
    <row r="41">
      <c r="A41" s="6" t="str">
        <f>IFERROR(__xludf.DUMMYFUNCTION("""COMPUTED_VALUE"""),"C9300-48T")</f>
        <v>C9300-48T</v>
      </c>
      <c r="B41" s="7">
        <f>IFERROR(__xludf.DUMMYFUNCTION("""COMPUTED_VALUE"""),25854.11)</f>
        <v>25854.11</v>
      </c>
      <c r="C41" s="6"/>
      <c r="D41" s="7">
        <f t="shared" si="1"/>
        <v>25854.11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8"/>
      <c r="W41" s="6"/>
    </row>
    <row r="42">
      <c r="A42" s="6" t="str">
        <f>IFERROR(__xludf.DUMMYFUNCTION("""COMPUTED_VALUE"""),"C9300-48P")</f>
        <v>C9300-48P</v>
      </c>
      <c r="B42" s="7">
        <f>IFERROR(__xludf.DUMMYFUNCTION("""COMPUTED_VALUE"""),28776.34)</f>
        <v>28776.34</v>
      </c>
      <c r="C42" s="6"/>
      <c r="D42" s="7">
        <f t="shared" si="1"/>
        <v>28776.34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8"/>
      <c r="W42" s="6"/>
    </row>
    <row r="43">
      <c r="A43" s="6" t="str">
        <f>IFERROR(__xludf.DUMMYFUNCTION("""COMPUTED_VALUE"""),"C9300-48U")</f>
        <v>C9300-48U</v>
      </c>
      <c r="B43" s="7">
        <f>IFERROR(__xludf.DUMMYFUNCTION("""COMPUTED_VALUE"""),30632.82)</f>
        <v>30632.82</v>
      </c>
      <c r="C43" s="6"/>
      <c r="D43" s="7">
        <f t="shared" si="1"/>
        <v>30632.82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8"/>
      <c r="W43" s="6"/>
    </row>
    <row r="44">
      <c r="A44" s="6" t="str">
        <f>IFERROR(__xludf.DUMMYFUNCTION("""COMPUTED_VALUE"""),"C9300-48H")</f>
        <v>C9300-48H</v>
      </c>
      <c r="B44" s="7">
        <f>IFERROR(__xludf.DUMMYFUNCTION("""COMPUTED_VALUE"""),31600.93)</f>
        <v>31600.93</v>
      </c>
      <c r="C44" s="6"/>
      <c r="D44" s="7">
        <f t="shared" si="1"/>
        <v>31600.93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8"/>
      <c r="W44" s="6"/>
    </row>
    <row r="45">
      <c r="A45" s="6" t="str">
        <f>IFERROR(__xludf.DUMMYFUNCTION("""COMPUTED_VALUE"""),"C9300-48S")</f>
        <v>C9300-48S</v>
      </c>
      <c r="B45" s="7">
        <f>IFERROR(__xludf.DUMMYFUNCTION("""COMPUTED_VALUE"""),55867.65)</f>
        <v>55867.65</v>
      </c>
      <c r="C45" s="6"/>
      <c r="D45" s="7">
        <f t="shared" si="1"/>
        <v>55867.65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8"/>
      <c r="W45" s="6"/>
    </row>
    <row r="46">
      <c r="A46" s="6" t="str">
        <f>IFERROR(__xludf.DUMMYFUNCTION("""COMPUTED_VALUE"""),"C9300-48UB")</f>
        <v>C9300-48UB</v>
      </c>
      <c r="B46" s="7">
        <f>IFERROR(__xludf.DUMMYFUNCTION("""COMPUTED_VALUE"""),36714.46)</f>
        <v>36714.46</v>
      </c>
      <c r="C46" s="6"/>
      <c r="D46" s="7">
        <f t="shared" si="1"/>
        <v>36714.46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8"/>
      <c r="W46" s="6"/>
    </row>
    <row r="47">
      <c r="A47" s="6" t="str">
        <f>IFERROR(__xludf.DUMMYFUNCTION("""COMPUTED_VALUE"""),"C1300-8T-E-2G")</f>
        <v>C1300-8T-E-2G</v>
      </c>
      <c r="B47" s="7">
        <f>IFERROR(__xludf.DUMMYFUNCTION("""COMPUTED_VALUE"""),466.11)</f>
        <v>466.11</v>
      </c>
      <c r="C47" s="6"/>
      <c r="D47" s="7">
        <f t="shared" si="1"/>
        <v>466.11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8"/>
      <c r="W47" s="6"/>
    </row>
    <row r="48">
      <c r="A48" s="6" t="str">
        <f>IFERROR(__xludf.DUMMYFUNCTION("""COMPUTED_VALUE"""),"C1300-8P-E-2G")</f>
        <v>C1300-8P-E-2G</v>
      </c>
      <c r="B48" s="7">
        <f>IFERROR(__xludf.DUMMYFUNCTION("""COMPUTED_VALUE"""),576.42)</f>
        <v>576.42</v>
      </c>
      <c r="C48" s="6"/>
      <c r="D48" s="7">
        <f t="shared" si="1"/>
        <v>576.42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8"/>
      <c r="W48" s="6"/>
    </row>
    <row r="49">
      <c r="A49" s="6" t="str">
        <f>IFERROR(__xludf.DUMMYFUNCTION("""COMPUTED_VALUE"""),"C1300-8FP-2G")</f>
        <v>C1300-8FP-2G</v>
      </c>
      <c r="B49" s="7">
        <f>IFERROR(__xludf.DUMMYFUNCTION("""COMPUTED_VALUE"""),765.31)</f>
        <v>765.31</v>
      </c>
      <c r="C49" s="6"/>
      <c r="D49" s="7">
        <f t="shared" si="1"/>
        <v>765.31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8"/>
      <c r="W49" s="6"/>
    </row>
    <row r="50">
      <c r="A50" s="6" t="str">
        <f>IFERROR(__xludf.DUMMYFUNCTION("""COMPUTED_VALUE"""),"C1300-16T-2G")</f>
        <v>C1300-16T-2G</v>
      </c>
      <c r="B50" s="7">
        <f>IFERROR(__xludf.DUMMYFUNCTION("""COMPUTED_VALUE"""),663.67)</f>
        <v>663.67</v>
      </c>
      <c r="C50" s="6"/>
      <c r="D50" s="7">
        <f t="shared" si="1"/>
        <v>663.67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8"/>
      <c r="W50" s="6"/>
    </row>
    <row r="51">
      <c r="A51" s="6" t="str">
        <f>IFERROR(__xludf.DUMMYFUNCTION("""COMPUTED_VALUE"""),"C1300-16P-2G")</f>
        <v>C1300-16P-2G</v>
      </c>
      <c r="B51" s="7">
        <f>IFERROR(__xludf.DUMMYFUNCTION("""COMPUTED_VALUE"""),962.86)</f>
        <v>962.86</v>
      </c>
      <c r="C51" s="6"/>
      <c r="D51" s="7">
        <f t="shared" si="1"/>
        <v>962.86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8"/>
      <c r="W51" s="6"/>
    </row>
    <row r="52">
      <c r="A52" s="6" t="str">
        <f>IFERROR(__xludf.DUMMYFUNCTION("""COMPUTED_VALUE"""),"C1300-16FP-2G")</f>
        <v>C1300-16FP-2G</v>
      </c>
      <c r="B52" s="7">
        <f>IFERROR(__xludf.DUMMYFUNCTION("""COMPUTED_VALUE"""),1364.85)</f>
        <v>1364.85</v>
      </c>
      <c r="C52" s="6"/>
      <c r="D52" s="7">
        <f t="shared" si="1"/>
        <v>1364.85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8"/>
      <c r="W52" s="6"/>
    </row>
    <row r="53">
      <c r="A53" s="6" t="str">
        <f>IFERROR(__xludf.DUMMYFUNCTION("""COMPUTED_VALUE"""),"C1300-24T-4G")</f>
        <v>C1300-24T-4G</v>
      </c>
      <c r="B53" s="7">
        <f>IFERROR(__xludf.DUMMYFUNCTION("""COMPUTED_VALUE"""),925.31)</f>
        <v>925.31</v>
      </c>
      <c r="C53" s="6"/>
      <c r="D53" s="7">
        <f t="shared" si="1"/>
        <v>925.31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8"/>
      <c r="W53" s="6"/>
    </row>
    <row r="54">
      <c r="A54" s="6" t="str">
        <f>IFERROR(__xludf.DUMMYFUNCTION("""COMPUTED_VALUE"""),"C1300-24P-4G")</f>
        <v>C1300-24P-4G</v>
      </c>
      <c r="B54" s="7">
        <f>IFERROR(__xludf.DUMMYFUNCTION("""COMPUTED_VALUE"""),1316.32)</f>
        <v>1316.32</v>
      </c>
      <c r="C54" s="6"/>
      <c r="D54" s="7">
        <f t="shared" si="1"/>
        <v>1316.32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8"/>
      <c r="W54" s="6"/>
    </row>
    <row r="55">
      <c r="A55" s="6" t="str">
        <f>IFERROR(__xludf.DUMMYFUNCTION("""COMPUTED_VALUE"""),"C1300-24FP-4G")</f>
        <v>C1300-24FP-4G</v>
      </c>
      <c r="B55" s="7">
        <f>IFERROR(__xludf.DUMMYFUNCTION("""COMPUTED_VALUE"""),1785.82)</f>
        <v>1785.82</v>
      </c>
      <c r="C55" s="6"/>
      <c r="D55" s="7">
        <f t="shared" si="1"/>
        <v>1785.82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8"/>
      <c r="W55" s="6"/>
    </row>
    <row r="56">
      <c r="A56" s="6" t="str">
        <f>IFERROR(__xludf.DUMMYFUNCTION("""COMPUTED_VALUE"""),"C1300-48T-4G")</f>
        <v>C1300-48T-4G</v>
      </c>
      <c r="B56" s="7">
        <f>IFERROR(__xludf.DUMMYFUNCTION("""COMPUTED_VALUE"""),1446.81)</f>
        <v>1446.81</v>
      </c>
      <c r="C56" s="6"/>
      <c r="D56" s="7">
        <f t="shared" si="1"/>
        <v>1446.81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8"/>
      <c r="W56" s="6"/>
    </row>
    <row r="57">
      <c r="A57" s="6" t="str">
        <f>IFERROR(__xludf.DUMMYFUNCTION("""COMPUTED_VALUE"""),"C1300-48P-4G")</f>
        <v>C1300-48P-4G</v>
      </c>
      <c r="B57" s="7">
        <f>IFERROR(__xludf.DUMMYFUNCTION("""COMPUTED_VALUE"""),2394.09)</f>
        <v>2394.09</v>
      </c>
      <c r="C57" s="6"/>
      <c r="D57" s="7">
        <f t="shared" si="1"/>
        <v>2394.09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8"/>
      <c r="W57" s="6"/>
    </row>
    <row r="58">
      <c r="A58" s="6" t="str">
        <f>IFERROR(__xludf.DUMMYFUNCTION("""COMPUTED_VALUE"""),"C1300-48FP-4G")</f>
        <v>C1300-48FP-4G</v>
      </c>
      <c r="B58" s="7">
        <f>IFERROR(__xludf.DUMMYFUNCTION("""COMPUTED_VALUE"""),2990.63)</f>
        <v>2990.63</v>
      </c>
      <c r="C58" s="6"/>
      <c r="D58" s="7">
        <f t="shared" si="1"/>
        <v>2990.63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8"/>
      <c r="W58" s="6"/>
    </row>
    <row r="59">
      <c r="A59" s="6" t="str">
        <f>IFERROR(__xludf.DUMMYFUNCTION("""COMPUTED_VALUE"""),"C1300-16P-4X")</f>
        <v>C1300-16P-4X</v>
      </c>
      <c r="B59" s="7">
        <f>IFERROR(__xludf.DUMMYFUNCTION("""COMPUTED_VALUE"""),1047.05)</f>
        <v>1047.05</v>
      </c>
      <c r="C59" s="6"/>
      <c r="D59" s="7">
        <f t="shared" si="1"/>
        <v>1047.05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8"/>
      <c r="W59" s="6"/>
    </row>
    <row r="60">
      <c r="A60" s="6" t="str">
        <f>IFERROR(__xludf.DUMMYFUNCTION("""COMPUTED_VALUE"""),"C1300-24T-4X")</f>
        <v>C1300-24T-4X</v>
      </c>
      <c r="B60" s="7">
        <f>IFERROR(__xludf.DUMMYFUNCTION("""COMPUTED_VALUE"""),1403.2)</f>
        <v>1403.2</v>
      </c>
      <c r="C60" s="6"/>
      <c r="D60" s="7">
        <f t="shared" si="1"/>
        <v>1403.2</v>
      </c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8"/>
      <c r="W60" s="6"/>
    </row>
    <row r="61">
      <c r="A61" s="6" t="str">
        <f>IFERROR(__xludf.DUMMYFUNCTION("""COMPUTED_VALUE"""),"C1300-24P-4X")</f>
        <v>C1300-24P-4X</v>
      </c>
      <c r="B61" s="7">
        <f>IFERROR(__xludf.DUMMYFUNCTION("""COMPUTED_VALUE"""),1674.32)</f>
        <v>1674.32</v>
      </c>
      <c r="C61" s="6"/>
      <c r="D61" s="7">
        <f t="shared" si="1"/>
        <v>1674.32</v>
      </c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8"/>
      <c r="W61" s="6"/>
    </row>
    <row r="62">
      <c r="A62" s="6" t="str">
        <f>IFERROR(__xludf.DUMMYFUNCTION("""COMPUTED_VALUE"""),"C1300-24FP-4X")</f>
        <v>C1300-24FP-4X</v>
      </c>
      <c r="B62" s="7">
        <f>IFERROR(__xludf.DUMMYFUNCTION("""COMPUTED_VALUE"""),2278.26)</f>
        <v>2278.26</v>
      </c>
      <c r="C62" s="6"/>
      <c r="D62" s="7">
        <f t="shared" si="1"/>
        <v>2278.26</v>
      </c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8"/>
      <c r="W62" s="6"/>
    </row>
    <row r="63">
      <c r="A63" s="6" t="str">
        <f>IFERROR(__xludf.DUMMYFUNCTION("""COMPUTED_VALUE"""),"C1300-48T-4X")</f>
        <v>C1300-48T-4X</v>
      </c>
      <c r="B63" s="7">
        <f>IFERROR(__xludf.DUMMYFUNCTION("""COMPUTED_VALUE"""),2202.72)</f>
        <v>2202.72</v>
      </c>
      <c r="C63" s="6"/>
      <c r="D63" s="7">
        <f t="shared" si="1"/>
        <v>2202.72</v>
      </c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8"/>
      <c r="W63" s="6"/>
    </row>
    <row r="64">
      <c r="A64" s="6" t="str">
        <f>IFERROR(__xludf.DUMMYFUNCTION("""COMPUTED_VALUE"""),"C1300-48P-4X")</f>
        <v>C1300-48P-4X</v>
      </c>
      <c r="B64" s="7">
        <f>IFERROR(__xludf.DUMMYFUNCTION("""COMPUTED_VALUE"""),2733.04)</f>
        <v>2733.04</v>
      </c>
      <c r="C64" s="6"/>
      <c r="D64" s="7">
        <f t="shared" si="1"/>
        <v>2733.04</v>
      </c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8"/>
      <c r="W64" s="6"/>
    </row>
    <row r="65">
      <c r="A65" s="6" t="str">
        <f>IFERROR(__xludf.DUMMYFUNCTION("""COMPUTED_VALUE"""),"C1300-48FP-4X")</f>
        <v>C1300-48FP-4X</v>
      </c>
      <c r="B65" s="7">
        <f>IFERROR(__xludf.DUMMYFUNCTION("""COMPUTED_VALUE"""),3526.47)</f>
        <v>3526.47</v>
      </c>
      <c r="C65" s="6"/>
      <c r="D65" s="7">
        <f t="shared" si="1"/>
        <v>3526.47</v>
      </c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8"/>
      <c r="W65" s="6"/>
    </row>
    <row r="66">
      <c r="A66" s="6" t="str">
        <f>IFERROR(__xludf.DUMMYFUNCTION("""COMPUTED_VALUE"""),"C1300-12XT-2X")</f>
        <v>C1300-12XT-2X</v>
      </c>
      <c r="B66" s="7">
        <f>IFERROR(__xludf.DUMMYFUNCTION("""COMPUTED_VALUE"""),2418.18)</f>
        <v>2418.18</v>
      </c>
      <c r="C66" s="6"/>
      <c r="D66" s="7">
        <f t="shared" si="1"/>
        <v>2418.18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8"/>
      <c r="W66" s="6"/>
    </row>
    <row r="67">
      <c r="A67" s="6" t="str">
        <f>IFERROR(__xludf.DUMMYFUNCTION("""COMPUTED_VALUE"""),"C1300-12XS")</f>
        <v>C1300-12XS</v>
      </c>
      <c r="B67" s="7">
        <f>IFERROR(__xludf.DUMMYFUNCTION("""COMPUTED_VALUE"""),2462.89)</f>
        <v>2462.89</v>
      </c>
      <c r="C67" s="6"/>
      <c r="D67" s="7">
        <f t="shared" si="1"/>
        <v>2462.89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8"/>
      <c r="W67" s="6"/>
    </row>
    <row r="68">
      <c r="A68" s="6" t="str">
        <f>IFERROR(__xludf.DUMMYFUNCTION("""COMPUTED_VALUE"""),"C1300-16XTS")</f>
        <v>C1300-16XTS</v>
      </c>
      <c r="B68" s="7">
        <f>IFERROR(__xludf.DUMMYFUNCTION("""COMPUTED_VALUE"""),3849.34)</f>
        <v>3849.34</v>
      </c>
      <c r="C68" s="6"/>
      <c r="D68" s="7">
        <f t="shared" si="1"/>
        <v>3849.34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8"/>
      <c r="W68" s="6"/>
    </row>
    <row r="69">
      <c r="A69" s="6" t="str">
        <f>IFERROR(__xludf.DUMMYFUNCTION("""COMPUTED_VALUE"""),"C1300-24XS")</f>
        <v>C1300-24XS</v>
      </c>
      <c r="B69" s="7">
        <f>IFERROR(__xludf.DUMMYFUNCTION("""COMPUTED_VALUE"""),3983.44)</f>
        <v>3983.44</v>
      </c>
      <c r="C69" s="6"/>
      <c r="D69" s="7">
        <f t="shared" si="1"/>
        <v>3983.44</v>
      </c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8"/>
      <c r="W69" s="6"/>
    </row>
    <row r="70">
      <c r="A70" s="6" t="str">
        <f>IFERROR(__xludf.DUMMYFUNCTION("""COMPUTED_VALUE"""),"C1300-24XT")</f>
        <v>C1300-24XT</v>
      </c>
      <c r="B70" s="7">
        <f>IFERROR(__xludf.DUMMYFUNCTION("""COMPUTED_VALUE"""),5118.44)</f>
        <v>5118.44</v>
      </c>
      <c r="C70" s="6"/>
      <c r="D70" s="7">
        <f t="shared" si="1"/>
        <v>5118.44</v>
      </c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8"/>
      <c r="W70" s="6"/>
    </row>
    <row r="71">
      <c r="A71" s="6" t="str">
        <f>IFERROR(__xludf.DUMMYFUNCTION("""COMPUTED_VALUE"""),"C1300-24XTS")</f>
        <v>C1300-24XTS</v>
      </c>
      <c r="B71" s="7">
        <f>IFERROR(__xludf.DUMMYFUNCTION("""COMPUTED_VALUE"""),4937.7)</f>
        <v>4937.7</v>
      </c>
      <c r="C71" s="6"/>
      <c r="D71" s="7">
        <f t="shared" si="1"/>
        <v>4937.7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8"/>
      <c r="W71" s="6"/>
    </row>
    <row r="72">
      <c r="A72" s="6" t="str">
        <f>IFERROR(__xludf.DUMMYFUNCTION("""COMPUTED_VALUE"""),"C1300X-24T-4X")</f>
        <v>C1300X-24T-4X</v>
      </c>
      <c r="B72" s="7">
        <f>IFERROR(__xludf.DUMMYFUNCTION("""COMPUTED_VALUE"""),1187.92)</f>
        <v>1187.92</v>
      </c>
      <c r="C72" s="6"/>
      <c r="D72" s="7">
        <f t="shared" si="1"/>
        <v>1187.92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8"/>
      <c r="W72" s="6"/>
    </row>
    <row r="73">
      <c r="A73" s="6" t="str">
        <f>IFERROR(__xludf.DUMMYFUNCTION("""COMPUTED_VALUE"""),"C1300X-48T-4X")</f>
        <v>C1300X-48T-4X</v>
      </c>
      <c r="B73" s="7">
        <f>IFERROR(__xludf.DUMMYFUNCTION("""COMPUTED_VALUE"""),1723.05)</f>
        <v>1723.05</v>
      </c>
      <c r="C73" s="6"/>
      <c r="D73" s="7">
        <f t="shared" si="1"/>
        <v>1723.05</v>
      </c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8"/>
      <c r="W73" s="6"/>
    </row>
    <row r="74">
      <c r="A74" s="6" t="str">
        <f>IFERROR(__xludf.DUMMYFUNCTION("""COMPUTED_VALUE"""),"C1300X-24P-4X")</f>
        <v>C1300X-24P-4X</v>
      </c>
      <c r="B74" s="7">
        <f>IFERROR(__xludf.DUMMYFUNCTION("""COMPUTED_VALUE"""),1925.65)</f>
        <v>1925.65</v>
      </c>
      <c r="C74" s="6"/>
      <c r="D74" s="7">
        <f t="shared" si="1"/>
        <v>1925.65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8"/>
      <c r="W74" s="6"/>
    </row>
    <row r="75">
      <c r="A75" s="6" t="str">
        <f>IFERROR(__xludf.DUMMYFUNCTION("""COMPUTED_VALUE"""),"C1300X-48P-4X")</f>
        <v>C1300X-48P-4X</v>
      </c>
      <c r="B75" s="7">
        <f>IFERROR(__xludf.DUMMYFUNCTION("""COMPUTED_VALUE"""),2982.58)</f>
        <v>2982.58</v>
      </c>
      <c r="C75" s="6"/>
      <c r="D75" s="7">
        <f t="shared" si="1"/>
        <v>2982.58</v>
      </c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8"/>
      <c r="W75" s="6"/>
    </row>
    <row r="76">
      <c r="A76" s="6" t="str">
        <f>IFERROR(__xludf.DUMMYFUNCTION("""COMPUTED_VALUE"""),"C9500-32C")</f>
        <v>C9500-32C</v>
      </c>
      <c r="B76" s="7">
        <f>IFERROR(__xludf.DUMMYFUNCTION("""COMPUTED_VALUE"""),85280.32)</f>
        <v>85280.32</v>
      </c>
      <c r="C76" s="6"/>
      <c r="D76" s="7">
        <f t="shared" si="1"/>
        <v>85280.32</v>
      </c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8"/>
      <c r="W76" s="6"/>
    </row>
    <row r="77">
      <c r="A77" s="6" t="str">
        <f>IFERROR(__xludf.DUMMYFUNCTION("""COMPUTED_VALUE"""),"C9500-32QC")</f>
        <v>C9500-32QC</v>
      </c>
      <c r="B77" s="7">
        <f>IFERROR(__xludf.DUMMYFUNCTION("""COMPUTED_VALUE"""),76987.18)</f>
        <v>76987.18</v>
      </c>
      <c r="C77" s="6"/>
      <c r="D77" s="7">
        <f t="shared" si="1"/>
        <v>76987.18</v>
      </c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8"/>
      <c r="W77" s="6"/>
    </row>
    <row r="78">
      <c r="A78" s="6" t="str">
        <f>IFERROR(__xludf.DUMMYFUNCTION("""COMPUTED_VALUE"""),"C9500-48Y4C")</f>
        <v>C9500-48Y4C</v>
      </c>
      <c r="B78" s="7">
        <f>IFERROR(__xludf.DUMMYFUNCTION("""COMPUTED_VALUE"""),65076.01)</f>
        <v>65076.01</v>
      </c>
      <c r="C78" s="6"/>
      <c r="D78" s="7">
        <f t="shared" si="1"/>
        <v>65076.01</v>
      </c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8"/>
      <c r="W78" s="6"/>
    </row>
    <row r="79">
      <c r="A79" s="6" t="str">
        <f>IFERROR(__xludf.DUMMYFUNCTION("""COMPUTED_VALUE"""),"C9500-24Y4C")</f>
        <v>C9500-24Y4C</v>
      </c>
      <c r="B79" s="7">
        <f>IFERROR(__xludf.DUMMYFUNCTION("""COMPUTED_VALUE"""),54433.3)</f>
        <v>54433.3</v>
      </c>
      <c r="C79" s="6"/>
      <c r="D79" s="7">
        <f t="shared" si="1"/>
        <v>54433.3</v>
      </c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8"/>
      <c r="W79" s="6"/>
    </row>
    <row r="80">
      <c r="A80" s="6" t="str">
        <f>IFERROR(__xludf.DUMMYFUNCTION("""COMPUTED_VALUE"""),"C9500X-28C8D")</f>
        <v>C9500X-28C8D</v>
      </c>
      <c r="B80" s="7">
        <f>IFERROR(__xludf.DUMMYFUNCTION("""COMPUTED_VALUE"""),166221.42)</f>
        <v>166221.42</v>
      </c>
      <c r="C80" s="6"/>
      <c r="D80" s="7">
        <f t="shared" si="1"/>
        <v>166221.42</v>
      </c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8"/>
      <c r="W80" s="6"/>
    </row>
    <row r="81">
      <c r="A81" s="6" t="str">
        <f>IFERROR(__xludf.DUMMYFUNCTION("""COMPUTED_VALUE"""),"C9500X-60L4D")</f>
        <v>C9500X-60L4D</v>
      </c>
      <c r="B81" s="7">
        <f>IFERROR(__xludf.DUMMYFUNCTION("""COMPUTED_VALUE"""),127832.66)</f>
        <v>127832.66</v>
      </c>
      <c r="C81" s="6"/>
      <c r="D81" s="7">
        <f t="shared" si="1"/>
        <v>127832.66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8"/>
      <c r="W81" s="6"/>
    </row>
    <row r="82">
      <c r="A82" s="6" t="str">
        <f>IFERROR(__xludf.DUMMYFUNCTION("""COMPUTED_VALUE"""),"APIC-CLUSTERG5")</f>
        <v>APIC-CLUSTERG5</v>
      </c>
      <c r="B82" s="7">
        <f>IFERROR(__xludf.DUMMYFUNCTION("""COMPUTED_VALUE"""),161856.78)</f>
        <v>161856.78</v>
      </c>
      <c r="C82" s="6"/>
      <c r="D82" s="7">
        <f t="shared" si="1"/>
        <v>161856.78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8"/>
      <c r="W82" s="6"/>
    </row>
    <row r="83">
      <c r="A83" s="6" t="str">
        <f>IFERROR(__xludf.DUMMYFUNCTION("""COMPUTED_VALUE"""),"N9K-C9504")</f>
        <v>N9K-C9504</v>
      </c>
      <c r="B83" s="7">
        <f>IFERROR(__xludf.DUMMYFUNCTION("""COMPUTED_VALUE"""),361526.13)</f>
        <v>361526.13</v>
      </c>
      <c r="C83" s="6"/>
      <c r="D83" s="7">
        <f t="shared" si="1"/>
        <v>361526.13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8"/>
      <c r="W83" s="6"/>
    </row>
    <row r="84">
      <c r="A84" s="6" t="str">
        <f>IFERROR(__xludf.DUMMYFUNCTION("""COMPUTED_VALUE"""),"N9K-X9736C-FX3=")</f>
        <v>N9K-X9736C-FX3=</v>
      </c>
      <c r="B84" s="7">
        <f>IFERROR(__xludf.DUMMYFUNCTION("""COMPUTED_VALUE"""),56066.35)</f>
        <v>56066.35</v>
      </c>
      <c r="C84" s="6"/>
      <c r="D84" s="7">
        <f t="shared" si="1"/>
        <v>56066.35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8"/>
      <c r="W84" s="6"/>
    </row>
    <row r="85">
      <c r="A85" s="6" t="str">
        <f>IFERROR(__xludf.DUMMYFUNCTION("""COMPUTED_VALUE"""),"N9K-C93600CD-GX")</f>
        <v>N9K-C93600CD-GX</v>
      </c>
      <c r="B85" s="7">
        <f>IFERROR(__xludf.DUMMYFUNCTION("""COMPUTED_VALUE"""),118659.89)</f>
        <v>118659.89</v>
      </c>
      <c r="C85" s="6"/>
      <c r="D85" s="7">
        <f t="shared" si="1"/>
        <v>118659.89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8"/>
      <c r="W85" s="6"/>
    </row>
    <row r="86">
      <c r="A86" s="6" t="str">
        <f>IFERROR(__xludf.DUMMYFUNCTION("""COMPUTED_VALUE"""),"N9K-C93180YC-FX3")</f>
        <v>N9K-C93180YC-FX3</v>
      </c>
      <c r="B86" s="7">
        <f>IFERROR(__xludf.DUMMYFUNCTION("""COMPUTED_VALUE"""),69697.92)</f>
        <v>69697.92</v>
      </c>
      <c r="C86" s="9"/>
      <c r="D86" s="7">
        <f t="shared" si="1"/>
        <v>69697.92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8"/>
      <c r="W86" s="6"/>
    </row>
    <row r="87">
      <c r="A87" s="6" t="str">
        <f>IFERROR(__xludf.DUMMYFUNCTION("""COMPUTED_VALUE"""),"N9K-C9348GC-FX3")</f>
        <v>N9K-C9348GC-FX3</v>
      </c>
      <c r="B87" s="7">
        <f>IFERROR(__xludf.DUMMYFUNCTION("""COMPUTED_VALUE"""),30084.92)</f>
        <v>30084.92</v>
      </c>
      <c r="C87" s="6"/>
      <c r="D87" s="7">
        <f t="shared" si="1"/>
        <v>30084.92</v>
      </c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8"/>
      <c r="W87" s="6"/>
    </row>
    <row r="88">
      <c r="A88" s="6" t="str">
        <f>IFERROR(__xludf.DUMMYFUNCTION("""COMPUTED_VALUE"""),"QSFP-100G-LR-S=")</f>
        <v>QSFP-100G-LR-S=</v>
      </c>
      <c r="B88" s="7">
        <f>IFERROR(__xludf.DUMMYFUNCTION("""COMPUTED_VALUE"""),4130.83)</f>
        <v>4130.83</v>
      </c>
      <c r="C88" s="6"/>
      <c r="D88" s="7">
        <f t="shared" si="1"/>
        <v>4130.83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8"/>
      <c r="W88" s="6"/>
    </row>
    <row r="89">
      <c r="A89" s="6" t="str">
        <f>IFERROR(__xludf.DUMMYFUNCTION("""COMPUTED_VALUE"""),"C1161X-8P")</f>
        <v>C1161X-8P</v>
      </c>
      <c r="B89" s="7">
        <f>IFERROR(__xludf.DUMMYFUNCTION("""COMPUTED_VALUE"""),10544.189999999999)</f>
        <v>10544.19</v>
      </c>
      <c r="C89" s="7">
        <f>IFERROR(__xludf.DUMMYFUNCTION("""COMPUTED_VALUE"""),26500.0)</f>
        <v>26500</v>
      </c>
      <c r="D89" s="7">
        <f t="shared" si="1"/>
        <v>26500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8"/>
      <c r="W89" s="6"/>
    </row>
    <row r="90">
      <c r="A90" s="6" t="str">
        <f>IFERROR(__xludf.DUMMYFUNCTION("""COMPUTED_VALUE"""),"C1127-8PLTEP")</f>
        <v>C1127-8PLTEP</v>
      </c>
      <c r="B90" s="7">
        <f>IFERROR(__xludf.DUMMYFUNCTION("""COMPUTED_VALUE"""),9119.72)</f>
        <v>9119.72</v>
      </c>
      <c r="C90" s="7">
        <f>IFERROR(__xludf.DUMMYFUNCTION("""COMPUTED_VALUE"""),32500.0)</f>
        <v>32500</v>
      </c>
      <c r="D90" s="7">
        <f t="shared" si="1"/>
        <v>32500</v>
      </c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8"/>
      <c r="W90" s="6"/>
    </row>
    <row r="91">
      <c r="A91" s="6" t="str">
        <f>IFERROR(__xludf.DUMMYFUNCTION("""COMPUTED_VALUE"""),"C1117-4P")</f>
        <v>C1117-4P</v>
      </c>
      <c r="B91" s="7">
        <f>IFERROR(__xludf.DUMMYFUNCTION("""COMPUTED_VALUE"""),8670.439999999999)</f>
        <v>8670.44</v>
      </c>
      <c r="C91" s="7">
        <f>IFERROR(__xludf.DUMMYFUNCTION("""COMPUTED_VALUE"""),192000.0)</f>
        <v>192000</v>
      </c>
      <c r="D91" s="7">
        <f t="shared" si="1"/>
        <v>192000</v>
      </c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8"/>
      <c r="W91" s="6"/>
    </row>
    <row r="92">
      <c r="A92" s="6" t="str">
        <f>IFERROR(__xludf.DUMMYFUNCTION("""COMPUTED_VALUE"""),"C1109-4PLTE2P")</f>
        <v>C1109-4PLTE2P</v>
      </c>
      <c r="B92" s="7">
        <f>IFERROR(__xludf.DUMMYFUNCTION("""COMPUTED_VALUE"""),9255.74)</f>
        <v>9255.74</v>
      </c>
      <c r="C92" s="6"/>
      <c r="D92" s="7">
        <f t="shared" si="1"/>
        <v>9255.74</v>
      </c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8"/>
      <c r="W92" s="6"/>
    </row>
    <row r="93">
      <c r="A93" s="6" t="str">
        <f>IFERROR(__xludf.DUMMYFUNCTION("""COMPUTED_VALUE"""),"C1161-8P")</f>
        <v>C1161-8P</v>
      </c>
      <c r="B93" s="7">
        <f>IFERROR(__xludf.DUMMYFUNCTION("""COMPUTED_VALUE"""),9295.63)</f>
        <v>9295.63</v>
      </c>
      <c r="C93" s="6"/>
      <c r="D93" s="7">
        <f t="shared" si="1"/>
        <v>9295.63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8"/>
      <c r="W93" s="6"/>
    </row>
    <row r="94">
      <c r="A94" s="6" t="str">
        <f>IFERROR(__xludf.DUMMYFUNCTION("""COMPUTED_VALUE"""),"C1131-8PWS")</f>
        <v>C1131-8PWS</v>
      </c>
      <c r="B94" s="7">
        <f>IFERROR(__xludf.DUMMYFUNCTION("""COMPUTED_VALUE"""),9167.72)</f>
        <v>9167.72</v>
      </c>
      <c r="C94" s="6"/>
      <c r="D94" s="7">
        <f t="shared" si="1"/>
        <v>9167.72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8"/>
      <c r="W94" s="6"/>
    </row>
    <row r="95">
      <c r="A95" s="6" t="str">
        <f>IFERROR(__xludf.DUMMYFUNCTION("""COMPUTED_VALUE"""),"C1131X-8PWS")</f>
        <v>C1131X-8PWS</v>
      </c>
      <c r="B95" s="7">
        <f>IFERROR(__xludf.DUMMYFUNCTION("""COMPUTED_VALUE"""),9409.5)</f>
        <v>9409.5</v>
      </c>
      <c r="C95" s="6"/>
      <c r="D95" s="7">
        <f t="shared" si="1"/>
        <v>9409.5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8"/>
      <c r="W95" s="6"/>
    </row>
    <row r="96">
      <c r="A96" s="6" t="str">
        <f>IFERROR(__xludf.DUMMYFUNCTION("""COMPUTED_VALUE"""),"C1121-4P")</f>
        <v>C1121-4P</v>
      </c>
      <c r="B96" s="7">
        <f>IFERROR(__xludf.DUMMYFUNCTION("""COMPUTED_VALUE"""),8116.299999999999)</f>
        <v>8116.3</v>
      </c>
      <c r="C96" s="6"/>
      <c r="D96" s="7">
        <f t="shared" si="1"/>
        <v>8116.3</v>
      </c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8"/>
      <c r="W96" s="6"/>
    </row>
    <row r="97">
      <c r="A97" s="6" t="str">
        <f>IFERROR(__xludf.DUMMYFUNCTION("""COMPUTED_VALUE"""),"C1121-8P")</f>
        <v>C1121-8P</v>
      </c>
      <c r="B97" s="7">
        <f>IFERROR(__xludf.DUMMYFUNCTION("""COMPUTED_VALUE"""),8446.06)</f>
        <v>8446.06</v>
      </c>
      <c r="C97" s="6"/>
      <c r="D97" s="7">
        <f t="shared" si="1"/>
        <v>8446.06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8"/>
      <c r="W97" s="6"/>
    </row>
    <row r="98">
      <c r="A98" s="6" t="str">
        <f>IFERROR(__xludf.DUMMYFUNCTION("""COMPUTED_VALUE"""),"C1116-4P")</f>
        <v>C1116-4P</v>
      </c>
      <c r="B98" s="7">
        <f>IFERROR(__xludf.DUMMYFUNCTION("""COMPUTED_VALUE"""),8670.439999999999)</f>
        <v>8670.44</v>
      </c>
      <c r="C98" s="6"/>
      <c r="D98" s="7">
        <f t="shared" si="1"/>
        <v>8670.44</v>
      </c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8"/>
      <c r="W98" s="6"/>
    </row>
    <row r="99">
      <c r="A99" s="6" t="str">
        <f>IFERROR(__xludf.DUMMYFUNCTION("""COMPUTED_VALUE"""),"C1112-8P")</f>
        <v>C1112-8P</v>
      </c>
      <c r="B99" s="7">
        <f>IFERROR(__xludf.DUMMYFUNCTION("""COMPUTED_VALUE"""),9786.58)</f>
        <v>9786.58</v>
      </c>
      <c r="C99" s="6"/>
      <c r="D99" s="7">
        <f t="shared" si="1"/>
        <v>9786.58</v>
      </c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8"/>
      <c r="W99" s="6"/>
    </row>
    <row r="100">
      <c r="A100" s="6" t="str">
        <f>IFERROR(__xludf.DUMMYFUNCTION("""COMPUTED_VALUE"""),"C8355-G2 (Default Routing)")</f>
        <v>C8355-G2 (Default Routing)</v>
      </c>
      <c r="B100" s="7">
        <f>IFERROR(__xludf.DUMMYFUNCTION("""COMPUTED_VALUE"""),26043.76)</f>
        <v>26043.76</v>
      </c>
      <c r="C100" s="6"/>
      <c r="D100" s="7">
        <f t="shared" si="1"/>
        <v>26043.76</v>
      </c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8"/>
      <c r="W100" s="6"/>
    </row>
    <row r="101">
      <c r="A101" s="6" t="str">
        <f>IFERROR(__xludf.DUMMYFUNCTION("""COMPUTED_VALUE"""),"C8355-G2 (Adv Routing)")</f>
        <v>C8355-G2 (Adv Routing)</v>
      </c>
      <c r="B101" s="7">
        <f>IFERROR(__xludf.DUMMYFUNCTION("""COMPUTED_VALUE"""),36123.759999999995)</f>
        <v>36123.76</v>
      </c>
      <c r="C101" s="6"/>
      <c r="D101" s="7">
        <f t="shared" si="1"/>
        <v>36123.76</v>
      </c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8"/>
      <c r="W101" s="6"/>
    </row>
    <row r="102">
      <c r="A102" s="6" t="str">
        <f>IFERROR(__xludf.DUMMYFUNCTION("""COMPUTED_VALUE"""),"C8355-G2 (SDWAN)")</f>
        <v>C8355-G2 (SDWAN)</v>
      </c>
      <c r="B102" s="7">
        <f>IFERROR(__xludf.DUMMYFUNCTION("""COMPUTED_VALUE"""),40227.759999999995)</f>
        <v>40227.76</v>
      </c>
      <c r="C102" s="6"/>
      <c r="D102" s="7">
        <f t="shared" si="1"/>
        <v>40227.76</v>
      </c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8"/>
      <c r="W102" s="6"/>
    </row>
    <row r="103">
      <c r="A103" s="6" t="str">
        <f>IFERROR(__xludf.DUMMYFUNCTION("""COMPUTED_VALUE"""),"C8355-G2 (Full Adds On)")</f>
        <v>C8355-G2 (Full Adds On)</v>
      </c>
      <c r="B103" s="7">
        <f>IFERROR(__xludf.DUMMYFUNCTION("""COMPUTED_VALUE"""),42063.759999999995)</f>
        <v>42063.76</v>
      </c>
      <c r="C103" s="6"/>
      <c r="D103" s="7">
        <f t="shared" si="1"/>
        <v>42063.76</v>
      </c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8"/>
      <c r="W103" s="6"/>
    </row>
    <row r="104">
      <c r="A104" s="6" t="str">
        <f>IFERROR(__xludf.DUMMYFUNCTION("""COMPUTED_VALUE"""),"C8375-E-G2 (Default Routing)")</f>
        <v>C8375-E-G2 (Default Routing)</v>
      </c>
      <c r="B104" s="7">
        <f>IFERROR(__xludf.DUMMYFUNCTION("""COMPUTED_VALUE"""),44396.56)</f>
        <v>44396.56</v>
      </c>
      <c r="C104" s="6"/>
      <c r="D104" s="7">
        <f t="shared" si="1"/>
        <v>44396.56</v>
      </c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8"/>
      <c r="W104" s="6"/>
    </row>
    <row r="105">
      <c r="A105" s="6" t="str">
        <f>IFERROR(__xludf.DUMMYFUNCTION("""COMPUTED_VALUE"""),"C8375-E-G2 (Adv Routing)")</f>
        <v>C8375-E-G2 (Adv Routing)</v>
      </c>
      <c r="B105" s="7">
        <f>IFERROR(__xludf.DUMMYFUNCTION("""COMPUTED_VALUE"""),54476.56)</f>
        <v>54476.56</v>
      </c>
      <c r="C105" s="6"/>
      <c r="D105" s="7">
        <f t="shared" si="1"/>
        <v>54476.56</v>
      </c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8"/>
      <c r="W105" s="6"/>
    </row>
    <row r="106">
      <c r="A106" s="6" t="str">
        <f>IFERROR(__xludf.DUMMYFUNCTION("""COMPUTED_VALUE"""),"C8375-E-G2 (SDWAN)")</f>
        <v>C8375-E-G2 (SDWAN)</v>
      </c>
      <c r="B106" s="7">
        <f>IFERROR(__xludf.DUMMYFUNCTION("""COMPUTED_VALUE"""),58580.56)</f>
        <v>58580.56</v>
      </c>
      <c r="C106" s="6"/>
      <c r="D106" s="7">
        <f t="shared" si="1"/>
        <v>58580.56</v>
      </c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8"/>
      <c r="W106" s="6"/>
    </row>
    <row r="107">
      <c r="A107" s="6" t="str">
        <f>IFERROR(__xludf.DUMMYFUNCTION("""COMPUTED_VALUE"""),"C8375-E-G2 (Full Adds On)")</f>
        <v>C8375-E-G2 (Full Adds On)</v>
      </c>
      <c r="B107" s="7">
        <f>IFERROR(__xludf.DUMMYFUNCTION("""COMPUTED_VALUE"""),60416.56)</f>
        <v>60416.56</v>
      </c>
      <c r="C107" s="6"/>
      <c r="D107" s="7">
        <f t="shared" si="1"/>
        <v>60416.56</v>
      </c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8"/>
      <c r="W107" s="6"/>
    </row>
    <row r="108">
      <c r="A108" s="6" t="str">
        <f>IFERROR(__xludf.DUMMYFUNCTION("""COMPUTED_VALUE"""),"C8550-G2 (Default Routing)")</f>
        <v>C8550-G2 (Default Routing)</v>
      </c>
      <c r="B108" s="7">
        <f>IFERROR(__xludf.DUMMYFUNCTION("""COMPUTED_VALUE"""),182038.62)</f>
        <v>182038.62</v>
      </c>
      <c r="C108" s="6"/>
      <c r="D108" s="7">
        <f t="shared" si="1"/>
        <v>182038.62</v>
      </c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8"/>
      <c r="W108" s="6"/>
    </row>
    <row r="109">
      <c r="A109" s="6" t="str">
        <f>IFERROR(__xludf.DUMMYFUNCTION("""COMPUTED_VALUE"""),"C8550-G2 (Adv Routing)")</f>
        <v>C8550-G2 (Adv Routing)</v>
      </c>
      <c r="B109" s="7">
        <f>IFERROR(__xludf.DUMMYFUNCTION("""COMPUTED_VALUE"""),215638.62)</f>
        <v>215638.62</v>
      </c>
      <c r="C109" s="6"/>
      <c r="D109" s="7">
        <f t="shared" si="1"/>
        <v>215638.62</v>
      </c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8"/>
      <c r="W109" s="6"/>
    </row>
    <row r="110">
      <c r="A110" s="6" t="str">
        <f>IFERROR(__xludf.DUMMYFUNCTION("""COMPUTED_VALUE"""),"C8550-G2 (SDWAN)")</f>
        <v>C8550-G2 (SDWAN)</v>
      </c>
      <c r="B110" s="7">
        <f>IFERROR(__xludf.DUMMYFUNCTION("""COMPUTED_VALUE"""),237226.62)</f>
        <v>237226.62</v>
      </c>
      <c r="C110" s="6"/>
      <c r="D110" s="7">
        <f t="shared" si="1"/>
        <v>237226.62</v>
      </c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8"/>
      <c r="W110" s="6"/>
    </row>
    <row r="111">
      <c r="A111" s="6" t="str">
        <f>IFERROR(__xludf.DUMMYFUNCTION("""COMPUTED_VALUE"""),"C8570-G2 (Default Routing)")</f>
        <v>C8570-G2 (Default Routing)</v>
      </c>
      <c r="B111" s="7">
        <f>IFERROR(__xludf.DUMMYFUNCTION("""COMPUTED_VALUE"""),254910.54)</f>
        <v>254910.54</v>
      </c>
      <c r="C111" s="6"/>
      <c r="D111" s="7">
        <f t="shared" si="1"/>
        <v>254910.54</v>
      </c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8"/>
      <c r="W111" s="6"/>
    </row>
    <row r="112">
      <c r="A112" s="6" t="str">
        <f>IFERROR(__xludf.DUMMYFUNCTION("""COMPUTED_VALUE"""),"C8570-G2 (Adv Routing)")</f>
        <v>C8570-G2 (Adv Routing)</v>
      </c>
      <c r="B112" s="7">
        <f>IFERROR(__xludf.DUMMYFUNCTION("""COMPUTED_VALUE"""),288510.54000000004)</f>
        <v>288510.54</v>
      </c>
      <c r="C112" s="6"/>
      <c r="D112" s="7">
        <f t="shared" si="1"/>
        <v>288510.54</v>
      </c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8"/>
      <c r="W112" s="6"/>
    </row>
    <row r="113">
      <c r="A113" s="6" t="str">
        <f>IFERROR(__xludf.DUMMYFUNCTION("""COMPUTED_VALUE"""),"C8570-G2 (SDWAN)")</f>
        <v>C8570-G2 (SDWAN)</v>
      </c>
      <c r="B113" s="7">
        <f>IFERROR(__xludf.DUMMYFUNCTION("""COMPUTED_VALUE"""),310098.54000000004)</f>
        <v>310098.54</v>
      </c>
      <c r="C113" s="6"/>
      <c r="D113" s="7">
        <f t="shared" si="1"/>
        <v>310098.54</v>
      </c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8"/>
      <c r="W113" s="6"/>
    </row>
    <row r="114">
      <c r="A114" s="6" t="str">
        <f>IFERROR(__xludf.DUMMYFUNCTION("""COMPUTED_VALUE"""),"C8455-G2 (Default Routing)")</f>
        <v>C8455-G2 (Default Routing)</v>
      </c>
      <c r="B114" s="7">
        <f>IFERROR(__xludf.DUMMYFUNCTION("""COMPUTED_VALUE"""),60581.28)</f>
        <v>60581.28</v>
      </c>
      <c r="C114" s="6"/>
      <c r="D114" s="7">
        <f t="shared" si="1"/>
        <v>60581.28</v>
      </c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8"/>
      <c r="W114" s="6"/>
    </row>
    <row r="115">
      <c r="A115" s="6" t="str">
        <f>IFERROR(__xludf.DUMMYFUNCTION("""COMPUTED_VALUE"""),"C8455-G2 (Adv Routing)")</f>
        <v>C8455-G2 (Adv Routing)</v>
      </c>
      <c r="B115" s="7">
        <f>IFERROR(__xludf.DUMMYFUNCTION("""COMPUTED_VALUE"""),94181.28)</f>
        <v>94181.28</v>
      </c>
      <c r="C115" s="6"/>
      <c r="D115" s="7">
        <f t="shared" si="1"/>
        <v>94181.28</v>
      </c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8"/>
      <c r="W115" s="6"/>
    </row>
    <row r="116">
      <c r="A116" s="6" t="str">
        <f>IFERROR(__xludf.DUMMYFUNCTION("""COMPUTED_VALUE"""),"C8455-G2 (SDWAN)")</f>
        <v>C8455-G2 (SDWAN)</v>
      </c>
      <c r="B116" s="7">
        <f>IFERROR(__xludf.DUMMYFUNCTION("""COMPUTED_VALUE"""),115769.28)</f>
        <v>115769.28</v>
      </c>
      <c r="C116" s="6"/>
      <c r="D116" s="7">
        <f t="shared" si="1"/>
        <v>115769.28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8"/>
      <c r="W116" s="6"/>
    </row>
    <row r="117">
      <c r="A117" s="6" t="str">
        <f>IFERROR(__xludf.DUMMYFUNCTION("""COMPUTED_VALUE"""),"C8455-G2 (Full Adds On)")</f>
        <v>C8455-G2 (Full Adds On)</v>
      </c>
      <c r="B117" s="7">
        <f>IFERROR(__xludf.DUMMYFUNCTION("""COMPUTED_VALUE"""),119441.28)</f>
        <v>119441.28</v>
      </c>
      <c r="C117" s="6"/>
      <c r="D117" s="7">
        <f t="shared" si="1"/>
        <v>119441.28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8"/>
      <c r="W117" s="6"/>
    </row>
    <row r="118">
      <c r="A118" s="6" t="str">
        <f>IFERROR(__xludf.DUMMYFUNCTION("""COMPUTED_VALUE"""),"C8475-G2 (Default Routing)")</f>
        <v>C8475-G2 (Default Routing)</v>
      </c>
      <c r="B118" s="7">
        <f>IFERROR(__xludf.DUMMYFUNCTION("""COMPUTED_VALUE"""),109166.7)</f>
        <v>109166.7</v>
      </c>
      <c r="C118" s="6"/>
      <c r="D118" s="7">
        <f t="shared" si="1"/>
        <v>109166.7</v>
      </c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8"/>
      <c r="W118" s="6"/>
    </row>
    <row r="119">
      <c r="A119" s="6" t="str">
        <f>IFERROR(__xludf.DUMMYFUNCTION("""COMPUTED_VALUE"""),"C8475-G2 (Adv Routing)")</f>
        <v>C8475-G2 (Adv Routing)</v>
      </c>
      <c r="B119" s="7">
        <f>IFERROR(__xludf.DUMMYFUNCTION("""COMPUTED_VALUE"""),142766.7)</f>
        <v>142766.7</v>
      </c>
      <c r="C119" s="6"/>
      <c r="D119" s="7">
        <f t="shared" si="1"/>
        <v>142766.7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8"/>
      <c r="W119" s="6"/>
    </row>
    <row r="120">
      <c r="A120" s="6" t="str">
        <f>IFERROR(__xludf.DUMMYFUNCTION("""COMPUTED_VALUE"""),"C8475-G2 (SDWAN)")</f>
        <v>C8475-G2 (SDWAN)</v>
      </c>
      <c r="B120" s="7">
        <f>IFERROR(__xludf.DUMMYFUNCTION("""COMPUTED_VALUE"""),164354.7)</f>
        <v>164354.7</v>
      </c>
      <c r="C120" s="6"/>
      <c r="D120" s="7">
        <f t="shared" si="1"/>
        <v>164354.7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8"/>
      <c r="W120" s="6"/>
    </row>
    <row r="121">
      <c r="A121" s="6" t="str">
        <f>IFERROR(__xludf.DUMMYFUNCTION("""COMPUTED_VALUE"""),"C8475-G2 (Full Adds On)")</f>
        <v>C8475-G2 (Full Adds On)</v>
      </c>
      <c r="B121" s="7">
        <f>IFERROR(__xludf.DUMMYFUNCTION("""COMPUTED_VALUE"""),168026.7)</f>
        <v>168026.7</v>
      </c>
      <c r="C121" s="6"/>
      <c r="D121" s="7">
        <f t="shared" si="1"/>
        <v>168026.7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8"/>
      <c r="W121" s="6"/>
    </row>
    <row r="122">
      <c r="A122" s="6" t="str">
        <f>IFERROR(__xludf.DUMMYFUNCTION("""COMPUTED_VALUE"""),"C8235-E-G2 (Default Routing)")</f>
        <v>C8235-E-G2 (Default Routing)</v>
      </c>
      <c r="B122" s="7">
        <f>IFERROR(__xludf.DUMMYFUNCTION("""COMPUTED_VALUE"""),13967.14)</f>
        <v>13967.14</v>
      </c>
      <c r="C122" s="6"/>
      <c r="D122" s="7">
        <f t="shared" si="1"/>
        <v>13967.14</v>
      </c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8"/>
      <c r="W122" s="6"/>
    </row>
    <row r="123">
      <c r="A123" s="6" t="str">
        <f>IFERROR(__xludf.DUMMYFUNCTION("""COMPUTED_VALUE"""),"C8235-E-G2 (Adv Routing)")</f>
        <v>C8235-E-G2 (Adv Routing)</v>
      </c>
      <c r="B123" s="7">
        <f>IFERROR(__xludf.DUMMYFUNCTION("""COMPUTED_VALUE"""),17999.14)</f>
        <v>17999.14</v>
      </c>
      <c r="C123" s="6"/>
      <c r="D123" s="7">
        <f t="shared" si="1"/>
        <v>17999.14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8"/>
      <c r="W123" s="6"/>
    </row>
    <row r="124">
      <c r="A124" s="6" t="str">
        <f>IFERROR(__xludf.DUMMYFUNCTION("""COMPUTED_VALUE"""),"C8235-E-G2 (SDWAN)")</f>
        <v>C8235-E-G2 (SDWAN)</v>
      </c>
      <c r="B124" s="7">
        <f>IFERROR(__xludf.DUMMYFUNCTION("""COMPUTED_VALUE"""),18647.14)</f>
        <v>18647.14</v>
      </c>
      <c r="C124" s="6"/>
      <c r="D124" s="7">
        <f t="shared" si="1"/>
        <v>18647.14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8"/>
      <c r="W124" s="6"/>
    </row>
    <row r="125">
      <c r="A125" s="6" t="str">
        <f>IFERROR(__xludf.DUMMYFUNCTION("""COMPUTED_VALUE"""),"C8235-E-G2 (Full Adds On)")</f>
        <v>C8235-E-G2 (Full Adds On)</v>
      </c>
      <c r="B125" s="7">
        <f>IFERROR(__xludf.DUMMYFUNCTION("""COMPUTED_VALUE"""),19295.14)</f>
        <v>19295.14</v>
      </c>
      <c r="C125" s="6"/>
      <c r="D125" s="7">
        <f t="shared" si="1"/>
        <v>19295.14</v>
      </c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8"/>
      <c r="W125" s="6"/>
    </row>
    <row r="126">
      <c r="A126" s="6" t="str">
        <f>IFERROR(__xludf.DUMMYFUNCTION("""COMPUTED_VALUE"""),"C8231-E-G2 (Default Routing)")</f>
        <v>C8231-E-G2 (Default Routing)</v>
      </c>
      <c r="B126" s="7">
        <f>IFERROR(__xludf.DUMMYFUNCTION("""COMPUTED_VALUE"""),11093.35)</f>
        <v>11093.35</v>
      </c>
      <c r="C126" s="6"/>
      <c r="D126" s="7">
        <f t="shared" si="1"/>
        <v>11093.35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8"/>
      <c r="W126" s="6"/>
    </row>
    <row r="127">
      <c r="A127" s="6" t="str">
        <f>IFERROR(__xludf.DUMMYFUNCTION("""COMPUTED_VALUE"""),"C8231-E-G2 (Adv Routing)")</f>
        <v>C8231-E-G2 (Adv Routing)</v>
      </c>
      <c r="B127" s="7">
        <f>IFERROR(__xludf.DUMMYFUNCTION("""COMPUTED_VALUE"""),15125.35)</f>
        <v>15125.35</v>
      </c>
      <c r="C127" s="6"/>
      <c r="D127" s="7">
        <f t="shared" si="1"/>
        <v>15125.35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8"/>
      <c r="W127" s="6"/>
    </row>
    <row r="128">
      <c r="A128" s="6" t="str">
        <f>IFERROR(__xludf.DUMMYFUNCTION("""COMPUTED_VALUE"""),"C8231-E-G2 (SDWAN)")</f>
        <v>C8231-E-G2 (SDWAN)</v>
      </c>
      <c r="B128" s="7">
        <f>IFERROR(__xludf.DUMMYFUNCTION("""COMPUTED_VALUE"""),15773.35)</f>
        <v>15773.35</v>
      </c>
      <c r="C128" s="6"/>
      <c r="D128" s="7">
        <f t="shared" si="1"/>
        <v>15773.35</v>
      </c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8"/>
      <c r="W128" s="6"/>
    </row>
    <row r="129">
      <c r="A129" s="6" t="str">
        <f>IFERROR(__xludf.DUMMYFUNCTION("""COMPUTED_VALUE"""),"C8231-E-G2 (Full Adds On)")</f>
        <v>C8231-E-G2 (Full Adds On)</v>
      </c>
      <c r="B129" s="7">
        <f>IFERROR(__xludf.DUMMYFUNCTION("""COMPUTED_VALUE"""),16421.35)</f>
        <v>16421.35</v>
      </c>
      <c r="C129" s="6"/>
      <c r="D129" s="7">
        <f t="shared" si="1"/>
        <v>16421.35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8"/>
      <c r="W129" s="6"/>
    </row>
    <row r="130">
      <c r="A130" s="6" t="str">
        <f>IFERROR(__xludf.DUMMYFUNCTION("""COMPUTED_VALUE"""),"C8235-G2 (Default Routing)")</f>
        <v>C8235-G2 (Default Routing)</v>
      </c>
      <c r="B130" s="7">
        <f>IFERROR(__xludf.DUMMYFUNCTION("""COMPUTED_VALUE"""),11149.27)</f>
        <v>11149.27</v>
      </c>
      <c r="C130" s="6"/>
      <c r="D130" s="7">
        <f t="shared" si="1"/>
        <v>11149.27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8"/>
      <c r="W130" s="6"/>
    </row>
    <row r="131">
      <c r="A131" s="6" t="str">
        <f>IFERROR(__xludf.DUMMYFUNCTION("""COMPUTED_VALUE"""),"C8235-G2 (Adv Routing)")</f>
        <v>C8235-G2 (Adv Routing)</v>
      </c>
      <c r="B131" s="7">
        <f>IFERROR(__xludf.DUMMYFUNCTION("""COMPUTED_VALUE"""),15181.27)</f>
        <v>15181.27</v>
      </c>
      <c r="C131" s="6"/>
      <c r="D131" s="7">
        <f t="shared" si="1"/>
        <v>15181.27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8"/>
      <c r="W131" s="6"/>
    </row>
    <row r="132">
      <c r="A132" s="6" t="str">
        <f>IFERROR(__xludf.DUMMYFUNCTION("""COMPUTED_VALUE"""),"C8235-G2 (SDWAN)")</f>
        <v>C8235-G2 (SDWAN)</v>
      </c>
      <c r="B132" s="7">
        <f>IFERROR(__xludf.DUMMYFUNCTION("""COMPUTED_VALUE"""),15829.27)</f>
        <v>15829.27</v>
      </c>
      <c r="C132" s="6"/>
      <c r="D132" s="7">
        <f t="shared" si="1"/>
        <v>15829.27</v>
      </c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8"/>
      <c r="W132" s="6"/>
    </row>
    <row r="133">
      <c r="A133" s="6" t="str">
        <f>IFERROR(__xludf.DUMMYFUNCTION("""COMPUTED_VALUE"""),"C8235-G2 (Full Adds On)")</f>
        <v>C8235-G2 (Full Adds On)</v>
      </c>
      <c r="B133" s="7">
        <f>IFERROR(__xludf.DUMMYFUNCTION("""COMPUTED_VALUE"""),16477.27)</f>
        <v>16477.27</v>
      </c>
      <c r="C133" s="6"/>
      <c r="D133" s="7">
        <f t="shared" si="1"/>
        <v>16477.27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8"/>
      <c r="W133" s="6"/>
    </row>
    <row r="134">
      <c r="A134" s="6" t="str">
        <f>IFERROR(__xludf.DUMMYFUNCTION("""COMPUTED_VALUE"""),"C8231-G2 (Default Routing)")</f>
        <v>C8231-G2 (Default Routing)</v>
      </c>
      <c r="B134" s="7">
        <f>IFERROR(__xludf.DUMMYFUNCTION("""COMPUTED_VALUE"""),6976.88)</f>
        <v>6976.88</v>
      </c>
      <c r="C134" s="6"/>
      <c r="D134" s="7">
        <f t="shared" si="1"/>
        <v>6976.88</v>
      </c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8"/>
      <c r="W134" s="6"/>
    </row>
    <row r="135">
      <c r="A135" s="6" t="str">
        <f>IFERROR(__xludf.DUMMYFUNCTION("""COMPUTED_VALUE"""),"C8231-G2 (Adv Routing)")</f>
        <v>C8231-G2 (Adv Routing)</v>
      </c>
      <c r="B135" s="7">
        <f>IFERROR(__xludf.DUMMYFUNCTION("""COMPUTED_VALUE"""),11008.880000000001)</f>
        <v>11008.88</v>
      </c>
      <c r="C135" s="6"/>
      <c r="D135" s="7">
        <f t="shared" si="1"/>
        <v>11008.88</v>
      </c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8"/>
      <c r="W135" s="6"/>
    </row>
    <row r="136">
      <c r="A136" s="6" t="str">
        <f>IFERROR(__xludf.DUMMYFUNCTION("""COMPUTED_VALUE"""),"C8231-G2 (SDWAN)")</f>
        <v>C8231-G2 (SDWAN)</v>
      </c>
      <c r="B136" s="7">
        <f>IFERROR(__xludf.DUMMYFUNCTION("""COMPUTED_VALUE"""),11656.880000000001)</f>
        <v>11656.88</v>
      </c>
      <c r="C136" s="6"/>
      <c r="D136" s="7">
        <f t="shared" si="1"/>
        <v>11656.88</v>
      </c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8"/>
      <c r="W136" s="6"/>
    </row>
    <row r="137">
      <c r="A137" s="6" t="str">
        <f>IFERROR(__xludf.DUMMYFUNCTION("""COMPUTED_VALUE"""),"C8231-G2 (Full Adds On)")</f>
        <v>C8231-G2 (Full Adds On)</v>
      </c>
      <c r="B137" s="7">
        <f>IFERROR(__xludf.DUMMYFUNCTION("""COMPUTED_VALUE"""),12304.880000000001)</f>
        <v>12304.88</v>
      </c>
      <c r="C137" s="6"/>
      <c r="D137" s="7">
        <f t="shared" si="1"/>
        <v>12304.88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8"/>
      <c r="W137" s="6"/>
    </row>
    <row r="138">
      <c r="A138" s="6" t="str">
        <f>IFERROR(__xludf.DUMMYFUNCTION("""COMPUTED_VALUE"""),"C8130-G2 (Default Routing)")</f>
        <v>C8130-G2 (Default Routing)</v>
      </c>
      <c r="B138" s="7">
        <f>IFERROR(__xludf.DUMMYFUNCTION("""COMPUTED_VALUE"""),2222.15)</f>
        <v>2222.15</v>
      </c>
      <c r="C138" s="6"/>
      <c r="D138" s="7">
        <f t="shared" si="1"/>
        <v>2222.15</v>
      </c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8"/>
      <c r="W138" s="6"/>
    </row>
    <row r="139">
      <c r="A139" s="6" t="str">
        <f>IFERROR(__xludf.DUMMYFUNCTION("""COMPUTED_VALUE"""),"C8130-G2 (Adv Routing)")</f>
        <v>C8130-G2 (Adv Routing)</v>
      </c>
      <c r="B139" s="7">
        <f>IFERROR(__xludf.DUMMYFUNCTION("""COMPUTED_VALUE"""),3902.15)</f>
        <v>3902.15</v>
      </c>
      <c r="C139" s="6"/>
      <c r="D139" s="7">
        <f t="shared" si="1"/>
        <v>3902.15</v>
      </c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8"/>
      <c r="W139" s="6"/>
    </row>
    <row r="140">
      <c r="A140" s="6" t="str">
        <f>IFERROR(__xludf.DUMMYFUNCTION("""COMPUTED_VALUE"""),"C8131-G2 (Default Routing)")</f>
        <v>C8131-G2 (Default Routing)</v>
      </c>
      <c r="B140" s="7">
        <f>IFERROR(__xludf.DUMMYFUNCTION("""COMPUTED_VALUE"""),2688.89)</f>
        <v>2688.89</v>
      </c>
      <c r="C140" s="6"/>
      <c r="D140" s="7">
        <f t="shared" si="1"/>
        <v>2688.89</v>
      </c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8"/>
      <c r="W140" s="6"/>
    </row>
    <row r="141">
      <c r="A141" s="6" t="str">
        <f>IFERROR(__xludf.DUMMYFUNCTION("""COMPUTED_VALUE"""),"C8131-G2 (Adv Routing)")</f>
        <v>C8131-G2 (Adv Routing)</v>
      </c>
      <c r="B141" s="7">
        <f>IFERROR(__xludf.DUMMYFUNCTION("""COMPUTED_VALUE"""),4368.889999999999)</f>
        <v>4368.89</v>
      </c>
      <c r="C141" s="6"/>
      <c r="D141" s="7">
        <f t="shared" si="1"/>
        <v>4368.89</v>
      </c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8"/>
      <c r="W141" s="6"/>
    </row>
    <row r="142">
      <c r="A142" s="6" t="str">
        <f>IFERROR(__xludf.DUMMYFUNCTION("""COMPUTED_VALUE"""),"C8131-G2 (SDWAN)")</f>
        <v>C8131-G2 (SDWAN)</v>
      </c>
      <c r="B142" s="7">
        <f>IFERROR(__xludf.DUMMYFUNCTION("""COMPUTED_VALUE"""),4704.889999999999)</f>
        <v>4704.89</v>
      </c>
      <c r="C142" s="6"/>
      <c r="D142" s="7">
        <f t="shared" si="1"/>
        <v>4704.89</v>
      </c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8"/>
      <c r="W142" s="6"/>
    </row>
    <row r="143">
      <c r="A143" s="6" t="str">
        <f>IFERROR(__xludf.DUMMYFUNCTION("""COMPUTED_VALUE"""),"C8131-G2 (Full Adds On)")</f>
        <v>C8131-G2 (Full Adds On)</v>
      </c>
      <c r="B143" s="7">
        <f>IFERROR(__xludf.DUMMYFUNCTION("""COMPUTED_VALUE"""),5028.889999999999)</f>
        <v>5028.89</v>
      </c>
      <c r="C143" s="6"/>
      <c r="D143" s="7">
        <f t="shared" si="1"/>
        <v>5028.89</v>
      </c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8"/>
      <c r="W143" s="6"/>
    </row>
    <row r="144">
      <c r="A144" s="6" t="str">
        <f>IFERROR(__xludf.DUMMYFUNCTION("""COMPUTED_VALUE"""),"C8140-G2 (Default Routing)")</f>
        <v>C8140-G2 (Default Routing)</v>
      </c>
      <c r="B144" s="7">
        <f>IFERROR(__xludf.DUMMYFUNCTION("""COMPUTED_VALUE"""),2692.95)</f>
        <v>2692.95</v>
      </c>
      <c r="C144" s="6"/>
      <c r="D144" s="7">
        <f t="shared" si="1"/>
        <v>2692.95</v>
      </c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8"/>
      <c r="W144" s="6"/>
    </row>
    <row r="145">
      <c r="A145" s="6" t="str">
        <f>IFERROR(__xludf.DUMMYFUNCTION("""COMPUTED_VALUE"""),"C8140-G2 (Adv Routing)")</f>
        <v>C8140-G2 (Adv Routing)</v>
      </c>
      <c r="B145" s="7">
        <f>IFERROR(__xludf.DUMMYFUNCTION("""COMPUTED_VALUE"""),4372.95)</f>
        <v>4372.95</v>
      </c>
      <c r="C145" s="6"/>
      <c r="D145" s="7">
        <f t="shared" si="1"/>
        <v>4372.95</v>
      </c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8"/>
      <c r="W145" s="6"/>
    </row>
    <row r="146">
      <c r="A146" s="6" t="str">
        <f>IFERROR(__xludf.DUMMYFUNCTION("""COMPUTED_VALUE"""),"C8151-G2 (Default Routing)")</f>
        <v>C8151-G2 (Default Routing)</v>
      </c>
      <c r="B146" s="7">
        <f>IFERROR(__xludf.DUMMYFUNCTION("""COMPUTED_VALUE"""),3477.61)</f>
        <v>3477.61</v>
      </c>
      <c r="C146" s="6"/>
      <c r="D146" s="7">
        <f t="shared" si="1"/>
        <v>3477.61</v>
      </c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8"/>
      <c r="W146" s="6"/>
    </row>
    <row r="147">
      <c r="A147" s="6" t="str">
        <f>IFERROR(__xludf.DUMMYFUNCTION("""COMPUTED_VALUE"""),"C8151-G2 (Adv Routing)")</f>
        <v>C8151-G2 (Adv Routing)</v>
      </c>
      <c r="B147" s="7">
        <f>IFERROR(__xludf.DUMMYFUNCTION("""COMPUTED_VALUE"""),5157.610000000001)</f>
        <v>5157.61</v>
      </c>
      <c r="C147" s="6"/>
      <c r="D147" s="7">
        <f t="shared" si="1"/>
        <v>5157.61</v>
      </c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8"/>
      <c r="W147" s="6"/>
    </row>
    <row r="148">
      <c r="A148" s="6" t="str">
        <f>IFERROR(__xludf.DUMMYFUNCTION("""COMPUTED_VALUE"""),"C8151-G2 (SDWAN)")</f>
        <v>C8151-G2 (SDWAN)</v>
      </c>
      <c r="B148" s="7">
        <f>IFERROR(__xludf.DUMMYFUNCTION("""COMPUTED_VALUE"""),5493.610000000001)</f>
        <v>5493.61</v>
      </c>
      <c r="C148" s="6"/>
      <c r="D148" s="7">
        <f t="shared" si="1"/>
        <v>5493.61</v>
      </c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8"/>
      <c r="W148" s="6"/>
    </row>
    <row r="149">
      <c r="A149" s="6" t="str">
        <f>IFERROR(__xludf.DUMMYFUNCTION("""COMPUTED_VALUE"""),"C8151-G2 (Full Adds On)")</f>
        <v>C8151-G2 (Full Adds On)</v>
      </c>
      <c r="B149" s="7">
        <f>IFERROR(__xludf.DUMMYFUNCTION("""COMPUTED_VALUE"""),5817.610000000001)</f>
        <v>5817.61</v>
      </c>
      <c r="C149" s="6"/>
      <c r="D149" s="7">
        <f t="shared" si="1"/>
        <v>5817.61</v>
      </c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8"/>
      <c r="W149" s="6"/>
    </row>
    <row r="150">
      <c r="A150" s="6" t="str">
        <f>IFERROR(__xludf.DUMMYFUNCTION("""COMPUTED_VALUE"""),"C8161-G2 (Default Routing)")</f>
        <v>C8161-G2 (Default Routing)</v>
      </c>
      <c r="B150" s="7">
        <f>IFERROR(__xludf.DUMMYFUNCTION("""COMPUTED_VALUE"""),4101.2)</f>
        <v>4101.2</v>
      </c>
      <c r="C150" s="6"/>
      <c r="D150" s="7">
        <f t="shared" si="1"/>
        <v>4101.2</v>
      </c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8"/>
      <c r="W150" s="6"/>
    </row>
    <row r="151">
      <c r="A151" s="6" t="str">
        <f>IFERROR(__xludf.DUMMYFUNCTION("""COMPUTED_VALUE"""),"C8161-G2 (Adv Routing)")</f>
        <v>C8161-G2 (Adv Routing)</v>
      </c>
      <c r="B151" s="7">
        <f>IFERROR(__xludf.DUMMYFUNCTION("""COMPUTED_VALUE"""),5781.2)</f>
        <v>5781.2</v>
      </c>
      <c r="C151" s="6"/>
      <c r="D151" s="7">
        <f t="shared" si="1"/>
        <v>5781.2</v>
      </c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8"/>
      <c r="W151" s="6"/>
    </row>
    <row r="152">
      <c r="A152" s="6" t="str">
        <f>IFERROR(__xludf.DUMMYFUNCTION("""COMPUTED_VALUE"""),"C8161-G2 (SDWAN)")</f>
        <v>C8161-G2 (SDWAN)</v>
      </c>
      <c r="B152" s="7">
        <f>IFERROR(__xludf.DUMMYFUNCTION("""COMPUTED_VALUE"""),6117.2)</f>
        <v>6117.2</v>
      </c>
      <c r="C152" s="6"/>
      <c r="D152" s="7">
        <f t="shared" si="1"/>
        <v>6117.2</v>
      </c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8"/>
      <c r="W152" s="6"/>
    </row>
    <row r="153">
      <c r="A153" s="6" t="str">
        <f>IFERROR(__xludf.DUMMYFUNCTION("""COMPUTED_VALUE"""),"C8161-G2 (Full Adds On)")</f>
        <v>C8161-G2 (Full Adds On)</v>
      </c>
      <c r="B153" s="7">
        <f>IFERROR(__xludf.DUMMYFUNCTION("""COMPUTED_VALUE"""),6441.2)</f>
        <v>6441.2</v>
      </c>
      <c r="C153" s="6"/>
      <c r="D153" s="7">
        <f t="shared" si="1"/>
        <v>6441.2</v>
      </c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8"/>
      <c r="W153" s="6"/>
    </row>
    <row r="154">
      <c r="A154" s="6" t="str">
        <f>IFERROR(__xludf.DUMMYFUNCTION("""COMPUTED_VALUE"""),"100GQSFP-LR4-4=")</f>
        <v>100GQSFP-LR4-4=</v>
      </c>
      <c r="B154" s="7">
        <f>IFERROR(__xludf.DUMMYFUNCTION("""COMPUTED_VALUE"""),36510.54)</f>
        <v>36510.54</v>
      </c>
      <c r="C154" s="6"/>
      <c r="D154" s="7">
        <f t="shared" si="1"/>
        <v>36510.54</v>
      </c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8"/>
      <c r="W154" s="6"/>
    </row>
    <row r="155">
      <c r="A155" s="6" t="str">
        <f>IFERROR(__xludf.DUMMYFUNCTION("""COMPUTED_VALUE"""),"QSFP-100G-ER4L-S=")</f>
        <v>QSFP-100G-ER4L-S=</v>
      </c>
      <c r="B155" s="7">
        <f>IFERROR(__xludf.DUMMYFUNCTION("""COMPUTED_VALUE"""),91270.27)</f>
        <v>91270.27</v>
      </c>
      <c r="C155" s="6"/>
      <c r="D155" s="7">
        <f t="shared" si="1"/>
        <v>91270.27</v>
      </c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8"/>
      <c r="W155" s="6"/>
    </row>
    <row r="156">
      <c r="A156" s="6" t="str">
        <f>IFERROR(__xludf.DUMMYFUNCTION("""COMPUTED_VALUE"""),"QSFP-100G-ZR4-S=")</f>
        <v>QSFP-100G-ZR4-S=</v>
      </c>
      <c r="B156" s="7">
        <f>IFERROR(__xludf.DUMMYFUNCTION("""COMPUTED_VALUE"""),36190.0)</f>
        <v>36190</v>
      </c>
      <c r="C156" s="6"/>
      <c r="D156" s="7">
        <f t="shared" si="1"/>
        <v>36190</v>
      </c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8"/>
      <c r="W156" s="6"/>
    </row>
    <row r="157">
      <c r="A157" s="6" t="str">
        <f>IFERROR(__xludf.DUMMYFUNCTION("""COMPUTED_VALUE"""),"SFP-10G-SR=")</f>
        <v>SFP-10G-SR=</v>
      </c>
      <c r="B157" s="7">
        <f>IFERROR(__xludf.DUMMYFUNCTION("""COMPUTED_VALUE"""),1210.94)</f>
        <v>1210.94</v>
      </c>
      <c r="C157" s="6"/>
      <c r="D157" s="7">
        <f t="shared" si="1"/>
        <v>1210.94</v>
      </c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8"/>
      <c r="W157" s="6"/>
    </row>
    <row r="158">
      <c r="A158" s="6" t="str">
        <f>IFERROR(__xludf.DUMMYFUNCTION("""COMPUTED_VALUE"""),"SFP-10G-LR=")</f>
        <v>SFP-10G-LR=</v>
      </c>
      <c r="B158" s="7">
        <f>IFERROR(__xludf.DUMMYFUNCTION("""COMPUTED_VALUE"""),4861.99)</f>
        <v>4861.99</v>
      </c>
      <c r="C158" s="6"/>
      <c r="D158" s="7">
        <f t="shared" si="1"/>
        <v>4861.99</v>
      </c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8"/>
      <c r="W158" s="6"/>
    </row>
    <row r="159">
      <c r="A159" s="6" t="str">
        <f>IFERROR(__xludf.DUMMYFUNCTION("""COMPUTED_VALUE"""),"SFP-10G-ER=")</f>
        <v>SFP-10G-ER=</v>
      </c>
      <c r="B159" s="7">
        <f>IFERROR(__xludf.DUMMYFUNCTION("""COMPUTED_VALUE"""),12170.18)</f>
        <v>12170.18</v>
      </c>
      <c r="C159" s="6"/>
      <c r="D159" s="7">
        <f t="shared" si="1"/>
        <v>12170.18</v>
      </c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8"/>
      <c r="W159" s="6"/>
    </row>
    <row r="160">
      <c r="A160" s="6" t="str">
        <f>IFERROR(__xludf.DUMMYFUNCTION("""COMPUTED_VALUE"""),"SFP-10G-ZR=")</f>
        <v>SFP-10G-ZR=</v>
      </c>
      <c r="B160" s="7">
        <f>IFERROR(__xludf.DUMMYFUNCTION("""COMPUTED_VALUE"""),19472.29)</f>
        <v>19472.29</v>
      </c>
      <c r="C160" s="6"/>
      <c r="D160" s="7">
        <f t="shared" si="1"/>
        <v>19472.29</v>
      </c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8"/>
      <c r="W160" s="6"/>
    </row>
    <row r="161">
      <c r="A161" s="6" t="str">
        <f>IFERROR(__xludf.DUMMYFUNCTION("""COMPUTED_VALUE"""),"GLC-LH-SMD=")</f>
        <v>GLC-LH-SMD=</v>
      </c>
      <c r="B161" s="7">
        <f>IFERROR(__xludf.DUMMYFUNCTION("""COMPUTED_VALUE"""),1210.94)</f>
        <v>1210.94</v>
      </c>
      <c r="C161" s="6"/>
      <c r="D161" s="7">
        <f t="shared" si="1"/>
        <v>1210.94</v>
      </c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8"/>
      <c r="W161" s="6"/>
    </row>
    <row r="162">
      <c r="A162" s="6" t="str">
        <f>IFERROR(__xludf.DUMMYFUNCTION("""COMPUTED_VALUE"""),"GLC-EX-SMD=")</f>
        <v>GLC-EX-SMD=</v>
      </c>
      <c r="B162" s="7">
        <f>IFERROR(__xludf.DUMMYFUNCTION("""COMPUTED_VALUE"""),2427.96)</f>
        <v>2427.96</v>
      </c>
      <c r="C162" s="6"/>
      <c r="D162" s="7">
        <f t="shared" si="1"/>
        <v>2427.96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8"/>
      <c r="W162" s="6"/>
    </row>
    <row r="163">
      <c r="A163" s="6" t="str">
        <f>IFERROR(__xludf.DUMMYFUNCTION("""COMPUTED_VALUE"""),"GLC-ZX-SMD=")</f>
        <v>GLC-ZX-SMD=</v>
      </c>
      <c r="B163" s="7">
        <f>IFERROR(__xludf.DUMMYFUNCTION("""COMPUTED_VALUE"""),4861.99)</f>
        <v>4861.99</v>
      </c>
      <c r="C163" s="6"/>
      <c r="D163" s="7">
        <f t="shared" si="1"/>
        <v>4861.99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8"/>
      <c r="W163" s="6"/>
    </row>
    <row r="164">
      <c r="A164" s="6" t="str">
        <f>IFERROR(__xludf.DUMMYFUNCTION("""COMPUTED_VALUE"""),"GLC-TE=")</f>
        <v>GLC-TE=</v>
      </c>
      <c r="B164" s="7">
        <f>IFERROR(__xludf.DUMMYFUNCTION("""COMPUTED_VALUE"""),547.66)</f>
        <v>547.66</v>
      </c>
      <c r="C164" s="6"/>
      <c r="D164" s="7">
        <f t="shared" si="1"/>
        <v>547.66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8"/>
      <c r="W164" s="6"/>
    </row>
    <row r="165">
      <c r="A165" s="6" t="str">
        <f>IFERROR(__xludf.DUMMYFUNCTION("""COMPUTED_VALUE"""),"SFP-10G-SR-S=")</f>
        <v>SFP-10G-SR-S=</v>
      </c>
      <c r="B165" s="7">
        <f>IFERROR(__xludf.DUMMYFUNCTION("""COMPUTED_VALUE"""),851.91)</f>
        <v>851.91</v>
      </c>
      <c r="C165" s="6"/>
      <c r="D165" s="7">
        <f t="shared" si="1"/>
        <v>851.91</v>
      </c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8"/>
      <c r="W165" s="6"/>
    </row>
    <row r="166">
      <c r="A166" s="6" t="str">
        <f>IFERROR(__xludf.DUMMYFUNCTION("""COMPUTED_VALUE"""),"SFP-10G-LR-S=")</f>
        <v>SFP-10G-LR-S=</v>
      </c>
      <c r="B166" s="7">
        <f>IFERROR(__xludf.DUMMYFUNCTION("""COMPUTED_VALUE"""),2434.04)</f>
        <v>2434.04</v>
      </c>
      <c r="C166" s="6"/>
      <c r="D166" s="7">
        <f t="shared" si="1"/>
        <v>2434.04</v>
      </c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8"/>
      <c r="W166" s="6"/>
    </row>
    <row r="167">
      <c r="A167" s="6" t="str">
        <f>IFERROR(__xludf.DUMMYFUNCTION("""COMPUTED_VALUE"""),"SFP-10G-ER-S=")</f>
        <v>SFP-10G-ER-S=</v>
      </c>
      <c r="B167" s="7">
        <f>IFERROR(__xludf.DUMMYFUNCTION("""COMPUTED_VALUE"""),9614.44)</f>
        <v>9614.44</v>
      </c>
      <c r="C167" s="6"/>
      <c r="D167" s="7">
        <f t="shared" si="1"/>
        <v>9614.44</v>
      </c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8"/>
      <c r="W167" s="6"/>
    </row>
    <row r="168">
      <c r="A168" s="6" t="str">
        <f>IFERROR(__xludf.DUMMYFUNCTION("""COMPUTED_VALUE"""),"SFP-10G-ZR-S=")</f>
        <v>SFP-10G-ZR-S=</v>
      </c>
      <c r="B168" s="7">
        <f>IFERROR(__xludf.DUMMYFUNCTION("""COMPUTED_VALUE"""),13265.5)</f>
        <v>13265.5</v>
      </c>
      <c r="C168" s="6"/>
      <c r="D168" s="7">
        <f t="shared" si="1"/>
        <v>13265.5</v>
      </c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8"/>
      <c r="W168" s="6"/>
    </row>
    <row r="169">
      <c r="A169" s="6" t="str">
        <f>IFERROR(__xludf.DUMMYFUNCTION("""COMPUTED_VALUE"""),"GLC-SX-MMD=")</f>
        <v>GLC-SX-MMD=</v>
      </c>
      <c r="B169" s="7">
        <f>IFERROR(__xludf.DUMMYFUNCTION("""COMPUTED_VALUE"""),608.51)</f>
        <v>608.51</v>
      </c>
      <c r="C169" s="6"/>
      <c r="D169" s="7">
        <f t="shared" si="1"/>
        <v>608.51</v>
      </c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8"/>
      <c r="W169" s="6"/>
    </row>
    <row r="170">
      <c r="A170" s="6" t="str">
        <f>IFERROR(__xludf.DUMMYFUNCTION("""COMPUTED_VALUE"""),"C9136I")</f>
        <v>C9136I</v>
      </c>
      <c r="B170" s="7">
        <f>IFERROR(__xludf.DUMMYFUNCTION("""COMPUTED_VALUE"""),5585.79)</f>
        <v>5585.79</v>
      </c>
      <c r="C170" s="6"/>
      <c r="D170" s="7">
        <f t="shared" si="1"/>
        <v>5585.79</v>
      </c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8"/>
      <c r="W170" s="6"/>
    </row>
    <row r="171">
      <c r="A171" s="6" t="str">
        <f>IFERROR(__xludf.DUMMYFUNCTION("""COMPUTED_VALUE"""),"CW9162I")</f>
        <v>CW9162I</v>
      </c>
      <c r="B171" s="7">
        <f>IFERROR(__xludf.DUMMYFUNCTION("""COMPUTED_VALUE"""),3076.63)</f>
        <v>3076.63</v>
      </c>
      <c r="C171" s="6"/>
      <c r="D171" s="7">
        <f t="shared" si="1"/>
        <v>3076.63</v>
      </c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8"/>
      <c r="W171" s="6"/>
    </row>
    <row r="172">
      <c r="A172" s="6" t="str">
        <f>IFERROR(__xludf.DUMMYFUNCTION("""COMPUTED_VALUE"""),"CW9164I")</f>
        <v>CW9164I</v>
      </c>
      <c r="B172" s="7">
        <f>IFERROR(__xludf.DUMMYFUNCTION("""COMPUTED_VALUE"""),4438.98)</f>
        <v>4438.98</v>
      </c>
      <c r="C172" s="6"/>
      <c r="D172" s="7">
        <f t="shared" si="1"/>
        <v>4438.98</v>
      </c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8"/>
      <c r="W172" s="6"/>
    </row>
    <row r="173">
      <c r="A173" s="6" t="str">
        <f>IFERROR(__xludf.DUMMYFUNCTION("""COMPUTED_VALUE"""),"CW9166I")</f>
        <v>CW9166I</v>
      </c>
      <c r="B173" s="7">
        <f>IFERROR(__xludf.DUMMYFUNCTION("""COMPUTED_VALUE"""),4870.07)</f>
        <v>4870.07</v>
      </c>
      <c r="C173" s="6"/>
      <c r="D173" s="7">
        <f t="shared" si="1"/>
        <v>4870.07</v>
      </c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8"/>
      <c r="W173" s="6"/>
    </row>
    <row r="174">
      <c r="A174" s="6" t="str">
        <f>IFERROR(__xludf.DUMMYFUNCTION("""COMPUTED_VALUE"""),"CW9166D1")</f>
        <v>CW9166D1</v>
      </c>
      <c r="B174" s="7">
        <f>IFERROR(__xludf.DUMMYFUNCTION("""COMPUTED_VALUE"""),5301.15)</f>
        <v>5301.15</v>
      </c>
      <c r="C174" s="6"/>
      <c r="D174" s="7">
        <f t="shared" si="1"/>
        <v>5301.15</v>
      </c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8"/>
      <c r="W174" s="6"/>
    </row>
    <row r="175">
      <c r="A175" s="6" t="str">
        <f>IFERROR(__xludf.DUMMYFUNCTION("""COMPUTED_VALUE"""),"CW9172I")</f>
        <v>CW9172I</v>
      </c>
      <c r="B175" s="7">
        <f>IFERROR(__xludf.DUMMYFUNCTION("""COMPUTED_VALUE"""),3173.83)</f>
        <v>3173.83</v>
      </c>
      <c r="C175" s="6"/>
      <c r="D175" s="7">
        <f t="shared" si="1"/>
        <v>3173.83</v>
      </c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8"/>
      <c r="W175" s="6"/>
    </row>
    <row r="176">
      <c r="A176" s="6" t="str">
        <f>IFERROR(__xludf.DUMMYFUNCTION("""COMPUTED_VALUE"""),"CW9172H")</f>
        <v>CW9172H</v>
      </c>
      <c r="B176" s="7">
        <f>IFERROR(__xludf.DUMMYFUNCTION("""COMPUTED_VALUE"""),2870.81)</f>
        <v>2870.81</v>
      </c>
      <c r="C176" s="6"/>
      <c r="D176" s="7">
        <f t="shared" si="1"/>
        <v>2870.81</v>
      </c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8"/>
      <c r="W176" s="6"/>
    </row>
    <row r="177">
      <c r="A177" s="6" t="str">
        <f>IFERROR(__xludf.DUMMYFUNCTION("""COMPUTED_VALUE"""),"CW9176I")</f>
        <v>CW9176I</v>
      </c>
      <c r="B177" s="7">
        <f>IFERROR(__xludf.DUMMYFUNCTION("""COMPUTED_VALUE"""),4982.709999999999)</f>
        <v>4982.71</v>
      </c>
      <c r="C177" s="6"/>
      <c r="D177" s="7">
        <f t="shared" si="1"/>
        <v>4982.71</v>
      </c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8"/>
      <c r="W177" s="6"/>
    </row>
    <row r="178">
      <c r="A178" s="6" t="str">
        <f>IFERROR(__xludf.DUMMYFUNCTION("""COMPUTED_VALUE"""),"CW9176D1")</f>
        <v>CW9176D1</v>
      </c>
      <c r="B178" s="7">
        <f>IFERROR(__xludf.DUMMYFUNCTION("""COMPUTED_VALUE"""),5437.05)</f>
        <v>5437.05</v>
      </c>
      <c r="C178" s="6"/>
      <c r="D178" s="7">
        <f t="shared" si="1"/>
        <v>5437.05</v>
      </c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8"/>
      <c r="W178" s="6"/>
    </row>
    <row r="179">
      <c r="A179" s="6" t="str">
        <f>IFERROR(__xludf.DUMMYFUNCTION("""COMPUTED_VALUE"""),"CW9178I")</f>
        <v>CW9178I</v>
      </c>
      <c r="B179" s="7">
        <f>IFERROR(__xludf.DUMMYFUNCTION("""COMPUTED_VALUE"""),5737.19)</f>
        <v>5737.19</v>
      </c>
      <c r="C179" s="6"/>
      <c r="D179" s="7">
        <f t="shared" si="1"/>
        <v>5737.19</v>
      </c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8"/>
      <c r="W179" s="6"/>
    </row>
    <row r="180">
      <c r="A180" s="6" t="str">
        <f>IFERROR(__xludf.DUMMYFUNCTION("""COMPUTED_VALUE"""),"C9124AXI")</f>
        <v>C9124AXI</v>
      </c>
      <c r="B180" s="7">
        <f>IFERROR(__xludf.DUMMYFUNCTION("""COMPUTED_VALUE"""),6120.74)</f>
        <v>6120.74</v>
      </c>
      <c r="C180" s="6"/>
      <c r="D180" s="7">
        <f t="shared" si="1"/>
        <v>6120.74</v>
      </c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8"/>
      <c r="W180" s="6"/>
    </row>
    <row r="181">
      <c r="A181" s="6" t="str">
        <f>IFERROR(__xludf.DUMMYFUNCTION("""COMPUTED_VALUE"""),"C9124AXD")</f>
        <v>C9124AXD</v>
      </c>
      <c r="B181" s="7">
        <f>IFERROR(__xludf.DUMMYFUNCTION("""COMPUTED_VALUE"""),6448.469999999999)</f>
        <v>6448.47</v>
      </c>
      <c r="C181" s="6"/>
      <c r="D181" s="7">
        <f t="shared" si="1"/>
        <v>6448.47</v>
      </c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8"/>
      <c r="W181" s="6"/>
    </row>
    <row r="182">
      <c r="A182" s="6" t="str">
        <f>IFERROR(__xludf.DUMMYFUNCTION("""COMPUTED_VALUE"""),"C9124AXE")</f>
        <v>C9124AXE</v>
      </c>
      <c r="B182" s="7">
        <f>IFERROR(__xludf.DUMMYFUNCTION("""COMPUTED_VALUE"""),6448.469999999999)</f>
        <v>6448.47</v>
      </c>
      <c r="C182" s="6"/>
      <c r="D182" s="7">
        <f t="shared" si="1"/>
        <v>6448.47</v>
      </c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8"/>
      <c r="W182" s="6"/>
    </row>
    <row r="183">
      <c r="A183" s="6" t="str">
        <f>IFERROR(__xludf.DUMMYFUNCTION("""COMPUTED_VALUE"""),"CW9163E")</f>
        <v>CW9163E</v>
      </c>
      <c r="B183" s="7">
        <f>IFERROR(__xludf.DUMMYFUNCTION("""COMPUTED_VALUE"""),5659.86)</f>
        <v>5659.86</v>
      </c>
      <c r="C183" s="6"/>
      <c r="D183" s="7">
        <f t="shared" si="1"/>
        <v>5659.86</v>
      </c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8"/>
      <c r="W183" s="6"/>
    </row>
    <row r="184">
      <c r="A184" s="6"/>
      <c r="B184" s="7"/>
      <c r="C184" s="6"/>
      <c r="D184" s="7" t="str">
        <f t="shared" si="1"/>
        <v/>
      </c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8"/>
      <c r="W184" s="6"/>
    </row>
    <row r="185">
      <c r="A185" s="6"/>
      <c r="B185" s="7"/>
      <c r="C185" s="6"/>
      <c r="D185" s="7" t="str">
        <f t="shared" si="1"/>
        <v/>
      </c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8"/>
      <c r="W185" s="6"/>
    </row>
    <row r="186">
      <c r="A186" s="6"/>
      <c r="B186" s="7"/>
      <c r="C186" s="6"/>
      <c r="D186" s="7" t="str">
        <f t="shared" si="1"/>
        <v/>
      </c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8"/>
      <c r="W186" s="6"/>
    </row>
    <row r="187">
      <c r="A187" s="6"/>
      <c r="B187" s="7"/>
      <c r="C187" s="6"/>
      <c r="D187" s="7" t="str">
        <f t="shared" si="1"/>
        <v/>
      </c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8"/>
      <c r="W187" s="6"/>
    </row>
    <row r="188">
      <c r="A188" s="6"/>
      <c r="B188" s="7"/>
      <c r="C188" s="6"/>
      <c r="D188" s="7" t="str">
        <f t="shared" si="1"/>
        <v/>
      </c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8"/>
      <c r="W188" s="6"/>
    </row>
    <row r="189">
      <c r="A189" s="6"/>
      <c r="B189" s="7"/>
      <c r="C189" s="6"/>
      <c r="D189" s="7" t="str">
        <f t="shared" si="1"/>
        <v/>
      </c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8"/>
      <c r="W189" s="6"/>
    </row>
    <row r="190">
      <c r="A190" s="6"/>
      <c r="B190" s="7"/>
      <c r="C190" s="6"/>
      <c r="D190" s="7" t="str">
        <f t="shared" si="1"/>
        <v/>
      </c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8"/>
      <c r="W190" s="6"/>
    </row>
    <row r="191">
      <c r="A191" s="6"/>
      <c r="B191" s="7"/>
      <c r="C191" s="6"/>
      <c r="D191" s="7" t="str">
        <f t="shared" si="1"/>
        <v/>
      </c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8"/>
      <c r="W191" s="6"/>
    </row>
    <row r="192">
      <c r="A192" s="6"/>
      <c r="B192" s="7"/>
      <c r="C192" s="6"/>
      <c r="D192" s="7" t="str">
        <f t="shared" si="1"/>
        <v/>
      </c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8"/>
      <c r="W192" s="6"/>
    </row>
    <row r="193">
      <c r="A193" s="6"/>
      <c r="B193" s="7"/>
      <c r="C193" s="6"/>
      <c r="D193" s="7" t="str">
        <f t="shared" si="1"/>
        <v/>
      </c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8"/>
      <c r="W193" s="6"/>
    </row>
    <row r="194">
      <c r="A194" s="6"/>
      <c r="B194" s="7"/>
      <c r="C194" s="6"/>
      <c r="D194" s="7" t="str">
        <f t="shared" si="1"/>
        <v/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8"/>
      <c r="W194" s="6"/>
    </row>
    <row r="195">
      <c r="A195" s="6"/>
      <c r="B195" s="7"/>
      <c r="C195" s="6"/>
      <c r="D195" s="7" t="str">
        <f t="shared" si="1"/>
        <v/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8"/>
      <c r="W195" s="6"/>
    </row>
    <row r="196">
      <c r="A196" s="6"/>
      <c r="B196" s="7"/>
      <c r="C196" s="6"/>
      <c r="D196" s="7" t="str">
        <f t="shared" si="1"/>
        <v/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8"/>
      <c r="W196" s="6"/>
    </row>
    <row r="197">
      <c r="A197" s="6"/>
      <c r="B197" s="7"/>
      <c r="C197" s="6"/>
      <c r="D197" s="7" t="str">
        <f t="shared" si="1"/>
        <v/>
      </c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8"/>
      <c r="W197" s="6"/>
    </row>
    <row r="198">
      <c r="A198" s="6"/>
      <c r="B198" s="7"/>
      <c r="C198" s="6"/>
      <c r="D198" s="7" t="str">
        <f t="shared" si="1"/>
        <v/>
      </c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8"/>
      <c r="W198" s="6"/>
    </row>
    <row r="199">
      <c r="A199" s="6"/>
      <c r="B199" s="7"/>
      <c r="C199" s="6"/>
      <c r="D199" s="7" t="str">
        <f t="shared" si="1"/>
        <v/>
      </c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8"/>
      <c r="W199" s="6"/>
    </row>
    <row r="200">
      <c r="A200" s="6"/>
      <c r="B200" s="7"/>
      <c r="C200" s="6"/>
      <c r="D200" s="7" t="str">
        <f t="shared" si="1"/>
        <v/>
      </c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8"/>
      <c r="W200" s="6"/>
    </row>
    <row r="201">
      <c r="A201" s="6"/>
      <c r="B201" s="7"/>
      <c r="C201" s="6"/>
      <c r="D201" s="7" t="str">
        <f t="shared" si="1"/>
        <v/>
      </c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8"/>
      <c r="W201" s="6"/>
    </row>
    <row r="202">
      <c r="A202" s="6"/>
      <c r="B202" s="7"/>
      <c r="C202" s="6"/>
      <c r="D202" s="7" t="str">
        <f t="shared" si="1"/>
        <v/>
      </c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8"/>
      <c r="W202" s="6"/>
    </row>
    <row r="203">
      <c r="A203" s="6"/>
      <c r="B203" s="7"/>
      <c r="C203" s="6"/>
      <c r="D203" s="7" t="str">
        <f t="shared" si="1"/>
        <v/>
      </c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8"/>
      <c r="W203" s="6"/>
    </row>
    <row r="204">
      <c r="A204" s="6"/>
      <c r="B204" s="7"/>
      <c r="C204" s="6"/>
      <c r="D204" s="7" t="str">
        <f t="shared" si="1"/>
        <v/>
      </c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8"/>
      <c r="W204" s="6"/>
    </row>
    <row r="205">
      <c r="A205" s="6"/>
      <c r="B205" s="7"/>
      <c r="C205" s="6"/>
      <c r="D205" s="7" t="str">
        <f t="shared" si="1"/>
        <v/>
      </c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8"/>
      <c r="W205" s="6"/>
    </row>
    <row r="206">
      <c r="A206" s="6"/>
      <c r="B206" s="7"/>
      <c r="C206" s="6"/>
      <c r="D206" s="7" t="str">
        <f t="shared" si="1"/>
        <v/>
      </c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8"/>
      <c r="W206" s="6"/>
    </row>
    <row r="207">
      <c r="A207" s="6"/>
      <c r="B207" s="7"/>
      <c r="C207" s="6"/>
      <c r="D207" s="7" t="str">
        <f t="shared" si="1"/>
        <v/>
      </c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8"/>
      <c r="W207" s="6"/>
    </row>
    <row r="208">
      <c r="A208" s="6"/>
      <c r="B208" s="7"/>
      <c r="C208" s="6"/>
      <c r="D208" s="7" t="str">
        <f t="shared" si="1"/>
        <v/>
      </c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8"/>
      <c r="W208" s="6"/>
    </row>
    <row r="209">
      <c r="A209" s="6"/>
      <c r="B209" s="7"/>
      <c r="C209" s="6"/>
      <c r="D209" s="7" t="str">
        <f t="shared" si="1"/>
        <v/>
      </c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8"/>
      <c r="W209" s="6"/>
    </row>
    <row r="210">
      <c r="A210" s="6"/>
      <c r="B210" s="7"/>
      <c r="C210" s="6"/>
      <c r="D210" s="7" t="str">
        <f t="shared" si="1"/>
        <v/>
      </c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8"/>
      <c r="W210" s="6"/>
    </row>
    <row r="211">
      <c r="A211" s="6"/>
      <c r="B211" s="7"/>
      <c r="C211" s="6"/>
      <c r="D211" s="7" t="str">
        <f t="shared" si="1"/>
        <v/>
      </c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8"/>
      <c r="W211" s="6"/>
    </row>
    <row r="212">
      <c r="A212" s="6"/>
      <c r="B212" s="7"/>
      <c r="C212" s="6"/>
      <c r="D212" s="7" t="str">
        <f t="shared" si="1"/>
        <v/>
      </c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8"/>
      <c r="W212" s="6"/>
    </row>
    <row r="213">
      <c r="A213" s="6"/>
      <c r="B213" s="7"/>
      <c r="C213" s="6"/>
      <c r="D213" s="7" t="str">
        <f t="shared" si="1"/>
        <v/>
      </c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8"/>
      <c r="W213" s="6"/>
    </row>
    <row r="214">
      <c r="A214" s="6"/>
      <c r="B214" s="7"/>
      <c r="C214" s="6"/>
      <c r="D214" s="7" t="str">
        <f t="shared" si="1"/>
        <v/>
      </c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8"/>
      <c r="W214" s="6"/>
    </row>
    <row r="215">
      <c r="A215" s="6"/>
      <c r="B215" s="7"/>
      <c r="C215" s="6"/>
      <c r="D215" s="7" t="str">
        <f t="shared" si="1"/>
        <v/>
      </c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8"/>
      <c r="W215" s="6"/>
    </row>
    <row r="216">
      <c r="A216" s="6"/>
      <c r="B216" s="7"/>
      <c r="C216" s="6"/>
      <c r="D216" s="7" t="str">
        <f t="shared" si="1"/>
        <v/>
      </c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8"/>
      <c r="W216" s="6"/>
    </row>
    <row r="217">
      <c r="A217" s="6"/>
      <c r="B217" s="7"/>
      <c r="C217" s="6"/>
      <c r="D217" s="7" t="str">
        <f t="shared" si="1"/>
        <v/>
      </c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8"/>
      <c r="W217" s="6"/>
    </row>
    <row r="218">
      <c r="A218" s="6"/>
      <c r="B218" s="7"/>
      <c r="C218" s="6"/>
      <c r="D218" s="7" t="str">
        <f t="shared" si="1"/>
        <v/>
      </c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8"/>
      <c r="W218" s="6"/>
    </row>
    <row r="219">
      <c r="A219" s="6"/>
      <c r="B219" s="7"/>
      <c r="C219" s="6"/>
      <c r="D219" s="7" t="str">
        <f t="shared" si="1"/>
        <v/>
      </c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8"/>
      <c r="W219" s="6"/>
    </row>
    <row r="220">
      <c r="A220" s="6"/>
      <c r="B220" s="7"/>
      <c r="C220" s="6"/>
      <c r="D220" s="7" t="str">
        <f t="shared" si="1"/>
        <v/>
      </c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8"/>
      <c r="W220" s="6"/>
    </row>
    <row r="221">
      <c r="A221" s="6"/>
      <c r="B221" s="7"/>
      <c r="C221" s="6"/>
      <c r="D221" s="7" t="str">
        <f t="shared" si="1"/>
        <v/>
      </c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8"/>
      <c r="W221" s="6"/>
    </row>
    <row r="222">
      <c r="A222" s="6"/>
      <c r="B222" s="7"/>
      <c r="C222" s="6"/>
      <c r="D222" s="7" t="str">
        <f t="shared" si="1"/>
        <v/>
      </c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8"/>
      <c r="W222" s="6"/>
    </row>
    <row r="223">
      <c r="A223" s="6"/>
      <c r="B223" s="7"/>
      <c r="C223" s="6"/>
      <c r="D223" s="7" t="str">
        <f t="shared" si="1"/>
        <v/>
      </c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8"/>
      <c r="W223" s="6"/>
    </row>
    <row r="224">
      <c r="A224" s="6"/>
      <c r="B224" s="7"/>
      <c r="C224" s="6"/>
      <c r="D224" s="7" t="str">
        <f t="shared" si="1"/>
        <v/>
      </c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8"/>
      <c r="W224" s="6"/>
    </row>
    <row r="225">
      <c r="A225" s="6"/>
      <c r="B225" s="7"/>
      <c r="C225" s="6"/>
      <c r="D225" s="7" t="str">
        <f t="shared" si="1"/>
        <v/>
      </c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8"/>
      <c r="W225" s="6"/>
    </row>
    <row r="226">
      <c r="A226" s="6"/>
      <c r="B226" s="7"/>
      <c r="C226" s="6"/>
      <c r="D226" s="7" t="str">
        <f t="shared" si="1"/>
        <v/>
      </c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8"/>
      <c r="W226" s="6"/>
    </row>
    <row r="227">
      <c r="A227" s="6"/>
      <c r="B227" s="7"/>
      <c r="C227" s="6"/>
      <c r="D227" s="7" t="str">
        <f t="shared" si="1"/>
        <v/>
      </c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8"/>
      <c r="W227" s="6"/>
    </row>
    <row r="228">
      <c r="A228" s="6"/>
      <c r="B228" s="7"/>
      <c r="C228" s="6"/>
      <c r="D228" s="7" t="str">
        <f t="shared" si="1"/>
        <v/>
      </c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8"/>
      <c r="W228" s="6"/>
    </row>
    <row r="229">
      <c r="A229" s="6"/>
      <c r="B229" s="7"/>
      <c r="C229" s="6"/>
      <c r="D229" s="7" t="str">
        <f t="shared" si="1"/>
        <v/>
      </c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8"/>
      <c r="W229" s="6"/>
    </row>
    <row r="230">
      <c r="A230" s="6"/>
      <c r="B230" s="7"/>
      <c r="C230" s="6"/>
      <c r="D230" s="7" t="str">
        <f t="shared" si="1"/>
        <v/>
      </c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8"/>
      <c r="W230" s="6"/>
    </row>
    <row r="231">
      <c r="A231" s="6"/>
      <c r="B231" s="7"/>
      <c r="C231" s="6"/>
      <c r="D231" s="7" t="str">
        <f t="shared" si="1"/>
        <v/>
      </c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8"/>
      <c r="W231" s="6"/>
    </row>
    <row r="232">
      <c r="A232" s="6"/>
      <c r="B232" s="7"/>
      <c r="C232" s="6"/>
      <c r="D232" s="7" t="str">
        <f t="shared" si="1"/>
        <v/>
      </c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8"/>
      <c r="W232" s="6"/>
    </row>
    <row r="233">
      <c r="A233" s="6"/>
      <c r="B233" s="7"/>
      <c r="C233" s="6"/>
      <c r="D233" s="7" t="str">
        <f t="shared" si="1"/>
        <v/>
      </c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8"/>
      <c r="W233" s="6"/>
    </row>
    <row r="234">
      <c r="A234" s="6"/>
      <c r="B234" s="7"/>
      <c r="C234" s="6"/>
      <c r="D234" s="7" t="str">
        <f t="shared" si="1"/>
        <v/>
      </c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8"/>
      <c r="W234" s="6"/>
    </row>
    <row r="235">
      <c r="A235" s="6"/>
      <c r="B235" s="7"/>
      <c r="C235" s="6"/>
      <c r="D235" s="7" t="str">
        <f t="shared" si="1"/>
        <v/>
      </c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8"/>
      <c r="W235" s="6"/>
    </row>
    <row r="236">
      <c r="A236" s="6"/>
      <c r="B236" s="7"/>
      <c r="C236" s="6"/>
      <c r="D236" s="7" t="str">
        <f t="shared" si="1"/>
        <v/>
      </c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8"/>
      <c r="W236" s="6"/>
    </row>
    <row r="237">
      <c r="A237" s="6"/>
      <c r="B237" s="7"/>
      <c r="C237" s="6"/>
      <c r="D237" s="7" t="str">
        <f t="shared" si="1"/>
        <v/>
      </c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8"/>
      <c r="W237" s="6"/>
    </row>
    <row r="238">
      <c r="A238" s="6"/>
      <c r="B238" s="7"/>
      <c r="C238" s="6"/>
      <c r="D238" s="7" t="str">
        <f t="shared" si="1"/>
        <v/>
      </c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8"/>
      <c r="W238" s="6"/>
    </row>
    <row r="239">
      <c r="A239" s="6"/>
      <c r="B239" s="7"/>
      <c r="C239" s="6"/>
      <c r="D239" s="7" t="str">
        <f t="shared" si="1"/>
        <v/>
      </c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8"/>
      <c r="W239" s="6"/>
    </row>
    <row r="240">
      <c r="A240" s="6"/>
      <c r="B240" s="7"/>
      <c r="C240" s="6"/>
      <c r="D240" s="7" t="str">
        <f t="shared" si="1"/>
        <v/>
      </c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8"/>
      <c r="W240" s="6"/>
    </row>
    <row r="241">
      <c r="A241" s="6"/>
      <c r="B241" s="7"/>
      <c r="C241" s="6"/>
      <c r="D241" s="7" t="str">
        <f t="shared" si="1"/>
        <v/>
      </c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8"/>
      <c r="W241" s="6"/>
    </row>
    <row r="242">
      <c r="A242" s="6"/>
      <c r="B242" s="7"/>
      <c r="C242" s="6"/>
      <c r="D242" s="7" t="str">
        <f t="shared" si="1"/>
        <v/>
      </c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8"/>
      <c r="W242" s="6"/>
    </row>
    <row r="243">
      <c r="A243" s="6"/>
      <c r="B243" s="7"/>
      <c r="C243" s="6"/>
      <c r="D243" s="7" t="str">
        <f t="shared" si="1"/>
        <v/>
      </c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8"/>
      <c r="W243" s="6"/>
    </row>
    <row r="244">
      <c r="A244" s="6"/>
      <c r="B244" s="7"/>
      <c r="C244" s="6"/>
      <c r="D244" s="7" t="str">
        <f t="shared" si="1"/>
        <v/>
      </c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8"/>
      <c r="W244" s="6"/>
    </row>
    <row r="245">
      <c r="A245" s="6"/>
      <c r="B245" s="7"/>
      <c r="C245" s="6"/>
      <c r="D245" s="7" t="str">
        <f t="shared" si="1"/>
        <v/>
      </c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8"/>
      <c r="W245" s="6"/>
    </row>
    <row r="246">
      <c r="A246" s="6"/>
      <c r="B246" s="7"/>
      <c r="C246" s="6"/>
      <c r="D246" s="7" t="str">
        <f t="shared" si="1"/>
        <v/>
      </c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8"/>
      <c r="W246" s="6"/>
    </row>
    <row r="247">
      <c r="A247" s="6"/>
      <c r="B247" s="7"/>
      <c r="C247" s="6"/>
      <c r="D247" s="7" t="str">
        <f t="shared" si="1"/>
        <v/>
      </c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8"/>
      <c r="W247" s="6"/>
    </row>
    <row r="248">
      <c r="A248" s="6"/>
      <c r="B248" s="7"/>
      <c r="C248" s="6"/>
      <c r="D248" s="7" t="str">
        <f t="shared" si="1"/>
        <v/>
      </c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8"/>
      <c r="W248" s="6"/>
    </row>
    <row r="249">
      <c r="A249" s="6"/>
      <c r="B249" s="7"/>
      <c r="C249" s="6"/>
      <c r="D249" s="7" t="str">
        <f t="shared" si="1"/>
        <v/>
      </c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8"/>
      <c r="W249" s="6"/>
    </row>
    <row r="250">
      <c r="A250" s="6"/>
      <c r="B250" s="7"/>
      <c r="C250" s="6"/>
      <c r="D250" s="7" t="str">
        <f t="shared" si="1"/>
        <v/>
      </c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8"/>
      <c r="W250" s="6"/>
    </row>
    <row r="251">
      <c r="A251" s="6"/>
      <c r="B251" s="7"/>
      <c r="C251" s="6"/>
      <c r="D251" s="7" t="str">
        <f t="shared" si="1"/>
        <v/>
      </c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8"/>
      <c r="W251" s="6"/>
    </row>
    <row r="252">
      <c r="A252" s="6"/>
      <c r="B252" s="7"/>
      <c r="C252" s="6"/>
      <c r="D252" s="7" t="str">
        <f t="shared" si="1"/>
        <v/>
      </c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8"/>
      <c r="W252" s="6"/>
    </row>
    <row r="253">
      <c r="A253" s="6"/>
      <c r="B253" s="7"/>
      <c r="C253" s="6"/>
      <c r="D253" s="7" t="str">
        <f t="shared" si="1"/>
        <v/>
      </c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8"/>
      <c r="W253" s="6"/>
    </row>
    <row r="254">
      <c r="A254" s="6"/>
      <c r="B254" s="7"/>
      <c r="C254" s="6"/>
      <c r="D254" s="7" t="str">
        <f t="shared" si="1"/>
        <v/>
      </c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8"/>
      <c r="W254" s="6"/>
    </row>
    <row r="255">
      <c r="A255" s="6"/>
      <c r="B255" s="7"/>
      <c r="C255" s="6"/>
      <c r="D255" s="7" t="str">
        <f t="shared" si="1"/>
        <v/>
      </c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8"/>
      <c r="W255" s="6"/>
    </row>
    <row r="256">
      <c r="A256" s="6"/>
      <c r="B256" s="7"/>
      <c r="C256" s="6"/>
      <c r="D256" s="7" t="str">
        <f t="shared" si="1"/>
        <v/>
      </c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8"/>
      <c r="W256" s="6"/>
    </row>
    <row r="257">
      <c r="A257" s="6"/>
      <c r="B257" s="7"/>
      <c r="C257" s="6"/>
      <c r="D257" s="7" t="str">
        <f t="shared" si="1"/>
        <v/>
      </c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8"/>
      <c r="W257" s="6"/>
    </row>
    <row r="258">
      <c r="A258" s="6"/>
      <c r="B258" s="7"/>
      <c r="C258" s="6"/>
      <c r="D258" s="7" t="str">
        <f t="shared" si="1"/>
        <v/>
      </c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8"/>
      <c r="W258" s="6"/>
    </row>
    <row r="259">
      <c r="A259" s="6"/>
      <c r="B259" s="7"/>
      <c r="C259" s="6"/>
      <c r="D259" s="7" t="str">
        <f t="shared" si="1"/>
        <v/>
      </c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8"/>
      <c r="W259" s="6"/>
    </row>
    <row r="260">
      <c r="A260" s="6"/>
      <c r="B260" s="7"/>
      <c r="C260" s="6"/>
      <c r="D260" s="7" t="str">
        <f t="shared" si="1"/>
        <v/>
      </c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8"/>
      <c r="W260" s="6"/>
    </row>
    <row r="261">
      <c r="A261" s="6"/>
      <c r="B261" s="7"/>
      <c r="C261" s="6"/>
      <c r="D261" s="7" t="str">
        <f t="shared" si="1"/>
        <v/>
      </c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8"/>
      <c r="W261" s="6"/>
    </row>
    <row r="262">
      <c r="A262" s="6"/>
      <c r="B262" s="7"/>
      <c r="C262" s="6"/>
      <c r="D262" s="7" t="str">
        <f t="shared" si="1"/>
        <v/>
      </c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8"/>
      <c r="W262" s="6"/>
    </row>
    <row r="263">
      <c r="A263" s="6"/>
      <c r="B263" s="7"/>
      <c r="C263" s="6"/>
      <c r="D263" s="7" t="str">
        <f t="shared" si="1"/>
        <v/>
      </c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8"/>
      <c r="W263" s="6"/>
    </row>
    <row r="264">
      <c r="A264" s="6"/>
      <c r="B264" s="7"/>
      <c r="C264" s="6"/>
      <c r="D264" s="7" t="str">
        <f t="shared" si="1"/>
        <v/>
      </c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8"/>
      <c r="W264" s="6"/>
    </row>
    <row r="265">
      <c r="A265" s="6"/>
      <c r="B265" s="7"/>
      <c r="C265" s="6"/>
      <c r="D265" s="7" t="str">
        <f t="shared" si="1"/>
        <v/>
      </c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8"/>
      <c r="W265" s="6"/>
    </row>
    <row r="266">
      <c r="A266" s="6"/>
      <c r="B266" s="7"/>
      <c r="C266" s="6"/>
      <c r="D266" s="7" t="str">
        <f t="shared" si="1"/>
        <v/>
      </c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8"/>
      <c r="W266" s="6"/>
    </row>
    <row r="267">
      <c r="A267" s="6"/>
      <c r="B267" s="7"/>
      <c r="C267" s="6"/>
      <c r="D267" s="7" t="str">
        <f t="shared" si="1"/>
        <v/>
      </c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8"/>
      <c r="W267" s="6"/>
    </row>
    <row r="268">
      <c r="A268" s="6"/>
      <c r="B268" s="7"/>
      <c r="C268" s="6"/>
      <c r="D268" s="7" t="str">
        <f t="shared" si="1"/>
        <v/>
      </c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8"/>
      <c r="W268" s="6"/>
    </row>
    <row r="269">
      <c r="A269" s="6"/>
      <c r="B269" s="7"/>
      <c r="C269" s="6"/>
      <c r="D269" s="7" t="str">
        <f t="shared" si="1"/>
        <v/>
      </c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8"/>
      <c r="W269" s="6"/>
    </row>
    <row r="270">
      <c r="A270" s="6"/>
      <c r="B270" s="7"/>
      <c r="C270" s="6"/>
      <c r="D270" s="7" t="str">
        <f t="shared" si="1"/>
        <v/>
      </c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8"/>
      <c r="W270" s="6"/>
    </row>
    <row r="271">
      <c r="A271" s="6"/>
      <c r="B271" s="7"/>
      <c r="C271" s="7" t="str">
        <f>IFERROR(__xludf.DUMMYFUNCTION("""COMPUTED_VALUE"""),"")</f>
        <v/>
      </c>
      <c r="D271" s="7" t="str">
        <f t="shared" si="1"/>
        <v/>
      </c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8"/>
      <c r="W271" s="6"/>
    </row>
    <row r="272">
      <c r="A272" s="6"/>
      <c r="B272" s="7"/>
      <c r="C272" s="7" t="str">
        <f>IFERROR(__xludf.DUMMYFUNCTION("""COMPUTED_VALUE"""),"")</f>
        <v/>
      </c>
      <c r="D272" s="7" t="str">
        <f t="shared" si="1"/>
        <v/>
      </c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8"/>
      <c r="W272" s="6"/>
    </row>
    <row r="273">
      <c r="A273" s="6"/>
      <c r="B273" s="7"/>
      <c r="C273" s="7" t="str">
        <f>IFERROR(__xludf.DUMMYFUNCTION("""COMPUTED_VALUE"""),"")</f>
        <v/>
      </c>
      <c r="D273" s="7" t="str">
        <f t="shared" si="1"/>
        <v/>
      </c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8"/>
      <c r="W273" s="6"/>
    </row>
    <row r="274">
      <c r="A274" s="6"/>
      <c r="B274" s="7"/>
      <c r="C274" s="7" t="str">
        <f>IFERROR(__xludf.DUMMYFUNCTION("""COMPUTED_VALUE"""),"")</f>
        <v/>
      </c>
      <c r="D274" s="7" t="str">
        <f t="shared" si="1"/>
        <v/>
      </c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8"/>
      <c r="W274" s="6"/>
    </row>
    <row r="275">
      <c r="A275" s="6"/>
      <c r="B275" s="7"/>
      <c r="C275" s="7" t="str">
        <f>IFERROR(__xludf.DUMMYFUNCTION("""COMPUTED_VALUE"""),"")</f>
        <v/>
      </c>
      <c r="D275" s="7" t="str">
        <f t="shared" si="1"/>
        <v/>
      </c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8"/>
      <c r="W275" s="6"/>
    </row>
    <row r="276">
      <c r="A276" s="6"/>
      <c r="B276" s="7"/>
      <c r="C276" s="7" t="str">
        <f>IFERROR(__xludf.DUMMYFUNCTION("""COMPUTED_VALUE"""),"")</f>
        <v/>
      </c>
      <c r="D276" s="7" t="str">
        <f t="shared" si="1"/>
        <v/>
      </c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8"/>
      <c r="W276" s="6"/>
    </row>
    <row r="277">
      <c r="A277" s="6"/>
      <c r="B277" s="7"/>
      <c r="C277" s="7" t="str">
        <f>IFERROR(__xludf.DUMMYFUNCTION("""COMPUTED_VALUE"""),"")</f>
        <v/>
      </c>
      <c r="D277" s="7" t="str">
        <f t="shared" si="1"/>
        <v/>
      </c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8"/>
      <c r="W277" s="6"/>
    </row>
    <row r="278">
      <c r="A278" s="6"/>
      <c r="B278" s="7"/>
      <c r="C278" s="7" t="str">
        <f>IFERROR(__xludf.DUMMYFUNCTION("""COMPUTED_VALUE"""),"")</f>
        <v/>
      </c>
      <c r="D278" s="7" t="str">
        <f t="shared" si="1"/>
        <v/>
      </c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8"/>
      <c r="W278" s="6"/>
    </row>
    <row r="279">
      <c r="A279" s="6"/>
      <c r="B279" s="7"/>
      <c r="C279" s="7" t="str">
        <f>IFERROR(__xludf.DUMMYFUNCTION("""COMPUTED_VALUE"""),"")</f>
        <v/>
      </c>
      <c r="D279" s="7" t="str">
        <f t="shared" si="1"/>
        <v/>
      </c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8"/>
      <c r="W279" s="6"/>
    </row>
    <row r="280">
      <c r="A280" s="6"/>
      <c r="B280" s="7"/>
      <c r="C280" s="7" t="str">
        <f>IFERROR(__xludf.DUMMYFUNCTION("""COMPUTED_VALUE"""),"")</f>
        <v/>
      </c>
      <c r="D280" s="7" t="str">
        <f t="shared" si="1"/>
        <v/>
      </c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8"/>
      <c r="W280" s="6"/>
    </row>
    <row r="281">
      <c r="A281" s="6"/>
      <c r="B281" s="7"/>
      <c r="C281" s="7" t="str">
        <f>IFERROR(__xludf.DUMMYFUNCTION("""COMPUTED_VALUE"""),"")</f>
        <v/>
      </c>
      <c r="D281" s="7" t="str">
        <f t="shared" si="1"/>
        <v/>
      </c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8"/>
      <c r="W281" s="6"/>
    </row>
    <row r="282">
      <c r="A282" s="6"/>
      <c r="B282" s="7"/>
      <c r="C282" s="7" t="str">
        <f>IFERROR(__xludf.DUMMYFUNCTION("""COMPUTED_VALUE"""),"")</f>
        <v/>
      </c>
      <c r="D282" s="7" t="str">
        <f t="shared" si="1"/>
        <v/>
      </c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8"/>
      <c r="W282" s="6"/>
    </row>
    <row r="283">
      <c r="A283" s="6"/>
      <c r="B283" s="7"/>
      <c r="C283" s="7" t="str">
        <f>IFERROR(__xludf.DUMMYFUNCTION("""COMPUTED_VALUE"""),"")</f>
        <v/>
      </c>
      <c r="D283" s="7" t="str">
        <f t="shared" si="1"/>
        <v/>
      </c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8"/>
      <c r="W283" s="6"/>
    </row>
    <row r="284">
      <c r="A284" s="6"/>
      <c r="B284" s="7"/>
      <c r="C284" s="7" t="str">
        <f>IFERROR(__xludf.DUMMYFUNCTION("""COMPUTED_VALUE"""),"")</f>
        <v/>
      </c>
      <c r="D284" s="7" t="str">
        <f t="shared" si="1"/>
        <v/>
      </c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8"/>
      <c r="W284" s="6"/>
    </row>
    <row r="285">
      <c r="A285" s="6"/>
      <c r="B285" s="7"/>
      <c r="C285" s="7" t="str">
        <f>IFERROR(__xludf.DUMMYFUNCTION("""COMPUTED_VALUE"""),"")</f>
        <v/>
      </c>
      <c r="D285" s="7" t="str">
        <f t="shared" si="1"/>
        <v/>
      </c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8"/>
      <c r="W285" s="6"/>
    </row>
    <row r="286">
      <c r="A286" s="6"/>
      <c r="B286" s="7"/>
      <c r="C286" s="7" t="str">
        <f>IFERROR(__xludf.DUMMYFUNCTION("""COMPUTED_VALUE"""),"")</f>
        <v/>
      </c>
      <c r="D286" s="7" t="str">
        <f t="shared" si="1"/>
        <v/>
      </c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8"/>
      <c r="W286" s="6"/>
    </row>
    <row r="287">
      <c r="A287" s="6"/>
      <c r="B287" s="7"/>
      <c r="C287" s="7" t="str">
        <f>IFERROR(__xludf.DUMMYFUNCTION("""COMPUTED_VALUE"""),"")</f>
        <v/>
      </c>
      <c r="D287" s="7" t="str">
        <f t="shared" si="1"/>
        <v/>
      </c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8"/>
      <c r="W287" s="6"/>
    </row>
    <row r="288">
      <c r="A288" s="6"/>
      <c r="B288" s="7"/>
      <c r="C288" s="7" t="str">
        <f>IFERROR(__xludf.DUMMYFUNCTION("""COMPUTED_VALUE"""),"")</f>
        <v/>
      </c>
      <c r="D288" s="7" t="str">
        <f t="shared" si="1"/>
        <v/>
      </c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8"/>
      <c r="W288" s="6"/>
    </row>
    <row r="289">
      <c r="A289" s="6"/>
      <c r="B289" s="7"/>
      <c r="C289" s="7" t="str">
        <f>IFERROR(__xludf.DUMMYFUNCTION("""COMPUTED_VALUE"""),"")</f>
        <v/>
      </c>
      <c r="D289" s="7" t="str">
        <f t="shared" si="1"/>
        <v/>
      </c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8"/>
      <c r="W289" s="6"/>
    </row>
    <row r="290">
      <c r="A290" s="6"/>
      <c r="B290" s="7"/>
      <c r="C290" s="7" t="str">
        <f>IFERROR(__xludf.DUMMYFUNCTION("""COMPUTED_VALUE"""),"")</f>
        <v/>
      </c>
      <c r="D290" s="7" t="str">
        <f t="shared" si="1"/>
        <v/>
      </c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8"/>
      <c r="W290" s="6"/>
    </row>
    <row r="291">
      <c r="A291" s="6"/>
      <c r="B291" s="7"/>
      <c r="C291" s="7" t="str">
        <f>IFERROR(__xludf.DUMMYFUNCTION("""COMPUTED_VALUE"""),"")</f>
        <v/>
      </c>
      <c r="D291" s="7" t="str">
        <f t="shared" si="1"/>
        <v/>
      </c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8"/>
      <c r="W291" s="6"/>
    </row>
    <row r="292">
      <c r="A292" s="6"/>
      <c r="B292" s="7"/>
      <c r="C292" s="7" t="str">
        <f>IFERROR(__xludf.DUMMYFUNCTION("""COMPUTED_VALUE"""),"")</f>
        <v/>
      </c>
      <c r="D292" s="7" t="str">
        <f t="shared" si="1"/>
        <v/>
      </c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8"/>
      <c r="W292" s="6"/>
    </row>
    <row r="293">
      <c r="A293" s="6"/>
      <c r="B293" s="7"/>
      <c r="C293" s="7" t="str">
        <f>IFERROR(__xludf.DUMMYFUNCTION("""COMPUTED_VALUE"""),"")</f>
        <v/>
      </c>
      <c r="D293" s="7" t="str">
        <f t="shared" si="1"/>
        <v/>
      </c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8"/>
      <c r="W293" s="6"/>
    </row>
    <row r="294">
      <c r="A294" s="6"/>
      <c r="B294" s="7"/>
      <c r="C294" s="7" t="str">
        <f>IFERROR(__xludf.DUMMYFUNCTION("""COMPUTED_VALUE"""),"")</f>
        <v/>
      </c>
      <c r="D294" s="7" t="str">
        <f t="shared" si="1"/>
        <v/>
      </c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8"/>
      <c r="W294" s="6"/>
    </row>
    <row r="295">
      <c r="A295" s="6"/>
      <c r="B295" s="7"/>
      <c r="C295" s="7" t="str">
        <f>IFERROR(__xludf.DUMMYFUNCTION("""COMPUTED_VALUE"""),"")</f>
        <v/>
      </c>
      <c r="D295" s="7" t="str">
        <f t="shared" si="1"/>
        <v/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8"/>
      <c r="W295" s="6"/>
    </row>
    <row r="296">
      <c r="A296" s="6"/>
      <c r="B296" s="7"/>
      <c r="C296" s="7" t="str">
        <f>IFERROR(__xludf.DUMMYFUNCTION("""COMPUTED_VALUE"""),"")</f>
        <v/>
      </c>
      <c r="D296" s="7" t="str">
        <f t="shared" si="1"/>
        <v/>
      </c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8"/>
      <c r="W296" s="6"/>
    </row>
    <row r="297">
      <c r="A297" s="6"/>
      <c r="B297" s="7"/>
      <c r="C297" s="7" t="str">
        <f>IFERROR(__xludf.DUMMYFUNCTION("""COMPUTED_VALUE"""),"")</f>
        <v/>
      </c>
      <c r="D297" s="7" t="str">
        <f t="shared" si="1"/>
        <v/>
      </c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8"/>
      <c r="W297" s="6"/>
    </row>
    <row r="298">
      <c r="A298" s="6"/>
      <c r="B298" s="7"/>
      <c r="C298" s="7" t="str">
        <f>IFERROR(__xludf.DUMMYFUNCTION("""COMPUTED_VALUE"""),"")</f>
        <v/>
      </c>
      <c r="D298" s="7" t="str">
        <f t="shared" si="1"/>
        <v/>
      </c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8"/>
      <c r="W298" s="6"/>
    </row>
    <row r="299">
      <c r="A299" s="6"/>
      <c r="B299" s="7"/>
      <c r="C299" s="7" t="str">
        <f>IFERROR(__xludf.DUMMYFUNCTION("""COMPUTED_VALUE"""),"")</f>
        <v/>
      </c>
      <c r="D299" s="7" t="str">
        <f t="shared" si="1"/>
        <v/>
      </c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8"/>
      <c r="W299" s="6"/>
    </row>
    <row r="300">
      <c r="A300" s="6"/>
      <c r="B300" s="7"/>
      <c r="C300" s="7" t="str">
        <f>IFERROR(__xludf.DUMMYFUNCTION("""COMPUTED_VALUE"""),"")</f>
        <v/>
      </c>
      <c r="D300" s="7" t="str">
        <f t="shared" si="1"/>
        <v/>
      </c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8"/>
      <c r="W300" s="6"/>
    </row>
    <row r="301">
      <c r="A301" s="6"/>
      <c r="B301" s="7"/>
      <c r="C301" s="7" t="str">
        <f>IFERROR(__xludf.DUMMYFUNCTION("""COMPUTED_VALUE"""),"")</f>
        <v/>
      </c>
      <c r="D301" s="7" t="str">
        <f t="shared" si="1"/>
        <v/>
      </c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8"/>
      <c r="W301" s="6"/>
    </row>
    <row r="302">
      <c r="A302" s="6"/>
      <c r="B302" s="7"/>
      <c r="C302" s="7" t="str">
        <f>IFERROR(__xludf.DUMMYFUNCTION("""COMPUTED_VALUE"""),"")</f>
        <v/>
      </c>
      <c r="D302" s="7" t="str">
        <f t="shared" si="1"/>
        <v/>
      </c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8"/>
      <c r="W302" s="6"/>
    </row>
    <row r="303">
      <c r="A303" s="6"/>
      <c r="B303" s="7"/>
      <c r="C303" s="7" t="str">
        <f>IFERROR(__xludf.DUMMYFUNCTION("""COMPUTED_VALUE"""),"")</f>
        <v/>
      </c>
      <c r="D303" s="7" t="str">
        <f t="shared" si="1"/>
        <v/>
      </c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8"/>
      <c r="W303" s="6"/>
    </row>
    <row r="304">
      <c r="A304" s="6"/>
      <c r="B304" s="7"/>
      <c r="C304" s="7" t="str">
        <f>IFERROR(__xludf.DUMMYFUNCTION("""COMPUTED_VALUE"""),"")</f>
        <v/>
      </c>
      <c r="D304" s="7" t="str">
        <f t="shared" si="1"/>
        <v/>
      </c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8"/>
      <c r="W304" s="6"/>
    </row>
    <row r="305">
      <c r="A305" s="6"/>
      <c r="B305" s="7"/>
      <c r="C305" s="7" t="str">
        <f>IFERROR(__xludf.DUMMYFUNCTION("""COMPUTED_VALUE"""),"")</f>
        <v/>
      </c>
      <c r="D305" s="7" t="str">
        <f t="shared" si="1"/>
        <v/>
      </c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8"/>
      <c r="W305" s="6"/>
    </row>
    <row r="306">
      <c r="A306" s="6"/>
      <c r="B306" s="7"/>
      <c r="C306" s="7" t="str">
        <f>IFERROR(__xludf.DUMMYFUNCTION("""COMPUTED_VALUE"""),"")</f>
        <v/>
      </c>
      <c r="D306" s="7" t="str">
        <f t="shared" si="1"/>
        <v/>
      </c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8"/>
      <c r="W306" s="6"/>
    </row>
    <row r="307">
      <c r="A307" s="6"/>
      <c r="B307" s="7"/>
      <c r="C307" s="7" t="str">
        <f>IFERROR(__xludf.DUMMYFUNCTION("""COMPUTED_VALUE"""),"")</f>
        <v/>
      </c>
      <c r="D307" s="7" t="str">
        <f t="shared" si="1"/>
        <v/>
      </c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8"/>
      <c r="W307" s="6"/>
    </row>
    <row r="308">
      <c r="A308" s="6"/>
      <c r="B308" s="7"/>
      <c r="C308" s="7" t="str">
        <f>IFERROR(__xludf.DUMMYFUNCTION("""COMPUTED_VALUE"""),"")</f>
        <v/>
      </c>
      <c r="D308" s="7" t="str">
        <f t="shared" si="1"/>
        <v/>
      </c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8"/>
      <c r="W308" s="6"/>
    </row>
    <row r="309">
      <c r="A309" s="6"/>
      <c r="B309" s="7"/>
      <c r="C309" s="7" t="str">
        <f>IFERROR(__xludf.DUMMYFUNCTION("""COMPUTED_VALUE"""),"")</f>
        <v/>
      </c>
      <c r="D309" s="7" t="str">
        <f t="shared" si="1"/>
        <v/>
      </c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8"/>
      <c r="W309" s="6"/>
    </row>
    <row r="310">
      <c r="A310" s="6"/>
      <c r="B310" s="7"/>
      <c r="C310" s="7" t="str">
        <f>IFERROR(__xludf.DUMMYFUNCTION("""COMPUTED_VALUE"""),"")</f>
        <v/>
      </c>
      <c r="D310" s="7" t="str">
        <f t="shared" si="1"/>
        <v/>
      </c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8"/>
      <c r="W310" s="6"/>
    </row>
    <row r="311">
      <c r="A311" s="6"/>
      <c r="B311" s="7"/>
      <c r="C311" s="7" t="str">
        <f>IFERROR(__xludf.DUMMYFUNCTION("""COMPUTED_VALUE"""),"")</f>
        <v/>
      </c>
      <c r="D311" s="7" t="str">
        <f t="shared" si="1"/>
        <v/>
      </c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8"/>
      <c r="W311" s="6"/>
    </row>
    <row r="312">
      <c r="A312" s="6"/>
      <c r="B312" s="7"/>
      <c r="C312" s="7" t="str">
        <f>IFERROR(__xludf.DUMMYFUNCTION("""COMPUTED_VALUE"""),"")</f>
        <v/>
      </c>
      <c r="D312" s="7" t="str">
        <f t="shared" si="1"/>
        <v/>
      </c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8"/>
      <c r="W312" s="6"/>
    </row>
    <row r="313">
      <c r="A313" s="6"/>
      <c r="B313" s="7"/>
      <c r="C313" s="7" t="str">
        <f>IFERROR(__xludf.DUMMYFUNCTION("""COMPUTED_VALUE"""),"")</f>
        <v/>
      </c>
      <c r="D313" s="7" t="str">
        <f t="shared" si="1"/>
        <v/>
      </c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8"/>
      <c r="W313" s="6"/>
    </row>
    <row r="314">
      <c r="A314" s="6"/>
      <c r="B314" s="7"/>
      <c r="C314" s="7" t="str">
        <f>IFERROR(__xludf.DUMMYFUNCTION("""COMPUTED_VALUE"""),"")</f>
        <v/>
      </c>
      <c r="D314" s="7" t="str">
        <f t="shared" si="1"/>
        <v/>
      </c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8"/>
      <c r="W314" s="6"/>
    </row>
    <row r="315">
      <c r="A315" s="6"/>
      <c r="B315" s="7"/>
      <c r="C315" s="7" t="str">
        <f>IFERROR(__xludf.DUMMYFUNCTION("""COMPUTED_VALUE"""),"")</f>
        <v/>
      </c>
      <c r="D315" s="7" t="str">
        <f t="shared" si="1"/>
        <v/>
      </c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8"/>
      <c r="W315" s="6"/>
    </row>
    <row r="316">
      <c r="A316" s="6"/>
      <c r="B316" s="7"/>
      <c r="C316" s="7" t="str">
        <f>IFERROR(__xludf.DUMMYFUNCTION("""COMPUTED_VALUE"""),"")</f>
        <v/>
      </c>
      <c r="D316" s="7" t="str">
        <f t="shared" si="1"/>
        <v/>
      </c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8"/>
      <c r="W316" s="6"/>
    </row>
    <row r="317">
      <c r="A317" s="6"/>
      <c r="B317" s="7"/>
      <c r="C317" s="7" t="str">
        <f>IFERROR(__xludf.DUMMYFUNCTION("""COMPUTED_VALUE"""),"")</f>
        <v/>
      </c>
      <c r="D317" s="7" t="str">
        <f t="shared" si="1"/>
        <v/>
      </c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8"/>
      <c r="W317" s="6"/>
    </row>
    <row r="318">
      <c r="A318" s="6"/>
      <c r="B318" s="7"/>
      <c r="C318" s="7" t="str">
        <f>IFERROR(__xludf.DUMMYFUNCTION("""COMPUTED_VALUE"""),"")</f>
        <v/>
      </c>
      <c r="D318" s="7" t="str">
        <f t="shared" si="1"/>
        <v/>
      </c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8"/>
      <c r="W318" s="6"/>
    </row>
    <row r="319">
      <c r="A319" s="6"/>
      <c r="B319" s="7"/>
      <c r="C319" s="7" t="str">
        <f>IFERROR(__xludf.DUMMYFUNCTION("""COMPUTED_VALUE"""),"")</f>
        <v/>
      </c>
      <c r="D319" s="7" t="str">
        <f t="shared" si="1"/>
        <v/>
      </c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8"/>
      <c r="W319" s="6"/>
    </row>
    <row r="320">
      <c r="A320" s="6"/>
      <c r="B320" s="7"/>
      <c r="C320" s="7" t="str">
        <f>IFERROR(__xludf.DUMMYFUNCTION("""COMPUTED_VALUE"""),"")</f>
        <v/>
      </c>
      <c r="D320" s="7" t="str">
        <f t="shared" si="1"/>
        <v/>
      </c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8"/>
      <c r="W320" s="6"/>
    </row>
    <row r="321">
      <c r="A321" s="6"/>
      <c r="B321" s="7"/>
      <c r="C321" s="7" t="str">
        <f>IFERROR(__xludf.DUMMYFUNCTION("""COMPUTED_VALUE"""),"")</f>
        <v/>
      </c>
      <c r="D321" s="7" t="str">
        <f t="shared" si="1"/>
        <v/>
      </c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8"/>
      <c r="W321" s="6"/>
    </row>
    <row r="322">
      <c r="A322" s="6"/>
      <c r="B322" s="7"/>
      <c r="C322" s="7" t="str">
        <f>IFERROR(__xludf.DUMMYFUNCTION("""COMPUTED_VALUE"""),"")</f>
        <v/>
      </c>
      <c r="D322" s="7" t="str">
        <f t="shared" si="1"/>
        <v/>
      </c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8"/>
      <c r="W322" s="6"/>
    </row>
    <row r="323">
      <c r="A323" s="6"/>
      <c r="B323" s="7"/>
      <c r="C323" s="7" t="str">
        <f>IFERROR(__xludf.DUMMYFUNCTION("""COMPUTED_VALUE"""),"")</f>
        <v/>
      </c>
      <c r="D323" s="7" t="str">
        <f t="shared" si="1"/>
        <v/>
      </c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8"/>
      <c r="W323" s="6"/>
    </row>
    <row r="324">
      <c r="A324" s="6"/>
      <c r="B324" s="7"/>
      <c r="C324" s="7" t="str">
        <f>IFERROR(__xludf.DUMMYFUNCTION("""COMPUTED_VALUE"""),"")</f>
        <v/>
      </c>
      <c r="D324" s="7" t="str">
        <f t="shared" si="1"/>
        <v/>
      </c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8"/>
      <c r="W324" s="6"/>
    </row>
    <row r="325">
      <c r="A325" s="6"/>
      <c r="B325" s="7"/>
      <c r="C325" s="7" t="str">
        <f>IFERROR(__xludf.DUMMYFUNCTION("""COMPUTED_VALUE"""),"")</f>
        <v/>
      </c>
      <c r="D325" s="7" t="str">
        <f t="shared" si="1"/>
        <v/>
      </c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8"/>
      <c r="W325" s="6"/>
    </row>
    <row r="326">
      <c r="A326" s="6"/>
      <c r="B326" s="7"/>
      <c r="C326" s="7" t="str">
        <f>IFERROR(__xludf.DUMMYFUNCTION("""COMPUTED_VALUE"""),"")</f>
        <v/>
      </c>
      <c r="D326" s="7" t="str">
        <f t="shared" si="1"/>
        <v/>
      </c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8"/>
      <c r="W326" s="6"/>
    </row>
    <row r="327">
      <c r="A327" s="6"/>
      <c r="B327" s="7"/>
      <c r="C327" s="7" t="str">
        <f>IFERROR(__xludf.DUMMYFUNCTION("""COMPUTED_VALUE"""),"")</f>
        <v/>
      </c>
      <c r="D327" s="7" t="str">
        <f t="shared" si="1"/>
        <v/>
      </c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8"/>
      <c r="W327" s="6"/>
    </row>
    <row r="328">
      <c r="A328" s="6"/>
      <c r="B328" s="7"/>
      <c r="C328" s="7" t="str">
        <f>IFERROR(__xludf.DUMMYFUNCTION("""COMPUTED_VALUE"""),"")</f>
        <v/>
      </c>
      <c r="D328" s="7" t="str">
        <f t="shared" si="1"/>
        <v/>
      </c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8"/>
      <c r="W328" s="6"/>
    </row>
    <row r="329">
      <c r="A329" s="6"/>
      <c r="B329" s="7"/>
      <c r="C329" s="7" t="str">
        <f>IFERROR(__xludf.DUMMYFUNCTION("""COMPUTED_VALUE"""),"")</f>
        <v/>
      </c>
      <c r="D329" s="7" t="str">
        <f t="shared" si="1"/>
        <v/>
      </c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8"/>
      <c r="W329" s="6"/>
    </row>
    <row r="330">
      <c r="A330" s="6"/>
      <c r="B330" s="7"/>
      <c r="C330" s="7" t="str">
        <f>IFERROR(__xludf.DUMMYFUNCTION("""COMPUTED_VALUE"""),"")</f>
        <v/>
      </c>
      <c r="D330" s="7" t="str">
        <f t="shared" si="1"/>
        <v/>
      </c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8"/>
      <c r="W330" s="6"/>
    </row>
    <row r="331">
      <c r="A331" s="6"/>
      <c r="B331" s="7"/>
      <c r="C331" s="7" t="str">
        <f>IFERROR(__xludf.DUMMYFUNCTION("""COMPUTED_VALUE"""),"")</f>
        <v/>
      </c>
      <c r="D331" s="7" t="str">
        <f t="shared" si="1"/>
        <v/>
      </c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8"/>
      <c r="W331" s="6"/>
    </row>
    <row r="332">
      <c r="A332" s="6"/>
      <c r="B332" s="7"/>
      <c r="C332" s="7" t="str">
        <f>IFERROR(__xludf.DUMMYFUNCTION("""COMPUTED_VALUE"""),"")</f>
        <v/>
      </c>
      <c r="D332" s="7" t="str">
        <f t="shared" si="1"/>
        <v/>
      </c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8"/>
      <c r="W332" s="6"/>
    </row>
    <row r="333">
      <c r="A333" s="6"/>
      <c r="B333" s="7"/>
      <c r="C333" s="7" t="str">
        <f>IFERROR(__xludf.DUMMYFUNCTION("""COMPUTED_VALUE"""),"")</f>
        <v/>
      </c>
      <c r="D333" s="7" t="str">
        <f t="shared" si="1"/>
        <v/>
      </c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8"/>
      <c r="W333" s="6"/>
    </row>
    <row r="334">
      <c r="A334" s="6"/>
      <c r="B334" s="7"/>
      <c r="C334" s="7" t="str">
        <f>IFERROR(__xludf.DUMMYFUNCTION("""COMPUTED_VALUE"""),"")</f>
        <v/>
      </c>
      <c r="D334" s="7" t="str">
        <f t="shared" si="1"/>
        <v/>
      </c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8"/>
      <c r="W334" s="6"/>
    </row>
    <row r="335">
      <c r="A335" s="6"/>
      <c r="B335" s="7"/>
      <c r="C335" s="7" t="str">
        <f>IFERROR(__xludf.DUMMYFUNCTION("""COMPUTED_VALUE"""),"")</f>
        <v/>
      </c>
      <c r="D335" s="7" t="str">
        <f t="shared" si="1"/>
        <v/>
      </c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8"/>
      <c r="W335" s="6"/>
    </row>
    <row r="336">
      <c r="A336" s="6"/>
      <c r="B336" s="7"/>
      <c r="C336" s="7" t="str">
        <f>IFERROR(__xludf.DUMMYFUNCTION("""COMPUTED_VALUE"""),"")</f>
        <v/>
      </c>
      <c r="D336" s="7" t="str">
        <f t="shared" si="1"/>
        <v/>
      </c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8"/>
      <c r="W336" s="6"/>
    </row>
    <row r="337">
      <c r="A337" s="6"/>
      <c r="B337" s="7"/>
      <c r="C337" s="7" t="str">
        <f>IFERROR(__xludf.DUMMYFUNCTION("""COMPUTED_VALUE"""),"")</f>
        <v/>
      </c>
      <c r="D337" s="7" t="str">
        <f t="shared" si="1"/>
        <v/>
      </c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8"/>
      <c r="W337" s="6"/>
    </row>
    <row r="338">
      <c r="A338" s="6"/>
      <c r="B338" s="7"/>
      <c r="C338" s="7" t="str">
        <f>IFERROR(__xludf.DUMMYFUNCTION("""COMPUTED_VALUE"""),"")</f>
        <v/>
      </c>
      <c r="D338" s="7" t="str">
        <f t="shared" si="1"/>
        <v/>
      </c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8"/>
      <c r="W338" s="6"/>
    </row>
    <row r="339">
      <c r="A339" s="6"/>
      <c r="B339" s="7"/>
      <c r="C339" s="7" t="str">
        <f>IFERROR(__xludf.DUMMYFUNCTION("""COMPUTED_VALUE"""),"")</f>
        <v/>
      </c>
      <c r="D339" s="7" t="str">
        <f t="shared" si="1"/>
        <v/>
      </c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8"/>
      <c r="W339" s="6"/>
    </row>
    <row r="340">
      <c r="A340" s="6"/>
      <c r="B340" s="7"/>
      <c r="C340" s="7" t="str">
        <f>IFERROR(__xludf.DUMMYFUNCTION("""COMPUTED_VALUE"""),"")</f>
        <v/>
      </c>
      <c r="D340" s="7" t="str">
        <f t="shared" si="1"/>
        <v/>
      </c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8"/>
      <c r="W340" s="6"/>
    </row>
    <row r="341">
      <c r="A341" s="6"/>
      <c r="B341" s="7"/>
      <c r="C341" s="7" t="str">
        <f>IFERROR(__xludf.DUMMYFUNCTION("""COMPUTED_VALUE"""),"")</f>
        <v/>
      </c>
      <c r="D341" s="7" t="str">
        <f t="shared" si="1"/>
        <v/>
      </c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8"/>
      <c r="W341" s="6"/>
    </row>
    <row r="342">
      <c r="A342" s="6"/>
      <c r="B342" s="7"/>
      <c r="C342" s="7" t="str">
        <f>IFERROR(__xludf.DUMMYFUNCTION("""COMPUTED_VALUE"""),"")</f>
        <v/>
      </c>
      <c r="D342" s="7" t="str">
        <f t="shared" si="1"/>
        <v/>
      </c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8"/>
      <c r="W342" s="6"/>
    </row>
    <row r="343">
      <c r="A343" s="6"/>
      <c r="B343" s="7"/>
      <c r="C343" s="7" t="str">
        <f>IFERROR(__xludf.DUMMYFUNCTION("""COMPUTED_VALUE"""),"")</f>
        <v/>
      </c>
      <c r="D343" s="7" t="str">
        <f t="shared" si="1"/>
        <v/>
      </c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8"/>
      <c r="W343" s="6"/>
    </row>
    <row r="344">
      <c r="A344" s="6"/>
      <c r="B344" s="7"/>
      <c r="C344" s="7" t="str">
        <f>IFERROR(__xludf.DUMMYFUNCTION("""COMPUTED_VALUE"""),"")</f>
        <v/>
      </c>
      <c r="D344" s="7" t="str">
        <f t="shared" si="1"/>
        <v/>
      </c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8"/>
      <c r="W344" s="6"/>
    </row>
    <row r="345">
      <c r="A345" s="6"/>
      <c r="B345" s="7"/>
      <c r="C345" s="7" t="str">
        <f>IFERROR(__xludf.DUMMYFUNCTION("""COMPUTED_VALUE"""),"")</f>
        <v/>
      </c>
      <c r="D345" s="7" t="str">
        <f t="shared" si="1"/>
        <v/>
      </c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8"/>
      <c r="W345" s="6"/>
    </row>
    <row r="346">
      <c r="A346" s="6"/>
      <c r="B346" s="7"/>
      <c r="C346" s="7" t="str">
        <f>IFERROR(__xludf.DUMMYFUNCTION("""COMPUTED_VALUE"""),"")</f>
        <v/>
      </c>
      <c r="D346" s="7" t="str">
        <f t="shared" si="1"/>
        <v/>
      </c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8"/>
      <c r="W346" s="6"/>
    </row>
    <row r="347">
      <c r="A347" s="6"/>
      <c r="B347" s="7"/>
      <c r="C347" s="7" t="str">
        <f>IFERROR(__xludf.DUMMYFUNCTION("""COMPUTED_VALUE"""),"")</f>
        <v/>
      </c>
      <c r="D347" s="7" t="str">
        <f t="shared" si="1"/>
        <v/>
      </c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8"/>
      <c r="W347" s="6"/>
    </row>
    <row r="348">
      <c r="A348" s="6"/>
      <c r="B348" s="7"/>
      <c r="C348" s="7" t="str">
        <f>IFERROR(__xludf.DUMMYFUNCTION("""COMPUTED_VALUE"""),"")</f>
        <v/>
      </c>
      <c r="D348" s="7" t="str">
        <f t="shared" si="1"/>
        <v/>
      </c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8"/>
      <c r="W348" s="6"/>
    </row>
    <row r="349">
      <c r="A349" s="6"/>
      <c r="B349" s="7"/>
      <c r="C349" s="7" t="str">
        <f>IFERROR(__xludf.DUMMYFUNCTION("""COMPUTED_VALUE"""),"")</f>
        <v/>
      </c>
      <c r="D349" s="7" t="str">
        <f t="shared" si="1"/>
        <v/>
      </c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8"/>
      <c r="W349" s="6"/>
    </row>
    <row r="350">
      <c r="A350" s="6"/>
      <c r="B350" s="7"/>
      <c r="C350" s="7" t="str">
        <f>IFERROR(__xludf.DUMMYFUNCTION("""COMPUTED_VALUE"""),"")</f>
        <v/>
      </c>
      <c r="D350" s="7" t="str">
        <f t="shared" si="1"/>
        <v/>
      </c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8"/>
      <c r="W350" s="6"/>
    </row>
    <row r="351">
      <c r="A351" s="6"/>
      <c r="B351" s="7"/>
      <c r="C351" s="7" t="str">
        <f>IFERROR(__xludf.DUMMYFUNCTION("""COMPUTED_VALUE"""),"")</f>
        <v/>
      </c>
      <c r="D351" s="7" t="str">
        <f t="shared" si="1"/>
        <v/>
      </c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8"/>
      <c r="W351" s="6"/>
    </row>
    <row r="352">
      <c r="A352" s="6"/>
      <c r="B352" s="7"/>
      <c r="C352" s="7" t="str">
        <f>IFERROR(__xludf.DUMMYFUNCTION("""COMPUTED_VALUE"""),"")</f>
        <v/>
      </c>
      <c r="D352" s="7" t="str">
        <f t="shared" si="1"/>
        <v/>
      </c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8"/>
      <c r="W352" s="6"/>
    </row>
    <row r="353">
      <c r="A353" s="6"/>
      <c r="B353" s="7"/>
      <c r="C353" s="7" t="str">
        <f>IFERROR(__xludf.DUMMYFUNCTION("""COMPUTED_VALUE"""),"")</f>
        <v/>
      </c>
      <c r="D353" s="7" t="str">
        <f t="shared" si="1"/>
        <v/>
      </c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8"/>
      <c r="W353" s="6"/>
    </row>
    <row r="354">
      <c r="A354" s="6"/>
      <c r="B354" s="7"/>
      <c r="C354" s="7" t="str">
        <f>IFERROR(__xludf.DUMMYFUNCTION("""COMPUTED_VALUE"""),"")</f>
        <v/>
      </c>
      <c r="D354" s="7" t="str">
        <f t="shared" si="1"/>
        <v/>
      </c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8"/>
      <c r="W354" s="6"/>
    </row>
    <row r="355">
      <c r="A355" s="6"/>
      <c r="B355" s="7"/>
      <c r="C355" s="7" t="str">
        <f>IFERROR(__xludf.DUMMYFUNCTION("""COMPUTED_VALUE"""),"")</f>
        <v/>
      </c>
      <c r="D355" s="7" t="str">
        <f t="shared" si="1"/>
        <v/>
      </c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8"/>
      <c r="W355" s="6"/>
    </row>
    <row r="356">
      <c r="A356" s="6"/>
      <c r="B356" s="7"/>
      <c r="C356" s="7" t="str">
        <f>IFERROR(__xludf.DUMMYFUNCTION("""COMPUTED_VALUE"""),"")</f>
        <v/>
      </c>
      <c r="D356" s="7" t="str">
        <f t="shared" si="1"/>
        <v/>
      </c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8"/>
      <c r="W356" s="6"/>
    </row>
    <row r="357">
      <c r="A357" s="6"/>
      <c r="B357" s="7"/>
      <c r="C357" s="7" t="str">
        <f>IFERROR(__xludf.DUMMYFUNCTION("""COMPUTED_VALUE"""),"")</f>
        <v/>
      </c>
      <c r="D357" s="7" t="str">
        <f t="shared" si="1"/>
        <v/>
      </c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8"/>
      <c r="W357" s="6"/>
    </row>
    <row r="358">
      <c r="A358" s="6"/>
      <c r="B358" s="7"/>
      <c r="C358" s="7" t="str">
        <f>IFERROR(__xludf.DUMMYFUNCTION("""COMPUTED_VALUE"""),"")</f>
        <v/>
      </c>
      <c r="D358" s="7" t="str">
        <f t="shared" si="1"/>
        <v/>
      </c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8"/>
      <c r="W358" s="6"/>
    </row>
    <row r="359">
      <c r="A359" s="6"/>
      <c r="B359" s="7"/>
      <c r="C359" s="7" t="str">
        <f>IFERROR(__xludf.DUMMYFUNCTION("""COMPUTED_VALUE"""),"")</f>
        <v/>
      </c>
      <c r="D359" s="7" t="str">
        <f t="shared" si="1"/>
        <v/>
      </c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8"/>
      <c r="W359" s="6"/>
    </row>
    <row r="360">
      <c r="A360" s="6"/>
      <c r="B360" s="7"/>
      <c r="C360" s="7" t="str">
        <f>IFERROR(__xludf.DUMMYFUNCTION("""COMPUTED_VALUE"""),"")</f>
        <v/>
      </c>
      <c r="D360" s="7" t="str">
        <f t="shared" si="1"/>
        <v/>
      </c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8"/>
      <c r="W360" s="6"/>
    </row>
    <row r="361">
      <c r="A361" s="6"/>
      <c r="B361" s="7"/>
      <c r="C361" s="7" t="str">
        <f>IFERROR(__xludf.DUMMYFUNCTION("""COMPUTED_VALUE"""),"")</f>
        <v/>
      </c>
      <c r="D361" s="7" t="str">
        <f t="shared" si="1"/>
        <v/>
      </c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8"/>
      <c r="W361" s="6"/>
    </row>
    <row r="362">
      <c r="A362" s="6"/>
      <c r="B362" s="7"/>
      <c r="C362" s="7" t="str">
        <f>IFERROR(__xludf.DUMMYFUNCTION("""COMPUTED_VALUE"""),"")</f>
        <v/>
      </c>
      <c r="D362" s="7" t="str">
        <f t="shared" si="1"/>
        <v/>
      </c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8"/>
      <c r="W362" s="6"/>
    </row>
    <row r="363">
      <c r="A363" s="6"/>
      <c r="B363" s="7"/>
      <c r="C363" s="7" t="str">
        <f>IFERROR(__xludf.DUMMYFUNCTION("""COMPUTED_VALUE"""),"")</f>
        <v/>
      </c>
      <c r="D363" s="7" t="str">
        <f t="shared" si="1"/>
        <v/>
      </c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8"/>
      <c r="W363" s="6"/>
    </row>
    <row r="364">
      <c r="A364" s="6"/>
      <c r="B364" s="7"/>
      <c r="C364" s="7" t="str">
        <f>IFERROR(__xludf.DUMMYFUNCTION("""COMPUTED_VALUE"""),"")</f>
        <v/>
      </c>
      <c r="D364" s="7" t="str">
        <f t="shared" si="1"/>
        <v/>
      </c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8"/>
      <c r="W364" s="6"/>
    </row>
    <row r="365">
      <c r="A365" s="6"/>
      <c r="B365" s="7"/>
      <c r="C365" s="7" t="str">
        <f>IFERROR(__xludf.DUMMYFUNCTION("""COMPUTED_VALUE"""),"")</f>
        <v/>
      </c>
      <c r="D365" s="7" t="str">
        <f t="shared" si="1"/>
        <v/>
      </c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8"/>
      <c r="W365" s="6"/>
    </row>
    <row r="366">
      <c r="A366" s="6"/>
      <c r="B366" s="7"/>
      <c r="C366" s="7" t="str">
        <f>IFERROR(__xludf.DUMMYFUNCTION("""COMPUTED_VALUE"""),"")</f>
        <v/>
      </c>
      <c r="D366" s="7" t="str">
        <f t="shared" si="1"/>
        <v/>
      </c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8"/>
      <c r="W366" s="6"/>
    </row>
    <row r="367">
      <c r="A367" s="6"/>
      <c r="B367" s="7"/>
      <c r="C367" s="7" t="str">
        <f>IFERROR(__xludf.DUMMYFUNCTION("""COMPUTED_VALUE"""),"")</f>
        <v/>
      </c>
      <c r="D367" s="7" t="str">
        <f t="shared" si="1"/>
        <v/>
      </c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8"/>
      <c r="W367" s="6"/>
    </row>
    <row r="368">
      <c r="A368" s="6"/>
      <c r="B368" s="7"/>
      <c r="C368" s="7" t="str">
        <f>IFERROR(__xludf.DUMMYFUNCTION("""COMPUTED_VALUE"""),"")</f>
        <v/>
      </c>
      <c r="D368" s="7" t="str">
        <f t="shared" si="1"/>
        <v/>
      </c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8"/>
      <c r="W368" s="6"/>
    </row>
    <row r="369">
      <c r="A369" s="6"/>
      <c r="B369" s="7"/>
      <c r="C369" s="7" t="str">
        <f>IFERROR(__xludf.DUMMYFUNCTION("""COMPUTED_VALUE"""),"")</f>
        <v/>
      </c>
      <c r="D369" s="7" t="str">
        <f t="shared" si="1"/>
        <v/>
      </c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8"/>
      <c r="W369" s="6"/>
    </row>
    <row r="370">
      <c r="A370" s="6"/>
      <c r="B370" s="7"/>
      <c r="C370" s="7" t="str">
        <f>IFERROR(__xludf.DUMMYFUNCTION("""COMPUTED_VALUE"""),"")</f>
        <v/>
      </c>
      <c r="D370" s="7" t="str">
        <f t="shared" si="1"/>
        <v/>
      </c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8"/>
      <c r="W370" s="6"/>
    </row>
    <row r="371">
      <c r="A371" s="6"/>
      <c r="B371" s="7"/>
      <c r="C371" s="7" t="str">
        <f>IFERROR(__xludf.DUMMYFUNCTION("""COMPUTED_VALUE"""),"")</f>
        <v/>
      </c>
      <c r="D371" s="7" t="str">
        <f t="shared" si="1"/>
        <v/>
      </c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8"/>
      <c r="W371" s="6"/>
    </row>
    <row r="372">
      <c r="A372" s="6"/>
      <c r="B372" s="7"/>
      <c r="C372" s="7" t="str">
        <f>IFERROR(__xludf.DUMMYFUNCTION("""COMPUTED_VALUE"""),"")</f>
        <v/>
      </c>
      <c r="D372" s="7" t="str">
        <f t="shared" si="1"/>
        <v/>
      </c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8"/>
      <c r="W372" s="6"/>
    </row>
    <row r="373">
      <c r="A373" s="6"/>
      <c r="B373" s="7"/>
      <c r="C373" s="7" t="str">
        <f>IFERROR(__xludf.DUMMYFUNCTION("""COMPUTED_VALUE"""),"")</f>
        <v/>
      </c>
      <c r="D373" s="7" t="str">
        <f t="shared" si="1"/>
        <v/>
      </c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8"/>
      <c r="W373" s="6"/>
    </row>
    <row r="374">
      <c r="A374" s="6"/>
      <c r="B374" s="7"/>
      <c r="C374" s="7" t="str">
        <f>IFERROR(__xludf.DUMMYFUNCTION("""COMPUTED_VALUE"""),"")</f>
        <v/>
      </c>
      <c r="D374" s="7" t="str">
        <f t="shared" si="1"/>
        <v/>
      </c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8"/>
      <c r="W374" s="6"/>
    </row>
    <row r="375">
      <c r="A375" s="6"/>
      <c r="B375" s="7"/>
      <c r="C375" s="7" t="str">
        <f>IFERROR(__xludf.DUMMYFUNCTION("""COMPUTED_VALUE"""),"")</f>
        <v/>
      </c>
      <c r="D375" s="7" t="str">
        <f t="shared" si="1"/>
        <v/>
      </c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8"/>
      <c r="W375" s="6"/>
    </row>
    <row r="376">
      <c r="A376" s="6"/>
      <c r="B376" s="7"/>
      <c r="C376" s="7" t="str">
        <f>IFERROR(__xludf.DUMMYFUNCTION("""COMPUTED_VALUE"""),"")</f>
        <v/>
      </c>
      <c r="D376" s="7" t="str">
        <f t="shared" si="1"/>
        <v/>
      </c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8"/>
      <c r="W376" s="6"/>
    </row>
    <row r="377">
      <c r="A377" s="6"/>
      <c r="B377" s="7"/>
      <c r="C377" s="7" t="str">
        <f>IFERROR(__xludf.DUMMYFUNCTION("""COMPUTED_VALUE"""),"")</f>
        <v/>
      </c>
      <c r="D377" s="7" t="str">
        <f t="shared" si="1"/>
        <v/>
      </c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8"/>
      <c r="W377" s="6"/>
    </row>
    <row r="378">
      <c r="A378" s="6"/>
      <c r="B378" s="7"/>
      <c r="C378" s="7" t="str">
        <f>IFERROR(__xludf.DUMMYFUNCTION("""COMPUTED_VALUE"""),"")</f>
        <v/>
      </c>
      <c r="D378" s="7" t="str">
        <f t="shared" si="1"/>
        <v/>
      </c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8"/>
      <c r="W378" s="6"/>
    </row>
    <row r="379">
      <c r="A379" s="6"/>
      <c r="B379" s="7"/>
      <c r="C379" s="7" t="str">
        <f>IFERROR(__xludf.DUMMYFUNCTION("""COMPUTED_VALUE"""),"")</f>
        <v/>
      </c>
      <c r="D379" s="7" t="str">
        <f t="shared" si="1"/>
        <v/>
      </c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8"/>
      <c r="W379" s="6"/>
    </row>
    <row r="380">
      <c r="A380" s="6"/>
      <c r="B380" s="7"/>
      <c r="C380" s="7" t="str">
        <f>IFERROR(__xludf.DUMMYFUNCTION("""COMPUTED_VALUE"""),"")</f>
        <v/>
      </c>
      <c r="D380" s="7" t="str">
        <f t="shared" si="1"/>
        <v/>
      </c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8"/>
      <c r="W380" s="6"/>
    </row>
    <row r="381">
      <c r="A381" s="6"/>
      <c r="B381" s="7"/>
      <c r="C381" s="7" t="str">
        <f>IFERROR(__xludf.DUMMYFUNCTION("""COMPUTED_VALUE"""),"")</f>
        <v/>
      </c>
      <c r="D381" s="7" t="str">
        <f t="shared" si="1"/>
        <v/>
      </c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8"/>
      <c r="W381" s="6"/>
    </row>
    <row r="382">
      <c r="A382" s="6"/>
      <c r="B382" s="7"/>
      <c r="C382" s="7" t="str">
        <f>IFERROR(__xludf.DUMMYFUNCTION("""COMPUTED_VALUE"""),"")</f>
        <v/>
      </c>
      <c r="D382" s="7" t="str">
        <f t="shared" si="1"/>
        <v/>
      </c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8"/>
      <c r="W382" s="6"/>
    </row>
    <row r="383">
      <c r="A383" s="6"/>
      <c r="B383" s="7"/>
      <c r="C383" s="7" t="str">
        <f>IFERROR(__xludf.DUMMYFUNCTION("""COMPUTED_VALUE"""),"")</f>
        <v/>
      </c>
      <c r="D383" s="7" t="str">
        <f t="shared" si="1"/>
        <v/>
      </c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8"/>
      <c r="W383" s="6"/>
    </row>
    <row r="384">
      <c r="A384" s="6"/>
      <c r="B384" s="7"/>
      <c r="C384" s="7" t="str">
        <f>IFERROR(__xludf.DUMMYFUNCTION("""COMPUTED_VALUE"""),"")</f>
        <v/>
      </c>
      <c r="D384" s="7" t="str">
        <f t="shared" si="1"/>
        <v/>
      </c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8"/>
      <c r="W384" s="6"/>
    </row>
    <row r="385">
      <c r="A385" s="6"/>
      <c r="B385" s="7"/>
      <c r="C385" s="7" t="str">
        <f>IFERROR(__xludf.DUMMYFUNCTION("""COMPUTED_VALUE"""),"")</f>
        <v/>
      </c>
      <c r="D385" s="7" t="str">
        <f t="shared" si="1"/>
        <v/>
      </c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8"/>
      <c r="W385" s="6"/>
    </row>
    <row r="386">
      <c r="A386" s="6"/>
      <c r="B386" s="7"/>
      <c r="C386" s="7" t="str">
        <f>IFERROR(__xludf.DUMMYFUNCTION("""COMPUTED_VALUE"""),"")</f>
        <v/>
      </c>
      <c r="D386" s="7" t="str">
        <f t="shared" si="1"/>
        <v/>
      </c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8"/>
      <c r="W386" s="6"/>
    </row>
    <row r="387">
      <c r="A387" s="6"/>
      <c r="B387" s="7"/>
      <c r="C387" s="7" t="str">
        <f>IFERROR(__xludf.DUMMYFUNCTION("""COMPUTED_VALUE"""),"")</f>
        <v/>
      </c>
      <c r="D387" s="7" t="str">
        <f t="shared" si="1"/>
        <v/>
      </c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8"/>
      <c r="W387" s="6"/>
    </row>
    <row r="388">
      <c r="A388" s="6"/>
      <c r="B388" s="7"/>
      <c r="C388" s="7" t="str">
        <f>IFERROR(__xludf.DUMMYFUNCTION("""COMPUTED_VALUE"""),"")</f>
        <v/>
      </c>
      <c r="D388" s="7" t="str">
        <f t="shared" si="1"/>
        <v/>
      </c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8"/>
      <c r="W388" s="6"/>
    </row>
    <row r="389">
      <c r="A389" s="6"/>
      <c r="B389" s="7"/>
      <c r="C389" s="7" t="str">
        <f>IFERROR(__xludf.DUMMYFUNCTION("""COMPUTED_VALUE"""),"")</f>
        <v/>
      </c>
      <c r="D389" s="7" t="str">
        <f t="shared" si="1"/>
        <v/>
      </c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8"/>
      <c r="W389" s="6"/>
    </row>
    <row r="390">
      <c r="A390" s="6"/>
      <c r="B390" s="7"/>
      <c r="C390" s="7" t="str">
        <f>IFERROR(__xludf.DUMMYFUNCTION("""COMPUTED_VALUE"""),"")</f>
        <v/>
      </c>
      <c r="D390" s="7" t="str">
        <f t="shared" si="1"/>
        <v/>
      </c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8"/>
      <c r="W390" s="6"/>
    </row>
    <row r="391">
      <c r="A391" s="6"/>
      <c r="B391" s="7"/>
      <c r="C391" s="7" t="str">
        <f>IFERROR(__xludf.DUMMYFUNCTION("""COMPUTED_VALUE"""),"")</f>
        <v/>
      </c>
      <c r="D391" s="7" t="str">
        <f t="shared" si="1"/>
        <v/>
      </c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8"/>
      <c r="W391" s="6"/>
    </row>
    <row r="392">
      <c r="A392" s="6"/>
      <c r="B392" s="7"/>
      <c r="C392" s="7" t="str">
        <f>IFERROR(__xludf.DUMMYFUNCTION("""COMPUTED_VALUE"""),"")</f>
        <v/>
      </c>
      <c r="D392" s="7" t="str">
        <f t="shared" si="1"/>
        <v/>
      </c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8"/>
      <c r="W392" s="6"/>
    </row>
    <row r="393">
      <c r="A393" s="6"/>
      <c r="B393" s="7"/>
      <c r="C393" s="7" t="str">
        <f>IFERROR(__xludf.DUMMYFUNCTION("""COMPUTED_VALUE"""),"")</f>
        <v/>
      </c>
      <c r="D393" s="7" t="str">
        <f t="shared" si="1"/>
        <v/>
      </c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8"/>
      <c r="W393" s="6"/>
    </row>
    <row r="394">
      <c r="A394" s="6"/>
      <c r="B394" s="7"/>
      <c r="C394" s="7" t="str">
        <f>IFERROR(__xludf.DUMMYFUNCTION("""COMPUTED_VALUE"""),"")</f>
        <v/>
      </c>
      <c r="D394" s="7" t="str">
        <f t="shared" si="1"/>
        <v/>
      </c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8"/>
      <c r="W394" s="6"/>
    </row>
    <row r="395">
      <c r="A395" s="6"/>
      <c r="B395" s="7"/>
      <c r="C395" s="7" t="str">
        <f>IFERROR(__xludf.DUMMYFUNCTION("""COMPUTED_VALUE"""),"")</f>
        <v/>
      </c>
      <c r="D395" s="7" t="str">
        <f t="shared" si="1"/>
        <v/>
      </c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8"/>
      <c r="W395" s="6"/>
    </row>
    <row r="396">
      <c r="A396" s="6"/>
      <c r="B396" s="7"/>
      <c r="C396" s="7" t="str">
        <f>IFERROR(__xludf.DUMMYFUNCTION("""COMPUTED_VALUE"""),"")</f>
        <v/>
      </c>
      <c r="D396" s="7" t="str">
        <f t="shared" si="1"/>
        <v/>
      </c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8"/>
      <c r="W396" s="6"/>
    </row>
    <row r="397">
      <c r="A397" s="6"/>
      <c r="B397" s="7"/>
      <c r="C397" s="7" t="str">
        <f>IFERROR(__xludf.DUMMYFUNCTION("""COMPUTED_VALUE"""),"")</f>
        <v/>
      </c>
      <c r="D397" s="7" t="str">
        <f t="shared" si="1"/>
        <v/>
      </c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8"/>
      <c r="W397" s="6"/>
    </row>
    <row r="398">
      <c r="A398" s="6"/>
      <c r="B398" s="7"/>
      <c r="C398" s="7" t="str">
        <f>IFERROR(__xludf.DUMMYFUNCTION("""COMPUTED_VALUE"""),"")</f>
        <v/>
      </c>
      <c r="D398" s="7" t="str">
        <f t="shared" si="1"/>
        <v/>
      </c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8"/>
      <c r="W398" s="6"/>
    </row>
    <row r="399">
      <c r="A399" s="6"/>
      <c r="B399" s="7"/>
      <c r="C399" s="7" t="str">
        <f>IFERROR(__xludf.DUMMYFUNCTION("""COMPUTED_VALUE"""),"")</f>
        <v/>
      </c>
      <c r="D399" s="7" t="str">
        <f t="shared" si="1"/>
        <v/>
      </c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8"/>
      <c r="W399" s="6"/>
    </row>
    <row r="400">
      <c r="A400" s="6"/>
      <c r="B400" s="7"/>
      <c r="C400" s="7" t="str">
        <f>IFERROR(__xludf.DUMMYFUNCTION("""COMPUTED_VALUE"""),"")</f>
        <v/>
      </c>
      <c r="D400" s="7" t="str">
        <f t="shared" si="1"/>
        <v/>
      </c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8"/>
      <c r="W400" s="6"/>
    </row>
    <row r="401">
      <c r="A401" s="6"/>
      <c r="B401" s="7"/>
      <c r="C401" s="7" t="str">
        <f>IFERROR(__xludf.DUMMYFUNCTION("""COMPUTED_VALUE"""),"")</f>
        <v/>
      </c>
      <c r="D401" s="7" t="str">
        <f t="shared" si="1"/>
        <v/>
      </c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8"/>
      <c r="W401" s="6"/>
    </row>
    <row r="402">
      <c r="A402" s="6"/>
      <c r="B402" s="7"/>
      <c r="C402" s="7" t="str">
        <f>IFERROR(__xludf.DUMMYFUNCTION("""COMPUTED_VALUE"""),"")</f>
        <v/>
      </c>
      <c r="D402" s="7" t="str">
        <f t="shared" si="1"/>
        <v/>
      </c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8"/>
      <c r="W402" s="6"/>
    </row>
    <row r="403">
      <c r="A403" s="6"/>
      <c r="B403" s="7"/>
      <c r="C403" s="7" t="str">
        <f>IFERROR(__xludf.DUMMYFUNCTION("""COMPUTED_VALUE"""),"")</f>
        <v/>
      </c>
      <c r="D403" s="7" t="str">
        <f t="shared" si="1"/>
        <v/>
      </c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8"/>
      <c r="W403" s="6"/>
    </row>
    <row r="404">
      <c r="A404" s="6"/>
      <c r="B404" s="7"/>
      <c r="C404" s="7" t="str">
        <f>IFERROR(__xludf.DUMMYFUNCTION("""COMPUTED_VALUE"""),"")</f>
        <v/>
      </c>
      <c r="D404" s="7" t="str">
        <f t="shared" si="1"/>
        <v/>
      </c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8"/>
      <c r="W404" s="6"/>
    </row>
    <row r="405">
      <c r="A405" s="6"/>
      <c r="B405" s="7"/>
      <c r="C405" s="7" t="str">
        <f>IFERROR(__xludf.DUMMYFUNCTION("""COMPUTED_VALUE"""),"")</f>
        <v/>
      </c>
      <c r="D405" s="7" t="str">
        <f t="shared" si="1"/>
        <v/>
      </c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8"/>
      <c r="W405" s="6"/>
    </row>
    <row r="406">
      <c r="A406" s="6"/>
      <c r="B406" s="7"/>
      <c r="C406" s="7" t="str">
        <f>IFERROR(__xludf.DUMMYFUNCTION("""COMPUTED_VALUE"""),"")</f>
        <v/>
      </c>
      <c r="D406" s="7" t="str">
        <f t="shared" si="1"/>
        <v/>
      </c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8"/>
      <c r="W406" s="6"/>
    </row>
    <row r="407">
      <c r="A407" s="6"/>
      <c r="B407" s="7"/>
      <c r="C407" s="7" t="str">
        <f>IFERROR(__xludf.DUMMYFUNCTION("""COMPUTED_VALUE"""),"")</f>
        <v/>
      </c>
      <c r="D407" s="7" t="str">
        <f t="shared" si="1"/>
        <v/>
      </c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8"/>
      <c r="W407" s="6"/>
    </row>
    <row r="408">
      <c r="A408" s="6"/>
      <c r="B408" s="7"/>
      <c r="C408" s="7" t="str">
        <f>IFERROR(__xludf.DUMMYFUNCTION("""COMPUTED_VALUE"""),"")</f>
        <v/>
      </c>
      <c r="D408" s="7" t="str">
        <f t="shared" si="1"/>
        <v/>
      </c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8"/>
      <c r="W408" s="6"/>
    </row>
    <row r="409">
      <c r="A409" s="6"/>
      <c r="B409" s="7"/>
      <c r="C409" s="7" t="str">
        <f>IFERROR(__xludf.DUMMYFUNCTION("""COMPUTED_VALUE"""),"")</f>
        <v/>
      </c>
      <c r="D409" s="7" t="str">
        <f t="shared" si="1"/>
        <v/>
      </c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8"/>
      <c r="W409" s="6"/>
    </row>
    <row r="410">
      <c r="A410" s="6"/>
      <c r="B410" s="7"/>
      <c r="C410" s="7" t="str">
        <f>IFERROR(__xludf.DUMMYFUNCTION("""COMPUTED_VALUE"""),"")</f>
        <v/>
      </c>
      <c r="D410" s="7" t="str">
        <f t="shared" si="1"/>
        <v/>
      </c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8"/>
      <c r="W410" s="6"/>
    </row>
    <row r="411">
      <c r="A411" s="6"/>
      <c r="B411" s="7"/>
      <c r="C411" s="7" t="str">
        <f>IFERROR(__xludf.DUMMYFUNCTION("""COMPUTED_VALUE"""),"")</f>
        <v/>
      </c>
      <c r="D411" s="7" t="str">
        <f t="shared" si="1"/>
        <v/>
      </c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8"/>
      <c r="W411" s="6"/>
    </row>
    <row r="412">
      <c r="A412" s="6"/>
      <c r="B412" s="7"/>
      <c r="C412" s="7" t="str">
        <f>IFERROR(__xludf.DUMMYFUNCTION("""COMPUTED_VALUE"""),"")</f>
        <v/>
      </c>
      <c r="D412" s="7" t="str">
        <f t="shared" si="1"/>
        <v/>
      </c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8"/>
      <c r="W412" s="6"/>
    </row>
    <row r="413">
      <c r="A413" s="6"/>
      <c r="B413" s="7"/>
      <c r="C413" s="7" t="str">
        <f>IFERROR(__xludf.DUMMYFUNCTION("""COMPUTED_VALUE"""),"")</f>
        <v/>
      </c>
      <c r="D413" s="7" t="str">
        <f t="shared" si="1"/>
        <v/>
      </c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8"/>
      <c r="W413" s="6"/>
    </row>
    <row r="414">
      <c r="A414" s="6"/>
      <c r="B414" s="7"/>
      <c r="C414" s="7" t="str">
        <f>IFERROR(__xludf.DUMMYFUNCTION("""COMPUTED_VALUE"""),"")</f>
        <v/>
      </c>
      <c r="D414" s="7" t="str">
        <f t="shared" si="1"/>
        <v/>
      </c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8"/>
      <c r="W414" s="6"/>
    </row>
    <row r="415">
      <c r="A415" s="6"/>
      <c r="B415" s="7"/>
      <c r="C415" s="7" t="str">
        <f>IFERROR(__xludf.DUMMYFUNCTION("""COMPUTED_VALUE"""),"")</f>
        <v/>
      </c>
      <c r="D415" s="7" t="str">
        <f t="shared" si="1"/>
        <v/>
      </c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8"/>
      <c r="W415" s="6"/>
    </row>
    <row r="416">
      <c r="A416" s="6"/>
      <c r="B416" s="7"/>
      <c r="C416" s="7" t="str">
        <f>IFERROR(__xludf.DUMMYFUNCTION("""COMPUTED_VALUE"""),"")</f>
        <v/>
      </c>
      <c r="D416" s="7" t="str">
        <f t="shared" si="1"/>
        <v/>
      </c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8"/>
      <c r="W416" s="6"/>
    </row>
    <row r="417">
      <c r="A417" s="6"/>
      <c r="B417" s="7"/>
      <c r="C417" s="7" t="str">
        <f>IFERROR(__xludf.DUMMYFUNCTION("""COMPUTED_VALUE"""),"")</f>
        <v/>
      </c>
      <c r="D417" s="7" t="str">
        <f t="shared" si="1"/>
        <v/>
      </c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8"/>
      <c r="W417" s="6"/>
    </row>
    <row r="418">
      <c r="A418" s="6"/>
      <c r="B418" s="7"/>
      <c r="C418" s="7" t="str">
        <f>IFERROR(__xludf.DUMMYFUNCTION("""COMPUTED_VALUE"""),"")</f>
        <v/>
      </c>
      <c r="D418" s="7" t="str">
        <f t="shared" si="1"/>
        <v/>
      </c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8"/>
      <c r="W418" s="6"/>
    </row>
    <row r="419">
      <c r="A419" s="6"/>
      <c r="B419" s="7"/>
      <c r="C419" s="7" t="str">
        <f>IFERROR(__xludf.DUMMYFUNCTION("""COMPUTED_VALUE"""),"")</f>
        <v/>
      </c>
      <c r="D419" s="7" t="str">
        <f t="shared" si="1"/>
        <v/>
      </c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8"/>
      <c r="W419" s="6"/>
    </row>
    <row r="420">
      <c r="A420" s="6"/>
      <c r="B420" s="7"/>
      <c r="C420" s="7" t="str">
        <f>IFERROR(__xludf.DUMMYFUNCTION("""COMPUTED_VALUE"""),"")</f>
        <v/>
      </c>
      <c r="D420" s="7" t="str">
        <f t="shared" si="1"/>
        <v/>
      </c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8"/>
      <c r="W420" s="6"/>
    </row>
    <row r="421">
      <c r="A421" s="6"/>
      <c r="B421" s="7"/>
      <c r="C421" s="7" t="str">
        <f>IFERROR(__xludf.DUMMYFUNCTION("""COMPUTED_VALUE"""),"")</f>
        <v/>
      </c>
      <c r="D421" s="7" t="str">
        <f t="shared" si="1"/>
        <v/>
      </c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8"/>
      <c r="W421" s="6"/>
    </row>
    <row r="422">
      <c r="A422" s="6"/>
      <c r="B422" s="7"/>
      <c r="C422" s="7" t="str">
        <f>IFERROR(__xludf.DUMMYFUNCTION("""COMPUTED_VALUE"""),"")</f>
        <v/>
      </c>
      <c r="D422" s="7" t="str">
        <f t="shared" si="1"/>
        <v/>
      </c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8"/>
      <c r="W422" s="6"/>
    </row>
    <row r="423">
      <c r="A423" s="6"/>
      <c r="B423" s="7"/>
      <c r="C423" s="7" t="str">
        <f>IFERROR(__xludf.DUMMYFUNCTION("""COMPUTED_VALUE"""),"")</f>
        <v/>
      </c>
      <c r="D423" s="7" t="str">
        <f t="shared" si="1"/>
        <v/>
      </c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8"/>
      <c r="W423" s="6"/>
    </row>
    <row r="424">
      <c r="A424" s="6"/>
      <c r="B424" s="7"/>
      <c r="C424" s="7" t="str">
        <f>IFERROR(__xludf.DUMMYFUNCTION("""COMPUTED_VALUE"""),"")</f>
        <v/>
      </c>
      <c r="D424" s="7" t="str">
        <f t="shared" si="1"/>
        <v/>
      </c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8"/>
      <c r="W424" s="6"/>
    </row>
    <row r="425">
      <c r="A425" s="6"/>
      <c r="B425" s="7"/>
      <c r="C425" s="7" t="str">
        <f>IFERROR(__xludf.DUMMYFUNCTION("""COMPUTED_VALUE"""),"")</f>
        <v/>
      </c>
      <c r="D425" s="7" t="str">
        <f t="shared" si="1"/>
        <v/>
      </c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8"/>
      <c r="W425" s="6"/>
    </row>
    <row r="426">
      <c r="A426" s="6"/>
      <c r="B426" s="7"/>
      <c r="C426" s="7" t="str">
        <f>IFERROR(__xludf.DUMMYFUNCTION("""COMPUTED_VALUE"""),"")</f>
        <v/>
      </c>
      <c r="D426" s="7" t="str">
        <f t="shared" si="1"/>
        <v/>
      </c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8"/>
      <c r="W426" s="6"/>
    </row>
    <row r="427">
      <c r="A427" s="6"/>
      <c r="B427" s="7"/>
      <c r="C427" s="7" t="str">
        <f>IFERROR(__xludf.DUMMYFUNCTION("""COMPUTED_VALUE"""),"")</f>
        <v/>
      </c>
      <c r="D427" s="7" t="str">
        <f t="shared" si="1"/>
        <v/>
      </c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8"/>
      <c r="W427" s="6"/>
    </row>
    <row r="428">
      <c r="A428" s="6"/>
      <c r="B428" s="7"/>
      <c r="C428" s="7" t="str">
        <f>IFERROR(__xludf.DUMMYFUNCTION("""COMPUTED_VALUE"""),"")</f>
        <v/>
      </c>
      <c r="D428" s="7" t="str">
        <f t="shared" si="1"/>
        <v/>
      </c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8"/>
      <c r="W428" s="6"/>
    </row>
    <row r="429">
      <c r="A429" s="6"/>
      <c r="B429" s="7"/>
      <c r="C429" s="7" t="str">
        <f>IFERROR(__xludf.DUMMYFUNCTION("""COMPUTED_VALUE"""),"")</f>
        <v/>
      </c>
      <c r="D429" s="7" t="str">
        <f t="shared" si="1"/>
        <v/>
      </c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8"/>
      <c r="W429" s="6"/>
    </row>
    <row r="430">
      <c r="A430" s="6"/>
      <c r="B430" s="7"/>
      <c r="C430" s="7" t="str">
        <f>IFERROR(__xludf.DUMMYFUNCTION("""COMPUTED_VALUE"""),"")</f>
        <v/>
      </c>
      <c r="D430" s="7" t="str">
        <f t="shared" si="1"/>
        <v/>
      </c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8"/>
      <c r="W430" s="6"/>
    </row>
    <row r="431">
      <c r="A431" s="6"/>
      <c r="B431" s="7"/>
      <c r="C431" s="7" t="str">
        <f>IFERROR(__xludf.DUMMYFUNCTION("""COMPUTED_VALUE"""),"")</f>
        <v/>
      </c>
      <c r="D431" s="7" t="str">
        <f t="shared" si="1"/>
        <v/>
      </c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8"/>
      <c r="W431" s="6"/>
    </row>
    <row r="432">
      <c r="A432" s="6"/>
      <c r="B432" s="7"/>
      <c r="C432" s="7" t="str">
        <f>IFERROR(__xludf.DUMMYFUNCTION("""COMPUTED_VALUE"""),"")</f>
        <v/>
      </c>
      <c r="D432" s="7" t="str">
        <f t="shared" si="1"/>
        <v/>
      </c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8"/>
      <c r="W432" s="6"/>
    </row>
    <row r="433">
      <c r="A433" s="6"/>
      <c r="B433" s="7"/>
      <c r="C433" s="7" t="str">
        <f>IFERROR(__xludf.DUMMYFUNCTION("""COMPUTED_VALUE"""),"")</f>
        <v/>
      </c>
      <c r="D433" s="7" t="str">
        <f t="shared" si="1"/>
        <v/>
      </c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8"/>
      <c r="W433" s="6"/>
    </row>
    <row r="434">
      <c r="A434" s="6"/>
      <c r="B434" s="7"/>
      <c r="C434" s="7" t="str">
        <f>IFERROR(__xludf.DUMMYFUNCTION("""COMPUTED_VALUE"""),"")</f>
        <v/>
      </c>
      <c r="D434" s="7" t="str">
        <f t="shared" si="1"/>
        <v/>
      </c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8"/>
      <c r="W434" s="6"/>
    </row>
    <row r="435">
      <c r="A435" s="6"/>
      <c r="B435" s="7"/>
      <c r="C435" s="7" t="str">
        <f>IFERROR(__xludf.DUMMYFUNCTION("""COMPUTED_VALUE"""),"")</f>
        <v/>
      </c>
      <c r="D435" s="7" t="str">
        <f t="shared" si="1"/>
        <v/>
      </c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8"/>
      <c r="W435" s="6"/>
    </row>
    <row r="436">
      <c r="A436" s="6"/>
      <c r="B436" s="7"/>
      <c r="C436" s="7" t="str">
        <f>IFERROR(__xludf.DUMMYFUNCTION("""COMPUTED_VALUE"""),"")</f>
        <v/>
      </c>
      <c r="D436" s="7" t="str">
        <f t="shared" si="1"/>
        <v/>
      </c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8"/>
      <c r="W436" s="6"/>
    </row>
    <row r="437">
      <c r="A437" s="6"/>
      <c r="B437" s="7"/>
      <c r="C437" s="7" t="str">
        <f>IFERROR(__xludf.DUMMYFUNCTION("""COMPUTED_VALUE"""),"")</f>
        <v/>
      </c>
      <c r="D437" s="7" t="str">
        <f t="shared" si="1"/>
        <v/>
      </c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8"/>
      <c r="W437" s="6"/>
    </row>
    <row r="438">
      <c r="A438" s="6"/>
      <c r="B438" s="7"/>
      <c r="C438" s="7" t="str">
        <f>IFERROR(__xludf.DUMMYFUNCTION("""COMPUTED_VALUE"""),"")</f>
        <v/>
      </c>
      <c r="D438" s="7" t="str">
        <f t="shared" si="1"/>
        <v/>
      </c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8"/>
      <c r="W438" s="6"/>
    </row>
    <row r="439">
      <c r="A439" s="6"/>
      <c r="B439" s="7"/>
      <c r="C439" s="7" t="str">
        <f>IFERROR(__xludf.DUMMYFUNCTION("""COMPUTED_VALUE"""),"")</f>
        <v/>
      </c>
      <c r="D439" s="7" t="str">
        <f t="shared" si="1"/>
        <v/>
      </c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8"/>
      <c r="W439" s="6"/>
    </row>
    <row r="440">
      <c r="A440" s="6"/>
      <c r="B440" s="7"/>
      <c r="C440" s="7" t="str">
        <f>IFERROR(__xludf.DUMMYFUNCTION("""COMPUTED_VALUE"""),"")</f>
        <v/>
      </c>
      <c r="D440" s="7" t="str">
        <f t="shared" si="1"/>
        <v/>
      </c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8"/>
      <c r="W440" s="6"/>
    </row>
    <row r="441">
      <c r="A441" s="6"/>
      <c r="B441" s="7"/>
      <c r="C441" s="7" t="str">
        <f>IFERROR(__xludf.DUMMYFUNCTION("""COMPUTED_VALUE"""),"")</f>
        <v/>
      </c>
      <c r="D441" s="7" t="str">
        <f t="shared" si="1"/>
        <v/>
      </c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8"/>
      <c r="W441" s="6"/>
    </row>
    <row r="442">
      <c r="A442" s="6"/>
      <c r="B442" s="7"/>
      <c r="C442" s="7" t="str">
        <f>IFERROR(__xludf.DUMMYFUNCTION("""COMPUTED_VALUE"""),"")</f>
        <v/>
      </c>
      <c r="D442" s="7" t="str">
        <f t="shared" si="1"/>
        <v/>
      </c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8"/>
      <c r="W442" s="6"/>
    </row>
    <row r="443">
      <c r="A443" s="6"/>
      <c r="B443" s="7"/>
      <c r="C443" s="7" t="str">
        <f>IFERROR(__xludf.DUMMYFUNCTION("""COMPUTED_VALUE"""),"")</f>
        <v/>
      </c>
      <c r="D443" s="7" t="str">
        <f t="shared" si="1"/>
        <v/>
      </c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8"/>
      <c r="W443" s="6"/>
    </row>
    <row r="444">
      <c r="A444" s="6"/>
      <c r="B444" s="7"/>
      <c r="C444" s="7" t="str">
        <f>IFERROR(__xludf.DUMMYFUNCTION("""COMPUTED_VALUE"""),"")</f>
        <v/>
      </c>
      <c r="D444" s="7" t="str">
        <f t="shared" si="1"/>
        <v/>
      </c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8"/>
      <c r="W444" s="6"/>
    </row>
    <row r="445">
      <c r="A445" s="6"/>
      <c r="B445" s="7"/>
      <c r="C445" s="7" t="str">
        <f>IFERROR(__xludf.DUMMYFUNCTION("""COMPUTED_VALUE"""),"")</f>
        <v/>
      </c>
      <c r="D445" s="7" t="str">
        <f t="shared" si="1"/>
        <v/>
      </c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8"/>
      <c r="W445" s="6"/>
    </row>
    <row r="446">
      <c r="A446" s="6"/>
      <c r="B446" s="7"/>
      <c r="C446" s="7" t="str">
        <f>IFERROR(__xludf.DUMMYFUNCTION("""COMPUTED_VALUE"""),"")</f>
        <v/>
      </c>
      <c r="D446" s="7" t="str">
        <f t="shared" si="1"/>
        <v/>
      </c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8"/>
      <c r="W446" s="6"/>
    </row>
    <row r="447">
      <c r="A447" s="6"/>
      <c r="B447" s="7"/>
      <c r="C447" s="7" t="str">
        <f>IFERROR(__xludf.DUMMYFUNCTION("""COMPUTED_VALUE"""),"")</f>
        <v/>
      </c>
      <c r="D447" s="7" t="str">
        <f t="shared" si="1"/>
        <v/>
      </c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8"/>
      <c r="W447" s="6"/>
    </row>
    <row r="448">
      <c r="A448" s="6"/>
      <c r="B448" s="7"/>
      <c r="C448" s="7" t="str">
        <f>IFERROR(__xludf.DUMMYFUNCTION("""COMPUTED_VALUE"""),"")</f>
        <v/>
      </c>
      <c r="D448" s="7" t="str">
        <f t="shared" si="1"/>
        <v/>
      </c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8"/>
      <c r="W448" s="6"/>
    </row>
    <row r="449">
      <c r="A449" s="6"/>
      <c r="B449" s="7"/>
      <c r="C449" s="7" t="str">
        <f>IFERROR(__xludf.DUMMYFUNCTION("""COMPUTED_VALUE"""),"")</f>
        <v/>
      </c>
      <c r="D449" s="7" t="str">
        <f t="shared" si="1"/>
        <v/>
      </c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8"/>
      <c r="W449" s="6"/>
    </row>
    <row r="450">
      <c r="A450" s="6"/>
      <c r="B450" s="7"/>
      <c r="C450" s="7" t="str">
        <f>IFERROR(__xludf.DUMMYFUNCTION("""COMPUTED_VALUE"""),"")</f>
        <v/>
      </c>
      <c r="D450" s="7" t="str">
        <f t="shared" si="1"/>
        <v/>
      </c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8"/>
      <c r="W450" s="6"/>
    </row>
    <row r="451">
      <c r="A451" s="6"/>
      <c r="B451" s="7"/>
      <c r="C451" s="7" t="str">
        <f>IFERROR(__xludf.DUMMYFUNCTION("""COMPUTED_VALUE"""),"")</f>
        <v/>
      </c>
      <c r="D451" s="7" t="str">
        <f t="shared" si="1"/>
        <v/>
      </c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8"/>
      <c r="W451" s="6"/>
    </row>
    <row r="452">
      <c r="A452" s="6"/>
      <c r="B452" s="7"/>
      <c r="C452" s="7" t="str">
        <f>IFERROR(__xludf.DUMMYFUNCTION("""COMPUTED_VALUE"""),"")</f>
        <v/>
      </c>
      <c r="D452" s="7" t="str">
        <f t="shared" si="1"/>
        <v/>
      </c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8"/>
      <c r="W452" s="6"/>
    </row>
    <row r="453">
      <c r="A453" s="6"/>
      <c r="B453" s="7"/>
      <c r="C453" s="7" t="str">
        <f>IFERROR(__xludf.DUMMYFUNCTION("""COMPUTED_VALUE"""),"")</f>
        <v/>
      </c>
      <c r="D453" s="7" t="str">
        <f t="shared" si="1"/>
        <v/>
      </c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8"/>
      <c r="W453" s="6"/>
    </row>
    <row r="454">
      <c r="A454" s="6"/>
      <c r="B454" s="7"/>
      <c r="C454" s="7" t="str">
        <f>IFERROR(__xludf.DUMMYFUNCTION("""COMPUTED_VALUE"""),"")</f>
        <v/>
      </c>
      <c r="D454" s="7" t="str">
        <f t="shared" si="1"/>
        <v/>
      </c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8"/>
      <c r="W454" s="6"/>
    </row>
    <row r="455">
      <c r="A455" s="6"/>
      <c r="B455" s="7"/>
      <c r="C455" s="7" t="str">
        <f>IFERROR(__xludf.DUMMYFUNCTION("""COMPUTED_VALUE"""),"")</f>
        <v/>
      </c>
      <c r="D455" s="7" t="str">
        <f t="shared" si="1"/>
        <v/>
      </c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8"/>
      <c r="W455" s="6"/>
    </row>
    <row r="456">
      <c r="A456" s="6"/>
      <c r="B456" s="7"/>
      <c r="C456" s="7" t="str">
        <f>IFERROR(__xludf.DUMMYFUNCTION("""COMPUTED_VALUE"""),"")</f>
        <v/>
      </c>
      <c r="D456" s="7" t="str">
        <f t="shared" si="1"/>
        <v/>
      </c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8"/>
      <c r="W456" s="6"/>
    </row>
    <row r="457">
      <c r="A457" s="6"/>
      <c r="B457" s="7"/>
      <c r="C457" s="7" t="str">
        <f>IFERROR(__xludf.DUMMYFUNCTION("""COMPUTED_VALUE"""),"")</f>
        <v/>
      </c>
      <c r="D457" s="7" t="str">
        <f t="shared" si="1"/>
        <v/>
      </c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8"/>
      <c r="W457" s="6"/>
    </row>
    <row r="458">
      <c r="A458" s="6"/>
      <c r="B458" s="7"/>
      <c r="C458" s="7" t="str">
        <f>IFERROR(__xludf.DUMMYFUNCTION("""COMPUTED_VALUE"""),"")</f>
        <v/>
      </c>
      <c r="D458" s="7" t="str">
        <f t="shared" si="1"/>
        <v/>
      </c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8"/>
      <c r="W458" s="6"/>
    </row>
    <row r="459">
      <c r="A459" s="6"/>
      <c r="B459" s="7"/>
      <c r="C459" s="7" t="str">
        <f>IFERROR(__xludf.DUMMYFUNCTION("""COMPUTED_VALUE"""),"")</f>
        <v/>
      </c>
      <c r="D459" s="7" t="str">
        <f t="shared" si="1"/>
        <v/>
      </c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8"/>
      <c r="W459" s="6"/>
    </row>
    <row r="460">
      <c r="A460" s="6"/>
      <c r="B460" s="7"/>
      <c r="C460" s="7" t="str">
        <f>IFERROR(__xludf.DUMMYFUNCTION("""COMPUTED_VALUE"""),"")</f>
        <v/>
      </c>
      <c r="D460" s="7" t="str">
        <f t="shared" si="1"/>
        <v/>
      </c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8"/>
      <c r="W460" s="6"/>
    </row>
    <row r="461">
      <c r="A461" s="6"/>
      <c r="B461" s="7"/>
      <c r="C461" s="7" t="str">
        <f>IFERROR(__xludf.DUMMYFUNCTION("""COMPUTED_VALUE"""),"")</f>
        <v/>
      </c>
      <c r="D461" s="7" t="str">
        <f t="shared" si="1"/>
        <v/>
      </c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8"/>
      <c r="W461" s="6"/>
    </row>
    <row r="462">
      <c r="A462" s="6"/>
      <c r="B462" s="7"/>
      <c r="C462" s="7" t="str">
        <f>IFERROR(__xludf.DUMMYFUNCTION("""COMPUTED_VALUE"""),"")</f>
        <v/>
      </c>
      <c r="D462" s="7" t="str">
        <f t="shared" si="1"/>
        <v/>
      </c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8"/>
      <c r="W462" s="6"/>
    </row>
    <row r="463">
      <c r="A463" s="6"/>
      <c r="B463" s="7"/>
      <c r="C463" s="7" t="str">
        <f>IFERROR(__xludf.DUMMYFUNCTION("""COMPUTED_VALUE"""),"")</f>
        <v/>
      </c>
      <c r="D463" s="7" t="str">
        <f t="shared" si="1"/>
        <v/>
      </c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8"/>
      <c r="W463" s="6"/>
    </row>
    <row r="464">
      <c r="A464" s="6"/>
      <c r="B464" s="7"/>
      <c r="C464" s="7" t="str">
        <f>IFERROR(__xludf.DUMMYFUNCTION("""COMPUTED_VALUE"""),"")</f>
        <v/>
      </c>
      <c r="D464" s="7" t="str">
        <f t="shared" si="1"/>
        <v/>
      </c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8"/>
      <c r="W464" s="6"/>
    </row>
    <row r="465">
      <c r="A465" s="6"/>
      <c r="B465" s="7"/>
      <c r="C465" s="7" t="str">
        <f>IFERROR(__xludf.DUMMYFUNCTION("""COMPUTED_VALUE"""),"")</f>
        <v/>
      </c>
      <c r="D465" s="7" t="str">
        <f t="shared" si="1"/>
        <v/>
      </c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8"/>
      <c r="W465" s="6"/>
    </row>
    <row r="466">
      <c r="A466" s="6"/>
      <c r="B466" s="7"/>
      <c r="C466" s="7" t="str">
        <f>IFERROR(__xludf.DUMMYFUNCTION("""COMPUTED_VALUE"""),"")</f>
        <v/>
      </c>
      <c r="D466" s="7" t="str">
        <f t="shared" si="1"/>
        <v/>
      </c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8"/>
      <c r="W466" s="6"/>
    </row>
    <row r="467">
      <c r="A467" s="6"/>
      <c r="B467" s="7"/>
      <c r="C467" s="7" t="str">
        <f>IFERROR(__xludf.DUMMYFUNCTION("""COMPUTED_VALUE"""),"")</f>
        <v/>
      </c>
      <c r="D467" s="7" t="str">
        <f t="shared" si="1"/>
        <v/>
      </c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8"/>
      <c r="W467" s="6"/>
    </row>
    <row r="468">
      <c r="A468" s="6"/>
      <c r="B468" s="7"/>
      <c r="C468" s="7" t="str">
        <f>IFERROR(__xludf.DUMMYFUNCTION("""COMPUTED_VALUE"""),"")</f>
        <v/>
      </c>
      <c r="D468" s="7" t="str">
        <f t="shared" si="1"/>
        <v/>
      </c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8"/>
      <c r="W468" s="6"/>
    </row>
    <row r="469">
      <c r="A469" s="6"/>
      <c r="B469" s="7"/>
      <c r="C469" s="7" t="str">
        <f>IFERROR(__xludf.DUMMYFUNCTION("""COMPUTED_VALUE"""),"")</f>
        <v/>
      </c>
      <c r="D469" s="7" t="str">
        <f t="shared" si="1"/>
        <v/>
      </c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8"/>
      <c r="W469" s="6"/>
    </row>
    <row r="470">
      <c r="A470" s="6"/>
      <c r="B470" s="7"/>
      <c r="C470" s="7" t="str">
        <f>IFERROR(__xludf.DUMMYFUNCTION("""COMPUTED_VALUE"""),"")</f>
        <v/>
      </c>
      <c r="D470" s="7" t="str">
        <f t="shared" si="1"/>
        <v/>
      </c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8"/>
      <c r="W470" s="6"/>
    </row>
    <row r="471">
      <c r="A471" s="6"/>
      <c r="B471" s="7"/>
      <c r="C471" s="7" t="str">
        <f>IFERROR(__xludf.DUMMYFUNCTION("""COMPUTED_VALUE"""),"")</f>
        <v/>
      </c>
      <c r="D471" s="7" t="str">
        <f t="shared" si="1"/>
        <v/>
      </c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8"/>
      <c r="W471" s="6"/>
    </row>
    <row r="472">
      <c r="A472" s="6"/>
      <c r="B472" s="7"/>
      <c r="C472" s="7" t="str">
        <f>IFERROR(__xludf.DUMMYFUNCTION("""COMPUTED_VALUE"""),"")</f>
        <v/>
      </c>
      <c r="D472" s="7" t="str">
        <f t="shared" si="1"/>
        <v/>
      </c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8"/>
      <c r="W472" s="6"/>
    </row>
    <row r="473">
      <c r="A473" s="6"/>
      <c r="B473" s="7"/>
      <c r="C473" s="7" t="str">
        <f>IFERROR(__xludf.DUMMYFUNCTION("""COMPUTED_VALUE"""),"")</f>
        <v/>
      </c>
      <c r="D473" s="7" t="str">
        <f t="shared" si="1"/>
        <v/>
      </c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8"/>
      <c r="W473" s="6"/>
    </row>
    <row r="474">
      <c r="A474" s="6"/>
      <c r="B474" s="7"/>
      <c r="C474" s="7" t="str">
        <f>IFERROR(__xludf.DUMMYFUNCTION("""COMPUTED_VALUE"""),"")</f>
        <v/>
      </c>
      <c r="D474" s="7" t="str">
        <f t="shared" si="1"/>
        <v/>
      </c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8"/>
      <c r="W474" s="6"/>
    </row>
    <row r="475">
      <c r="A475" s="6"/>
      <c r="B475" s="7"/>
      <c r="C475" s="7" t="str">
        <f>IFERROR(__xludf.DUMMYFUNCTION("""COMPUTED_VALUE"""),"")</f>
        <v/>
      </c>
      <c r="D475" s="7" t="str">
        <f t="shared" si="1"/>
        <v/>
      </c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8"/>
      <c r="W475" s="6"/>
    </row>
    <row r="476">
      <c r="A476" s="6"/>
      <c r="B476" s="7"/>
      <c r="C476" s="7" t="str">
        <f>IFERROR(__xludf.DUMMYFUNCTION("""COMPUTED_VALUE"""),"")</f>
        <v/>
      </c>
      <c r="D476" s="7" t="str">
        <f t="shared" si="1"/>
        <v/>
      </c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8"/>
      <c r="W476" s="6"/>
    </row>
    <row r="477">
      <c r="A477" s="6"/>
      <c r="B477" s="7"/>
      <c r="C477" s="7" t="str">
        <f>IFERROR(__xludf.DUMMYFUNCTION("""COMPUTED_VALUE"""),"")</f>
        <v/>
      </c>
      <c r="D477" s="7" t="str">
        <f t="shared" si="1"/>
        <v/>
      </c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8"/>
      <c r="W477" s="6"/>
    </row>
    <row r="478">
      <c r="A478" s="6"/>
      <c r="B478" s="7"/>
      <c r="C478" s="7" t="str">
        <f>IFERROR(__xludf.DUMMYFUNCTION("""COMPUTED_VALUE"""),"")</f>
        <v/>
      </c>
      <c r="D478" s="7" t="str">
        <f t="shared" si="1"/>
        <v/>
      </c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8"/>
      <c r="W478" s="6"/>
    </row>
    <row r="479">
      <c r="A479" s="6"/>
      <c r="B479" s="7"/>
      <c r="C479" s="7" t="str">
        <f>IFERROR(__xludf.DUMMYFUNCTION("""COMPUTED_VALUE"""),"")</f>
        <v/>
      </c>
      <c r="D479" s="7" t="str">
        <f t="shared" si="1"/>
        <v/>
      </c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8"/>
      <c r="W479" s="6"/>
    </row>
    <row r="480">
      <c r="A480" s="6"/>
      <c r="B480" s="7"/>
      <c r="C480" s="7" t="str">
        <f>IFERROR(__xludf.DUMMYFUNCTION("""COMPUTED_VALUE"""),"")</f>
        <v/>
      </c>
      <c r="D480" s="7" t="str">
        <f t="shared" si="1"/>
        <v/>
      </c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8"/>
      <c r="W480" s="6"/>
    </row>
    <row r="481">
      <c r="A481" s="6"/>
      <c r="B481" s="7"/>
      <c r="C481" s="7" t="str">
        <f>IFERROR(__xludf.DUMMYFUNCTION("""COMPUTED_VALUE"""),"")</f>
        <v/>
      </c>
      <c r="D481" s="7" t="str">
        <f t="shared" si="1"/>
        <v/>
      </c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8"/>
      <c r="W481" s="6"/>
    </row>
    <row r="482">
      <c r="A482" s="6"/>
      <c r="B482" s="7"/>
      <c r="C482" s="7" t="str">
        <f>IFERROR(__xludf.DUMMYFUNCTION("""COMPUTED_VALUE"""),"")</f>
        <v/>
      </c>
      <c r="D482" s="7" t="str">
        <f t="shared" si="1"/>
        <v/>
      </c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8"/>
      <c r="W482" s="6"/>
    </row>
    <row r="483">
      <c r="A483" s="6"/>
      <c r="B483" s="7"/>
      <c r="C483" s="7" t="str">
        <f>IFERROR(__xludf.DUMMYFUNCTION("""COMPUTED_VALUE"""),"")</f>
        <v/>
      </c>
      <c r="D483" s="7" t="str">
        <f t="shared" si="1"/>
        <v/>
      </c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8"/>
      <c r="W483" s="6"/>
    </row>
    <row r="484">
      <c r="A484" s="6"/>
      <c r="B484" s="7"/>
      <c r="C484" s="7" t="str">
        <f>IFERROR(__xludf.DUMMYFUNCTION("""COMPUTED_VALUE"""),"")</f>
        <v/>
      </c>
      <c r="D484" s="7" t="str">
        <f t="shared" si="1"/>
        <v/>
      </c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8"/>
      <c r="W484" s="6"/>
    </row>
    <row r="485">
      <c r="A485" s="6"/>
      <c r="B485" s="7"/>
      <c r="C485" s="7" t="str">
        <f>IFERROR(__xludf.DUMMYFUNCTION("""COMPUTED_VALUE"""),"")</f>
        <v/>
      </c>
      <c r="D485" s="7" t="str">
        <f t="shared" si="1"/>
        <v/>
      </c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8"/>
      <c r="W485" s="6"/>
    </row>
    <row r="486">
      <c r="A486" s="6"/>
      <c r="B486" s="7"/>
      <c r="C486" s="7" t="str">
        <f>IFERROR(__xludf.DUMMYFUNCTION("""COMPUTED_VALUE"""),"")</f>
        <v/>
      </c>
      <c r="D486" s="7" t="str">
        <f t="shared" si="1"/>
        <v/>
      </c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8"/>
      <c r="W486" s="6"/>
    </row>
    <row r="487">
      <c r="A487" s="6"/>
      <c r="B487" s="7"/>
      <c r="C487" s="7" t="str">
        <f>IFERROR(__xludf.DUMMYFUNCTION("""COMPUTED_VALUE"""),"")</f>
        <v/>
      </c>
      <c r="D487" s="7" t="str">
        <f t="shared" si="1"/>
        <v/>
      </c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8"/>
      <c r="W487" s="6"/>
    </row>
    <row r="488">
      <c r="A488" s="6"/>
      <c r="B488" s="7"/>
      <c r="C488" s="7" t="str">
        <f>IFERROR(__xludf.DUMMYFUNCTION("""COMPUTED_VALUE"""),"")</f>
        <v/>
      </c>
      <c r="D488" s="7" t="str">
        <f t="shared" si="1"/>
        <v/>
      </c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8"/>
      <c r="W488" s="6"/>
    </row>
    <row r="489">
      <c r="A489" s="6"/>
      <c r="B489" s="7"/>
      <c r="C489" s="7" t="str">
        <f>IFERROR(__xludf.DUMMYFUNCTION("""COMPUTED_VALUE"""),"")</f>
        <v/>
      </c>
      <c r="D489" s="7" t="str">
        <f t="shared" si="1"/>
        <v/>
      </c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8"/>
      <c r="W489" s="6"/>
    </row>
    <row r="490">
      <c r="A490" s="6"/>
      <c r="B490" s="7"/>
      <c r="C490" s="7" t="str">
        <f>IFERROR(__xludf.DUMMYFUNCTION("""COMPUTED_VALUE"""),"")</f>
        <v/>
      </c>
      <c r="D490" s="7" t="str">
        <f t="shared" si="1"/>
        <v/>
      </c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8"/>
      <c r="W490" s="6"/>
    </row>
    <row r="491">
      <c r="A491" s="6"/>
      <c r="B491" s="7"/>
      <c r="C491" s="7" t="str">
        <f>IFERROR(__xludf.DUMMYFUNCTION("""COMPUTED_VALUE"""),"")</f>
        <v/>
      </c>
      <c r="D491" s="7" t="str">
        <f t="shared" si="1"/>
        <v/>
      </c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8"/>
      <c r="W491" s="6"/>
    </row>
    <row r="492">
      <c r="A492" s="6"/>
      <c r="B492" s="7"/>
      <c r="C492" s="7" t="str">
        <f>IFERROR(__xludf.DUMMYFUNCTION("""COMPUTED_VALUE"""),"")</f>
        <v/>
      </c>
      <c r="D492" s="7" t="str">
        <f t="shared" si="1"/>
        <v/>
      </c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8"/>
      <c r="W492" s="6"/>
    </row>
    <row r="493">
      <c r="A493" s="6"/>
      <c r="B493" s="7"/>
      <c r="C493" s="7" t="str">
        <f>IFERROR(__xludf.DUMMYFUNCTION("""COMPUTED_VALUE"""),"")</f>
        <v/>
      </c>
      <c r="D493" s="7" t="str">
        <f t="shared" si="1"/>
        <v/>
      </c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8"/>
      <c r="W493" s="6"/>
    </row>
    <row r="494">
      <c r="A494" s="6"/>
      <c r="B494" s="7"/>
      <c r="C494" s="7" t="str">
        <f>IFERROR(__xludf.DUMMYFUNCTION("""COMPUTED_VALUE"""),"")</f>
        <v/>
      </c>
      <c r="D494" s="7" t="str">
        <f t="shared" si="1"/>
        <v/>
      </c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8"/>
      <c r="W494" s="6"/>
    </row>
    <row r="495">
      <c r="A495" s="6"/>
      <c r="B495" s="7"/>
      <c r="C495" s="7" t="str">
        <f>IFERROR(__xludf.DUMMYFUNCTION("""COMPUTED_VALUE"""),"")</f>
        <v/>
      </c>
      <c r="D495" s="7" t="str">
        <f t="shared" si="1"/>
        <v/>
      </c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8"/>
      <c r="W495" s="6"/>
    </row>
    <row r="496">
      <c r="A496" s="6"/>
      <c r="B496" s="7"/>
      <c r="C496" s="7" t="str">
        <f>IFERROR(__xludf.DUMMYFUNCTION("""COMPUTED_VALUE"""),"")</f>
        <v/>
      </c>
      <c r="D496" s="7" t="str">
        <f t="shared" si="1"/>
        <v/>
      </c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8"/>
      <c r="W496" s="6"/>
    </row>
    <row r="497">
      <c r="A497" s="6"/>
      <c r="B497" s="7"/>
      <c r="C497" s="7" t="str">
        <f>IFERROR(__xludf.DUMMYFUNCTION("""COMPUTED_VALUE"""),"")</f>
        <v/>
      </c>
      <c r="D497" s="7" t="str">
        <f t="shared" si="1"/>
        <v/>
      </c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8"/>
      <c r="W497" s="6"/>
    </row>
    <row r="498">
      <c r="A498" s="6"/>
      <c r="B498" s="7"/>
      <c r="C498" s="7" t="str">
        <f>IFERROR(__xludf.DUMMYFUNCTION("""COMPUTED_VALUE"""),"")</f>
        <v/>
      </c>
      <c r="D498" s="7" t="str">
        <f t="shared" si="1"/>
        <v/>
      </c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8"/>
      <c r="W498" s="6"/>
    </row>
    <row r="499">
      <c r="A499" s="6"/>
      <c r="B499" s="7"/>
      <c r="C499" s="7" t="str">
        <f>IFERROR(__xludf.DUMMYFUNCTION("""COMPUTED_VALUE"""),"")</f>
        <v/>
      </c>
      <c r="D499" s="7" t="str">
        <f t="shared" si="1"/>
        <v/>
      </c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8"/>
      <c r="W499" s="6"/>
    </row>
    <row r="500">
      <c r="A500" s="6"/>
      <c r="B500" s="7"/>
      <c r="C500" s="7" t="str">
        <f>IFERROR(__xludf.DUMMYFUNCTION("""COMPUTED_VALUE"""),"")</f>
        <v/>
      </c>
      <c r="D500" s="7" t="str">
        <f t="shared" si="1"/>
        <v/>
      </c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8"/>
      <c r="W500" s="6"/>
    </row>
    <row r="501">
      <c r="A501" s="6"/>
      <c r="B501" s="7"/>
      <c r="C501" s="7" t="str">
        <f>IFERROR(__xludf.DUMMYFUNCTION("""COMPUTED_VALUE"""),"")</f>
        <v/>
      </c>
      <c r="D501" s="7" t="str">
        <f t="shared" si="1"/>
        <v/>
      </c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8"/>
      <c r="W501" s="6"/>
    </row>
    <row r="502">
      <c r="A502" s="6"/>
      <c r="B502" s="7"/>
      <c r="C502" s="7" t="str">
        <f>IFERROR(__xludf.DUMMYFUNCTION("""COMPUTED_VALUE"""),"")</f>
        <v/>
      </c>
      <c r="D502" s="7" t="str">
        <f t="shared" si="1"/>
        <v/>
      </c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8"/>
      <c r="W502" s="6"/>
    </row>
    <row r="503">
      <c r="A503" s="6"/>
      <c r="B503" s="7"/>
      <c r="C503" s="7" t="str">
        <f>IFERROR(__xludf.DUMMYFUNCTION("""COMPUTED_VALUE"""),"")</f>
        <v/>
      </c>
      <c r="D503" s="7" t="str">
        <f t="shared" si="1"/>
        <v/>
      </c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8"/>
      <c r="W503" s="6"/>
    </row>
    <row r="504">
      <c r="A504" s="6"/>
      <c r="B504" s="7"/>
      <c r="C504" s="7" t="str">
        <f>IFERROR(__xludf.DUMMYFUNCTION("""COMPUTED_VALUE"""),"")</f>
        <v/>
      </c>
      <c r="D504" s="7" t="str">
        <f t="shared" si="1"/>
        <v/>
      </c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8"/>
      <c r="W504" s="6"/>
    </row>
    <row r="505">
      <c r="A505" s="6"/>
      <c r="B505" s="7"/>
      <c r="C505" s="7" t="str">
        <f>IFERROR(__xludf.DUMMYFUNCTION("""COMPUTED_VALUE"""),"")</f>
        <v/>
      </c>
      <c r="D505" s="7" t="str">
        <f t="shared" si="1"/>
        <v/>
      </c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8"/>
      <c r="W505" s="6"/>
    </row>
    <row r="506">
      <c r="A506" s="6"/>
      <c r="B506" s="7"/>
      <c r="C506" s="7" t="str">
        <f>IFERROR(__xludf.DUMMYFUNCTION("""COMPUTED_VALUE"""),"")</f>
        <v/>
      </c>
      <c r="D506" s="7" t="str">
        <f t="shared" si="1"/>
        <v/>
      </c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8"/>
      <c r="W506" s="6"/>
    </row>
    <row r="507">
      <c r="A507" s="6"/>
      <c r="B507" s="7"/>
      <c r="C507" s="7" t="str">
        <f>IFERROR(__xludf.DUMMYFUNCTION("""COMPUTED_VALUE"""),"")</f>
        <v/>
      </c>
      <c r="D507" s="7" t="str">
        <f t="shared" si="1"/>
        <v/>
      </c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8"/>
      <c r="W507" s="6"/>
    </row>
    <row r="508">
      <c r="A508" s="6"/>
      <c r="B508" s="7"/>
      <c r="C508" s="7" t="str">
        <f>IFERROR(__xludf.DUMMYFUNCTION("""COMPUTED_VALUE"""),"")</f>
        <v/>
      </c>
      <c r="D508" s="7" t="str">
        <f t="shared" si="1"/>
        <v/>
      </c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8"/>
      <c r="W508" s="6"/>
    </row>
    <row r="509">
      <c r="A509" s="6"/>
      <c r="B509" s="7"/>
      <c r="C509" s="7" t="str">
        <f>IFERROR(__xludf.DUMMYFUNCTION("""COMPUTED_VALUE"""),"")</f>
        <v/>
      </c>
      <c r="D509" s="7" t="str">
        <f t="shared" si="1"/>
        <v/>
      </c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8"/>
      <c r="W509" s="6"/>
    </row>
    <row r="510">
      <c r="A510" s="6"/>
      <c r="B510" s="7"/>
      <c r="C510" s="7" t="str">
        <f>IFERROR(__xludf.DUMMYFUNCTION("""COMPUTED_VALUE"""),"")</f>
        <v/>
      </c>
      <c r="D510" s="7" t="str">
        <f t="shared" si="1"/>
        <v/>
      </c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8"/>
      <c r="W510" s="6"/>
    </row>
    <row r="511">
      <c r="A511" s="6"/>
      <c r="B511" s="7"/>
      <c r="C511" s="7" t="str">
        <f>IFERROR(__xludf.DUMMYFUNCTION("""COMPUTED_VALUE"""),"")</f>
        <v/>
      </c>
      <c r="D511" s="7" t="str">
        <f t="shared" si="1"/>
        <v/>
      </c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8"/>
      <c r="W511" s="6"/>
    </row>
    <row r="512">
      <c r="A512" s="6"/>
      <c r="B512" s="7"/>
      <c r="C512" s="7" t="str">
        <f>IFERROR(__xludf.DUMMYFUNCTION("""COMPUTED_VALUE"""),"")</f>
        <v/>
      </c>
      <c r="D512" s="7" t="str">
        <f t="shared" si="1"/>
        <v/>
      </c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8"/>
      <c r="W512" s="6"/>
    </row>
    <row r="513">
      <c r="A513" s="6"/>
      <c r="B513" s="7"/>
      <c r="C513" s="7" t="str">
        <f>IFERROR(__xludf.DUMMYFUNCTION("""COMPUTED_VALUE"""),"")</f>
        <v/>
      </c>
      <c r="D513" s="7" t="str">
        <f t="shared" si="1"/>
        <v/>
      </c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8"/>
      <c r="W513" s="6"/>
    </row>
    <row r="514">
      <c r="A514" s="6"/>
      <c r="B514" s="7"/>
      <c r="C514" s="7" t="str">
        <f>IFERROR(__xludf.DUMMYFUNCTION("""COMPUTED_VALUE"""),"")</f>
        <v/>
      </c>
      <c r="D514" s="7" t="str">
        <f t="shared" si="1"/>
        <v/>
      </c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8"/>
      <c r="W514" s="6"/>
    </row>
    <row r="515">
      <c r="A515" s="6"/>
      <c r="B515" s="7"/>
      <c r="C515" s="7" t="str">
        <f>IFERROR(__xludf.DUMMYFUNCTION("""COMPUTED_VALUE"""),"")</f>
        <v/>
      </c>
      <c r="D515" s="7" t="str">
        <f t="shared" si="1"/>
        <v/>
      </c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8"/>
      <c r="W515" s="6"/>
    </row>
    <row r="516">
      <c r="A516" s="6"/>
      <c r="B516" s="7"/>
      <c r="C516" s="7" t="str">
        <f>IFERROR(__xludf.DUMMYFUNCTION("""COMPUTED_VALUE"""),"")</f>
        <v/>
      </c>
      <c r="D516" s="7" t="str">
        <f t="shared" si="1"/>
        <v/>
      </c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8"/>
      <c r="W516" s="6"/>
    </row>
    <row r="517">
      <c r="A517" s="6"/>
      <c r="B517" s="7"/>
      <c r="C517" s="7" t="str">
        <f>IFERROR(__xludf.DUMMYFUNCTION("""COMPUTED_VALUE"""),"")</f>
        <v/>
      </c>
      <c r="D517" s="7" t="str">
        <f t="shared" si="1"/>
        <v/>
      </c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8"/>
      <c r="W517" s="6"/>
    </row>
    <row r="518">
      <c r="A518" s="6"/>
      <c r="B518" s="7"/>
      <c r="C518" s="7" t="str">
        <f>IFERROR(__xludf.DUMMYFUNCTION("""COMPUTED_VALUE"""),"")</f>
        <v/>
      </c>
      <c r="D518" s="7" t="str">
        <f t="shared" si="1"/>
        <v/>
      </c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8"/>
      <c r="W518" s="6"/>
    </row>
    <row r="519">
      <c r="A519" s="6"/>
      <c r="B519" s="7"/>
      <c r="C519" s="7" t="str">
        <f>IFERROR(__xludf.DUMMYFUNCTION("""COMPUTED_VALUE"""),"")</f>
        <v/>
      </c>
      <c r="D519" s="7" t="str">
        <f t="shared" si="1"/>
        <v/>
      </c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8"/>
      <c r="W519" s="6"/>
    </row>
    <row r="520">
      <c r="A520" s="6"/>
      <c r="B520" s="7"/>
      <c r="C520" s="7" t="str">
        <f>IFERROR(__xludf.DUMMYFUNCTION("""COMPUTED_VALUE"""),"")</f>
        <v/>
      </c>
      <c r="D520" s="7" t="str">
        <f t="shared" si="1"/>
        <v/>
      </c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8"/>
      <c r="W520" s="6"/>
    </row>
    <row r="521">
      <c r="A521" s="6"/>
      <c r="B521" s="7"/>
      <c r="C521" s="7" t="str">
        <f>IFERROR(__xludf.DUMMYFUNCTION("""COMPUTED_VALUE"""),"")</f>
        <v/>
      </c>
      <c r="D521" s="7" t="str">
        <f t="shared" si="1"/>
        <v/>
      </c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8"/>
      <c r="W521" s="6"/>
    </row>
    <row r="522">
      <c r="A522" s="6"/>
      <c r="B522" s="7"/>
      <c r="C522" s="7" t="str">
        <f>IFERROR(__xludf.DUMMYFUNCTION("""COMPUTED_VALUE"""),"")</f>
        <v/>
      </c>
      <c r="D522" s="7" t="str">
        <f t="shared" si="1"/>
        <v/>
      </c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8"/>
      <c r="W522" s="6"/>
    </row>
    <row r="523">
      <c r="A523" s="6"/>
      <c r="B523" s="7"/>
      <c r="C523" s="7" t="str">
        <f>IFERROR(__xludf.DUMMYFUNCTION("""COMPUTED_VALUE"""),"")</f>
        <v/>
      </c>
      <c r="D523" s="7" t="str">
        <f t="shared" si="1"/>
        <v/>
      </c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8"/>
      <c r="W523" s="6"/>
    </row>
    <row r="524">
      <c r="A524" s="6"/>
      <c r="B524" s="7"/>
      <c r="C524" s="7" t="str">
        <f>IFERROR(__xludf.DUMMYFUNCTION("""COMPUTED_VALUE"""),"")</f>
        <v/>
      </c>
      <c r="D524" s="7" t="str">
        <f t="shared" si="1"/>
        <v/>
      </c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8"/>
      <c r="W524" s="6"/>
    </row>
    <row r="525">
      <c r="A525" s="6"/>
      <c r="B525" s="7"/>
      <c r="C525" s="7" t="str">
        <f>IFERROR(__xludf.DUMMYFUNCTION("""COMPUTED_VALUE"""),"")</f>
        <v/>
      </c>
      <c r="D525" s="7" t="str">
        <f t="shared" si="1"/>
        <v/>
      </c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8"/>
      <c r="W525" s="6"/>
    </row>
    <row r="526">
      <c r="A526" s="6"/>
      <c r="B526" s="7"/>
      <c r="C526" s="7" t="str">
        <f>IFERROR(__xludf.DUMMYFUNCTION("""COMPUTED_VALUE"""),"")</f>
        <v/>
      </c>
      <c r="D526" s="7" t="str">
        <f t="shared" si="1"/>
        <v/>
      </c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8"/>
      <c r="W526" s="6"/>
    </row>
    <row r="527">
      <c r="A527" s="6"/>
      <c r="B527" s="7"/>
      <c r="C527" s="7" t="str">
        <f>IFERROR(__xludf.DUMMYFUNCTION("""COMPUTED_VALUE"""),"")</f>
        <v/>
      </c>
      <c r="D527" s="7" t="str">
        <f t="shared" si="1"/>
        <v/>
      </c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8"/>
      <c r="W527" s="6"/>
    </row>
    <row r="528">
      <c r="A528" s="6"/>
      <c r="B528" s="7"/>
      <c r="C528" s="7" t="str">
        <f>IFERROR(__xludf.DUMMYFUNCTION("""COMPUTED_VALUE"""),"")</f>
        <v/>
      </c>
      <c r="D528" s="7" t="str">
        <f t="shared" si="1"/>
        <v/>
      </c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8"/>
      <c r="W528" s="6"/>
    </row>
    <row r="529">
      <c r="A529" s="6"/>
      <c r="B529" s="7"/>
      <c r="C529" s="7" t="str">
        <f>IFERROR(__xludf.DUMMYFUNCTION("""COMPUTED_VALUE"""),"")</f>
        <v/>
      </c>
      <c r="D529" s="7" t="str">
        <f t="shared" si="1"/>
        <v/>
      </c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8"/>
      <c r="W529" s="6"/>
    </row>
    <row r="530">
      <c r="A530" s="6"/>
      <c r="B530" s="7"/>
      <c r="C530" s="7" t="str">
        <f>IFERROR(__xludf.DUMMYFUNCTION("""COMPUTED_VALUE"""),"")</f>
        <v/>
      </c>
      <c r="D530" s="7" t="str">
        <f t="shared" si="1"/>
        <v/>
      </c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8"/>
      <c r="W530" s="6"/>
    </row>
    <row r="531">
      <c r="A531" s="6"/>
      <c r="B531" s="7"/>
      <c r="C531" s="7" t="str">
        <f>IFERROR(__xludf.DUMMYFUNCTION("""COMPUTED_VALUE"""),"")</f>
        <v/>
      </c>
      <c r="D531" s="7" t="str">
        <f t="shared" si="1"/>
        <v/>
      </c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8"/>
      <c r="W531" s="6"/>
    </row>
    <row r="532">
      <c r="A532" s="6"/>
      <c r="B532" s="7"/>
      <c r="C532" s="7" t="str">
        <f>IFERROR(__xludf.DUMMYFUNCTION("""COMPUTED_VALUE"""),"")</f>
        <v/>
      </c>
      <c r="D532" s="7" t="str">
        <f t="shared" si="1"/>
        <v/>
      </c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8"/>
      <c r="W532" s="6"/>
    </row>
    <row r="533">
      <c r="A533" s="6"/>
      <c r="B533" s="7"/>
      <c r="C533" s="7" t="str">
        <f>IFERROR(__xludf.DUMMYFUNCTION("""COMPUTED_VALUE"""),"")</f>
        <v/>
      </c>
      <c r="D533" s="7" t="str">
        <f t="shared" si="1"/>
        <v/>
      </c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8"/>
      <c r="W533" s="6"/>
    </row>
    <row r="534">
      <c r="A534" s="6"/>
      <c r="B534" s="7"/>
      <c r="C534" s="7" t="str">
        <f>IFERROR(__xludf.DUMMYFUNCTION("""COMPUTED_VALUE"""),"")</f>
        <v/>
      </c>
      <c r="D534" s="7" t="str">
        <f t="shared" si="1"/>
        <v/>
      </c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8"/>
      <c r="W534" s="6"/>
    </row>
    <row r="535">
      <c r="A535" s="6"/>
      <c r="B535" s="7"/>
      <c r="C535" s="7" t="str">
        <f>IFERROR(__xludf.DUMMYFUNCTION("""COMPUTED_VALUE"""),"")</f>
        <v/>
      </c>
      <c r="D535" s="7" t="str">
        <f t="shared" si="1"/>
        <v/>
      </c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8"/>
      <c r="W535" s="6"/>
    </row>
    <row r="536">
      <c r="A536" s="6"/>
      <c r="B536" s="7"/>
      <c r="C536" s="7" t="str">
        <f>IFERROR(__xludf.DUMMYFUNCTION("""COMPUTED_VALUE"""),"")</f>
        <v/>
      </c>
      <c r="D536" s="7" t="str">
        <f t="shared" si="1"/>
        <v/>
      </c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8"/>
      <c r="W536" s="6"/>
    </row>
    <row r="537">
      <c r="A537" s="6"/>
      <c r="B537" s="7"/>
      <c r="C537" s="7" t="str">
        <f>IFERROR(__xludf.DUMMYFUNCTION("""COMPUTED_VALUE"""),"")</f>
        <v/>
      </c>
      <c r="D537" s="7" t="str">
        <f t="shared" si="1"/>
        <v/>
      </c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8"/>
      <c r="W537" s="6"/>
    </row>
    <row r="538">
      <c r="A538" s="6"/>
      <c r="B538" s="7"/>
      <c r="C538" s="7" t="str">
        <f>IFERROR(__xludf.DUMMYFUNCTION("""COMPUTED_VALUE"""),"")</f>
        <v/>
      </c>
      <c r="D538" s="7" t="str">
        <f t="shared" si="1"/>
        <v/>
      </c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8"/>
      <c r="W538" s="6"/>
    </row>
    <row r="539">
      <c r="A539" s="6"/>
      <c r="B539" s="7"/>
      <c r="C539" s="7" t="str">
        <f>IFERROR(__xludf.DUMMYFUNCTION("""COMPUTED_VALUE"""),"")</f>
        <v/>
      </c>
      <c r="D539" s="7" t="str">
        <f t="shared" si="1"/>
        <v/>
      </c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8"/>
      <c r="W539" s="6"/>
    </row>
    <row r="540">
      <c r="A540" s="6"/>
      <c r="B540" s="7"/>
      <c r="C540" s="7" t="str">
        <f>IFERROR(__xludf.DUMMYFUNCTION("""COMPUTED_VALUE"""),"")</f>
        <v/>
      </c>
      <c r="D540" s="7" t="str">
        <f t="shared" si="1"/>
        <v/>
      </c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8"/>
      <c r="W540" s="6"/>
    </row>
    <row r="541">
      <c r="A541" s="6"/>
      <c r="B541" s="7"/>
      <c r="C541" s="7" t="str">
        <f>IFERROR(__xludf.DUMMYFUNCTION("""COMPUTED_VALUE"""),"")</f>
        <v/>
      </c>
      <c r="D541" s="7" t="str">
        <f t="shared" si="1"/>
        <v/>
      </c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8"/>
      <c r="W541" s="6"/>
    </row>
    <row r="542">
      <c r="A542" s="6"/>
      <c r="B542" s="7"/>
      <c r="C542" s="7" t="str">
        <f>IFERROR(__xludf.DUMMYFUNCTION("""COMPUTED_VALUE"""),"")</f>
        <v/>
      </c>
      <c r="D542" s="7" t="str">
        <f t="shared" si="1"/>
        <v/>
      </c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8"/>
      <c r="W542" s="6"/>
    </row>
    <row r="543">
      <c r="A543" s="6"/>
      <c r="B543" s="7"/>
      <c r="C543" s="7" t="str">
        <f>IFERROR(__xludf.DUMMYFUNCTION("""COMPUTED_VALUE"""),"")</f>
        <v/>
      </c>
      <c r="D543" s="7" t="str">
        <f t="shared" si="1"/>
        <v/>
      </c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8"/>
      <c r="W543" s="6"/>
    </row>
    <row r="544">
      <c r="A544" s="6"/>
      <c r="B544" s="7"/>
      <c r="C544" s="7" t="str">
        <f>IFERROR(__xludf.DUMMYFUNCTION("""COMPUTED_VALUE"""),"")</f>
        <v/>
      </c>
      <c r="D544" s="7" t="str">
        <f t="shared" si="1"/>
        <v/>
      </c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8"/>
      <c r="W544" s="6"/>
    </row>
    <row r="545">
      <c r="A545" s="6"/>
      <c r="B545" s="7"/>
      <c r="C545" s="7" t="str">
        <f>IFERROR(__xludf.DUMMYFUNCTION("""COMPUTED_VALUE"""),"")</f>
        <v/>
      </c>
      <c r="D545" s="7" t="str">
        <f t="shared" si="1"/>
        <v/>
      </c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8"/>
      <c r="W545" s="6"/>
    </row>
    <row r="546">
      <c r="A546" s="6"/>
      <c r="B546" s="7"/>
      <c r="C546" s="7" t="str">
        <f>IFERROR(__xludf.DUMMYFUNCTION("""COMPUTED_VALUE"""),"")</f>
        <v/>
      </c>
      <c r="D546" s="7" t="str">
        <f t="shared" si="1"/>
        <v/>
      </c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8"/>
      <c r="W546" s="6"/>
    </row>
    <row r="547">
      <c r="A547" s="6"/>
      <c r="B547" s="7"/>
      <c r="C547" s="7" t="str">
        <f>IFERROR(__xludf.DUMMYFUNCTION("""COMPUTED_VALUE"""),"")</f>
        <v/>
      </c>
      <c r="D547" s="7" t="str">
        <f t="shared" si="1"/>
        <v/>
      </c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8"/>
      <c r="W547" s="6"/>
    </row>
    <row r="548">
      <c r="A548" s="6"/>
      <c r="B548" s="7"/>
      <c r="C548" s="7" t="str">
        <f>IFERROR(__xludf.DUMMYFUNCTION("""COMPUTED_VALUE"""),"")</f>
        <v/>
      </c>
      <c r="D548" s="7" t="str">
        <f t="shared" si="1"/>
        <v/>
      </c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8"/>
      <c r="W548" s="6"/>
    </row>
    <row r="549">
      <c r="A549" s="6"/>
      <c r="B549" s="7"/>
      <c r="C549" s="7" t="str">
        <f>IFERROR(__xludf.DUMMYFUNCTION("""COMPUTED_VALUE"""),"")</f>
        <v/>
      </c>
      <c r="D549" s="7" t="str">
        <f t="shared" si="1"/>
        <v/>
      </c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8"/>
      <c r="W549" s="6"/>
    </row>
    <row r="550">
      <c r="A550" s="6"/>
      <c r="B550" s="7"/>
      <c r="C550" s="7" t="str">
        <f>IFERROR(__xludf.DUMMYFUNCTION("""COMPUTED_VALUE"""),"")</f>
        <v/>
      </c>
      <c r="D550" s="7" t="str">
        <f t="shared" si="1"/>
        <v/>
      </c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8"/>
      <c r="W550" s="6"/>
    </row>
    <row r="551">
      <c r="A551" s="6"/>
      <c r="B551" s="7"/>
      <c r="C551" s="7" t="str">
        <f>IFERROR(__xludf.DUMMYFUNCTION("""COMPUTED_VALUE"""),"")</f>
        <v/>
      </c>
      <c r="D551" s="7" t="str">
        <f t="shared" si="1"/>
        <v/>
      </c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8"/>
      <c r="W551" s="6"/>
    </row>
    <row r="552">
      <c r="A552" s="6"/>
      <c r="B552" s="7"/>
      <c r="C552" s="7" t="str">
        <f>IFERROR(__xludf.DUMMYFUNCTION("""COMPUTED_VALUE"""),"")</f>
        <v/>
      </c>
      <c r="D552" s="7" t="str">
        <f t="shared" si="1"/>
        <v/>
      </c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8"/>
      <c r="W552" s="6"/>
    </row>
    <row r="553">
      <c r="A553" s="6"/>
      <c r="B553" s="7"/>
      <c r="C553" s="7" t="str">
        <f>IFERROR(__xludf.DUMMYFUNCTION("""COMPUTED_VALUE"""),"")</f>
        <v/>
      </c>
      <c r="D553" s="7" t="str">
        <f t="shared" si="1"/>
        <v/>
      </c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8"/>
      <c r="W553" s="6"/>
    </row>
    <row r="554">
      <c r="A554" s="6"/>
      <c r="B554" s="7"/>
      <c r="C554" s="7" t="str">
        <f>IFERROR(__xludf.DUMMYFUNCTION("""COMPUTED_VALUE"""),"")</f>
        <v/>
      </c>
      <c r="D554" s="7" t="str">
        <f t="shared" si="1"/>
        <v/>
      </c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8"/>
      <c r="W554" s="6"/>
    </row>
    <row r="555">
      <c r="A555" s="6"/>
      <c r="B555" s="7"/>
      <c r="C555" s="7" t="str">
        <f>IFERROR(__xludf.DUMMYFUNCTION("""COMPUTED_VALUE"""),"")</f>
        <v/>
      </c>
      <c r="D555" s="7" t="str">
        <f t="shared" si="1"/>
        <v/>
      </c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8"/>
      <c r="W555" s="6"/>
    </row>
    <row r="556">
      <c r="A556" s="6"/>
      <c r="B556" s="7"/>
      <c r="C556" s="7" t="str">
        <f>IFERROR(__xludf.DUMMYFUNCTION("""COMPUTED_VALUE"""),"")</f>
        <v/>
      </c>
      <c r="D556" s="7" t="str">
        <f t="shared" si="1"/>
        <v/>
      </c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8"/>
      <c r="W556" s="6"/>
    </row>
    <row r="557">
      <c r="A557" s="6"/>
      <c r="B557" s="7"/>
      <c r="C557" s="7" t="str">
        <f>IFERROR(__xludf.DUMMYFUNCTION("""COMPUTED_VALUE"""),"")</f>
        <v/>
      </c>
      <c r="D557" s="7" t="str">
        <f t="shared" si="1"/>
        <v/>
      </c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8"/>
      <c r="W557" s="6"/>
    </row>
    <row r="558">
      <c r="A558" s="6"/>
      <c r="B558" s="7"/>
      <c r="C558" s="7" t="str">
        <f>IFERROR(__xludf.DUMMYFUNCTION("""COMPUTED_VALUE"""),"")</f>
        <v/>
      </c>
      <c r="D558" s="7" t="str">
        <f t="shared" si="1"/>
        <v/>
      </c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8"/>
      <c r="W558" s="6"/>
    </row>
    <row r="559">
      <c r="A559" s="6"/>
      <c r="B559" s="7"/>
      <c r="C559" s="7" t="str">
        <f>IFERROR(__xludf.DUMMYFUNCTION("""COMPUTED_VALUE"""),"")</f>
        <v/>
      </c>
      <c r="D559" s="7" t="str">
        <f t="shared" si="1"/>
        <v/>
      </c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8"/>
      <c r="W559" s="6"/>
    </row>
    <row r="560">
      <c r="A560" s="6"/>
      <c r="B560" s="7"/>
      <c r="C560" s="7" t="str">
        <f>IFERROR(__xludf.DUMMYFUNCTION("""COMPUTED_VALUE"""),"")</f>
        <v/>
      </c>
      <c r="D560" s="7" t="str">
        <f t="shared" si="1"/>
        <v/>
      </c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8"/>
      <c r="W560" s="6"/>
    </row>
    <row r="561">
      <c r="A561" s="6"/>
      <c r="B561" s="7"/>
      <c r="C561" s="7" t="str">
        <f>IFERROR(__xludf.DUMMYFUNCTION("""COMPUTED_VALUE"""),"")</f>
        <v/>
      </c>
      <c r="D561" s="7" t="str">
        <f t="shared" si="1"/>
        <v/>
      </c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8"/>
      <c r="W561" s="6"/>
    </row>
    <row r="562">
      <c r="A562" s="6"/>
      <c r="B562" s="7"/>
      <c r="C562" s="7" t="str">
        <f>IFERROR(__xludf.DUMMYFUNCTION("""COMPUTED_VALUE"""),"")</f>
        <v/>
      </c>
      <c r="D562" s="7" t="str">
        <f t="shared" si="1"/>
        <v/>
      </c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8"/>
      <c r="W562" s="6"/>
    </row>
    <row r="563">
      <c r="A563" s="6"/>
      <c r="B563" s="7"/>
      <c r="C563" s="7" t="str">
        <f>IFERROR(__xludf.DUMMYFUNCTION("""COMPUTED_VALUE"""),"")</f>
        <v/>
      </c>
      <c r="D563" s="7" t="str">
        <f t="shared" si="1"/>
        <v/>
      </c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8"/>
      <c r="W563" s="6"/>
    </row>
    <row r="564">
      <c r="A564" s="6"/>
      <c r="B564" s="7"/>
      <c r="C564" s="7" t="str">
        <f>IFERROR(__xludf.DUMMYFUNCTION("""COMPUTED_VALUE"""),"")</f>
        <v/>
      </c>
      <c r="D564" s="7" t="str">
        <f t="shared" si="1"/>
        <v/>
      </c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8"/>
      <c r="W564" s="6"/>
    </row>
    <row r="565">
      <c r="A565" s="6"/>
      <c r="B565" s="7"/>
      <c r="C565" s="7" t="str">
        <f>IFERROR(__xludf.DUMMYFUNCTION("""COMPUTED_VALUE"""),"")</f>
        <v/>
      </c>
      <c r="D565" s="7" t="str">
        <f t="shared" si="1"/>
        <v/>
      </c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8"/>
      <c r="W565" s="6"/>
    </row>
    <row r="566">
      <c r="A566" s="6"/>
      <c r="B566" s="7"/>
      <c r="C566" s="7" t="str">
        <f>IFERROR(__xludf.DUMMYFUNCTION("""COMPUTED_VALUE"""),"")</f>
        <v/>
      </c>
      <c r="D566" s="7" t="str">
        <f t="shared" si="1"/>
        <v/>
      </c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8"/>
      <c r="W566" s="6"/>
    </row>
    <row r="567">
      <c r="A567" s="6"/>
      <c r="B567" s="7"/>
      <c r="C567" s="7" t="str">
        <f>IFERROR(__xludf.DUMMYFUNCTION("""COMPUTED_VALUE"""),"")</f>
        <v/>
      </c>
      <c r="D567" s="7" t="str">
        <f t="shared" si="1"/>
        <v/>
      </c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8"/>
      <c r="W567" s="6"/>
    </row>
    <row r="568">
      <c r="A568" s="6"/>
      <c r="B568" s="7"/>
      <c r="C568" s="7" t="str">
        <f>IFERROR(__xludf.DUMMYFUNCTION("""COMPUTED_VALUE"""),"")</f>
        <v/>
      </c>
      <c r="D568" s="7" t="str">
        <f t="shared" si="1"/>
        <v/>
      </c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8"/>
      <c r="W568" s="6"/>
    </row>
    <row r="569">
      <c r="A569" s="6"/>
      <c r="B569" s="7"/>
      <c r="C569" s="7" t="str">
        <f>IFERROR(__xludf.DUMMYFUNCTION("""COMPUTED_VALUE"""),"")</f>
        <v/>
      </c>
      <c r="D569" s="7" t="str">
        <f t="shared" si="1"/>
        <v/>
      </c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8"/>
      <c r="W569" s="6"/>
    </row>
    <row r="570">
      <c r="A570" s="6"/>
      <c r="B570" s="7"/>
      <c r="C570" s="7" t="str">
        <f>IFERROR(__xludf.DUMMYFUNCTION("""COMPUTED_VALUE"""),"")</f>
        <v/>
      </c>
      <c r="D570" s="7" t="str">
        <f t="shared" si="1"/>
        <v/>
      </c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8"/>
      <c r="W570" s="6"/>
    </row>
    <row r="571">
      <c r="A571" s="6"/>
      <c r="B571" s="7"/>
      <c r="C571" s="7" t="str">
        <f>IFERROR(__xludf.DUMMYFUNCTION("""COMPUTED_VALUE"""),"")</f>
        <v/>
      </c>
      <c r="D571" s="7" t="str">
        <f t="shared" si="1"/>
        <v/>
      </c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8"/>
      <c r="W571" s="6"/>
    </row>
    <row r="572">
      <c r="A572" s="6"/>
      <c r="B572" s="7"/>
      <c r="C572" s="7" t="str">
        <f>IFERROR(__xludf.DUMMYFUNCTION("""COMPUTED_VALUE"""),"")</f>
        <v/>
      </c>
      <c r="D572" s="7" t="str">
        <f t="shared" si="1"/>
        <v/>
      </c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8"/>
      <c r="W572" s="6"/>
    </row>
    <row r="573">
      <c r="A573" s="6"/>
      <c r="B573" s="7"/>
      <c r="C573" s="7" t="str">
        <f>IFERROR(__xludf.DUMMYFUNCTION("""COMPUTED_VALUE"""),"")</f>
        <v/>
      </c>
      <c r="D573" s="7" t="str">
        <f t="shared" si="1"/>
        <v/>
      </c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8"/>
      <c r="W573" s="6"/>
    </row>
    <row r="574">
      <c r="A574" s="6"/>
      <c r="B574" s="7"/>
      <c r="C574" s="7" t="str">
        <f>IFERROR(__xludf.DUMMYFUNCTION("""COMPUTED_VALUE"""),"")</f>
        <v/>
      </c>
      <c r="D574" s="7" t="str">
        <f t="shared" si="1"/>
        <v/>
      </c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8"/>
      <c r="W574" s="6"/>
    </row>
    <row r="575">
      <c r="A575" s="6"/>
      <c r="B575" s="7"/>
      <c r="C575" s="7" t="str">
        <f>IFERROR(__xludf.DUMMYFUNCTION("""COMPUTED_VALUE"""),"")</f>
        <v/>
      </c>
      <c r="D575" s="7" t="str">
        <f t="shared" si="1"/>
        <v/>
      </c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8"/>
      <c r="W575" s="6"/>
    </row>
    <row r="576">
      <c r="A576" s="6"/>
      <c r="B576" s="7"/>
      <c r="C576" s="7" t="str">
        <f>IFERROR(__xludf.DUMMYFUNCTION("""COMPUTED_VALUE"""),"")</f>
        <v/>
      </c>
      <c r="D576" s="7" t="str">
        <f t="shared" si="1"/>
        <v/>
      </c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8"/>
      <c r="W576" s="6"/>
    </row>
    <row r="577">
      <c r="A577" s="6"/>
      <c r="B577" s="7"/>
      <c r="C577" s="7" t="str">
        <f>IFERROR(__xludf.DUMMYFUNCTION("""COMPUTED_VALUE"""),"")</f>
        <v/>
      </c>
      <c r="D577" s="7" t="str">
        <f t="shared" si="1"/>
        <v/>
      </c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8"/>
      <c r="W577" s="6"/>
    </row>
    <row r="578">
      <c r="A578" s="6"/>
      <c r="B578" s="7"/>
      <c r="C578" s="7" t="str">
        <f>IFERROR(__xludf.DUMMYFUNCTION("""COMPUTED_VALUE"""),"")</f>
        <v/>
      </c>
      <c r="D578" s="7" t="str">
        <f t="shared" si="1"/>
        <v/>
      </c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8"/>
      <c r="W578" s="6"/>
    </row>
    <row r="579">
      <c r="A579" s="6"/>
      <c r="B579" s="7"/>
      <c r="C579" s="7" t="str">
        <f>IFERROR(__xludf.DUMMYFUNCTION("""COMPUTED_VALUE"""),"")</f>
        <v/>
      </c>
      <c r="D579" s="7" t="str">
        <f t="shared" si="1"/>
        <v/>
      </c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8"/>
      <c r="W579" s="6"/>
    </row>
    <row r="580">
      <c r="A580" s="6"/>
      <c r="B580" s="7"/>
      <c r="C580" s="7" t="str">
        <f>IFERROR(__xludf.DUMMYFUNCTION("""COMPUTED_VALUE"""),"")</f>
        <v/>
      </c>
      <c r="D580" s="7" t="str">
        <f t="shared" si="1"/>
        <v/>
      </c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8"/>
      <c r="W580" s="6"/>
    </row>
    <row r="581">
      <c r="A581" s="6"/>
      <c r="B581" s="7"/>
      <c r="C581" s="7" t="str">
        <f>IFERROR(__xludf.DUMMYFUNCTION("""COMPUTED_VALUE"""),"")</f>
        <v/>
      </c>
      <c r="D581" s="7" t="str">
        <f t="shared" si="1"/>
        <v/>
      </c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8"/>
      <c r="W581" s="6"/>
    </row>
    <row r="582">
      <c r="A582" s="6"/>
      <c r="B582" s="7"/>
      <c r="C582" s="7" t="str">
        <f>IFERROR(__xludf.DUMMYFUNCTION("""COMPUTED_VALUE"""),"")</f>
        <v/>
      </c>
      <c r="D582" s="7" t="str">
        <f t="shared" si="1"/>
        <v/>
      </c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8"/>
      <c r="W582" s="6"/>
    </row>
    <row r="583">
      <c r="A583" s="6"/>
      <c r="B583" s="7"/>
      <c r="C583" s="7" t="str">
        <f>IFERROR(__xludf.DUMMYFUNCTION("""COMPUTED_VALUE"""),"")</f>
        <v/>
      </c>
      <c r="D583" s="7" t="str">
        <f t="shared" si="1"/>
        <v/>
      </c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8"/>
      <c r="W583" s="6"/>
    </row>
    <row r="584">
      <c r="A584" s="6"/>
      <c r="B584" s="7"/>
      <c r="C584" s="7" t="str">
        <f>IFERROR(__xludf.DUMMYFUNCTION("""COMPUTED_VALUE"""),"")</f>
        <v/>
      </c>
      <c r="D584" s="7" t="str">
        <f t="shared" si="1"/>
        <v/>
      </c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8"/>
      <c r="W584" s="6"/>
    </row>
    <row r="585">
      <c r="A585" s="6"/>
      <c r="B585" s="7"/>
      <c r="C585" s="7" t="str">
        <f>IFERROR(__xludf.DUMMYFUNCTION("""COMPUTED_VALUE"""),"")</f>
        <v/>
      </c>
      <c r="D585" s="7" t="str">
        <f t="shared" si="1"/>
        <v/>
      </c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8"/>
      <c r="W585" s="6"/>
    </row>
    <row r="586">
      <c r="A586" s="6"/>
      <c r="B586" s="7"/>
      <c r="C586" s="7" t="str">
        <f>IFERROR(__xludf.DUMMYFUNCTION("""COMPUTED_VALUE"""),"")</f>
        <v/>
      </c>
      <c r="D586" s="7" t="str">
        <f t="shared" si="1"/>
        <v/>
      </c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8"/>
      <c r="W586" s="6"/>
    </row>
    <row r="587">
      <c r="A587" s="6"/>
      <c r="B587" s="7"/>
      <c r="C587" s="7" t="str">
        <f>IFERROR(__xludf.DUMMYFUNCTION("""COMPUTED_VALUE"""),"")</f>
        <v/>
      </c>
      <c r="D587" s="7" t="str">
        <f t="shared" si="1"/>
        <v/>
      </c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8"/>
      <c r="W587" s="6"/>
    </row>
    <row r="588">
      <c r="A588" s="6"/>
      <c r="B588" s="7"/>
      <c r="C588" s="7" t="str">
        <f>IFERROR(__xludf.DUMMYFUNCTION("""COMPUTED_VALUE"""),"")</f>
        <v/>
      </c>
      <c r="D588" s="7" t="str">
        <f t="shared" si="1"/>
        <v/>
      </c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8"/>
      <c r="W588" s="6"/>
    </row>
    <row r="589">
      <c r="A589" s="6"/>
      <c r="B589" s="7"/>
      <c r="C589" s="7" t="str">
        <f>IFERROR(__xludf.DUMMYFUNCTION("""COMPUTED_VALUE"""),"")</f>
        <v/>
      </c>
      <c r="D589" s="7" t="str">
        <f t="shared" si="1"/>
        <v/>
      </c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8"/>
      <c r="W589" s="6"/>
    </row>
    <row r="590">
      <c r="A590" s="6"/>
      <c r="B590" s="7"/>
      <c r="C590" s="7" t="str">
        <f>IFERROR(__xludf.DUMMYFUNCTION("""COMPUTED_VALUE"""),"")</f>
        <v/>
      </c>
      <c r="D590" s="7" t="str">
        <f t="shared" si="1"/>
        <v/>
      </c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8"/>
      <c r="W590" s="6"/>
    </row>
    <row r="591">
      <c r="A591" s="6"/>
      <c r="B591" s="7"/>
      <c r="C591" s="7" t="str">
        <f>IFERROR(__xludf.DUMMYFUNCTION("""COMPUTED_VALUE"""),"")</f>
        <v/>
      </c>
      <c r="D591" s="7" t="str">
        <f t="shared" si="1"/>
        <v/>
      </c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8"/>
      <c r="W591" s="6"/>
    </row>
    <row r="592">
      <c r="A592" s="6"/>
      <c r="B592" s="7"/>
      <c r="C592" s="7" t="str">
        <f>IFERROR(__xludf.DUMMYFUNCTION("""COMPUTED_VALUE"""),"")</f>
        <v/>
      </c>
      <c r="D592" s="7" t="str">
        <f t="shared" si="1"/>
        <v/>
      </c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8"/>
      <c r="W592" s="6"/>
    </row>
    <row r="593">
      <c r="A593" s="6"/>
      <c r="B593" s="7"/>
      <c r="C593" s="7" t="str">
        <f>IFERROR(__xludf.DUMMYFUNCTION("""COMPUTED_VALUE"""),"")</f>
        <v/>
      </c>
      <c r="D593" s="7" t="str">
        <f t="shared" si="1"/>
        <v/>
      </c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8"/>
      <c r="W593" s="6"/>
    </row>
    <row r="594">
      <c r="A594" s="6"/>
      <c r="B594" s="7"/>
      <c r="C594" s="7" t="str">
        <f>IFERROR(__xludf.DUMMYFUNCTION("""COMPUTED_VALUE"""),"")</f>
        <v/>
      </c>
      <c r="D594" s="7" t="str">
        <f t="shared" si="1"/>
        <v/>
      </c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8"/>
      <c r="W594" s="6"/>
    </row>
    <row r="595">
      <c r="A595" s="6"/>
      <c r="B595" s="7"/>
      <c r="C595" s="7" t="str">
        <f>IFERROR(__xludf.DUMMYFUNCTION("""COMPUTED_VALUE"""),"")</f>
        <v/>
      </c>
      <c r="D595" s="7" t="str">
        <f t="shared" si="1"/>
        <v/>
      </c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8"/>
      <c r="W595" s="6"/>
    </row>
    <row r="596">
      <c r="A596" s="6"/>
      <c r="B596" s="7"/>
      <c r="C596" s="7" t="str">
        <f>IFERROR(__xludf.DUMMYFUNCTION("""COMPUTED_VALUE"""),"")</f>
        <v/>
      </c>
      <c r="D596" s="7" t="str">
        <f t="shared" si="1"/>
        <v/>
      </c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8"/>
      <c r="W596" s="6"/>
    </row>
    <row r="597">
      <c r="A597" s="6"/>
      <c r="B597" s="7"/>
      <c r="C597" s="7" t="str">
        <f>IFERROR(__xludf.DUMMYFUNCTION("""COMPUTED_VALUE"""),"")</f>
        <v/>
      </c>
      <c r="D597" s="7" t="str">
        <f t="shared" si="1"/>
        <v/>
      </c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8"/>
      <c r="W597" s="6"/>
    </row>
    <row r="598">
      <c r="A598" s="6"/>
      <c r="B598" s="7"/>
      <c r="C598" s="7" t="str">
        <f>IFERROR(__xludf.DUMMYFUNCTION("""COMPUTED_VALUE"""),"")</f>
        <v/>
      </c>
      <c r="D598" s="7" t="str">
        <f t="shared" si="1"/>
        <v/>
      </c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8"/>
      <c r="W598" s="6"/>
    </row>
    <row r="599">
      <c r="A599" s="6"/>
      <c r="B599" s="7"/>
      <c r="C599" s="7" t="str">
        <f>IFERROR(__xludf.DUMMYFUNCTION("""COMPUTED_VALUE"""),"")</f>
        <v/>
      </c>
      <c r="D599" s="7" t="str">
        <f t="shared" si="1"/>
        <v/>
      </c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8"/>
      <c r="W599" s="6"/>
    </row>
    <row r="600">
      <c r="A600" s="6"/>
      <c r="B600" s="7"/>
      <c r="C600" s="7" t="str">
        <f>IFERROR(__xludf.DUMMYFUNCTION("""COMPUTED_VALUE"""),"")</f>
        <v/>
      </c>
      <c r="D600" s="7" t="str">
        <f t="shared" si="1"/>
        <v/>
      </c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8"/>
      <c r="W600" s="6"/>
    </row>
    <row r="601">
      <c r="A601" s="6"/>
      <c r="B601" s="7"/>
      <c r="C601" s="7" t="str">
        <f>IFERROR(__xludf.DUMMYFUNCTION("""COMPUTED_VALUE"""),"")</f>
        <v/>
      </c>
      <c r="D601" s="7" t="str">
        <f t="shared" si="1"/>
        <v/>
      </c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8"/>
      <c r="W601" s="6"/>
    </row>
    <row r="602">
      <c r="A602" s="6"/>
      <c r="B602" s="7"/>
      <c r="C602" s="7" t="str">
        <f>IFERROR(__xludf.DUMMYFUNCTION("""COMPUTED_VALUE"""),"")</f>
        <v/>
      </c>
      <c r="D602" s="7" t="str">
        <f t="shared" si="1"/>
        <v/>
      </c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8"/>
      <c r="W602" s="6"/>
    </row>
    <row r="603">
      <c r="A603" s="6"/>
      <c r="B603" s="7"/>
      <c r="C603" s="7" t="str">
        <f>IFERROR(__xludf.DUMMYFUNCTION("""COMPUTED_VALUE"""),"")</f>
        <v/>
      </c>
      <c r="D603" s="7" t="str">
        <f t="shared" si="1"/>
        <v/>
      </c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8"/>
      <c r="W603" s="6"/>
    </row>
    <row r="604">
      <c r="A604" s="6"/>
      <c r="B604" s="7"/>
      <c r="C604" s="7" t="str">
        <f>IFERROR(__xludf.DUMMYFUNCTION("""COMPUTED_VALUE"""),"")</f>
        <v/>
      </c>
      <c r="D604" s="7" t="str">
        <f t="shared" si="1"/>
        <v/>
      </c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8"/>
      <c r="W604" s="6"/>
    </row>
    <row r="605">
      <c r="A605" s="6"/>
      <c r="B605" s="7"/>
      <c r="C605" s="7" t="str">
        <f>IFERROR(__xludf.DUMMYFUNCTION("""COMPUTED_VALUE"""),"")</f>
        <v/>
      </c>
      <c r="D605" s="7" t="str">
        <f t="shared" si="1"/>
        <v/>
      </c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8"/>
      <c r="W605" s="6"/>
    </row>
    <row r="606">
      <c r="A606" s="6"/>
      <c r="B606" s="7"/>
      <c r="C606" s="7" t="str">
        <f>IFERROR(__xludf.DUMMYFUNCTION("""COMPUTED_VALUE"""),"")</f>
        <v/>
      </c>
      <c r="D606" s="7" t="str">
        <f t="shared" si="1"/>
        <v/>
      </c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8"/>
      <c r="W606" s="6"/>
    </row>
    <row r="607">
      <c r="A607" s="6"/>
      <c r="B607" s="7"/>
      <c r="C607" s="7" t="str">
        <f>IFERROR(__xludf.DUMMYFUNCTION("""COMPUTED_VALUE"""),"")</f>
        <v/>
      </c>
      <c r="D607" s="7" t="str">
        <f t="shared" si="1"/>
        <v/>
      </c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8"/>
      <c r="W607" s="6"/>
    </row>
    <row r="608">
      <c r="A608" s="6"/>
      <c r="B608" s="7"/>
      <c r="C608" s="7" t="str">
        <f>IFERROR(__xludf.DUMMYFUNCTION("""COMPUTED_VALUE"""),"")</f>
        <v/>
      </c>
      <c r="D608" s="7" t="str">
        <f t="shared" si="1"/>
        <v/>
      </c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8"/>
      <c r="W608" s="6"/>
    </row>
    <row r="609">
      <c r="A609" s="6"/>
      <c r="B609" s="7"/>
      <c r="C609" s="7" t="str">
        <f>IFERROR(__xludf.DUMMYFUNCTION("""COMPUTED_VALUE"""),"")</f>
        <v/>
      </c>
      <c r="D609" s="7" t="str">
        <f t="shared" si="1"/>
        <v/>
      </c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8"/>
      <c r="W609" s="6"/>
    </row>
    <row r="610">
      <c r="A610" s="6"/>
      <c r="B610" s="7"/>
      <c r="C610" s="7" t="str">
        <f>IFERROR(__xludf.DUMMYFUNCTION("""COMPUTED_VALUE"""),"")</f>
        <v/>
      </c>
      <c r="D610" s="7" t="str">
        <f t="shared" si="1"/>
        <v/>
      </c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8"/>
      <c r="W610" s="6"/>
    </row>
    <row r="611">
      <c r="A611" s="6"/>
      <c r="B611" s="7"/>
      <c r="C611" s="7" t="str">
        <f>IFERROR(__xludf.DUMMYFUNCTION("""COMPUTED_VALUE"""),"")</f>
        <v/>
      </c>
      <c r="D611" s="7" t="str">
        <f t="shared" si="1"/>
        <v/>
      </c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8"/>
      <c r="W611" s="6"/>
    </row>
    <row r="612">
      <c r="A612" s="6"/>
      <c r="B612" s="7"/>
      <c r="C612" s="7" t="str">
        <f>IFERROR(__xludf.DUMMYFUNCTION("""COMPUTED_VALUE"""),"")</f>
        <v/>
      </c>
      <c r="D612" s="7" t="str">
        <f t="shared" si="1"/>
        <v/>
      </c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8"/>
      <c r="W612" s="6"/>
    </row>
    <row r="613">
      <c r="A613" s="6"/>
      <c r="B613" s="7"/>
      <c r="C613" s="7" t="str">
        <f>IFERROR(__xludf.DUMMYFUNCTION("""COMPUTED_VALUE"""),"")</f>
        <v/>
      </c>
      <c r="D613" s="7" t="str">
        <f t="shared" si="1"/>
        <v/>
      </c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8"/>
      <c r="W613" s="6"/>
    </row>
    <row r="614">
      <c r="A614" s="6"/>
      <c r="B614" s="7"/>
      <c r="C614" s="7" t="str">
        <f>IFERROR(__xludf.DUMMYFUNCTION("""COMPUTED_VALUE"""),"")</f>
        <v/>
      </c>
      <c r="D614" s="7" t="str">
        <f t="shared" si="1"/>
        <v/>
      </c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8"/>
      <c r="W614" s="6"/>
    </row>
    <row r="615">
      <c r="A615" s="6"/>
      <c r="B615" s="7"/>
      <c r="C615" s="7" t="str">
        <f>IFERROR(__xludf.DUMMYFUNCTION("""COMPUTED_VALUE"""),"")</f>
        <v/>
      </c>
      <c r="D615" s="7" t="str">
        <f t="shared" si="1"/>
        <v/>
      </c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8"/>
      <c r="W615" s="6"/>
    </row>
    <row r="616">
      <c r="A616" s="6"/>
      <c r="B616" s="7"/>
      <c r="C616" s="7" t="str">
        <f>IFERROR(__xludf.DUMMYFUNCTION("""COMPUTED_VALUE"""),"")</f>
        <v/>
      </c>
      <c r="D616" s="7" t="str">
        <f t="shared" si="1"/>
        <v/>
      </c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8"/>
      <c r="W616" s="6"/>
    </row>
    <row r="617">
      <c r="A617" s="6"/>
      <c r="B617" s="7"/>
      <c r="C617" s="7" t="str">
        <f>IFERROR(__xludf.DUMMYFUNCTION("""COMPUTED_VALUE"""),"")</f>
        <v/>
      </c>
      <c r="D617" s="7" t="str">
        <f t="shared" si="1"/>
        <v/>
      </c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8"/>
      <c r="W617" s="6"/>
    </row>
    <row r="618">
      <c r="A618" s="6"/>
      <c r="B618" s="7"/>
      <c r="C618" s="7" t="str">
        <f>IFERROR(__xludf.DUMMYFUNCTION("""COMPUTED_VALUE"""),"")</f>
        <v/>
      </c>
      <c r="D618" s="7" t="str">
        <f t="shared" si="1"/>
        <v/>
      </c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8"/>
      <c r="W618" s="6"/>
    </row>
    <row r="619">
      <c r="A619" s="6"/>
      <c r="B619" s="7"/>
      <c r="C619" s="7" t="str">
        <f>IFERROR(__xludf.DUMMYFUNCTION("""COMPUTED_VALUE"""),"")</f>
        <v/>
      </c>
      <c r="D619" s="7" t="str">
        <f t="shared" si="1"/>
        <v/>
      </c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8"/>
      <c r="W619" s="6"/>
    </row>
    <row r="620">
      <c r="A620" s="6"/>
      <c r="B620" s="7"/>
      <c r="C620" s="7" t="str">
        <f>IFERROR(__xludf.DUMMYFUNCTION("""COMPUTED_VALUE"""),"")</f>
        <v/>
      </c>
      <c r="D620" s="7" t="str">
        <f t="shared" si="1"/>
        <v/>
      </c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8"/>
      <c r="W620" s="6"/>
    </row>
    <row r="621">
      <c r="A621" s="6"/>
      <c r="B621" s="7"/>
      <c r="C621" s="7" t="str">
        <f>IFERROR(__xludf.DUMMYFUNCTION("""COMPUTED_VALUE"""),"")</f>
        <v/>
      </c>
      <c r="D621" s="7" t="str">
        <f t="shared" si="1"/>
        <v/>
      </c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8"/>
      <c r="W621" s="6"/>
    </row>
    <row r="622">
      <c r="A622" s="6"/>
      <c r="B622" s="7"/>
      <c r="C622" s="7" t="str">
        <f>IFERROR(__xludf.DUMMYFUNCTION("""COMPUTED_VALUE"""),"")</f>
        <v/>
      </c>
      <c r="D622" s="7" t="str">
        <f t="shared" si="1"/>
        <v/>
      </c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8"/>
      <c r="W622" s="6"/>
    </row>
    <row r="623">
      <c r="A623" s="6"/>
      <c r="B623" s="7"/>
      <c r="C623" s="7" t="str">
        <f>IFERROR(__xludf.DUMMYFUNCTION("""COMPUTED_VALUE"""),"")</f>
        <v/>
      </c>
      <c r="D623" s="7" t="str">
        <f t="shared" si="1"/>
        <v/>
      </c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8"/>
      <c r="W623" s="6"/>
    </row>
    <row r="624">
      <c r="A624" s="6"/>
      <c r="B624" s="7"/>
      <c r="C624" s="7" t="str">
        <f>IFERROR(__xludf.DUMMYFUNCTION("""COMPUTED_VALUE"""),"")</f>
        <v/>
      </c>
      <c r="D624" s="7" t="str">
        <f t="shared" si="1"/>
        <v/>
      </c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8"/>
      <c r="W624" s="6"/>
    </row>
    <row r="625">
      <c r="A625" s="6"/>
      <c r="B625" s="7"/>
      <c r="C625" s="7" t="str">
        <f>IFERROR(__xludf.DUMMYFUNCTION("""COMPUTED_VALUE"""),"")</f>
        <v/>
      </c>
      <c r="D625" s="7" t="str">
        <f t="shared" si="1"/>
        <v/>
      </c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8"/>
      <c r="W625" s="6"/>
    </row>
    <row r="626">
      <c r="A626" s="6"/>
      <c r="B626" s="7"/>
      <c r="C626" s="7" t="str">
        <f>IFERROR(__xludf.DUMMYFUNCTION("""COMPUTED_VALUE"""),"")</f>
        <v/>
      </c>
      <c r="D626" s="7" t="str">
        <f t="shared" si="1"/>
        <v/>
      </c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8"/>
      <c r="W626" s="6"/>
    </row>
    <row r="627">
      <c r="A627" s="6"/>
      <c r="B627" s="7"/>
      <c r="C627" s="7" t="str">
        <f>IFERROR(__xludf.DUMMYFUNCTION("""COMPUTED_VALUE"""),"")</f>
        <v/>
      </c>
      <c r="D627" s="7" t="str">
        <f t="shared" si="1"/>
        <v/>
      </c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8"/>
      <c r="W627" s="6"/>
    </row>
    <row r="628">
      <c r="A628" s="6"/>
      <c r="B628" s="7"/>
      <c r="C628" s="7" t="str">
        <f>IFERROR(__xludf.DUMMYFUNCTION("""COMPUTED_VALUE"""),"")</f>
        <v/>
      </c>
      <c r="D628" s="7" t="str">
        <f t="shared" si="1"/>
        <v/>
      </c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8"/>
      <c r="W628" s="6"/>
    </row>
    <row r="629">
      <c r="A629" s="6"/>
      <c r="B629" s="7"/>
      <c r="C629" s="7" t="str">
        <f>IFERROR(__xludf.DUMMYFUNCTION("""COMPUTED_VALUE"""),"")</f>
        <v/>
      </c>
      <c r="D629" s="7" t="str">
        <f t="shared" si="1"/>
        <v/>
      </c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8"/>
      <c r="W629" s="6"/>
    </row>
    <row r="630">
      <c r="A630" s="6"/>
      <c r="B630" s="7"/>
      <c r="C630" s="7" t="str">
        <f>IFERROR(__xludf.DUMMYFUNCTION("""COMPUTED_VALUE"""),"")</f>
        <v/>
      </c>
      <c r="D630" s="7" t="str">
        <f t="shared" si="1"/>
        <v/>
      </c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8"/>
      <c r="W630" s="6"/>
    </row>
    <row r="631">
      <c r="A631" s="6"/>
      <c r="B631" s="7"/>
      <c r="C631" s="7" t="str">
        <f>IFERROR(__xludf.DUMMYFUNCTION("""COMPUTED_VALUE"""),"")</f>
        <v/>
      </c>
      <c r="D631" s="7" t="str">
        <f t="shared" si="1"/>
        <v/>
      </c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8"/>
      <c r="W631" s="6"/>
    </row>
    <row r="632">
      <c r="A632" s="6"/>
      <c r="B632" s="7"/>
      <c r="C632" s="7" t="str">
        <f>IFERROR(__xludf.DUMMYFUNCTION("""COMPUTED_VALUE"""),"")</f>
        <v/>
      </c>
      <c r="D632" s="7" t="str">
        <f t="shared" si="1"/>
        <v/>
      </c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8"/>
      <c r="W632" s="6"/>
    </row>
    <row r="633">
      <c r="A633" s="6"/>
      <c r="B633" s="7"/>
      <c r="C633" s="7" t="str">
        <f>IFERROR(__xludf.DUMMYFUNCTION("""COMPUTED_VALUE"""),"")</f>
        <v/>
      </c>
      <c r="D633" s="7" t="str">
        <f t="shared" si="1"/>
        <v/>
      </c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8"/>
      <c r="W633" s="6"/>
    </row>
    <row r="634">
      <c r="A634" s="6"/>
      <c r="B634" s="7"/>
      <c r="C634" s="7" t="str">
        <f>IFERROR(__xludf.DUMMYFUNCTION("""COMPUTED_VALUE"""),"")</f>
        <v/>
      </c>
      <c r="D634" s="7" t="str">
        <f t="shared" si="1"/>
        <v/>
      </c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8"/>
      <c r="W634" s="6"/>
    </row>
    <row r="635">
      <c r="A635" s="6"/>
      <c r="B635" s="7"/>
      <c r="C635" s="7" t="str">
        <f>IFERROR(__xludf.DUMMYFUNCTION("""COMPUTED_VALUE"""),"")</f>
        <v/>
      </c>
      <c r="D635" s="7" t="str">
        <f t="shared" si="1"/>
        <v/>
      </c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8"/>
      <c r="W635" s="6"/>
    </row>
    <row r="636">
      <c r="A636" s="6"/>
      <c r="B636" s="7"/>
      <c r="C636" s="7" t="str">
        <f>IFERROR(__xludf.DUMMYFUNCTION("""COMPUTED_VALUE"""),"")</f>
        <v/>
      </c>
      <c r="D636" s="7" t="str">
        <f t="shared" si="1"/>
        <v/>
      </c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8"/>
      <c r="W636" s="6"/>
    </row>
    <row r="637">
      <c r="A637" s="6"/>
      <c r="B637" s="7"/>
      <c r="C637" s="7" t="str">
        <f>IFERROR(__xludf.DUMMYFUNCTION("""COMPUTED_VALUE"""),"")</f>
        <v/>
      </c>
      <c r="D637" s="7" t="str">
        <f t="shared" si="1"/>
        <v/>
      </c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8"/>
      <c r="W637" s="6"/>
    </row>
    <row r="638">
      <c r="A638" s="6"/>
      <c r="B638" s="7"/>
      <c r="C638" s="7" t="str">
        <f>IFERROR(__xludf.DUMMYFUNCTION("""COMPUTED_VALUE"""),"")</f>
        <v/>
      </c>
      <c r="D638" s="7" t="str">
        <f t="shared" si="1"/>
        <v/>
      </c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8"/>
      <c r="W638" s="6"/>
    </row>
    <row r="639">
      <c r="A639" s="6"/>
      <c r="B639" s="7"/>
      <c r="C639" s="7" t="str">
        <f>IFERROR(__xludf.DUMMYFUNCTION("""COMPUTED_VALUE"""),"")</f>
        <v/>
      </c>
      <c r="D639" s="7" t="str">
        <f t="shared" si="1"/>
        <v/>
      </c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8"/>
      <c r="W639" s="6"/>
    </row>
    <row r="640">
      <c r="A640" s="6"/>
      <c r="B640" s="7"/>
      <c r="C640" s="7" t="str">
        <f>IFERROR(__xludf.DUMMYFUNCTION("""COMPUTED_VALUE"""),"")</f>
        <v/>
      </c>
      <c r="D640" s="7" t="str">
        <f t="shared" si="1"/>
        <v/>
      </c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8"/>
      <c r="W640" s="6"/>
    </row>
    <row r="641">
      <c r="A641" s="6"/>
      <c r="B641" s="7"/>
      <c r="C641" s="7" t="str">
        <f>IFERROR(__xludf.DUMMYFUNCTION("""COMPUTED_VALUE"""),"")</f>
        <v/>
      </c>
      <c r="D641" s="7" t="str">
        <f t="shared" si="1"/>
        <v/>
      </c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8"/>
      <c r="W641" s="6"/>
    </row>
    <row r="642">
      <c r="A642" s="6"/>
      <c r="B642" s="7"/>
      <c r="C642" s="7" t="str">
        <f>IFERROR(__xludf.DUMMYFUNCTION("""COMPUTED_VALUE"""),"")</f>
        <v/>
      </c>
      <c r="D642" s="7" t="str">
        <f t="shared" si="1"/>
        <v/>
      </c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8"/>
      <c r="W642" s="6"/>
    </row>
    <row r="643">
      <c r="A643" s="6"/>
      <c r="B643" s="7"/>
      <c r="C643" s="7" t="str">
        <f>IFERROR(__xludf.DUMMYFUNCTION("""COMPUTED_VALUE"""),"")</f>
        <v/>
      </c>
      <c r="D643" s="7" t="str">
        <f t="shared" si="1"/>
        <v/>
      </c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8"/>
      <c r="W643" s="6"/>
    </row>
    <row r="644">
      <c r="A644" s="6"/>
      <c r="B644" s="7"/>
      <c r="C644" s="7" t="str">
        <f>IFERROR(__xludf.DUMMYFUNCTION("""COMPUTED_VALUE"""),"")</f>
        <v/>
      </c>
      <c r="D644" s="7" t="str">
        <f t="shared" si="1"/>
        <v/>
      </c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8"/>
      <c r="W644" s="6"/>
    </row>
    <row r="645">
      <c r="A645" s="6"/>
      <c r="B645" s="7"/>
      <c r="C645" s="7" t="str">
        <f>IFERROR(__xludf.DUMMYFUNCTION("""COMPUTED_VALUE"""),"")</f>
        <v/>
      </c>
      <c r="D645" s="7" t="str">
        <f t="shared" si="1"/>
        <v/>
      </c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8"/>
      <c r="W645" s="6"/>
    </row>
    <row r="646">
      <c r="A646" s="6"/>
      <c r="B646" s="7"/>
      <c r="C646" s="7" t="str">
        <f>IFERROR(__xludf.DUMMYFUNCTION("""COMPUTED_VALUE"""),"")</f>
        <v/>
      </c>
      <c r="D646" s="7" t="str">
        <f t="shared" si="1"/>
        <v/>
      </c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8"/>
      <c r="W646" s="6"/>
    </row>
    <row r="647">
      <c r="A647" s="6"/>
      <c r="B647" s="7"/>
      <c r="C647" s="7" t="str">
        <f>IFERROR(__xludf.DUMMYFUNCTION("""COMPUTED_VALUE"""),"")</f>
        <v/>
      </c>
      <c r="D647" s="7" t="str">
        <f t="shared" si="1"/>
        <v/>
      </c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8"/>
      <c r="W647" s="6"/>
    </row>
    <row r="648">
      <c r="A648" s="6"/>
      <c r="B648" s="7"/>
      <c r="C648" s="7" t="str">
        <f>IFERROR(__xludf.DUMMYFUNCTION("""COMPUTED_VALUE"""),"")</f>
        <v/>
      </c>
      <c r="D648" s="7" t="str">
        <f t="shared" si="1"/>
        <v/>
      </c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8"/>
      <c r="W648" s="6"/>
    </row>
    <row r="649">
      <c r="A649" s="6"/>
      <c r="B649" s="7"/>
      <c r="C649" s="7" t="str">
        <f>IFERROR(__xludf.DUMMYFUNCTION("""COMPUTED_VALUE"""),"")</f>
        <v/>
      </c>
      <c r="D649" s="7" t="str">
        <f t="shared" si="1"/>
        <v/>
      </c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8"/>
      <c r="W649" s="6"/>
    </row>
    <row r="650">
      <c r="A650" s="6"/>
      <c r="B650" s="7"/>
      <c r="C650" s="7" t="str">
        <f>IFERROR(__xludf.DUMMYFUNCTION("""COMPUTED_VALUE"""),"")</f>
        <v/>
      </c>
      <c r="D650" s="7" t="str">
        <f t="shared" si="1"/>
        <v/>
      </c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8"/>
      <c r="W650" s="6"/>
    </row>
    <row r="651">
      <c r="A651" s="6"/>
      <c r="B651" s="7"/>
      <c r="C651" s="7" t="str">
        <f>IFERROR(__xludf.DUMMYFUNCTION("""COMPUTED_VALUE"""),"")</f>
        <v/>
      </c>
      <c r="D651" s="7" t="str">
        <f t="shared" si="1"/>
        <v/>
      </c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8"/>
      <c r="W651" s="6"/>
    </row>
    <row r="652">
      <c r="A652" s="6"/>
      <c r="B652" s="7"/>
      <c r="C652" s="7" t="str">
        <f>IFERROR(__xludf.DUMMYFUNCTION("""COMPUTED_VALUE"""),"")</f>
        <v/>
      </c>
      <c r="D652" s="7" t="str">
        <f t="shared" si="1"/>
        <v/>
      </c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8"/>
      <c r="W652" s="6"/>
    </row>
    <row r="653">
      <c r="A653" s="6"/>
      <c r="B653" s="7"/>
      <c r="C653" s="7" t="str">
        <f>IFERROR(__xludf.DUMMYFUNCTION("""COMPUTED_VALUE"""),"")</f>
        <v/>
      </c>
      <c r="D653" s="7" t="str">
        <f t="shared" si="1"/>
        <v/>
      </c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8"/>
      <c r="W653" s="6"/>
    </row>
    <row r="654">
      <c r="A654" s="6"/>
      <c r="B654" s="7"/>
      <c r="C654" s="7" t="str">
        <f>IFERROR(__xludf.DUMMYFUNCTION("""COMPUTED_VALUE"""),"")</f>
        <v/>
      </c>
      <c r="D654" s="7" t="str">
        <f t="shared" si="1"/>
        <v/>
      </c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8"/>
      <c r="W654" s="6"/>
    </row>
    <row r="655">
      <c r="A655" s="6"/>
      <c r="B655" s="7"/>
      <c r="C655" s="7" t="str">
        <f>IFERROR(__xludf.DUMMYFUNCTION("""COMPUTED_VALUE"""),"")</f>
        <v/>
      </c>
      <c r="D655" s="7" t="str">
        <f t="shared" si="1"/>
        <v/>
      </c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8"/>
      <c r="W655" s="6"/>
    </row>
    <row r="656">
      <c r="A656" s="6"/>
      <c r="B656" s="7"/>
      <c r="C656" s="7" t="str">
        <f>IFERROR(__xludf.DUMMYFUNCTION("""COMPUTED_VALUE"""),"")</f>
        <v/>
      </c>
      <c r="D656" s="7" t="str">
        <f t="shared" si="1"/>
        <v/>
      </c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8"/>
      <c r="W656" s="6"/>
    </row>
    <row r="657">
      <c r="A657" s="6"/>
      <c r="B657" s="7"/>
      <c r="C657" s="7" t="str">
        <f>IFERROR(__xludf.DUMMYFUNCTION("""COMPUTED_VALUE"""),"")</f>
        <v/>
      </c>
      <c r="D657" s="7" t="str">
        <f t="shared" si="1"/>
        <v/>
      </c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8"/>
      <c r="W657" s="6"/>
    </row>
    <row r="658">
      <c r="A658" s="6"/>
      <c r="B658" s="7"/>
      <c r="C658" s="7" t="str">
        <f>IFERROR(__xludf.DUMMYFUNCTION("""COMPUTED_VALUE"""),"")</f>
        <v/>
      </c>
      <c r="D658" s="7" t="str">
        <f t="shared" si="1"/>
        <v/>
      </c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8"/>
      <c r="W658" s="6"/>
    </row>
    <row r="659">
      <c r="A659" s="6"/>
      <c r="B659" s="7"/>
      <c r="C659" s="7" t="str">
        <f>IFERROR(__xludf.DUMMYFUNCTION("""COMPUTED_VALUE"""),"")</f>
        <v/>
      </c>
      <c r="D659" s="7" t="str">
        <f t="shared" si="1"/>
        <v/>
      </c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8"/>
      <c r="W659" s="6"/>
    </row>
    <row r="660">
      <c r="A660" s="6"/>
      <c r="B660" s="7"/>
      <c r="C660" s="7" t="str">
        <f>IFERROR(__xludf.DUMMYFUNCTION("""COMPUTED_VALUE"""),"")</f>
        <v/>
      </c>
      <c r="D660" s="7" t="str">
        <f t="shared" si="1"/>
        <v/>
      </c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8"/>
      <c r="W660" s="6"/>
    </row>
    <row r="661">
      <c r="A661" s="6"/>
      <c r="B661" s="7"/>
      <c r="C661" s="7" t="str">
        <f>IFERROR(__xludf.DUMMYFUNCTION("""COMPUTED_VALUE"""),"")</f>
        <v/>
      </c>
      <c r="D661" s="7" t="str">
        <f t="shared" si="1"/>
        <v/>
      </c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8"/>
      <c r="W661" s="6"/>
    </row>
    <row r="662">
      <c r="A662" s="6"/>
      <c r="B662" s="7"/>
      <c r="C662" s="7" t="str">
        <f>IFERROR(__xludf.DUMMYFUNCTION("""COMPUTED_VALUE"""),"")</f>
        <v/>
      </c>
      <c r="D662" s="7" t="str">
        <f t="shared" si="1"/>
        <v/>
      </c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8"/>
      <c r="W662" s="6"/>
    </row>
    <row r="663">
      <c r="A663" s="6"/>
      <c r="B663" s="7"/>
      <c r="C663" s="7" t="str">
        <f>IFERROR(__xludf.DUMMYFUNCTION("""COMPUTED_VALUE"""),"")</f>
        <v/>
      </c>
      <c r="D663" s="7" t="str">
        <f t="shared" si="1"/>
        <v/>
      </c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8"/>
      <c r="W663" s="6"/>
    </row>
    <row r="664">
      <c r="A664" s="6"/>
      <c r="B664" s="7"/>
      <c r="C664" s="7" t="str">
        <f>IFERROR(__xludf.DUMMYFUNCTION("""COMPUTED_VALUE"""),"")</f>
        <v/>
      </c>
      <c r="D664" s="7" t="str">
        <f t="shared" si="1"/>
        <v/>
      </c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8"/>
      <c r="W664" s="6"/>
    </row>
    <row r="665">
      <c r="A665" s="6"/>
      <c r="B665" s="7"/>
      <c r="C665" s="7" t="str">
        <f>IFERROR(__xludf.DUMMYFUNCTION("""COMPUTED_VALUE"""),"")</f>
        <v/>
      </c>
      <c r="D665" s="7" t="str">
        <f t="shared" si="1"/>
        <v/>
      </c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8"/>
      <c r="W665" s="6"/>
    </row>
    <row r="666">
      <c r="A666" s="6"/>
      <c r="B666" s="7"/>
      <c r="C666" s="7" t="str">
        <f>IFERROR(__xludf.DUMMYFUNCTION("""COMPUTED_VALUE"""),"")</f>
        <v/>
      </c>
      <c r="D666" s="7" t="str">
        <f t="shared" si="1"/>
        <v/>
      </c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8"/>
      <c r="W666" s="6"/>
    </row>
    <row r="667">
      <c r="A667" s="6"/>
      <c r="B667" s="7"/>
      <c r="C667" s="7" t="str">
        <f>IFERROR(__xludf.DUMMYFUNCTION("""COMPUTED_VALUE"""),"")</f>
        <v/>
      </c>
      <c r="D667" s="7" t="str">
        <f t="shared" si="1"/>
        <v/>
      </c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8"/>
      <c r="W667" s="6"/>
    </row>
    <row r="668">
      <c r="A668" s="6"/>
      <c r="B668" s="7"/>
      <c r="C668" s="7" t="str">
        <f>IFERROR(__xludf.DUMMYFUNCTION("""COMPUTED_VALUE"""),"")</f>
        <v/>
      </c>
      <c r="D668" s="7" t="str">
        <f t="shared" si="1"/>
        <v/>
      </c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8"/>
      <c r="W668" s="6"/>
    </row>
    <row r="669">
      <c r="A669" s="6"/>
      <c r="B669" s="7"/>
      <c r="C669" s="7" t="str">
        <f>IFERROR(__xludf.DUMMYFUNCTION("""COMPUTED_VALUE"""),"")</f>
        <v/>
      </c>
      <c r="D669" s="7" t="str">
        <f t="shared" si="1"/>
        <v/>
      </c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8"/>
      <c r="W669" s="6"/>
    </row>
    <row r="670">
      <c r="A670" s="6"/>
      <c r="B670" s="7"/>
      <c r="C670" s="7" t="str">
        <f>IFERROR(__xludf.DUMMYFUNCTION("""COMPUTED_VALUE"""),"")</f>
        <v/>
      </c>
      <c r="D670" s="7" t="str">
        <f t="shared" si="1"/>
        <v/>
      </c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8"/>
      <c r="W670" s="6"/>
    </row>
    <row r="671">
      <c r="A671" s="6"/>
      <c r="B671" s="7"/>
      <c r="C671" s="7" t="str">
        <f>IFERROR(__xludf.DUMMYFUNCTION("""COMPUTED_VALUE"""),"")</f>
        <v/>
      </c>
      <c r="D671" s="7" t="str">
        <f t="shared" si="1"/>
        <v/>
      </c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8"/>
      <c r="W671" s="6"/>
    </row>
    <row r="672">
      <c r="A672" s="6"/>
      <c r="B672" s="7"/>
      <c r="C672" s="7" t="str">
        <f>IFERROR(__xludf.DUMMYFUNCTION("""COMPUTED_VALUE"""),"")</f>
        <v/>
      </c>
      <c r="D672" s="7" t="str">
        <f t="shared" si="1"/>
        <v/>
      </c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8"/>
      <c r="W672" s="6"/>
    </row>
    <row r="673">
      <c r="A673" s="6"/>
      <c r="B673" s="7"/>
      <c r="C673" s="7" t="str">
        <f>IFERROR(__xludf.DUMMYFUNCTION("""COMPUTED_VALUE"""),"")</f>
        <v/>
      </c>
      <c r="D673" s="7" t="str">
        <f t="shared" si="1"/>
        <v/>
      </c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8"/>
      <c r="W673" s="6"/>
    </row>
    <row r="674">
      <c r="A674" s="6"/>
      <c r="B674" s="7"/>
      <c r="C674" s="7" t="str">
        <f>IFERROR(__xludf.DUMMYFUNCTION("""COMPUTED_VALUE"""),"")</f>
        <v/>
      </c>
      <c r="D674" s="7" t="str">
        <f t="shared" si="1"/>
        <v/>
      </c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8"/>
      <c r="W674" s="6"/>
    </row>
    <row r="675">
      <c r="A675" s="6"/>
      <c r="B675" s="7"/>
      <c r="C675" s="7" t="str">
        <f>IFERROR(__xludf.DUMMYFUNCTION("""COMPUTED_VALUE"""),"")</f>
        <v/>
      </c>
      <c r="D675" s="7" t="str">
        <f t="shared" si="1"/>
        <v/>
      </c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8"/>
      <c r="W675" s="6"/>
    </row>
    <row r="676">
      <c r="A676" s="6"/>
      <c r="B676" s="7"/>
      <c r="C676" s="7" t="str">
        <f>IFERROR(__xludf.DUMMYFUNCTION("""COMPUTED_VALUE"""),"")</f>
        <v/>
      </c>
      <c r="D676" s="7" t="str">
        <f t="shared" si="1"/>
        <v/>
      </c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8"/>
      <c r="W676" s="6"/>
    </row>
    <row r="677">
      <c r="A677" s="6"/>
      <c r="B677" s="7"/>
      <c r="C677" s="7" t="str">
        <f>IFERROR(__xludf.DUMMYFUNCTION("""COMPUTED_VALUE"""),"")</f>
        <v/>
      </c>
      <c r="D677" s="7" t="str">
        <f t="shared" si="1"/>
        <v/>
      </c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8"/>
      <c r="W677" s="6"/>
    </row>
    <row r="678">
      <c r="A678" s="6"/>
      <c r="B678" s="7"/>
      <c r="C678" s="7" t="str">
        <f>IFERROR(__xludf.DUMMYFUNCTION("""COMPUTED_VALUE"""),"")</f>
        <v/>
      </c>
      <c r="D678" s="7" t="str">
        <f t="shared" si="1"/>
        <v/>
      </c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8"/>
      <c r="W678" s="6"/>
    </row>
    <row r="679">
      <c r="A679" s="6"/>
      <c r="B679" s="7"/>
      <c r="C679" s="7" t="str">
        <f>IFERROR(__xludf.DUMMYFUNCTION("""COMPUTED_VALUE"""),"")</f>
        <v/>
      </c>
      <c r="D679" s="7" t="str">
        <f t="shared" si="1"/>
        <v/>
      </c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8"/>
      <c r="W679" s="6"/>
    </row>
    <row r="680">
      <c r="A680" s="6"/>
      <c r="B680" s="7"/>
      <c r="C680" s="7" t="str">
        <f>IFERROR(__xludf.DUMMYFUNCTION("""COMPUTED_VALUE"""),"")</f>
        <v/>
      </c>
      <c r="D680" s="7" t="str">
        <f t="shared" si="1"/>
        <v/>
      </c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8"/>
      <c r="W680" s="6"/>
    </row>
    <row r="681">
      <c r="A681" s="6"/>
      <c r="B681" s="7"/>
      <c r="C681" s="7" t="str">
        <f>IFERROR(__xludf.DUMMYFUNCTION("""COMPUTED_VALUE"""),"")</f>
        <v/>
      </c>
      <c r="D681" s="7" t="str">
        <f t="shared" si="1"/>
        <v/>
      </c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8"/>
      <c r="W681" s="6"/>
    </row>
    <row r="682">
      <c r="A682" s="6"/>
      <c r="B682" s="7"/>
      <c r="C682" s="7" t="str">
        <f>IFERROR(__xludf.DUMMYFUNCTION("""COMPUTED_VALUE"""),"")</f>
        <v/>
      </c>
      <c r="D682" s="7" t="str">
        <f t="shared" si="1"/>
        <v/>
      </c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8"/>
      <c r="W682" s="6"/>
    </row>
    <row r="683">
      <c r="A683" s="6"/>
      <c r="B683" s="7"/>
      <c r="C683" s="7" t="str">
        <f>IFERROR(__xludf.DUMMYFUNCTION("""COMPUTED_VALUE"""),"")</f>
        <v/>
      </c>
      <c r="D683" s="7" t="str">
        <f t="shared" si="1"/>
        <v/>
      </c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8"/>
      <c r="W683" s="6"/>
    </row>
    <row r="684">
      <c r="A684" s="6"/>
      <c r="B684" s="7"/>
      <c r="C684" s="7" t="str">
        <f>IFERROR(__xludf.DUMMYFUNCTION("""COMPUTED_VALUE"""),"")</f>
        <v/>
      </c>
      <c r="D684" s="7" t="str">
        <f t="shared" si="1"/>
        <v/>
      </c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8"/>
      <c r="W684" s="6"/>
    </row>
    <row r="685">
      <c r="A685" s="6"/>
      <c r="B685" s="7"/>
      <c r="C685" s="7" t="str">
        <f>IFERROR(__xludf.DUMMYFUNCTION("""COMPUTED_VALUE"""),"")</f>
        <v/>
      </c>
      <c r="D685" s="7" t="str">
        <f t="shared" si="1"/>
        <v/>
      </c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8"/>
      <c r="W685" s="6"/>
    </row>
    <row r="686">
      <c r="A686" s="6"/>
      <c r="B686" s="7"/>
      <c r="C686" s="7" t="str">
        <f>IFERROR(__xludf.DUMMYFUNCTION("""COMPUTED_VALUE"""),"")</f>
        <v/>
      </c>
      <c r="D686" s="7" t="str">
        <f t="shared" si="1"/>
        <v/>
      </c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8"/>
      <c r="W686" s="6"/>
    </row>
    <row r="687">
      <c r="A687" s="6"/>
      <c r="B687" s="7"/>
      <c r="C687" s="7" t="str">
        <f>IFERROR(__xludf.DUMMYFUNCTION("""COMPUTED_VALUE"""),"")</f>
        <v/>
      </c>
      <c r="D687" s="7" t="str">
        <f t="shared" si="1"/>
        <v/>
      </c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8"/>
      <c r="W687" s="6"/>
    </row>
    <row r="688">
      <c r="A688" s="6"/>
      <c r="B688" s="7"/>
      <c r="C688" s="7" t="str">
        <f>IFERROR(__xludf.DUMMYFUNCTION("""COMPUTED_VALUE"""),"")</f>
        <v/>
      </c>
      <c r="D688" s="7" t="str">
        <f t="shared" si="1"/>
        <v/>
      </c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8"/>
      <c r="W688" s="6"/>
    </row>
    <row r="689">
      <c r="A689" s="6"/>
      <c r="B689" s="7"/>
      <c r="C689" s="7" t="str">
        <f>IFERROR(__xludf.DUMMYFUNCTION("""COMPUTED_VALUE"""),"")</f>
        <v/>
      </c>
      <c r="D689" s="7" t="str">
        <f t="shared" si="1"/>
        <v/>
      </c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8"/>
      <c r="W689" s="6"/>
    </row>
    <row r="690">
      <c r="A690" s="6"/>
      <c r="B690" s="7"/>
      <c r="C690" s="7" t="str">
        <f>IFERROR(__xludf.DUMMYFUNCTION("""COMPUTED_VALUE"""),"")</f>
        <v/>
      </c>
      <c r="D690" s="7" t="str">
        <f t="shared" si="1"/>
        <v/>
      </c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8"/>
      <c r="W690" s="6"/>
    </row>
    <row r="691">
      <c r="A691" s="6"/>
      <c r="B691" s="7"/>
      <c r="C691" s="7" t="str">
        <f>IFERROR(__xludf.DUMMYFUNCTION("""COMPUTED_VALUE"""),"")</f>
        <v/>
      </c>
      <c r="D691" s="7" t="str">
        <f t="shared" si="1"/>
        <v/>
      </c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8"/>
      <c r="W691" s="6"/>
    </row>
    <row r="692">
      <c r="A692" s="6"/>
      <c r="B692" s="7"/>
      <c r="C692" s="7" t="str">
        <f>IFERROR(__xludf.DUMMYFUNCTION("""COMPUTED_VALUE"""),"")</f>
        <v/>
      </c>
      <c r="D692" s="7" t="str">
        <f t="shared" si="1"/>
        <v/>
      </c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8"/>
      <c r="W692" s="6"/>
    </row>
    <row r="693">
      <c r="A693" s="6"/>
      <c r="B693" s="7"/>
      <c r="C693" s="7" t="str">
        <f>IFERROR(__xludf.DUMMYFUNCTION("""COMPUTED_VALUE"""),"")</f>
        <v/>
      </c>
      <c r="D693" s="7" t="str">
        <f t="shared" si="1"/>
        <v/>
      </c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8"/>
      <c r="W693" s="6"/>
    </row>
    <row r="694">
      <c r="A694" s="6"/>
      <c r="B694" s="7"/>
      <c r="C694" s="7" t="str">
        <f>IFERROR(__xludf.DUMMYFUNCTION("""COMPUTED_VALUE"""),"")</f>
        <v/>
      </c>
      <c r="D694" s="7" t="str">
        <f t="shared" si="1"/>
        <v/>
      </c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8"/>
      <c r="W694" s="6"/>
    </row>
    <row r="695">
      <c r="A695" s="6"/>
      <c r="B695" s="7"/>
      <c r="C695" s="7" t="str">
        <f>IFERROR(__xludf.DUMMYFUNCTION("""COMPUTED_VALUE"""),"")</f>
        <v/>
      </c>
      <c r="D695" s="7" t="str">
        <f t="shared" si="1"/>
        <v/>
      </c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8"/>
      <c r="W695" s="6"/>
    </row>
    <row r="696">
      <c r="A696" s="6"/>
      <c r="B696" s="7"/>
      <c r="C696" s="7" t="str">
        <f>IFERROR(__xludf.DUMMYFUNCTION("""COMPUTED_VALUE"""),"")</f>
        <v/>
      </c>
      <c r="D696" s="7" t="str">
        <f t="shared" si="1"/>
        <v/>
      </c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8"/>
      <c r="W696" s="6"/>
    </row>
    <row r="697">
      <c r="A697" s="6"/>
      <c r="B697" s="7"/>
      <c r="C697" s="7" t="str">
        <f>IFERROR(__xludf.DUMMYFUNCTION("""COMPUTED_VALUE"""),"")</f>
        <v/>
      </c>
      <c r="D697" s="7" t="str">
        <f t="shared" si="1"/>
        <v/>
      </c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8"/>
      <c r="W697" s="6"/>
    </row>
    <row r="698">
      <c r="A698" s="6"/>
      <c r="B698" s="7"/>
      <c r="C698" s="7" t="str">
        <f>IFERROR(__xludf.DUMMYFUNCTION("""COMPUTED_VALUE"""),"")</f>
        <v/>
      </c>
      <c r="D698" s="7" t="str">
        <f t="shared" si="1"/>
        <v/>
      </c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8"/>
      <c r="W698" s="6"/>
    </row>
    <row r="699">
      <c r="A699" s="6"/>
      <c r="B699" s="7"/>
      <c r="C699" s="7" t="str">
        <f>IFERROR(__xludf.DUMMYFUNCTION("""COMPUTED_VALUE"""),"")</f>
        <v/>
      </c>
      <c r="D699" s="7" t="str">
        <f t="shared" si="1"/>
        <v/>
      </c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8"/>
      <c r="W699" s="6"/>
    </row>
    <row r="700">
      <c r="A700" s="6"/>
      <c r="B700" s="7"/>
      <c r="C700" s="7" t="str">
        <f>IFERROR(__xludf.DUMMYFUNCTION("""COMPUTED_VALUE"""),"")</f>
        <v/>
      </c>
      <c r="D700" s="7" t="str">
        <f t="shared" si="1"/>
        <v/>
      </c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8"/>
      <c r="W700" s="6"/>
    </row>
    <row r="701">
      <c r="A701" s="6"/>
      <c r="B701" s="7"/>
      <c r="C701" s="7" t="str">
        <f>IFERROR(__xludf.DUMMYFUNCTION("""COMPUTED_VALUE"""),"")</f>
        <v/>
      </c>
      <c r="D701" s="7" t="str">
        <f t="shared" si="1"/>
        <v/>
      </c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8"/>
      <c r="W701" s="6"/>
    </row>
    <row r="702">
      <c r="A702" s="6"/>
      <c r="B702" s="7"/>
      <c r="C702" s="7" t="str">
        <f>IFERROR(__xludf.DUMMYFUNCTION("""COMPUTED_VALUE"""),"")</f>
        <v/>
      </c>
      <c r="D702" s="7" t="str">
        <f t="shared" si="1"/>
        <v/>
      </c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8"/>
      <c r="W702" s="6"/>
    </row>
    <row r="703">
      <c r="A703" s="6"/>
      <c r="B703" s="7"/>
      <c r="C703" s="7" t="str">
        <f>IFERROR(__xludf.DUMMYFUNCTION("""COMPUTED_VALUE"""),"")</f>
        <v/>
      </c>
      <c r="D703" s="7" t="str">
        <f t="shared" si="1"/>
        <v/>
      </c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8"/>
      <c r="W703" s="6"/>
    </row>
    <row r="704">
      <c r="A704" s="6"/>
      <c r="B704" s="7"/>
      <c r="C704" s="7" t="str">
        <f>IFERROR(__xludf.DUMMYFUNCTION("""COMPUTED_VALUE"""),"")</f>
        <v/>
      </c>
      <c r="D704" s="7" t="str">
        <f t="shared" si="1"/>
        <v/>
      </c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8"/>
      <c r="W704" s="6"/>
    </row>
    <row r="705">
      <c r="A705" s="6"/>
      <c r="B705" s="7"/>
      <c r="C705" s="7" t="str">
        <f>IFERROR(__xludf.DUMMYFUNCTION("""COMPUTED_VALUE"""),"")</f>
        <v/>
      </c>
      <c r="D705" s="7" t="str">
        <f t="shared" si="1"/>
        <v/>
      </c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8"/>
      <c r="W705" s="6"/>
    </row>
    <row r="706">
      <c r="A706" s="6"/>
      <c r="B706" s="7"/>
      <c r="C706" s="7" t="str">
        <f>IFERROR(__xludf.DUMMYFUNCTION("""COMPUTED_VALUE"""),"")</f>
        <v/>
      </c>
      <c r="D706" s="7" t="str">
        <f t="shared" si="1"/>
        <v/>
      </c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8"/>
      <c r="W706" s="6"/>
    </row>
    <row r="707">
      <c r="A707" s="6"/>
      <c r="B707" s="7"/>
      <c r="C707" s="7" t="str">
        <f>IFERROR(__xludf.DUMMYFUNCTION("""COMPUTED_VALUE"""),"")</f>
        <v/>
      </c>
      <c r="D707" s="7" t="str">
        <f t="shared" si="1"/>
        <v/>
      </c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8"/>
      <c r="W707" s="6"/>
    </row>
    <row r="708">
      <c r="A708" s="6"/>
      <c r="B708" s="7"/>
      <c r="C708" s="7" t="str">
        <f>IFERROR(__xludf.DUMMYFUNCTION("""COMPUTED_VALUE"""),"")</f>
        <v/>
      </c>
      <c r="D708" s="7" t="str">
        <f t="shared" si="1"/>
        <v/>
      </c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8"/>
      <c r="W708" s="6"/>
    </row>
    <row r="709">
      <c r="A709" s="6"/>
      <c r="B709" s="7"/>
      <c r="C709" s="7" t="str">
        <f>IFERROR(__xludf.DUMMYFUNCTION("""COMPUTED_VALUE"""),"")</f>
        <v/>
      </c>
      <c r="D709" s="7" t="str">
        <f t="shared" si="1"/>
        <v/>
      </c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8"/>
      <c r="W709" s="6"/>
    </row>
    <row r="710">
      <c r="A710" s="6"/>
      <c r="B710" s="7"/>
      <c r="C710" s="7" t="str">
        <f>IFERROR(__xludf.DUMMYFUNCTION("""COMPUTED_VALUE"""),"")</f>
        <v/>
      </c>
      <c r="D710" s="7" t="str">
        <f t="shared" si="1"/>
        <v/>
      </c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8"/>
      <c r="W710" s="6"/>
    </row>
    <row r="711">
      <c r="A711" s="6"/>
      <c r="B711" s="7"/>
      <c r="C711" s="7" t="str">
        <f>IFERROR(__xludf.DUMMYFUNCTION("""COMPUTED_VALUE"""),"")</f>
        <v/>
      </c>
      <c r="D711" s="7" t="str">
        <f t="shared" si="1"/>
        <v/>
      </c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8"/>
      <c r="W711" s="6"/>
    </row>
    <row r="712">
      <c r="A712" s="6"/>
      <c r="B712" s="7"/>
      <c r="C712" s="7" t="str">
        <f>IFERROR(__xludf.DUMMYFUNCTION("""COMPUTED_VALUE"""),"")</f>
        <v/>
      </c>
      <c r="D712" s="7" t="str">
        <f t="shared" si="1"/>
        <v/>
      </c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8"/>
      <c r="W712" s="6"/>
    </row>
    <row r="713">
      <c r="A713" s="6"/>
      <c r="B713" s="7"/>
      <c r="C713" s="7" t="str">
        <f>IFERROR(__xludf.DUMMYFUNCTION("""COMPUTED_VALUE"""),"")</f>
        <v/>
      </c>
      <c r="D713" s="7" t="str">
        <f t="shared" si="1"/>
        <v/>
      </c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8"/>
      <c r="W713" s="6"/>
    </row>
    <row r="714">
      <c r="A714" s="6"/>
      <c r="B714" s="7"/>
      <c r="C714" s="7" t="str">
        <f>IFERROR(__xludf.DUMMYFUNCTION("""COMPUTED_VALUE"""),"")</f>
        <v/>
      </c>
      <c r="D714" s="7" t="str">
        <f t="shared" si="1"/>
        <v/>
      </c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8"/>
      <c r="W714" s="6"/>
    </row>
    <row r="715">
      <c r="A715" s="6"/>
      <c r="B715" s="7"/>
      <c r="C715" s="7" t="str">
        <f>IFERROR(__xludf.DUMMYFUNCTION("""COMPUTED_VALUE"""),"")</f>
        <v/>
      </c>
      <c r="D715" s="7" t="str">
        <f t="shared" si="1"/>
        <v/>
      </c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8"/>
      <c r="W715" s="6"/>
    </row>
    <row r="716">
      <c r="A716" s="6"/>
      <c r="B716" s="7"/>
      <c r="C716" s="7" t="str">
        <f>IFERROR(__xludf.DUMMYFUNCTION("""COMPUTED_VALUE"""),"")</f>
        <v/>
      </c>
      <c r="D716" s="7" t="str">
        <f t="shared" si="1"/>
        <v/>
      </c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8"/>
      <c r="W716" s="6"/>
    </row>
    <row r="717">
      <c r="A717" s="6"/>
      <c r="B717" s="7"/>
      <c r="C717" s="7" t="str">
        <f>IFERROR(__xludf.DUMMYFUNCTION("""COMPUTED_VALUE"""),"")</f>
        <v/>
      </c>
      <c r="D717" s="7" t="str">
        <f t="shared" si="1"/>
        <v/>
      </c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8"/>
      <c r="W717" s="6"/>
    </row>
    <row r="718">
      <c r="A718" s="6"/>
      <c r="B718" s="7"/>
      <c r="C718" s="7" t="str">
        <f>IFERROR(__xludf.DUMMYFUNCTION("""COMPUTED_VALUE"""),"")</f>
        <v/>
      </c>
      <c r="D718" s="7" t="str">
        <f t="shared" si="1"/>
        <v/>
      </c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8"/>
      <c r="W718" s="6"/>
    </row>
    <row r="719">
      <c r="A719" s="6"/>
      <c r="B719" s="7"/>
      <c r="C719" s="7" t="str">
        <f>IFERROR(__xludf.DUMMYFUNCTION("""COMPUTED_VALUE"""),"")</f>
        <v/>
      </c>
      <c r="D719" s="7" t="str">
        <f t="shared" si="1"/>
        <v/>
      </c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8"/>
      <c r="W719" s="6"/>
    </row>
    <row r="720">
      <c r="A720" s="6"/>
      <c r="B720" s="7"/>
      <c r="C720" s="7" t="str">
        <f>IFERROR(__xludf.DUMMYFUNCTION("""COMPUTED_VALUE"""),"")</f>
        <v/>
      </c>
      <c r="D720" s="7" t="str">
        <f t="shared" si="1"/>
        <v/>
      </c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8"/>
      <c r="W720" s="6"/>
    </row>
    <row r="721">
      <c r="A721" s="6"/>
      <c r="B721" s="7"/>
      <c r="C721" s="7" t="str">
        <f>IFERROR(__xludf.DUMMYFUNCTION("""COMPUTED_VALUE"""),"")</f>
        <v/>
      </c>
      <c r="D721" s="7" t="str">
        <f t="shared" si="1"/>
        <v/>
      </c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8"/>
      <c r="W721" s="6"/>
    </row>
    <row r="722">
      <c r="A722" s="6"/>
      <c r="B722" s="7"/>
      <c r="C722" s="7" t="str">
        <f>IFERROR(__xludf.DUMMYFUNCTION("""COMPUTED_VALUE"""),"")</f>
        <v/>
      </c>
      <c r="D722" s="7" t="str">
        <f t="shared" si="1"/>
        <v/>
      </c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8"/>
      <c r="W722" s="6"/>
    </row>
    <row r="723">
      <c r="A723" s="6"/>
      <c r="B723" s="7"/>
      <c r="C723" s="7" t="str">
        <f>IFERROR(__xludf.DUMMYFUNCTION("""COMPUTED_VALUE"""),"")</f>
        <v/>
      </c>
      <c r="D723" s="7" t="str">
        <f t="shared" si="1"/>
        <v/>
      </c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8"/>
      <c r="W723" s="6"/>
    </row>
    <row r="724">
      <c r="A724" s="6"/>
      <c r="B724" s="7"/>
      <c r="C724" s="7" t="str">
        <f>IFERROR(__xludf.DUMMYFUNCTION("""COMPUTED_VALUE"""),"")</f>
        <v/>
      </c>
      <c r="D724" s="7" t="str">
        <f t="shared" si="1"/>
        <v/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8"/>
      <c r="W724" s="6"/>
    </row>
    <row r="725">
      <c r="A725" s="6"/>
      <c r="B725" s="7"/>
      <c r="C725" s="7" t="str">
        <f>IFERROR(__xludf.DUMMYFUNCTION("""COMPUTED_VALUE"""),"")</f>
        <v/>
      </c>
      <c r="D725" s="7" t="str">
        <f t="shared" si="1"/>
        <v/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8"/>
      <c r="W725" s="6"/>
    </row>
    <row r="726">
      <c r="A726" s="6"/>
      <c r="B726" s="7"/>
      <c r="C726" s="7" t="str">
        <f>IFERROR(__xludf.DUMMYFUNCTION("""COMPUTED_VALUE"""),"")</f>
        <v/>
      </c>
      <c r="D726" s="7" t="str">
        <f t="shared" si="1"/>
        <v/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8"/>
      <c r="W726" s="6"/>
    </row>
    <row r="727">
      <c r="A727" s="6"/>
      <c r="B727" s="7"/>
      <c r="C727" s="7" t="str">
        <f>IFERROR(__xludf.DUMMYFUNCTION("""COMPUTED_VALUE"""),"")</f>
        <v/>
      </c>
      <c r="D727" s="7" t="str">
        <f t="shared" si="1"/>
        <v/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8"/>
      <c r="W727" s="6"/>
    </row>
    <row r="728">
      <c r="A728" s="6"/>
      <c r="B728" s="7"/>
      <c r="C728" s="7" t="str">
        <f>IFERROR(__xludf.DUMMYFUNCTION("""COMPUTED_VALUE"""),"")</f>
        <v/>
      </c>
      <c r="D728" s="7" t="str">
        <f t="shared" si="1"/>
        <v/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8"/>
      <c r="W728" s="6"/>
    </row>
    <row r="729">
      <c r="A729" s="6"/>
      <c r="B729" s="7"/>
      <c r="C729" s="7" t="str">
        <f>IFERROR(__xludf.DUMMYFUNCTION("""COMPUTED_VALUE"""),"")</f>
        <v/>
      </c>
      <c r="D729" s="7" t="str">
        <f t="shared" si="1"/>
        <v/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8"/>
      <c r="W729" s="6"/>
    </row>
    <row r="730">
      <c r="A730" s="6"/>
      <c r="B730" s="7"/>
      <c r="C730" s="7" t="str">
        <f>IFERROR(__xludf.DUMMYFUNCTION("""COMPUTED_VALUE"""),"")</f>
        <v/>
      </c>
      <c r="D730" s="7" t="str">
        <f t="shared" si="1"/>
        <v/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8"/>
      <c r="W730" s="6"/>
    </row>
    <row r="731">
      <c r="A731" s="6"/>
      <c r="B731" s="7"/>
      <c r="C731" s="7" t="str">
        <f>IFERROR(__xludf.DUMMYFUNCTION("""COMPUTED_VALUE"""),"")</f>
        <v/>
      </c>
      <c r="D731" s="7" t="str">
        <f t="shared" si="1"/>
        <v/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8"/>
      <c r="W731" s="6"/>
    </row>
    <row r="732">
      <c r="A732" s="6"/>
      <c r="B732" s="7"/>
      <c r="C732" s="7" t="str">
        <f>IFERROR(__xludf.DUMMYFUNCTION("""COMPUTED_VALUE"""),"")</f>
        <v/>
      </c>
      <c r="D732" s="7" t="str">
        <f t="shared" si="1"/>
        <v/>
      </c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8"/>
      <c r="W732" s="6"/>
    </row>
    <row r="733">
      <c r="A733" s="6"/>
      <c r="B733" s="7"/>
      <c r="C733" s="7" t="str">
        <f>IFERROR(__xludf.DUMMYFUNCTION("""COMPUTED_VALUE"""),"")</f>
        <v/>
      </c>
      <c r="D733" s="7" t="str">
        <f t="shared" si="1"/>
        <v/>
      </c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8"/>
      <c r="W733" s="6"/>
    </row>
    <row r="734">
      <c r="A734" s="6"/>
      <c r="B734" s="7"/>
      <c r="C734" s="7" t="str">
        <f>IFERROR(__xludf.DUMMYFUNCTION("""COMPUTED_VALUE"""),"")</f>
        <v/>
      </c>
      <c r="D734" s="7" t="str">
        <f t="shared" si="1"/>
        <v/>
      </c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8"/>
      <c r="W734" s="6"/>
    </row>
    <row r="735">
      <c r="A735" s="6"/>
      <c r="B735" s="7"/>
      <c r="C735" s="7" t="str">
        <f>IFERROR(__xludf.DUMMYFUNCTION("""COMPUTED_VALUE"""),"")</f>
        <v/>
      </c>
      <c r="D735" s="7" t="str">
        <f t="shared" si="1"/>
        <v/>
      </c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8"/>
      <c r="W735" s="6"/>
    </row>
    <row r="736">
      <c r="A736" s="6"/>
      <c r="B736" s="7"/>
      <c r="C736" s="7" t="str">
        <f>IFERROR(__xludf.DUMMYFUNCTION("""COMPUTED_VALUE"""),"")</f>
        <v/>
      </c>
      <c r="D736" s="7" t="str">
        <f t="shared" si="1"/>
        <v/>
      </c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8"/>
      <c r="W736" s="6"/>
    </row>
    <row r="737">
      <c r="A737" s="6"/>
      <c r="B737" s="7"/>
      <c r="C737" s="7" t="str">
        <f>IFERROR(__xludf.DUMMYFUNCTION("""COMPUTED_VALUE"""),"")</f>
        <v/>
      </c>
      <c r="D737" s="7" t="str">
        <f t="shared" si="1"/>
        <v/>
      </c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8"/>
      <c r="W737" s="6"/>
    </row>
    <row r="738">
      <c r="A738" s="6"/>
      <c r="B738" s="7"/>
      <c r="C738" s="7" t="str">
        <f>IFERROR(__xludf.DUMMYFUNCTION("""COMPUTED_VALUE"""),"")</f>
        <v/>
      </c>
      <c r="D738" s="7" t="str">
        <f t="shared" si="1"/>
        <v/>
      </c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8"/>
      <c r="W738" s="6"/>
    </row>
    <row r="739">
      <c r="A739" s="6"/>
      <c r="B739" s="7"/>
      <c r="C739" s="7" t="str">
        <f>IFERROR(__xludf.DUMMYFUNCTION("""COMPUTED_VALUE"""),"")</f>
        <v/>
      </c>
      <c r="D739" s="7" t="str">
        <f t="shared" si="1"/>
        <v/>
      </c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8"/>
      <c r="W739" s="6"/>
    </row>
    <row r="740">
      <c r="A740" s="6"/>
      <c r="B740" s="7"/>
      <c r="C740" s="7" t="str">
        <f>IFERROR(__xludf.DUMMYFUNCTION("""COMPUTED_VALUE"""),"")</f>
        <v/>
      </c>
      <c r="D740" s="7" t="str">
        <f t="shared" si="1"/>
        <v/>
      </c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8"/>
      <c r="W740" s="6"/>
    </row>
    <row r="741">
      <c r="A741" s="6"/>
      <c r="B741" s="7"/>
      <c r="C741" s="7" t="str">
        <f>IFERROR(__xludf.DUMMYFUNCTION("""COMPUTED_VALUE"""),"")</f>
        <v/>
      </c>
      <c r="D741" s="7" t="str">
        <f t="shared" si="1"/>
        <v/>
      </c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8"/>
      <c r="W741" s="6"/>
    </row>
    <row r="742">
      <c r="A742" s="6"/>
      <c r="B742" s="7"/>
      <c r="C742" s="7" t="str">
        <f>IFERROR(__xludf.DUMMYFUNCTION("""COMPUTED_VALUE"""),"")</f>
        <v/>
      </c>
      <c r="D742" s="7" t="str">
        <f t="shared" si="1"/>
        <v/>
      </c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8"/>
      <c r="W742" s="6"/>
    </row>
    <row r="743">
      <c r="A743" s="6"/>
      <c r="B743" s="7"/>
      <c r="C743" s="7" t="str">
        <f>IFERROR(__xludf.DUMMYFUNCTION("""COMPUTED_VALUE"""),"")</f>
        <v/>
      </c>
      <c r="D743" s="7" t="str">
        <f t="shared" si="1"/>
        <v/>
      </c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8"/>
      <c r="W743" s="6"/>
    </row>
    <row r="744">
      <c r="A744" s="6"/>
      <c r="B744" s="7"/>
      <c r="C744" s="7" t="str">
        <f>IFERROR(__xludf.DUMMYFUNCTION("""COMPUTED_VALUE"""),"")</f>
        <v/>
      </c>
      <c r="D744" s="7" t="str">
        <f t="shared" si="1"/>
        <v/>
      </c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8"/>
      <c r="W744" s="6"/>
    </row>
    <row r="745">
      <c r="A745" s="6"/>
      <c r="B745" s="7"/>
      <c r="C745" s="7" t="str">
        <f>IFERROR(__xludf.DUMMYFUNCTION("""COMPUTED_VALUE"""),"")</f>
        <v/>
      </c>
      <c r="D745" s="7" t="str">
        <f t="shared" si="1"/>
        <v/>
      </c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8"/>
      <c r="W745" s="6"/>
    </row>
    <row r="746">
      <c r="A746" s="6"/>
      <c r="B746" s="7"/>
      <c r="C746" s="7" t="str">
        <f>IFERROR(__xludf.DUMMYFUNCTION("""COMPUTED_VALUE"""),"")</f>
        <v/>
      </c>
      <c r="D746" s="7" t="str">
        <f t="shared" si="1"/>
        <v/>
      </c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8"/>
      <c r="W746" s="6"/>
    </row>
    <row r="747">
      <c r="A747" s="6"/>
      <c r="B747" s="7"/>
      <c r="C747" s="7" t="str">
        <f>IFERROR(__xludf.DUMMYFUNCTION("""COMPUTED_VALUE"""),"")</f>
        <v/>
      </c>
      <c r="D747" s="7" t="str">
        <f t="shared" si="1"/>
        <v/>
      </c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8"/>
      <c r="W747" s="6"/>
    </row>
    <row r="748">
      <c r="A748" s="6"/>
      <c r="B748" s="7"/>
      <c r="C748" s="7" t="str">
        <f>IFERROR(__xludf.DUMMYFUNCTION("""COMPUTED_VALUE"""),"")</f>
        <v/>
      </c>
      <c r="D748" s="7" t="str">
        <f t="shared" si="1"/>
        <v/>
      </c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8"/>
      <c r="W748" s="6"/>
    </row>
    <row r="749">
      <c r="A749" s="6"/>
      <c r="B749" s="7"/>
      <c r="C749" s="7" t="str">
        <f>IFERROR(__xludf.DUMMYFUNCTION("""COMPUTED_VALUE"""),"")</f>
        <v/>
      </c>
      <c r="D749" s="7" t="str">
        <f t="shared" si="1"/>
        <v/>
      </c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8"/>
      <c r="W749" s="6"/>
    </row>
    <row r="750">
      <c r="A750" s="6"/>
      <c r="B750" s="7"/>
      <c r="C750" s="7" t="str">
        <f>IFERROR(__xludf.DUMMYFUNCTION("""COMPUTED_VALUE"""),"")</f>
        <v/>
      </c>
      <c r="D750" s="7" t="str">
        <f t="shared" si="1"/>
        <v/>
      </c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8"/>
      <c r="W750" s="6"/>
    </row>
    <row r="751">
      <c r="A751" s="6"/>
      <c r="B751" s="7"/>
      <c r="C751" s="7" t="str">
        <f>IFERROR(__xludf.DUMMYFUNCTION("""COMPUTED_VALUE"""),"")</f>
        <v/>
      </c>
      <c r="D751" s="7" t="str">
        <f t="shared" si="1"/>
        <v/>
      </c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8"/>
      <c r="W751" s="6"/>
    </row>
    <row r="752">
      <c r="A752" s="6"/>
      <c r="B752" s="7"/>
      <c r="C752" s="7" t="str">
        <f>IFERROR(__xludf.DUMMYFUNCTION("""COMPUTED_VALUE"""),"")</f>
        <v/>
      </c>
      <c r="D752" s="7" t="str">
        <f t="shared" si="1"/>
        <v/>
      </c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8"/>
      <c r="W752" s="6"/>
    </row>
    <row r="753">
      <c r="A753" s="6"/>
      <c r="B753" s="7"/>
      <c r="C753" s="7" t="str">
        <f>IFERROR(__xludf.DUMMYFUNCTION("""COMPUTED_VALUE"""),"")</f>
        <v/>
      </c>
      <c r="D753" s="7" t="str">
        <f t="shared" si="1"/>
        <v/>
      </c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8"/>
      <c r="W753" s="6"/>
    </row>
    <row r="754">
      <c r="A754" s="6"/>
      <c r="B754" s="7"/>
      <c r="C754" s="7" t="str">
        <f>IFERROR(__xludf.DUMMYFUNCTION("""COMPUTED_VALUE"""),"")</f>
        <v/>
      </c>
      <c r="D754" s="7" t="str">
        <f t="shared" si="1"/>
        <v/>
      </c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8"/>
      <c r="W754" s="6"/>
    </row>
    <row r="755">
      <c r="A755" s="6"/>
      <c r="B755" s="7"/>
      <c r="C755" s="7" t="str">
        <f>IFERROR(__xludf.DUMMYFUNCTION("""COMPUTED_VALUE"""),"")</f>
        <v/>
      </c>
      <c r="D755" s="7" t="str">
        <f t="shared" si="1"/>
        <v/>
      </c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8"/>
      <c r="W755" s="6"/>
    </row>
    <row r="756">
      <c r="A756" s="6"/>
      <c r="B756" s="7"/>
      <c r="C756" s="7" t="str">
        <f>IFERROR(__xludf.DUMMYFUNCTION("""COMPUTED_VALUE"""),"")</f>
        <v/>
      </c>
      <c r="D756" s="7" t="str">
        <f t="shared" si="1"/>
        <v/>
      </c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8"/>
      <c r="W756" s="6"/>
    </row>
    <row r="757">
      <c r="A757" s="6"/>
      <c r="B757" s="7"/>
      <c r="C757" s="7" t="str">
        <f>IFERROR(__xludf.DUMMYFUNCTION("""COMPUTED_VALUE"""),"")</f>
        <v/>
      </c>
      <c r="D757" s="7" t="str">
        <f t="shared" si="1"/>
        <v/>
      </c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8"/>
      <c r="W757" s="6"/>
    </row>
    <row r="758">
      <c r="A758" s="6"/>
      <c r="B758" s="7"/>
      <c r="C758" s="7" t="str">
        <f>IFERROR(__xludf.DUMMYFUNCTION("""COMPUTED_VALUE"""),"")</f>
        <v/>
      </c>
      <c r="D758" s="7" t="str">
        <f t="shared" si="1"/>
        <v/>
      </c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8"/>
      <c r="W758" s="6"/>
    </row>
    <row r="759">
      <c r="A759" s="6"/>
      <c r="B759" s="7"/>
      <c r="C759" s="7" t="str">
        <f>IFERROR(__xludf.DUMMYFUNCTION("""COMPUTED_VALUE"""),"")</f>
        <v/>
      </c>
      <c r="D759" s="7" t="str">
        <f t="shared" si="1"/>
        <v/>
      </c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8"/>
      <c r="W759" s="6"/>
    </row>
    <row r="760">
      <c r="A760" s="6"/>
      <c r="B760" s="7"/>
      <c r="C760" s="7" t="str">
        <f>IFERROR(__xludf.DUMMYFUNCTION("""COMPUTED_VALUE"""),"")</f>
        <v/>
      </c>
      <c r="D760" s="7" t="str">
        <f t="shared" si="1"/>
        <v/>
      </c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8"/>
      <c r="W760" s="6"/>
    </row>
    <row r="761">
      <c r="A761" s="6"/>
      <c r="B761" s="7"/>
      <c r="C761" s="7" t="str">
        <f>IFERROR(__xludf.DUMMYFUNCTION("""COMPUTED_VALUE"""),"")</f>
        <v/>
      </c>
      <c r="D761" s="7" t="str">
        <f t="shared" si="1"/>
        <v/>
      </c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8"/>
      <c r="W761" s="6"/>
    </row>
    <row r="762">
      <c r="A762" s="6"/>
      <c r="B762" s="7"/>
      <c r="C762" s="7" t="str">
        <f>IFERROR(__xludf.DUMMYFUNCTION("""COMPUTED_VALUE"""),"")</f>
        <v/>
      </c>
      <c r="D762" s="7" t="str">
        <f t="shared" si="1"/>
        <v/>
      </c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8"/>
      <c r="W762" s="6"/>
    </row>
    <row r="763">
      <c r="A763" s="6"/>
      <c r="B763" s="7"/>
      <c r="C763" s="7" t="str">
        <f>IFERROR(__xludf.DUMMYFUNCTION("""COMPUTED_VALUE"""),"")</f>
        <v/>
      </c>
      <c r="D763" s="7" t="str">
        <f t="shared" si="1"/>
        <v/>
      </c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8"/>
      <c r="W763" s="6"/>
    </row>
    <row r="764">
      <c r="A764" s="6"/>
      <c r="B764" s="7"/>
      <c r="C764" s="7" t="str">
        <f>IFERROR(__xludf.DUMMYFUNCTION("""COMPUTED_VALUE"""),"")</f>
        <v/>
      </c>
      <c r="D764" s="7" t="str">
        <f t="shared" si="1"/>
        <v/>
      </c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8"/>
      <c r="W764" s="6"/>
    </row>
    <row r="765">
      <c r="A765" s="6"/>
      <c r="B765" s="7"/>
      <c r="C765" s="7" t="str">
        <f>IFERROR(__xludf.DUMMYFUNCTION("""COMPUTED_VALUE"""),"")</f>
        <v/>
      </c>
      <c r="D765" s="7" t="str">
        <f t="shared" si="1"/>
        <v/>
      </c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8"/>
      <c r="W765" s="6"/>
    </row>
    <row r="766">
      <c r="A766" s="6"/>
      <c r="B766" s="7"/>
      <c r="C766" s="7" t="str">
        <f>IFERROR(__xludf.DUMMYFUNCTION("""COMPUTED_VALUE"""),"")</f>
        <v/>
      </c>
      <c r="D766" s="7" t="str">
        <f t="shared" si="1"/>
        <v/>
      </c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8"/>
      <c r="W766" s="6"/>
    </row>
    <row r="767">
      <c r="A767" s="6"/>
      <c r="B767" s="7"/>
      <c r="C767" s="7" t="str">
        <f>IFERROR(__xludf.DUMMYFUNCTION("""COMPUTED_VALUE"""),"")</f>
        <v/>
      </c>
      <c r="D767" s="7" t="str">
        <f t="shared" si="1"/>
        <v/>
      </c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8"/>
      <c r="W767" s="6"/>
    </row>
    <row r="768">
      <c r="A768" s="6"/>
      <c r="B768" s="7"/>
      <c r="C768" s="7" t="str">
        <f>IFERROR(__xludf.DUMMYFUNCTION("""COMPUTED_VALUE"""),"")</f>
        <v/>
      </c>
      <c r="D768" s="7" t="str">
        <f t="shared" si="1"/>
        <v/>
      </c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8"/>
      <c r="W768" s="6"/>
    </row>
    <row r="769">
      <c r="A769" s="6"/>
      <c r="B769" s="7"/>
      <c r="C769" s="7" t="str">
        <f>IFERROR(__xludf.DUMMYFUNCTION("""COMPUTED_VALUE"""),"")</f>
        <v/>
      </c>
      <c r="D769" s="7" t="str">
        <f t="shared" si="1"/>
        <v/>
      </c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8"/>
      <c r="W769" s="6"/>
    </row>
    <row r="770">
      <c r="A770" s="6"/>
      <c r="B770" s="7"/>
      <c r="C770" s="7" t="str">
        <f>IFERROR(__xludf.DUMMYFUNCTION("""COMPUTED_VALUE"""),"")</f>
        <v/>
      </c>
      <c r="D770" s="7" t="str">
        <f t="shared" si="1"/>
        <v/>
      </c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8"/>
      <c r="W770" s="6"/>
    </row>
    <row r="771">
      <c r="A771" s="6"/>
      <c r="B771" s="7"/>
      <c r="C771" s="7" t="str">
        <f>IFERROR(__xludf.DUMMYFUNCTION("""COMPUTED_VALUE"""),"")</f>
        <v/>
      </c>
      <c r="D771" s="7" t="str">
        <f t="shared" si="1"/>
        <v/>
      </c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8"/>
      <c r="W771" s="6"/>
    </row>
    <row r="772">
      <c r="A772" s="6"/>
      <c r="B772" s="7"/>
      <c r="C772" s="7" t="str">
        <f>IFERROR(__xludf.DUMMYFUNCTION("""COMPUTED_VALUE"""),"")</f>
        <v/>
      </c>
      <c r="D772" s="7" t="str">
        <f t="shared" si="1"/>
        <v/>
      </c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8"/>
      <c r="W772" s="6"/>
    </row>
    <row r="773">
      <c r="A773" s="6"/>
      <c r="B773" s="7"/>
      <c r="C773" s="7" t="str">
        <f>IFERROR(__xludf.DUMMYFUNCTION("""COMPUTED_VALUE"""),"")</f>
        <v/>
      </c>
      <c r="D773" s="7" t="str">
        <f t="shared" si="1"/>
        <v/>
      </c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8"/>
      <c r="W773" s="6"/>
    </row>
    <row r="774">
      <c r="A774" s="6"/>
      <c r="B774" s="7"/>
      <c r="C774" s="7" t="str">
        <f>IFERROR(__xludf.DUMMYFUNCTION("""COMPUTED_VALUE"""),"")</f>
        <v/>
      </c>
      <c r="D774" s="7" t="str">
        <f t="shared" si="1"/>
        <v/>
      </c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8"/>
      <c r="W774" s="6"/>
    </row>
    <row r="775">
      <c r="A775" s="6"/>
      <c r="B775" s="7"/>
      <c r="C775" s="7" t="str">
        <f>IFERROR(__xludf.DUMMYFUNCTION("""COMPUTED_VALUE"""),"")</f>
        <v/>
      </c>
      <c r="D775" s="7" t="str">
        <f t="shared" si="1"/>
        <v/>
      </c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8"/>
      <c r="W775" s="6"/>
    </row>
    <row r="776">
      <c r="A776" s="6"/>
      <c r="B776" s="7"/>
      <c r="C776" s="7" t="str">
        <f>IFERROR(__xludf.DUMMYFUNCTION("""COMPUTED_VALUE"""),"")</f>
        <v/>
      </c>
      <c r="D776" s="7" t="str">
        <f t="shared" si="1"/>
        <v/>
      </c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8"/>
      <c r="W776" s="6"/>
    </row>
    <row r="777">
      <c r="A777" s="6"/>
      <c r="B777" s="7"/>
      <c r="C777" s="7" t="str">
        <f>IFERROR(__xludf.DUMMYFUNCTION("""COMPUTED_VALUE"""),"")</f>
        <v/>
      </c>
      <c r="D777" s="7" t="str">
        <f t="shared" si="1"/>
        <v/>
      </c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8"/>
      <c r="W777" s="6"/>
    </row>
    <row r="778">
      <c r="A778" s="6"/>
      <c r="B778" s="7"/>
      <c r="C778" s="7" t="str">
        <f>IFERROR(__xludf.DUMMYFUNCTION("""COMPUTED_VALUE"""),"")</f>
        <v/>
      </c>
      <c r="D778" s="7" t="str">
        <f t="shared" si="1"/>
        <v/>
      </c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8"/>
      <c r="W778" s="6"/>
    </row>
    <row r="779">
      <c r="A779" s="6"/>
      <c r="B779" s="7"/>
      <c r="C779" s="7" t="str">
        <f>IFERROR(__xludf.DUMMYFUNCTION("""COMPUTED_VALUE"""),"")</f>
        <v/>
      </c>
      <c r="D779" s="7" t="str">
        <f t="shared" si="1"/>
        <v/>
      </c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8"/>
      <c r="W779" s="6"/>
    </row>
    <row r="780">
      <c r="A780" s="6"/>
      <c r="B780" s="7"/>
      <c r="C780" s="7" t="str">
        <f>IFERROR(__xludf.DUMMYFUNCTION("""COMPUTED_VALUE"""),"")</f>
        <v/>
      </c>
      <c r="D780" s="7" t="str">
        <f t="shared" si="1"/>
        <v/>
      </c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8"/>
      <c r="W780" s="6"/>
    </row>
    <row r="781">
      <c r="A781" s="6"/>
      <c r="B781" s="7"/>
      <c r="C781" s="7" t="str">
        <f>IFERROR(__xludf.DUMMYFUNCTION("""COMPUTED_VALUE"""),"")</f>
        <v/>
      </c>
      <c r="D781" s="7" t="str">
        <f t="shared" si="1"/>
        <v/>
      </c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8"/>
      <c r="W781" s="6"/>
    </row>
    <row r="782">
      <c r="A782" s="6"/>
      <c r="B782" s="7"/>
      <c r="C782" s="7" t="str">
        <f>IFERROR(__xludf.DUMMYFUNCTION("""COMPUTED_VALUE"""),"")</f>
        <v/>
      </c>
      <c r="D782" s="7" t="str">
        <f t="shared" si="1"/>
        <v/>
      </c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8"/>
      <c r="W782" s="6"/>
    </row>
    <row r="783">
      <c r="A783" s="6"/>
      <c r="B783" s="7"/>
      <c r="C783" s="7" t="str">
        <f>IFERROR(__xludf.DUMMYFUNCTION("""COMPUTED_VALUE"""),"")</f>
        <v/>
      </c>
      <c r="D783" s="7" t="str">
        <f t="shared" si="1"/>
        <v/>
      </c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8"/>
      <c r="W783" s="6"/>
    </row>
    <row r="784">
      <c r="A784" s="6"/>
      <c r="B784" s="7"/>
      <c r="C784" s="7" t="str">
        <f>IFERROR(__xludf.DUMMYFUNCTION("""COMPUTED_VALUE"""),"")</f>
        <v/>
      </c>
      <c r="D784" s="7" t="str">
        <f t="shared" si="1"/>
        <v/>
      </c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8"/>
      <c r="W784" s="6"/>
    </row>
    <row r="785">
      <c r="A785" s="6"/>
      <c r="B785" s="7"/>
      <c r="C785" s="7" t="str">
        <f>IFERROR(__xludf.DUMMYFUNCTION("""COMPUTED_VALUE"""),"")</f>
        <v/>
      </c>
      <c r="D785" s="7" t="str">
        <f t="shared" si="1"/>
        <v/>
      </c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8"/>
      <c r="W785" s="6"/>
    </row>
    <row r="786">
      <c r="A786" s="6"/>
      <c r="B786" s="7"/>
      <c r="C786" s="7" t="str">
        <f>IFERROR(__xludf.DUMMYFUNCTION("""COMPUTED_VALUE"""),"")</f>
        <v/>
      </c>
      <c r="D786" s="7" t="str">
        <f t="shared" si="1"/>
        <v/>
      </c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8"/>
      <c r="W786" s="6"/>
    </row>
    <row r="787">
      <c r="A787" s="6"/>
      <c r="B787" s="7"/>
      <c r="C787" s="7" t="str">
        <f>IFERROR(__xludf.DUMMYFUNCTION("""COMPUTED_VALUE"""),"")</f>
        <v/>
      </c>
      <c r="D787" s="7" t="str">
        <f t="shared" si="1"/>
        <v/>
      </c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8"/>
      <c r="W787" s="6"/>
    </row>
    <row r="788">
      <c r="A788" s="6"/>
      <c r="B788" s="7"/>
      <c r="C788" s="7" t="str">
        <f>IFERROR(__xludf.DUMMYFUNCTION("""COMPUTED_VALUE"""),"")</f>
        <v/>
      </c>
      <c r="D788" s="7" t="str">
        <f t="shared" si="1"/>
        <v/>
      </c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8"/>
      <c r="W788" s="6"/>
    </row>
    <row r="789">
      <c r="A789" s="6"/>
      <c r="B789" s="7"/>
      <c r="C789" s="7" t="str">
        <f>IFERROR(__xludf.DUMMYFUNCTION("""COMPUTED_VALUE"""),"")</f>
        <v/>
      </c>
      <c r="D789" s="7" t="str">
        <f t="shared" si="1"/>
        <v/>
      </c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8"/>
      <c r="W789" s="6"/>
    </row>
    <row r="790">
      <c r="A790" s="6"/>
      <c r="B790" s="7"/>
      <c r="C790" s="7" t="str">
        <f>IFERROR(__xludf.DUMMYFUNCTION("""COMPUTED_VALUE"""),"")</f>
        <v/>
      </c>
      <c r="D790" s="7" t="str">
        <f t="shared" si="1"/>
        <v/>
      </c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8"/>
      <c r="W790" s="6"/>
    </row>
    <row r="791">
      <c r="A791" s="6"/>
      <c r="B791" s="7"/>
      <c r="C791" s="7" t="str">
        <f>IFERROR(__xludf.DUMMYFUNCTION("""COMPUTED_VALUE"""),"")</f>
        <v/>
      </c>
      <c r="D791" s="7" t="str">
        <f t="shared" si="1"/>
        <v/>
      </c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8"/>
      <c r="W791" s="6"/>
    </row>
    <row r="792">
      <c r="A792" s="6"/>
      <c r="B792" s="7"/>
      <c r="C792" s="7" t="str">
        <f>IFERROR(__xludf.DUMMYFUNCTION("""COMPUTED_VALUE"""),"")</f>
        <v/>
      </c>
      <c r="D792" s="7" t="str">
        <f t="shared" si="1"/>
        <v/>
      </c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8"/>
      <c r="W792" s="6"/>
    </row>
    <row r="793">
      <c r="A793" s="6"/>
      <c r="B793" s="7"/>
      <c r="C793" s="7" t="str">
        <f>IFERROR(__xludf.DUMMYFUNCTION("""COMPUTED_VALUE"""),"")</f>
        <v/>
      </c>
      <c r="D793" s="7" t="str">
        <f t="shared" si="1"/>
        <v/>
      </c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8"/>
      <c r="W793" s="6"/>
    </row>
    <row r="794">
      <c r="A794" s="6"/>
      <c r="B794" s="7"/>
      <c r="C794" s="7" t="str">
        <f>IFERROR(__xludf.DUMMYFUNCTION("""COMPUTED_VALUE"""),"")</f>
        <v/>
      </c>
      <c r="D794" s="7" t="str">
        <f t="shared" si="1"/>
        <v/>
      </c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8"/>
      <c r="W794" s="6"/>
    </row>
    <row r="795">
      <c r="A795" s="6"/>
      <c r="B795" s="7"/>
      <c r="C795" s="7" t="str">
        <f>IFERROR(__xludf.DUMMYFUNCTION("""COMPUTED_VALUE"""),"")</f>
        <v/>
      </c>
      <c r="D795" s="7" t="str">
        <f t="shared" si="1"/>
        <v/>
      </c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8"/>
      <c r="W795" s="6"/>
    </row>
    <row r="796">
      <c r="A796" s="6"/>
      <c r="B796" s="7"/>
      <c r="C796" s="7" t="str">
        <f>IFERROR(__xludf.DUMMYFUNCTION("""COMPUTED_VALUE"""),"")</f>
        <v/>
      </c>
      <c r="D796" s="7" t="str">
        <f t="shared" si="1"/>
        <v/>
      </c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8"/>
      <c r="W796" s="6"/>
    </row>
    <row r="797">
      <c r="A797" s="6"/>
      <c r="B797" s="7"/>
      <c r="C797" s="7" t="str">
        <f>IFERROR(__xludf.DUMMYFUNCTION("""COMPUTED_VALUE"""),"")</f>
        <v/>
      </c>
      <c r="D797" s="7" t="str">
        <f t="shared" si="1"/>
        <v/>
      </c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8"/>
      <c r="W797" s="6"/>
    </row>
    <row r="798">
      <c r="A798" s="6"/>
      <c r="B798" s="7"/>
      <c r="C798" s="7" t="str">
        <f>IFERROR(__xludf.DUMMYFUNCTION("""COMPUTED_VALUE"""),"")</f>
        <v/>
      </c>
      <c r="D798" s="7" t="str">
        <f t="shared" si="1"/>
        <v/>
      </c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8"/>
      <c r="W798" s="6"/>
    </row>
    <row r="799">
      <c r="A799" s="6"/>
      <c r="B799" s="7"/>
      <c r="C799" s="7" t="str">
        <f>IFERROR(__xludf.DUMMYFUNCTION("""COMPUTED_VALUE"""),"")</f>
        <v/>
      </c>
      <c r="D799" s="7" t="str">
        <f t="shared" si="1"/>
        <v/>
      </c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8"/>
      <c r="W799" s="6"/>
    </row>
    <row r="800">
      <c r="A800" s="6"/>
      <c r="B800" s="7"/>
      <c r="C800" s="7" t="str">
        <f>IFERROR(__xludf.DUMMYFUNCTION("""COMPUTED_VALUE"""),"")</f>
        <v/>
      </c>
      <c r="D800" s="7" t="str">
        <f t="shared" si="1"/>
        <v/>
      </c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8"/>
      <c r="W800" s="6"/>
    </row>
    <row r="801">
      <c r="A801" s="6"/>
      <c r="B801" s="7"/>
      <c r="C801" s="7" t="str">
        <f>IFERROR(__xludf.DUMMYFUNCTION("""COMPUTED_VALUE"""),"")</f>
        <v/>
      </c>
      <c r="D801" s="7" t="str">
        <f t="shared" si="1"/>
        <v/>
      </c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8"/>
      <c r="W801" s="6"/>
    </row>
    <row r="802">
      <c r="A802" s="6"/>
      <c r="B802" s="7"/>
      <c r="C802" s="7" t="str">
        <f>IFERROR(__xludf.DUMMYFUNCTION("""COMPUTED_VALUE"""),"")</f>
        <v/>
      </c>
      <c r="D802" s="7" t="str">
        <f t="shared" si="1"/>
        <v/>
      </c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8"/>
      <c r="W802" s="6"/>
    </row>
    <row r="803">
      <c r="A803" s="6"/>
      <c r="B803" s="7"/>
      <c r="C803" s="7" t="str">
        <f>IFERROR(__xludf.DUMMYFUNCTION("""COMPUTED_VALUE"""),"")</f>
        <v/>
      </c>
      <c r="D803" s="7" t="str">
        <f t="shared" si="1"/>
        <v/>
      </c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8"/>
      <c r="W803" s="6"/>
    </row>
    <row r="804">
      <c r="A804" s="6"/>
      <c r="B804" s="7"/>
      <c r="C804" s="7" t="str">
        <f>IFERROR(__xludf.DUMMYFUNCTION("""COMPUTED_VALUE"""),"")</f>
        <v/>
      </c>
      <c r="D804" s="7" t="str">
        <f t="shared" si="1"/>
        <v/>
      </c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8"/>
      <c r="W804" s="6"/>
    </row>
    <row r="805">
      <c r="A805" s="6"/>
      <c r="B805" s="7"/>
      <c r="C805" s="7" t="str">
        <f>IFERROR(__xludf.DUMMYFUNCTION("""COMPUTED_VALUE"""),"")</f>
        <v/>
      </c>
      <c r="D805" s="7" t="str">
        <f t="shared" si="1"/>
        <v/>
      </c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8"/>
      <c r="W805" s="6"/>
    </row>
    <row r="806">
      <c r="A806" s="6"/>
      <c r="B806" s="7"/>
      <c r="C806" s="7" t="str">
        <f>IFERROR(__xludf.DUMMYFUNCTION("""COMPUTED_VALUE"""),"")</f>
        <v/>
      </c>
      <c r="D806" s="7" t="str">
        <f t="shared" si="1"/>
        <v/>
      </c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8"/>
      <c r="W806" s="6"/>
    </row>
    <row r="807">
      <c r="A807" s="6"/>
      <c r="B807" s="7"/>
      <c r="C807" s="7" t="str">
        <f>IFERROR(__xludf.DUMMYFUNCTION("""COMPUTED_VALUE"""),"")</f>
        <v/>
      </c>
      <c r="D807" s="7" t="str">
        <f t="shared" si="1"/>
        <v/>
      </c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8"/>
      <c r="W807" s="6"/>
    </row>
    <row r="808">
      <c r="A808" s="6"/>
      <c r="B808" s="7"/>
      <c r="C808" s="7" t="str">
        <f>IFERROR(__xludf.DUMMYFUNCTION("""COMPUTED_VALUE"""),"")</f>
        <v/>
      </c>
      <c r="D808" s="7" t="str">
        <f t="shared" si="1"/>
        <v/>
      </c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8"/>
      <c r="W808" s="6"/>
    </row>
    <row r="809">
      <c r="A809" s="6"/>
      <c r="B809" s="7"/>
      <c r="C809" s="7" t="str">
        <f>IFERROR(__xludf.DUMMYFUNCTION("""COMPUTED_VALUE"""),"")</f>
        <v/>
      </c>
      <c r="D809" s="7" t="str">
        <f t="shared" si="1"/>
        <v/>
      </c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8"/>
      <c r="W809" s="6"/>
    </row>
    <row r="810">
      <c r="A810" s="6"/>
      <c r="B810" s="7"/>
      <c r="C810" s="7" t="str">
        <f>IFERROR(__xludf.DUMMYFUNCTION("""COMPUTED_VALUE"""),"")</f>
        <v/>
      </c>
      <c r="D810" s="7" t="str">
        <f t="shared" si="1"/>
        <v/>
      </c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8"/>
      <c r="W810" s="6"/>
    </row>
    <row r="811">
      <c r="A811" s="6"/>
      <c r="B811" s="7"/>
      <c r="C811" s="7" t="str">
        <f>IFERROR(__xludf.DUMMYFUNCTION("""COMPUTED_VALUE"""),"")</f>
        <v/>
      </c>
      <c r="D811" s="7" t="str">
        <f t="shared" si="1"/>
        <v/>
      </c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8"/>
      <c r="W811" s="6"/>
    </row>
    <row r="812">
      <c r="A812" s="6"/>
      <c r="B812" s="7"/>
      <c r="C812" s="7" t="str">
        <f>IFERROR(__xludf.DUMMYFUNCTION("""COMPUTED_VALUE"""),"")</f>
        <v/>
      </c>
      <c r="D812" s="7" t="str">
        <f t="shared" si="1"/>
        <v/>
      </c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8"/>
      <c r="W812" s="6"/>
    </row>
    <row r="813">
      <c r="A813" s="6"/>
      <c r="B813" s="7"/>
      <c r="C813" s="7" t="str">
        <f>IFERROR(__xludf.DUMMYFUNCTION("""COMPUTED_VALUE"""),"")</f>
        <v/>
      </c>
      <c r="D813" s="7" t="str">
        <f t="shared" si="1"/>
        <v/>
      </c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8"/>
      <c r="W813" s="6"/>
    </row>
    <row r="814">
      <c r="A814" s="6"/>
      <c r="B814" s="7"/>
      <c r="C814" s="7" t="str">
        <f>IFERROR(__xludf.DUMMYFUNCTION("""COMPUTED_VALUE"""),"")</f>
        <v/>
      </c>
      <c r="D814" s="7" t="str">
        <f t="shared" si="1"/>
        <v/>
      </c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8"/>
      <c r="W814" s="6"/>
    </row>
    <row r="815">
      <c r="A815" s="6"/>
      <c r="B815" s="7"/>
      <c r="C815" s="7" t="str">
        <f>IFERROR(__xludf.DUMMYFUNCTION("""COMPUTED_VALUE"""),"")</f>
        <v/>
      </c>
      <c r="D815" s="7" t="str">
        <f t="shared" si="1"/>
        <v/>
      </c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8"/>
      <c r="W815" s="6"/>
    </row>
    <row r="816">
      <c r="A816" s="6"/>
      <c r="B816" s="7"/>
      <c r="C816" s="7" t="str">
        <f>IFERROR(__xludf.DUMMYFUNCTION("""COMPUTED_VALUE"""),"")</f>
        <v/>
      </c>
      <c r="D816" s="7" t="str">
        <f t="shared" si="1"/>
        <v/>
      </c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8"/>
      <c r="W816" s="6"/>
    </row>
    <row r="817">
      <c r="A817" s="6"/>
      <c r="B817" s="7"/>
      <c r="C817" s="7" t="str">
        <f>IFERROR(__xludf.DUMMYFUNCTION("""COMPUTED_VALUE"""),"")</f>
        <v/>
      </c>
      <c r="D817" s="7" t="str">
        <f t="shared" si="1"/>
        <v/>
      </c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8"/>
      <c r="W817" s="6"/>
    </row>
    <row r="818">
      <c r="A818" s="6"/>
      <c r="B818" s="7"/>
      <c r="C818" s="7" t="str">
        <f>IFERROR(__xludf.DUMMYFUNCTION("""COMPUTED_VALUE"""),"")</f>
        <v/>
      </c>
      <c r="D818" s="7" t="str">
        <f t="shared" si="1"/>
        <v/>
      </c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8"/>
      <c r="W818" s="6"/>
    </row>
    <row r="819">
      <c r="A819" s="6"/>
      <c r="B819" s="7"/>
      <c r="C819" s="7" t="str">
        <f>IFERROR(__xludf.DUMMYFUNCTION("""COMPUTED_VALUE"""),"")</f>
        <v/>
      </c>
      <c r="D819" s="7" t="str">
        <f t="shared" si="1"/>
        <v/>
      </c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8"/>
      <c r="W819" s="6"/>
    </row>
    <row r="820">
      <c r="A820" s="6"/>
      <c r="B820" s="7"/>
      <c r="C820" s="7" t="str">
        <f>IFERROR(__xludf.DUMMYFUNCTION("""COMPUTED_VALUE"""),"")</f>
        <v/>
      </c>
      <c r="D820" s="7" t="str">
        <f t="shared" si="1"/>
        <v/>
      </c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8"/>
      <c r="W820" s="6"/>
    </row>
    <row r="821">
      <c r="A821" s="6"/>
      <c r="B821" s="7"/>
      <c r="C821" s="7" t="str">
        <f>IFERROR(__xludf.DUMMYFUNCTION("""COMPUTED_VALUE"""),"")</f>
        <v/>
      </c>
      <c r="D821" s="7" t="str">
        <f t="shared" si="1"/>
        <v/>
      </c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8"/>
      <c r="W821" s="6"/>
    </row>
    <row r="822">
      <c r="A822" s="6"/>
      <c r="B822" s="7"/>
      <c r="C822" s="7" t="str">
        <f>IFERROR(__xludf.DUMMYFUNCTION("""COMPUTED_VALUE"""),"")</f>
        <v/>
      </c>
      <c r="D822" s="7" t="str">
        <f t="shared" si="1"/>
        <v/>
      </c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8"/>
      <c r="W822" s="6"/>
    </row>
    <row r="823">
      <c r="A823" s="6"/>
      <c r="B823" s="7"/>
      <c r="C823" s="7" t="str">
        <f>IFERROR(__xludf.DUMMYFUNCTION("""COMPUTED_VALUE"""),"")</f>
        <v/>
      </c>
      <c r="D823" s="7" t="str">
        <f t="shared" si="1"/>
        <v/>
      </c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8"/>
      <c r="W823" s="6"/>
    </row>
    <row r="824">
      <c r="A824" s="6"/>
      <c r="B824" s="7"/>
      <c r="C824" s="7" t="str">
        <f>IFERROR(__xludf.DUMMYFUNCTION("""COMPUTED_VALUE"""),"")</f>
        <v/>
      </c>
      <c r="D824" s="7" t="str">
        <f t="shared" si="1"/>
        <v/>
      </c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8"/>
      <c r="W824" s="6"/>
    </row>
    <row r="825">
      <c r="A825" s="6"/>
      <c r="B825" s="7"/>
      <c r="C825" s="7" t="str">
        <f>IFERROR(__xludf.DUMMYFUNCTION("""COMPUTED_VALUE"""),"")</f>
        <v/>
      </c>
      <c r="D825" s="7" t="str">
        <f t="shared" si="1"/>
        <v/>
      </c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8"/>
      <c r="W825" s="6"/>
    </row>
    <row r="826">
      <c r="A826" s="6"/>
      <c r="B826" s="7"/>
      <c r="C826" s="7" t="str">
        <f>IFERROR(__xludf.DUMMYFUNCTION("""COMPUTED_VALUE"""),"")</f>
        <v/>
      </c>
      <c r="D826" s="7" t="str">
        <f t="shared" si="1"/>
        <v/>
      </c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8"/>
      <c r="W826" s="6"/>
    </row>
    <row r="827">
      <c r="A827" s="6"/>
      <c r="B827" s="7"/>
      <c r="C827" s="7" t="str">
        <f>IFERROR(__xludf.DUMMYFUNCTION("""COMPUTED_VALUE"""),"")</f>
        <v/>
      </c>
      <c r="D827" s="7" t="str">
        <f t="shared" si="1"/>
        <v/>
      </c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8"/>
      <c r="W827" s="6"/>
    </row>
    <row r="828">
      <c r="A828" s="6"/>
      <c r="B828" s="7"/>
      <c r="C828" s="7" t="str">
        <f>IFERROR(__xludf.DUMMYFUNCTION("""COMPUTED_VALUE"""),"")</f>
        <v/>
      </c>
      <c r="D828" s="7" t="str">
        <f t="shared" si="1"/>
        <v/>
      </c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8"/>
      <c r="W828" s="6"/>
    </row>
    <row r="829">
      <c r="A829" s="6"/>
      <c r="B829" s="7"/>
      <c r="C829" s="7" t="str">
        <f>IFERROR(__xludf.DUMMYFUNCTION("""COMPUTED_VALUE"""),"")</f>
        <v/>
      </c>
      <c r="D829" s="7" t="str">
        <f t="shared" si="1"/>
        <v/>
      </c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8"/>
      <c r="W829" s="6"/>
    </row>
    <row r="830">
      <c r="A830" s="6"/>
      <c r="B830" s="7"/>
      <c r="C830" s="7" t="str">
        <f>IFERROR(__xludf.DUMMYFUNCTION("""COMPUTED_VALUE"""),"")</f>
        <v/>
      </c>
      <c r="D830" s="7" t="str">
        <f t="shared" si="1"/>
        <v/>
      </c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8"/>
      <c r="W830" s="6"/>
    </row>
    <row r="831">
      <c r="A831" s="6"/>
      <c r="B831" s="7"/>
      <c r="C831" s="7" t="str">
        <f>IFERROR(__xludf.DUMMYFUNCTION("""COMPUTED_VALUE"""),"")</f>
        <v/>
      </c>
      <c r="D831" s="7" t="str">
        <f t="shared" si="1"/>
        <v/>
      </c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8"/>
      <c r="W831" s="6"/>
    </row>
    <row r="832">
      <c r="A832" s="6"/>
      <c r="B832" s="7"/>
      <c r="C832" s="7" t="str">
        <f>IFERROR(__xludf.DUMMYFUNCTION("""COMPUTED_VALUE"""),"")</f>
        <v/>
      </c>
      <c r="D832" s="7" t="str">
        <f t="shared" si="1"/>
        <v/>
      </c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8"/>
      <c r="W832" s="6"/>
    </row>
    <row r="833">
      <c r="A833" s="6"/>
      <c r="B833" s="7"/>
      <c r="C833" s="7" t="str">
        <f>IFERROR(__xludf.DUMMYFUNCTION("""COMPUTED_VALUE"""),"")</f>
        <v/>
      </c>
      <c r="D833" s="7" t="str">
        <f t="shared" si="1"/>
        <v/>
      </c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8"/>
      <c r="W833" s="6"/>
    </row>
    <row r="834">
      <c r="A834" s="6"/>
      <c r="B834" s="7"/>
      <c r="C834" s="7" t="str">
        <f>IFERROR(__xludf.DUMMYFUNCTION("""COMPUTED_VALUE"""),"")</f>
        <v/>
      </c>
      <c r="D834" s="7" t="str">
        <f t="shared" si="1"/>
        <v/>
      </c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8"/>
      <c r="W834" s="6"/>
    </row>
    <row r="835">
      <c r="A835" s="6"/>
      <c r="B835" s="7"/>
      <c r="C835" s="7" t="str">
        <f>IFERROR(__xludf.DUMMYFUNCTION("""COMPUTED_VALUE"""),"")</f>
        <v/>
      </c>
      <c r="D835" s="7" t="str">
        <f t="shared" si="1"/>
        <v/>
      </c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8"/>
      <c r="W835" s="6"/>
    </row>
    <row r="836">
      <c r="A836" s="6"/>
      <c r="B836" s="7"/>
      <c r="C836" s="7" t="str">
        <f>IFERROR(__xludf.DUMMYFUNCTION("""COMPUTED_VALUE"""),"")</f>
        <v/>
      </c>
      <c r="D836" s="7" t="str">
        <f t="shared" si="1"/>
        <v/>
      </c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8"/>
      <c r="W836" s="6"/>
    </row>
    <row r="837">
      <c r="A837" s="6"/>
      <c r="B837" s="7"/>
      <c r="C837" s="7" t="str">
        <f>IFERROR(__xludf.DUMMYFUNCTION("""COMPUTED_VALUE"""),"")</f>
        <v/>
      </c>
      <c r="D837" s="7" t="str">
        <f t="shared" si="1"/>
        <v/>
      </c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8"/>
      <c r="W837" s="6"/>
    </row>
    <row r="838">
      <c r="A838" s="6"/>
      <c r="B838" s="7"/>
      <c r="C838" s="7" t="str">
        <f>IFERROR(__xludf.DUMMYFUNCTION("""COMPUTED_VALUE"""),"")</f>
        <v/>
      </c>
      <c r="D838" s="7" t="str">
        <f t="shared" si="1"/>
        <v/>
      </c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8"/>
      <c r="W838" s="6"/>
    </row>
    <row r="839">
      <c r="A839" s="6"/>
      <c r="B839" s="7"/>
      <c r="C839" s="7" t="str">
        <f>IFERROR(__xludf.DUMMYFUNCTION("""COMPUTED_VALUE"""),"")</f>
        <v/>
      </c>
      <c r="D839" s="7" t="str">
        <f t="shared" si="1"/>
        <v/>
      </c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8"/>
      <c r="W839" s="6"/>
    </row>
    <row r="840">
      <c r="A840" s="6"/>
      <c r="B840" s="7"/>
      <c r="C840" s="7" t="str">
        <f>IFERROR(__xludf.DUMMYFUNCTION("""COMPUTED_VALUE"""),"")</f>
        <v/>
      </c>
      <c r="D840" s="7" t="str">
        <f t="shared" si="1"/>
        <v/>
      </c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8"/>
      <c r="W840" s="6"/>
    </row>
    <row r="841">
      <c r="A841" s="6"/>
      <c r="B841" s="7"/>
      <c r="C841" s="7" t="str">
        <f>IFERROR(__xludf.DUMMYFUNCTION("""COMPUTED_VALUE"""),"")</f>
        <v/>
      </c>
      <c r="D841" s="7" t="str">
        <f t="shared" si="1"/>
        <v/>
      </c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8"/>
      <c r="W841" s="6"/>
    </row>
    <row r="842">
      <c r="A842" s="6"/>
      <c r="B842" s="7"/>
      <c r="C842" s="7" t="str">
        <f>IFERROR(__xludf.DUMMYFUNCTION("""COMPUTED_VALUE"""),"")</f>
        <v/>
      </c>
      <c r="D842" s="7" t="str">
        <f t="shared" si="1"/>
        <v/>
      </c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8"/>
      <c r="W842" s="6"/>
    </row>
    <row r="843">
      <c r="A843" s="6"/>
      <c r="B843" s="7"/>
      <c r="C843" s="7" t="str">
        <f>IFERROR(__xludf.DUMMYFUNCTION("""COMPUTED_VALUE"""),"")</f>
        <v/>
      </c>
      <c r="D843" s="7" t="str">
        <f t="shared" si="1"/>
        <v/>
      </c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8"/>
      <c r="W843" s="6"/>
    </row>
    <row r="844">
      <c r="A844" s="6"/>
      <c r="B844" s="7"/>
      <c r="C844" s="7" t="str">
        <f>IFERROR(__xludf.DUMMYFUNCTION("""COMPUTED_VALUE"""),"")</f>
        <v/>
      </c>
      <c r="D844" s="7" t="str">
        <f t="shared" si="1"/>
        <v/>
      </c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8"/>
      <c r="W844" s="6"/>
    </row>
    <row r="845">
      <c r="A845" s="6"/>
      <c r="B845" s="7"/>
      <c r="C845" s="7" t="str">
        <f>IFERROR(__xludf.DUMMYFUNCTION("""COMPUTED_VALUE"""),"")</f>
        <v/>
      </c>
      <c r="D845" s="7" t="str">
        <f t="shared" si="1"/>
        <v/>
      </c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8"/>
      <c r="W845" s="6"/>
    </row>
    <row r="846">
      <c r="A846" s="6"/>
      <c r="B846" s="7"/>
      <c r="C846" s="7" t="str">
        <f>IFERROR(__xludf.DUMMYFUNCTION("""COMPUTED_VALUE"""),"")</f>
        <v/>
      </c>
      <c r="D846" s="7" t="str">
        <f t="shared" si="1"/>
        <v/>
      </c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8"/>
      <c r="W846" s="6"/>
    </row>
    <row r="847">
      <c r="A847" s="6"/>
      <c r="B847" s="7"/>
      <c r="C847" s="7" t="str">
        <f>IFERROR(__xludf.DUMMYFUNCTION("""COMPUTED_VALUE"""),"")</f>
        <v/>
      </c>
      <c r="D847" s="7" t="str">
        <f t="shared" si="1"/>
        <v/>
      </c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8"/>
      <c r="W847" s="6"/>
    </row>
    <row r="848">
      <c r="A848" s="6"/>
      <c r="B848" s="7"/>
      <c r="C848" s="7" t="str">
        <f>IFERROR(__xludf.DUMMYFUNCTION("""COMPUTED_VALUE"""),"")</f>
        <v/>
      </c>
      <c r="D848" s="7" t="str">
        <f t="shared" si="1"/>
        <v/>
      </c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8"/>
      <c r="W848" s="6"/>
    </row>
    <row r="849">
      <c r="A849" s="6"/>
      <c r="B849" s="7"/>
      <c r="C849" s="7" t="str">
        <f>IFERROR(__xludf.DUMMYFUNCTION("""COMPUTED_VALUE"""),"")</f>
        <v/>
      </c>
      <c r="D849" s="7" t="str">
        <f t="shared" si="1"/>
        <v/>
      </c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8"/>
      <c r="W849" s="6"/>
    </row>
    <row r="850">
      <c r="A850" s="6"/>
      <c r="B850" s="7"/>
      <c r="C850" s="7" t="str">
        <f>IFERROR(__xludf.DUMMYFUNCTION("""COMPUTED_VALUE"""),"")</f>
        <v/>
      </c>
      <c r="D850" s="7" t="str">
        <f t="shared" si="1"/>
        <v/>
      </c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8"/>
      <c r="W850" s="6"/>
    </row>
    <row r="851">
      <c r="A851" s="6"/>
      <c r="B851" s="7"/>
      <c r="C851" s="7" t="str">
        <f>IFERROR(__xludf.DUMMYFUNCTION("""COMPUTED_VALUE"""),"")</f>
        <v/>
      </c>
      <c r="D851" s="7" t="str">
        <f t="shared" si="1"/>
        <v/>
      </c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8"/>
      <c r="W851" s="6"/>
    </row>
    <row r="852">
      <c r="A852" s="6"/>
      <c r="B852" s="7"/>
      <c r="C852" s="7" t="str">
        <f>IFERROR(__xludf.DUMMYFUNCTION("""COMPUTED_VALUE"""),"")</f>
        <v/>
      </c>
      <c r="D852" s="7" t="str">
        <f t="shared" si="1"/>
        <v/>
      </c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8"/>
      <c r="W852" s="6"/>
    </row>
    <row r="853">
      <c r="A853" s="6"/>
      <c r="B853" s="7"/>
      <c r="C853" s="7" t="str">
        <f>IFERROR(__xludf.DUMMYFUNCTION("""COMPUTED_VALUE"""),"")</f>
        <v/>
      </c>
      <c r="D853" s="7" t="str">
        <f t="shared" si="1"/>
        <v/>
      </c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8"/>
      <c r="W853" s="6"/>
    </row>
    <row r="854">
      <c r="A854" s="6"/>
      <c r="B854" s="7"/>
      <c r="C854" s="7" t="str">
        <f>IFERROR(__xludf.DUMMYFUNCTION("""COMPUTED_VALUE"""),"")</f>
        <v/>
      </c>
      <c r="D854" s="7" t="str">
        <f t="shared" si="1"/>
        <v/>
      </c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8"/>
      <c r="W854" s="6"/>
    </row>
    <row r="855">
      <c r="A855" s="6"/>
      <c r="B855" s="7"/>
      <c r="C855" s="7" t="str">
        <f>IFERROR(__xludf.DUMMYFUNCTION("""COMPUTED_VALUE"""),"")</f>
        <v/>
      </c>
      <c r="D855" s="7" t="str">
        <f t="shared" si="1"/>
        <v/>
      </c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8"/>
      <c r="W855" s="6"/>
    </row>
    <row r="856">
      <c r="A856" s="6"/>
      <c r="B856" s="7"/>
      <c r="C856" s="7" t="str">
        <f>IFERROR(__xludf.DUMMYFUNCTION("""COMPUTED_VALUE"""),"")</f>
        <v/>
      </c>
      <c r="D856" s="7" t="str">
        <f t="shared" si="1"/>
        <v/>
      </c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8"/>
      <c r="W856" s="6"/>
    </row>
    <row r="857">
      <c r="A857" s="6"/>
      <c r="B857" s="7"/>
      <c r="C857" s="7" t="str">
        <f>IFERROR(__xludf.DUMMYFUNCTION("""COMPUTED_VALUE"""),"")</f>
        <v/>
      </c>
      <c r="D857" s="7" t="str">
        <f t="shared" si="1"/>
        <v/>
      </c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8"/>
      <c r="W857" s="6"/>
    </row>
    <row r="858">
      <c r="A858" s="6"/>
      <c r="B858" s="7"/>
      <c r="C858" s="7" t="str">
        <f>IFERROR(__xludf.DUMMYFUNCTION("""COMPUTED_VALUE"""),"")</f>
        <v/>
      </c>
      <c r="D858" s="7" t="str">
        <f t="shared" si="1"/>
        <v/>
      </c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8"/>
      <c r="W858" s="6"/>
    </row>
    <row r="859">
      <c r="A859" s="6"/>
      <c r="B859" s="7"/>
      <c r="C859" s="7" t="str">
        <f>IFERROR(__xludf.DUMMYFUNCTION("""COMPUTED_VALUE"""),"")</f>
        <v/>
      </c>
      <c r="D859" s="7" t="str">
        <f t="shared" si="1"/>
        <v/>
      </c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8"/>
      <c r="W859" s="6"/>
    </row>
    <row r="860">
      <c r="A860" s="6"/>
      <c r="B860" s="7"/>
      <c r="C860" s="7" t="str">
        <f>IFERROR(__xludf.DUMMYFUNCTION("""COMPUTED_VALUE"""),"")</f>
        <v/>
      </c>
      <c r="D860" s="7" t="str">
        <f t="shared" si="1"/>
        <v/>
      </c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8"/>
      <c r="W860" s="6"/>
    </row>
    <row r="861">
      <c r="A861" s="6"/>
      <c r="B861" s="7"/>
      <c r="C861" s="7" t="str">
        <f>IFERROR(__xludf.DUMMYFUNCTION("""COMPUTED_VALUE"""),"")</f>
        <v/>
      </c>
      <c r="D861" s="7" t="str">
        <f t="shared" si="1"/>
        <v/>
      </c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8"/>
      <c r="W861" s="6"/>
    </row>
    <row r="862">
      <c r="A862" s="6"/>
      <c r="B862" s="7"/>
      <c r="C862" s="7" t="str">
        <f>IFERROR(__xludf.DUMMYFUNCTION("""COMPUTED_VALUE"""),"")</f>
        <v/>
      </c>
      <c r="D862" s="7" t="str">
        <f t="shared" si="1"/>
        <v/>
      </c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8"/>
      <c r="W862" s="6"/>
    </row>
    <row r="863">
      <c r="A863" s="6"/>
      <c r="B863" s="7"/>
      <c r="C863" s="7" t="str">
        <f>IFERROR(__xludf.DUMMYFUNCTION("""COMPUTED_VALUE"""),"")</f>
        <v/>
      </c>
      <c r="D863" s="7" t="str">
        <f t="shared" si="1"/>
        <v/>
      </c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8"/>
      <c r="W863" s="6"/>
    </row>
    <row r="864">
      <c r="A864" s="6"/>
      <c r="B864" s="7"/>
      <c r="C864" s="7" t="str">
        <f>IFERROR(__xludf.DUMMYFUNCTION("""COMPUTED_VALUE"""),"")</f>
        <v/>
      </c>
      <c r="D864" s="7" t="str">
        <f t="shared" si="1"/>
        <v/>
      </c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8"/>
      <c r="W864" s="6"/>
    </row>
    <row r="865">
      <c r="A865" s="6"/>
      <c r="B865" s="7"/>
      <c r="C865" s="7" t="str">
        <f>IFERROR(__xludf.DUMMYFUNCTION("""COMPUTED_VALUE"""),"")</f>
        <v/>
      </c>
      <c r="D865" s="7" t="str">
        <f t="shared" si="1"/>
        <v/>
      </c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8"/>
      <c r="W865" s="6"/>
    </row>
    <row r="866">
      <c r="A866" s="6"/>
      <c r="B866" s="7"/>
      <c r="C866" s="7" t="str">
        <f>IFERROR(__xludf.DUMMYFUNCTION("""COMPUTED_VALUE"""),"")</f>
        <v/>
      </c>
      <c r="D866" s="7" t="str">
        <f t="shared" si="1"/>
        <v/>
      </c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8"/>
      <c r="W866" s="6"/>
    </row>
    <row r="867">
      <c r="A867" s="6"/>
      <c r="B867" s="7"/>
      <c r="C867" s="7" t="str">
        <f>IFERROR(__xludf.DUMMYFUNCTION("""COMPUTED_VALUE"""),"")</f>
        <v/>
      </c>
      <c r="D867" s="7" t="str">
        <f t="shared" si="1"/>
        <v/>
      </c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8"/>
      <c r="W867" s="6"/>
    </row>
    <row r="868">
      <c r="A868" s="6"/>
      <c r="B868" s="7"/>
      <c r="C868" s="7" t="str">
        <f>IFERROR(__xludf.DUMMYFUNCTION("""COMPUTED_VALUE"""),"")</f>
        <v/>
      </c>
      <c r="D868" s="7" t="str">
        <f t="shared" si="1"/>
        <v/>
      </c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8"/>
      <c r="W868" s="6"/>
    </row>
    <row r="869">
      <c r="A869" s="6"/>
      <c r="B869" s="7"/>
      <c r="C869" s="7" t="str">
        <f>IFERROR(__xludf.DUMMYFUNCTION("""COMPUTED_VALUE"""),"")</f>
        <v/>
      </c>
      <c r="D869" s="7" t="str">
        <f t="shared" si="1"/>
        <v/>
      </c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8"/>
      <c r="W869" s="6"/>
    </row>
    <row r="870">
      <c r="A870" s="6"/>
      <c r="B870" s="7"/>
      <c r="C870" s="7" t="str">
        <f>IFERROR(__xludf.DUMMYFUNCTION("""COMPUTED_VALUE"""),"")</f>
        <v/>
      </c>
      <c r="D870" s="7" t="str">
        <f t="shared" si="1"/>
        <v/>
      </c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8"/>
      <c r="W870" s="6"/>
    </row>
    <row r="871">
      <c r="A871" s="6"/>
      <c r="B871" s="7"/>
      <c r="C871" s="7" t="str">
        <f>IFERROR(__xludf.DUMMYFUNCTION("""COMPUTED_VALUE"""),"")</f>
        <v/>
      </c>
      <c r="D871" s="7" t="str">
        <f t="shared" si="1"/>
        <v/>
      </c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8"/>
      <c r="W871" s="6"/>
    </row>
    <row r="872">
      <c r="A872" s="6"/>
      <c r="B872" s="7"/>
      <c r="C872" s="7" t="str">
        <f>IFERROR(__xludf.DUMMYFUNCTION("""COMPUTED_VALUE"""),"")</f>
        <v/>
      </c>
      <c r="D872" s="7" t="str">
        <f t="shared" si="1"/>
        <v/>
      </c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8"/>
      <c r="W872" s="6"/>
    </row>
    <row r="873">
      <c r="A873" s="6"/>
      <c r="B873" s="7"/>
      <c r="C873" s="7" t="str">
        <f>IFERROR(__xludf.DUMMYFUNCTION("""COMPUTED_VALUE"""),"")</f>
        <v/>
      </c>
      <c r="D873" s="7" t="str">
        <f t="shared" si="1"/>
        <v/>
      </c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8"/>
      <c r="W873" s="6"/>
    </row>
    <row r="874">
      <c r="A874" s="6"/>
      <c r="B874" s="7"/>
      <c r="C874" s="7" t="str">
        <f>IFERROR(__xludf.DUMMYFUNCTION("""COMPUTED_VALUE"""),"")</f>
        <v/>
      </c>
      <c r="D874" s="7" t="str">
        <f t="shared" si="1"/>
        <v/>
      </c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8"/>
      <c r="W874" s="6"/>
    </row>
    <row r="875">
      <c r="A875" s="6"/>
      <c r="B875" s="7"/>
      <c r="C875" s="7" t="str">
        <f>IFERROR(__xludf.DUMMYFUNCTION("""COMPUTED_VALUE"""),"")</f>
        <v/>
      </c>
      <c r="D875" s="7" t="str">
        <f t="shared" si="1"/>
        <v/>
      </c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8"/>
      <c r="W875" s="6"/>
    </row>
    <row r="876">
      <c r="A876" s="6"/>
      <c r="B876" s="7"/>
      <c r="C876" s="7" t="str">
        <f>IFERROR(__xludf.DUMMYFUNCTION("""COMPUTED_VALUE"""),"")</f>
        <v/>
      </c>
      <c r="D876" s="7" t="str">
        <f t="shared" si="1"/>
        <v/>
      </c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8"/>
      <c r="W876" s="6"/>
    </row>
    <row r="877">
      <c r="A877" s="6"/>
      <c r="B877" s="7"/>
      <c r="C877" s="7" t="str">
        <f>IFERROR(__xludf.DUMMYFUNCTION("""COMPUTED_VALUE"""),"")</f>
        <v/>
      </c>
      <c r="D877" s="7" t="str">
        <f t="shared" si="1"/>
        <v/>
      </c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8"/>
      <c r="W877" s="6"/>
    </row>
    <row r="878">
      <c r="A878" s="6"/>
      <c r="B878" s="7"/>
      <c r="C878" s="7" t="str">
        <f>IFERROR(__xludf.DUMMYFUNCTION("""COMPUTED_VALUE"""),"")</f>
        <v/>
      </c>
      <c r="D878" s="7" t="str">
        <f t="shared" si="1"/>
        <v/>
      </c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8"/>
      <c r="W878" s="6"/>
    </row>
    <row r="879">
      <c r="A879" s="6"/>
      <c r="B879" s="7"/>
      <c r="C879" s="7" t="str">
        <f>IFERROR(__xludf.DUMMYFUNCTION("""COMPUTED_VALUE"""),"")</f>
        <v/>
      </c>
      <c r="D879" s="7" t="str">
        <f t="shared" si="1"/>
        <v/>
      </c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8"/>
      <c r="W879" s="6"/>
    </row>
    <row r="880">
      <c r="A880" s="6"/>
      <c r="B880" s="7"/>
      <c r="C880" s="7" t="str">
        <f>IFERROR(__xludf.DUMMYFUNCTION("""COMPUTED_VALUE"""),"")</f>
        <v/>
      </c>
      <c r="D880" s="7" t="str">
        <f t="shared" si="1"/>
        <v/>
      </c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8"/>
      <c r="W880" s="6"/>
    </row>
    <row r="881">
      <c r="A881" s="6"/>
      <c r="B881" s="7"/>
      <c r="C881" s="7" t="str">
        <f>IFERROR(__xludf.DUMMYFUNCTION("""COMPUTED_VALUE"""),"")</f>
        <v/>
      </c>
      <c r="D881" s="7" t="str">
        <f t="shared" si="1"/>
        <v/>
      </c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8"/>
      <c r="W881" s="6"/>
    </row>
    <row r="882">
      <c r="A882" s="6"/>
      <c r="B882" s="7"/>
      <c r="C882" s="7" t="str">
        <f>IFERROR(__xludf.DUMMYFUNCTION("""COMPUTED_VALUE"""),"")</f>
        <v/>
      </c>
      <c r="D882" s="7" t="str">
        <f t="shared" si="1"/>
        <v/>
      </c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8"/>
      <c r="W882" s="6"/>
    </row>
    <row r="883">
      <c r="A883" s="6"/>
      <c r="B883" s="7"/>
      <c r="C883" s="7" t="str">
        <f>IFERROR(__xludf.DUMMYFUNCTION("""COMPUTED_VALUE"""),"")</f>
        <v/>
      </c>
      <c r="D883" s="7" t="str">
        <f t="shared" si="1"/>
        <v/>
      </c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8"/>
      <c r="W883" s="6"/>
    </row>
    <row r="884">
      <c r="A884" s="6"/>
      <c r="B884" s="7"/>
      <c r="C884" s="7" t="str">
        <f>IFERROR(__xludf.DUMMYFUNCTION("""COMPUTED_VALUE"""),"")</f>
        <v/>
      </c>
      <c r="D884" s="7" t="str">
        <f t="shared" si="1"/>
        <v/>
      </c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8"/>
      <c r="W884" s="6"/>
    </row>
    <row r="885">
      <c r="A885" s="6"/>
      <c r="B885" s="7"/>
      <c r="C885" s="7" t="str">
        <f>IFERROR(__xludf.DUMMYFUNCTION("""COMPUTED_VALUE"""),"")</f>
        <v/>
      </c>
      <c r="D885" s="7" t="str">
        <f t="shared" si="1"/>
        <v/>
      </c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8"/>
      <c r="W885" s="6"/>
    </row>
    <row r="886">
      <c r="A886" s="6"/>
      <c r="B886" s="7"/>
      <c r="C886" s="7" t="str">
        <f>IFERROR(__xludf.DUMMYFUNCTION("""COMPUTED_VALUE"""),"")</f>
        <v/>
      </c>
      <c r="D886" s="7" t="str">
        <f t="shared" si="1"/>
        <v/>
      </c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8"/>
      <c r="W886" s="6"/>
    </row>
    <row r="887">
      <c r="A887" s="6"/>
      <c r="B887" s="7"/>
      <c r="C887" s="7" t="str">
        <f>IFERROR(__xludf.DUMMYFUNCTION("""COMPUTED_VALUE"""),"")</f>
        <v/>
      </c>
      <c r="D887" s="7" t="str">
        <f t="shared" si="1"/>
        <v/>
      </c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8"/>
      <c r="W887" s="6"/>
    </row>
    <row r="888">
      <c r="A888" s="6"/>
      <c r="B888" s="7"/>
      <c r="C888" s="7" t="str">
        <f>IFERROR(__xludf.DUMMYFUNCTION("""COMPUTED_VALUE"""),"")</f>
        <v/>
      </c>
      <c r="D888" s="7" t="str">
        <f t="shared" si="1"/>
        <v/>
      </c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8"/>
      <c r="W888" s="6"/>
    </row>
    <row r="889">
      <c r="A889" s="6"/>
      <c r="B889" s="7"/>
      <c r="C889" s="7" t="str">
        <f>IFERROR(__xludf.DUMMYFUNCTION("""COMPUTED_VALUE"""),"")</f>
        <v/>
      </c>
      <c r="D889" s="7" t="str">
        <f t="shared" si="1"/>
        <v/>
      </c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8"/>
      <c r="W889" s="6"/>
    </row>
    <row r="890">
      <c r="A890" s="6"/>
      <c r="B890" s="7"/>
      <c r="C890" s="7" t="str">
        <f>IFERROR(__xludf.DUMMYFUNCTION("""COMPUTED_VALUE"""),"")</f>
        <v/>
      </c>
      <c r="D890" s="7" t="str">
        <f t="shared" si="1"/>
        <v/>
      </c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8"/>
      <c r="W890" s="6"/>
    </row>
    <row r="891">
      <c r="A891" s="6"/>
      <c r="B891" s="7"/>
      <c r="C891" s="7" t="str">
        <f>IFERROR(__xludf.DUMMYFUNCTION("""COMPUTED_VALUE"""),"")</f>
        <v/>
      </c>
      <c r="D891" s="7" t="str">
        <f t="shared" si="1"/>
        <v/>
      </c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8"/>
      <c r="W891" s="6"/>
    </row>
    <row r="892">
      <c r="A892" s="6"/>
      <c r="B892" s="7"/>
      <c r="C892" s="7" t="str">
        <f>IFERROR(__xludf.DUMMYFUNCTION("""COMPUTED_VALUE"""),"")</f>
        <v/>
      </c>
      <c r="D892" s="7" t="str">
        <f t="shared" si="1"/>
        <v/>
      </c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8"/>
      <c r="W892" s="6"/>
    </row>
    <row r="893">
      <c r="A893" s="6"/>
      <c r="B893" s="7"/>
      <c r="C893" s="7" t="str">
        <f>IFERROR(__xludf.DUMMYFUNCTION("""COMPUTED_VALUE"""),"")</f>
        <v/>
      </c>
      <c r="D893" s="7" t="str">
        <f t="shared" si="1"/>
        <v/>
      </c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8"/>
      <c r="W893" s="6"/>
    </row>
    <row r="894">
      <c r="A894" s="6"/>
      <c r="B894" s="7"/>
      <c r="C894" s="7" t="str">
        <f>IFERROR(__xludf.DUMMYFUNCTION("""COMPUTED_VALUE"""),"")</f>
        <v/>
      </c>
      <c r="D894" s="7" t="str">
        <f t="shared" si="1"/>
        <v/>
      </c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8"/>
      <c r="W894" s="6"/>
    </row>
    <row r="895">
      <c r="A895" s="6"/>
      <c r="B895" s="7"/>
      <c r="C895" s="7" t="str">
        <f>IFERROR(__xludf.DUMMYFUNCTION("""COMPUTED_VALUE"""),"")</f>
        <v/>
      </c>
      <c r="D895" s="7" t="str">
        <f t="shared" si="1"/>
        <v/>
      </c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8"/>
      <c r="W895" s="6"/>
    </row>
    <row r="896">
      <c r="A896" s="6"/>
      <c r="B896" s="7"/>
      <c r="C896" s="7" t="str">
        <f>IFERROR(__xludf.DUMMYFUNCTION("""COMPUTED_VALUE"""),"")</f>
        <v/>
      </c>
      <c r="D896" s="7" t="str">
        <f t="shared" si="1"/>
        <v/>
      </c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8"/>
      <c r="W896" s="6"/>
    </row>
    <row r="897">
      <c r="A897" s="6"/>
      <c r="B897" s="7"/>
      <c r="C897" s="7" t="str">
        <f>IFERROR(__xludf.DUMMYFUNCTION("""COMPUTED_VALUE"""),"")</f>
        <v/>
      </c>
      <c r="D897" s="7" t="str">
        <f t="shared" si="1"/>
        <v/>
      </c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8"/>
      <c r="W897" s="6"/>
    </row>
    <row r="898">
      <c r="A898" s="6"/>
      <c r="B898" s="7"/>
      <c r="C898" s="7" t="str">
        <f>IFERROR(__xludf.DUMMYFUNCTION("""COMPUTED_VALUE"""),"")</f>
        <v/>
      </c>
      <c r="D898" s="7" t="str">
        <f t="shared" si="1"/>
        <v/>
      </c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8"/>
      <c r="W898" s="6"/>
    </row>
    <row r="899">
      <c r="A899" s="6"/>
      <c r="B899" s="7"/>
      <c r="C899" s="7" t="str">
        <f>IFERROR(__xludf.DUMMYFUNCTION("""COMPUTED_VALUE"""),"")</f>
        <v/>
      </c>
      <c r="D899" s="7" t="str">
        <f t="shared" si="1"/>
        <v/>
      </c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8"/>
      <c r="W899" s="6"/>
    </row>
    <row r="900">
      <c r="A900" s="6"/>
      <c r="B900" s="7"/>
      <c r="C900" s="7" t="str">
        <f>IFERROR(__xludf.DUMMYFUNCTION("""COMPUTED_VALUE"""),"")</f>
        <v/>
      </c>
      <c r="D900" s="7" t="str">
        <f t="shared" si="1"/>
        <v/>
      </c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8"/>
      <c r="W900" s="6"/>
    </row>
    <row r="901">
      <c r="A901" s="6"/>
      <c r="B901" s="7"/>
      <c r="C901" s="7" t="str">
        <f>IFERROR(__xludf.DUMMYFUNCTION("""COMPUTED_VALUE"""),"")</f>
        <v/>
      </c>
      <c r="D901" s="7" t="str">
        <f t="shared" si="1"/>
        <v/>
      </c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8"/>
      <c r="W901" s="6"/>
    </row>
    <row r="902">
      <c r="A902" s="6"/>
      <c r="B902" s="7"/>
      <c r="C902" s="7" t="str">
        <f>IFERROR(__xludf.DUMMYFUNCTION("""COMPUTED_VALUE"""),"")</f>
        <v/>
      </c>
      <c r="D902" s="7" t="str">
        <f t="shared" si="1"/>
        <v/>
      </c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8"/>
      <c r="W902" s="6"/>
    </row>
    <row r="903">
      <c r="A903" s="6"/>
      <c r="B903" s="7"/>
      <c r="C903" s="7" t="str">
        <f>IFERROR(__xludf.DUMMYFUNCTION("""COMPUTED_VALUE"""),"")</f>
        <v/>
      </c>
      <c r="D903" s="7" t="str">
        <f t="shared" si="1"/>
        <v/>
      </c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8"/>
      <c r="W903" s="6"/>
    </row>
    <row r="904">
      <c r="A904" s="6"/>
      <c r="B904" s="7"/>
      <c r="C904" s="7" t="str">
        <f>IFERROR(__xludf.DUMMYFUNCTION("""COMPUTED_VALUE"""),"")</f>
        <v/>
      </c>
      <c r="D904" s="7" t="str">
        <f t="shared" si="1"/>
        <v/>
      </c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8"/>
      <c r="W904" s="6"/>
    </row>
    <row r="905">
      <c r="A905" s="6"/>
      <c r="B905" s="7"/>
      <c r="C905" s="7" t="str">
        <f>IFERROR(__xludf.DUMMYFUNCTION("""COMPUTED_VALUE"""),"")</f>
        <v/>
      </c>
      <c r="D905" s="7" t="str">
        <f t="shared" si="1"/>
        <v/>
      </c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8"/>
      <c r="W905" s="6"/>
    </row>
    <row r="906">
      <c r="A906" s="6"/>
      <c r="B906" s="7"/>
      <c r="C906" s="7" t="str">
        <f>IFERROR(__xludf.DUMMYFUNCTION("""COMPUTED_VALUE"""),"")</f>
        <v/>
      </c>
      <c r="D906" s="7" t="str">
        <f t="shared" si="1"/>
        <v/>
      </c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8"/>
      <c r="W906" s="6"/>
    </row>
    <row r="907">
      <c r="A907" s="6"/>
      <c r="B907" s="7"/>
      <c r="C907" s="7" t="str">
        <f>IFERROR(__xludf.DUMMYFUNCTION("""COMPUTED_VALUE"""),"")</f>
        <v/>
      </c>
      <c r="D907" s="7" t="str">
        <f t="shared" si="1"/>
        <v/>
      </c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8"/>
      <c r="W907" s="6"/>
    </row>
    <row r="908">
      <c r="A908" s="6"/>
      <c r="B908" s="7"/>
      <c r="C908" s="7" t="str">
        <f>IFERROR(__xludf.DUMMYFUNCTION("""COMPUTED_VALUE"""),"")</f>
        <v/>
      </c>
      <c r="D908" s="7" t="str">
        <f t="shared" si="1"/>
        <v/>
      </c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8"/>
      <c r="W908" s="6"/>
    </row>
    <row r="909">
      <c r="A909" s="6"/>
      <c r="B909" s="7"/>
      <c r="C909" s="7" t="str">
        <f>IFERROR(__xludf.DUMMYFUNCTION("""COMPUTED_VALUE"""),"")</f>
        <v/>
      </c>
      <c r="D909" s="7" t="str">
        <f t="shared" si="1"/>
        <v/>
      </c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8"/>
      <c r="W909" s="6"/>
    </row>
    <row r="910">
      <c r="A910" s="6"/>
      <c r="B910" s="7"/>
      <c r="C910" s="7" t="str">
        <f>IFERROR(__xludf.DUMMYFUNCTION("""COMPUTED_VALUE"""),"")</f>
        <v/>
      </c>
      <c r="D910" s="7" t="str">
        <f t="shared" si="1"/>
        <v/>
      </c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8"/>
      <c r="W910" s="6"/>
    </row>
    <row r="911">
      <c r="A911" s="6"/>
      <c r="B911" s="7"/>
      <c r="C911" s="7" t="str">
        <f>IFERROR(__xludf.DUMMYFUNCTION("""COMPUTED_VALUE"""),"")</f>
        <v/>
      </c>
      <c r="D911" s="7" t="str">
        <f t="shared" si="1"/>
        <v/>
      </c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8"/>
      <c r="W911" s="6"/>
    </row>
    <row r="912">
      <c r="A912" s="6"/>
      <c r="B912" s="7"/>
      <c r="C912" s="7" t="str">
        <f>IFERROR(__xludf.DUMMYFUNCTION("""COMPUTED_VALUE"""),"")</f>
        <v/>
      </c>
      <c r="D912" s="7" t="str">
        <f t="shared" si="1"/>
        <v/>
      </c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8"/>
      <c r="W912" s="6"/>
    </row>
    <row r="913">
      <c r="A913" s="6"/>
      <c r="B913" s="7"/>
      <c r="C913" s="7" t="str">
        <f>IFERROR(__xludf.DUMMYFUNCTION("""COMPUTED_VALUE"""),"")</f>
        <v/>
      </c>
      <c r="D913" s="7" t="str">
        <f t="shared" si="1"/>
        <v/>
      </c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8"/>
      <c r="W913" s="6"/>
    </row>
    <row r="914">
      <c r="A914" s="6"/>
      <c r="B914" s="7"/>
      <c r="C914" s="7" t="str">
        <f>IFERROR(__xludf.DUMMYFUNCTION("""COMPUTED_VALUE"""),"")</f>
        <v/>
      </c>
      <c r="D914" s="7" t="str">
        <f t="shared" si="1"/>
        <v/>
      </c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8"/>
      <c r="W914" s="6"/>
    </row>
    <row r="915">
      <c r="A915" s="6"/>
      <c r="B915" s="7"/>
      <c r="C915" s="7" t="str">
        <f>IFERROR(__xludf.DUMMYFUNCTION("""COMPUTED_VALUE"""),"")</f>
        <v/>
      </c>
      <c r="D915" s="7" t="str">
        <f t="shared" si="1"/>
        <v/>
      </c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8"/>
      <c r="W915" s="6"/>
    </row>
    <row r="916">
      <c r="A916" s="6"/>
      <c r="B916" s="7"/>
      <c r="C916" s="7" t="str">
        <f>IFERROR(__xludf.DUMMYFUNCTION("""COMPUTED_VALUE"""),"")</f>
        <v/>
      </c>
      <c r="D916" s="7" t="str">
        <f t="shared" si="1"/>
        <v/>
      </c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8"/>
      <c r="W916" s="6"/>
    </row>
    <row r="917">
      <c r="A917" s="6"/>
      <c r="B917" s="7"/>
      <c r="C917" s="7" t="str">
        <f>IFERROR(__xludf.DUMMYFUNCTION("""COMPUTED_VALUE"""),"")</f>
        <v/>
      </c>
      <c r="D917" s="7" t="str">
        <f t="shared" si="1"/>
        <v/>
      </c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8"/>
      <c r="W917" s="6"/>
    </row>
    <row r="918">
      <c r="A918" s="6"/>
      <c r="B918" s="7"/>
      <c r="C918" s="7" t="str">
        <f>IFERROR(__xludf.DUMMYFUNCTION("""COMPUTED_VALUE"""),"")</f>
        <v/>
      </c>
      <c r="D918" s="7" t="str">
        <f t="shared" si="1"/>
        <v/>
      </c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8"/>
      <c r="W918" s="6"/>
    </row>
    <row r="919">
      <c r="A919" s="6"/>
      <c r="B919" s="7"/>
      <c r="C919" s="7" t="str">
        <f>IFERROR(__xludf.DUMMYFUNCTION("""COMPUTED_VALUE"""),"")</f>
        <v/>
      </c>
      <c r="D919" s="7" t="str">
        <f t="shared" si="1"/>
        <v/>
      </c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8"/>
      <c r="W919" s="6"/>
    </row>
    <row r="920">
      <c r="A920" s="6"/>
      <c r="B920" s="7"/>
      <c r="C920" s="7" t="str">
        <f>IFERROR(__xludf.DUMMYFUNCTION("""COMPUTED_VALUE"""),"")</f>
        <v/>
      </c>
      <c r="D920" s="7" t="str">
        <f t="shared" si="1"/>
        <v/>
      </c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8"/>
      <c r="W920" s="6"/>
    </row>
    <row r="921">
      <c r="A921" s="6"/>
      <c r="B921" s="7"/>
      <c r="C921" s="7" t="str">
        <f>IFERROR(__xludf.DUMMYFUNCTION("""COMPUTED_VALUE"""),"")</f>
        <v/>
      </c>
      <c r="D921" s="7" t="str">
        <f t="shared" si="1"/>
        <v/>
      </c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8"/>
      <c r="W921" s="6"/>
    </row>
    <row r="922">
      <c r="A922" s="6"/>
      <c r="B922" s="7"/>
      <c r="C922" s="7" t="str">
        <f>IFERROR(__xludf.DUMMYFUNCTION("""COMPUTED_VALUE"""),"")</f>
        <v/>
      </c>
      <c r="D922" s="7" t="str">
        <f t="shared" si="1"/>
        <v/>
      </c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8"/>
      <c r="W922" s="6"/>
    </row>
    <row r="923">
      <c r="A923" s="6"/>
      <c r="B923" s="7"/>
      <c r="C923" s="7" t="str">
        <f>IFERROR(__xludf.DUMMYFUNCTION("""COMPUTED_VALUE"""),"")</f>
        <v/>
      </c>
      <c r="D923" s="7" t="str">
        <f t="shared" si="1"/>
        <v/>
      </c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8"/>
      <c r="W923" s="6"/>
    </row>
    <row r="924">
      <c r="A924" s="6"/>
      <c r="B924" s="7"/>
      <c r="C924" s="7" t="str">
        <f>IFERROR(__xludf.DUMMYFUNCTION("""COMPUTED_VALUE"""),"")</f>
        <v/>
      </c>
      <c r="D924" s="7" t="str">
        <f t="shared" si="1"/>
        <v/>
      </c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8"/>
      <c r="W924" s="6"/>
    </row>
    <row r="925">
      <c r="A925" s="6"/>
      <c r="B925" s="7"/>
      <c r="C925" s="7" t="str">
        <f>IFERROR(__xludf.DUMMYFUNCTION("""COMPUTED_VALUE"""),"")</f>
        <v/>
      </c>
      <c r="D925" s="7" t="str">
        <f t="shared" si="1"/>
        <v/>
      </c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8"/>
      <c r="W925" s="6"/>
    </row>
    <row r="926">
      <c r="A926" s="6"/>
      <c r="B926" s="7"/>
      <c r="C926" s="7" t="str">
        <f>IFERROR(__xludf.DUMMYFUNCTION("""COMPUTED_VALUE"""),"")</f>
        <v/>
      </c>
      <c r="D926" s="7" t="str">
        <f t="shared" si="1"/>
        <v/>
      </c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8"/>
      <c r="W926" s="6"/>
    </row>
    <row r="927">
      <c r="A927" s="6"/>
      <c r="B927" s="7"/>
      <c r="C927" s="7" t="str">
        <f>IFERROR(__xludf.DUMMYFUNCTION("""COMPUTED_VALUE"""),"")</f>
        <v/>
      </c>
      <c r="D927" s="7" t="str">
        <f t="shared" si="1"/>
        <v/>
      </c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8"/>
      <c r="W927" s="6"/>
    </row>
    <row r="928">
      <c r="A928" s="6"/>
      <c r="B928" s="7"/>
      <c r="C928" s="7" t="str">
        <f>IFERROR(__xludf.DUMMYFUNCTION("""COMPUTED_VALUE"""),"")</f>
        <v/>
      </c>
      <c r="D928" s="7" t="str">
        <f t="shared" si="1"/>
        <v/>
      </c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8"/>
      <c r="W928" s="6"/>
    </row>
    <row r="929">
      <c r="A929" s="6"/>
      <c r="B929" s="7"/>
      <c r="C929" s="7" t="str">
        <f>IFERROR(__xludf.DUMMYFUNCTION("""COMPUTED_VALUE"""),"")</f>
        <v/>
      </c>
      <c r="D929" s="7" t="str">
        <f t="shared" si="1"/>
        <v/>
      </c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8"/>
      <c r="W929" s="6"/>
    </row>
    <row r="930">
      <c r="A930" s="6"/>
      <c r="B930" s="7"/>
      <c r="C930" s="7" t="str">
        <f>IFERROR(__xludf.DUMMYFUNCTION("""COMPUTED_VALUE"""),"")</f>
        <v/>
      </c>
      <c r="D930" s="7" t="str">
        <f t="shared" si="1"/>
        <v/>
      </c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8"/>
      <c r="W930" s="6"/>
    </row>
    <row r="931">
      <c r="A931" s="6"/>
      <c r="B931" s="7"/>
      <c r="C931" s="7" t="str">
        <f>IFERROR(__xludf.DUMMYFUNCTION("""COMPUTED_VALUE"""),"")</f>
        <v/>
      </c>
      <c r="D931" s="7" t="str">
        <f t="shared" si="1"/>
        <v/>
      </c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8"/>
      <c r="W931" s="6"/>
    </row>
    <row r="932">
      <c r="A932" s="6"/>
      <c r="B932" s="7"/>
      <c r="C932" s="7" t="str">
        <f>IFERROR(__xludf.DUMMYFUNCTION("""COMPUTED_VALUE"""),"")</f>
        <v/>
      </c>
      <c r="D932" s="7" t="str">
        <f t="shared" si="1"/>
        <v/>
      </c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8"/>
      <c r="W932" s="6"/>
    </row>
    <row r="933">
      <c r="A933" s="6"/>
      <c r="B933" s="7"/>
      <c r="C933" s="7" t="str">
        <f>IFERROR(__xludf.DUMMYFUNCTION("""COMPUTED_VALUE"""),"")</f>
        <v/>
      </c>
      <c r="D933" s="7" t="str">
        <f t="shared" si="1"/>
        <v/>
      </c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8"/>
      <c r="W933" s="6"/>
    </row>
    <row r="934">
      <c r="A934" s="6"/>
      <c r="B934" s="7"/>
      <c r="C934" s="7" t="str">
        <f>IFERROR(__xludf.DUMMYFUNCTION("""COMPUTED_VALUE"""),"")</f>
        <v/>
      </c>
      <c r="D934" s="7" t="str">
        <f t="shared" si="1"/>
        <v/>
      </c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8"/>
      <c r="W934" s="6"/>
    </row>
    <row r="935">
      <c r="A935" s="6"/>
      <c r="B935" s="7"/>
      <c r="C935" s="7" t="str">
        <f>IFERROR(__xludf.DUMMYFUNCTION("""COMPUTED_VALUE"""),"")</f>
        <v/>
      </c>
      <c r="D935" s="7" t="str">
        <f t="shared" si="1"/>
        <v/>
      </c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8"/>
      <c r="W935" s="6"/>
    </row>
    <row r="936">
      <c r="A936" s="6"/>
      <c r="B936" s="7"/>
      <c r="C936" s="7" t="str">
        <f>IFERROR(__xludf.DUMMYFUNCTION("""COMPUTED_VALUE"""),"")</f>
        <v/>
      </c>
      <c r="D936" s="7" t="str">
        <f t="shared" si="1"/>
        <v/>
      </c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8"/>
      <c r="W936" s="6"/>
    </row>
    <row r="937">
      <c r="A937" s="6"/>
      <c r="B937" s="7"/>
      <c r="C937" s="7" t="str">
        <f>IFERROR(__xludf.DUMMYFUNCTION("""COMPUTED_VALUE"""),"")</f>
        <v/>
      </c>
      <c r="D937" s="7" t="str">
        <f t="shared" si="1"/>
        <v/>
      </c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8"/>
      <c r="W937" s="6"/>
    </row>
    <row r="938">
      <c r="A938" s="6"/>
      <c r="B938" s="7"/>
      <c r="C938" s="7" t="str">
        <f>IFERROR(__xludf.DUMMYFUNCTION("""COMPUTED_VALUE"""),"")</f>
        <v/>
      </c>
      <c r="D938" s="7" t="str">
        <f t="shared" si="1"/>
        <v/>
      </c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8"/>
      <c r="W938" s="6"/>
    </row>
    <row r="939">
      <c r="A939" s="6"/>
      <c r="B939" s="7"/>
      <c r="C939" s="7" t="str">
        <f>IFERROR(__xludf.DUMMYFUNCTION("""COMPUTED_VALUE"""),"")</f>
        <v/>
      </c>
      <c r="D939" s="7" t="str">
        <f t="shared" si="1"/>
        <v/>
      </c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8"/>
      <c r="W939" s="6"/>
    </row>
    <row r="940">
      <c r="A940" s="6"/>
      <c r="B940" s="7"/>
      <c r="C940" s="7" t="str">
        <f>IFERROR(__xludf.DUMMYFUNCTION("""COMPUTED_VALUE"""),"")</f>
        <v/>
      </c>
      <c r="D940" s="7" t="str">
        <f t="shared" si="1"/>
        <v/>
      </c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8"/>
      <c r="W940" s="6"/>
    </row>
    <row r="941">
      <c r="A941" s="6"/>
      <c r="B941" s="7"/>
      <c r="C941" s="7" t="str">
        <f>IFERROR(__xludf.DUMMYFUNCTION("""COMPUTED_VALUE"""),"")</f>
        <v/>
      </c>
      <c r="D941" s="7" t="str">
        <f t="shared" si="1"/>
        <v/>
      </c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8"/>
      <c r="W941" s="6"/>
    </row>
    <row r="942">
      <c r="A942" s="6"/>
      <c r="B942" s="7"/>
      <c r="C942" s="7" t="str">
        <f>IFERROR(__xludf.DUMMYFUNCTION("""COMPUTED_VALUE"""),"")</f>
        <v/>
      </c>
      <c r="D942" s="7" t="str">
        <f t="shared" si="1"/>
        <v/>
      </c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8"/>
      <c r="W942" s="6"/>
    </row>
    <row r="943">
      <c r="A943" s="6"/>
      <c r="B943" s="7"/>
      <c r="C943" s="7" t="str">
        <f>IFERROR(__xludf.DUMMYFUNCTION("""COMPUTED_VALUE"""),"")</f>
        <v/>
      </c>
      <c r="D943" s="7" t="str">
        <f t="shared" si="1"/>
        <v/>
      </c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8"/>
      <c r="W943" s="6"/>
    </row>
    <row r="944">
      <c r="A944" s="6"/>
      <c r="B944" s="7"/>
      <c r="C944" s="7" t="str">
        <f>IFERROR(__xludf.DUMMYFUNCTION("""COMPUTED_VALUE"""),"")</f>
        <v/>
      </c>
      <c r="D944" s="7" t="str">
        <f t="shared" si="1"/>
        <v/>
      </c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8"/>
      <c r="W944" s="6"/>
    </row>
    <row r="945">
      <c r="A945" s="6"/>
      <c r="B945" s="7"/>
      <c r="C945" s="7" t="str">
        <f>IFERROR(__xludf.DUMMYFUNCTION("""COMPUTED_VALUE"""),"")</f>
        <v/>
      </c>
      <c r="D945" s="7" t="str">
        <f t="shared" si="1"/>
        <v/>
      </c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8"/>
      <c r="W945" s="6"/>
    </row>
    <row r="946">
      <c r="A946" s="6"/>
      <c r="B946" s="7"/>
      <c r="C946" s="7" t="str">
        <f>IFERROR(__xludf.DUMMYFUNCTION("""COMPUTED_VALUE"""),"")</f>
        <v/>
      </c>
      <c r="D946" s="7" t="str">
        <f t="shared" si="1"/>
        <v/>
      </c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8"/>
      <c r="W946" s="6"/>
    </row>
    <row r="947">
      <c r="A947" s="6"/>
      <c r="B947" s="7"/>
      <c r="C947" s="7" t="str">
        <f>IFERROR(__xludf.DUMMYFUNCTION("""COMPUTED_VALUE"""),"")</f>
        <v/>
      </c>
      <c r="D947" s="7" t="str">
        <f t="shared" si="1"/>
        <v/>
      </c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8"/>
      <c r="W947" s="6"/>
    </row>
    <row r="948">
      <c r="A948" s="6"/>
      <c r="B948" s="7"/>
      <c r="C948" s="7" t="str">
        <f>IFERROR(__xludf.DUMMYFUNCTION("""COMPUTED_VALUE"""),"")</f>
        <v/>
      </c>
      <c r="D948" s="7" t="str">
        <f t="shared" si="1"/>
        <v/>
      </c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8"/>
      <c r="W948" s="6"/>
    </row>
    <row r="949">
      <c r="A949" s="6"/>
      <c r="B949" s="7"/>
      <c r="C949" s="7" t="str">
        <f>IFERROR(__xludf.DUMMYFUNCTION("""COMPUTED_VALUE"""),"")</f>
        <v/>
      </c>
      <c r="D949" s="7" t="str">
        <f t="shared" si="1"/>
        <v/>
      </c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8"/>
      <c r="W949" s="6"/>
    </row>
    <row r="950">
      <c r="A950" s="6"/>
      <c r="B950" s="7"/>
      <c r="C950" s="7" t="str">
        <f>IFERROR(__xludf.DUMMYFUNCTION("""COMPUTED_VALUE"""),"")</f>
        <v/>
      </c>
      <c r="D950" s="7" t="str">
        <f t="shared" si="1"/>
        <v/>
      </c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8"/>
      <c r="W950" s="6"/>
    </row>
    <row r="951">
      <c r="A951" s="6"/>
      <c r="B951" s="7"/>
      <c r="C951" s="7" t="str">
        <f>IFERROR(__xludf.DUMMYFUNCTION("""COMPUTED_VALUE"""),"")</f>
        <v/>
      </c>
      <c r="D951" s="7" t="str">
        <f t="shared" si="1"/>
        <v/>
      </c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8"/>
      <c r="W951" s="6"/>
    </row>
    <row r="952">
      <c r="A952" s="6"/>
      <c r="B952" s="7"/>
      <c r="C952" s="7" t="str">
        <f>IFERROR(__xludf.DUMMYFUNCTION("""COMPUTED_VALUE"""),"")</f>
        <v/>
      </c>
      <c r="D952" s="7" t="str">
        <f t="shared" si="1"/>
        <v/>
      </c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8"/>
      <c r="W952" s="6"/>
    </row>
    <row r="953">
      <c r="A953" s="6"/>
      <c r="B953" s="7"/>
      <c r="C953" s="7" t="str">
        <f>IFERROR(__xludf.DUMMYFUNCTION("""COMPUTED_VALUE"""),"")</f>
        <v/>
      </c>
      <c r="D953" s="7" t="str">
        <f t="shared" si="1"/>
        <v/>
      </c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8"/>
      <c r="W953" s="6"/>
    </row>
    <row r="954">
      <c r="A954" s="6"/>
      <c r="B954" s="7"/>
      <c r="C954" s="7" t="str">
        <f>IFERROR(__xludf.DUMMYFUNCTION("""COMPUTED_VALUE"""),"")</f>
        <v/>
      </c>
      <c r="D954" s="7" t="str">
        <f t="shared" si="1"/>
        <v/>
      </c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8"/>
      <c r="W954" s="6"/>
    </row>
    <row r="955">
      <c r="A955" s="6"/>
      <c r="B955" s="7"/>
      <c r="C955" s="7" t="str">
        <f>IFERROR(__xludf.DUMMYFUNCTION("""COMPUTED_VALUE"""),"")</f>
        <v/>
      </c>
      <c r="D955" s="7" t="str">
        <f t="shared" si="1"/>
        <v/>
      </c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8"/>
      <c r="W955" s="6"/>
    </row>
    <row r="956">
      <c r="A956" s="6"/>
      <c r="B956" s="7"/>
      <c r="C956" s="7" t="str">
        <f>IFERROR(__xludf.DUMMYFUNCTION("""COMPUTED_VALUE"""),"")</f>
        <v/>
      </c>
      <c r="D956" s="7" t="str">
        <f t="shared" si="1"/>
        <v/>
      </c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8"/>
      <c r="W956" s="6"/>
    </row>
    <row r="957">
      <c r="A957" s="6"/>
      <c r="B957" s="7"/>
      <c r="C957" s="7" t="str">
        <f>IFERROR(__xludf.DUMMYFUNCTION("""COMPUTED_VALUE"""),"")</f>
        <v/>
      </c>
      <c r="D957" s="7" t="str">
        <f t="shared" si="1"/>
        <v/>
      </c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8"/>
      <c r="W957" s="6"/>
    </row>
    <row r="958">
      <c r="A958" s="6"/>
      <c r="B958" s="7"/>
      <c r="C958" s="7" t="str">
        <f>IFERROR(__xludf.DUMMYFUNCTION("""COMPUTED_VALUE"""),"")</f>
        <v/>
      </c>
      <c r="D958" s="7" t="str">
        <f t="shared" si="1"/>
        <v/>
      </c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8"/>
      <c r="W958" s="6"/>
    </row>
    <row r="959">
      <c r="A959" s="6"/>
      <c r="B959" s="7"/>
      <c r="C959" s="7" t="str">
        <f>IFERROR(__xludf.DUMMYFUNCTION("""COMPUTED_VALUE"""),"")</f>
        <v/>
      </c>
      <c r="D959" s="7" t="str">
        <f t="shared" si="1"/>
        <v/>
      </c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8"/>
      <c r="W959" s="6"/>
    </row>
    <row r="960">
      <c r="A960" s="6"/>
      <c r="B960" s="7"/>
      <c r="C960" s="7" t="str">
        <f>IFERROR(__xludf.DUMMYFUNCTION("""COMPUTED_VALUE"""),"")</f>
        <v/>
      </c>
      <c r="D960" s="7" t="str">
        <f t="shared" si="1"/>
        <v/>
      </c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8"/>
      <c r="W960" s="6"/>
    </row>
    <row r="961">
      <c r="A961" s="6"/>
      <c r="B961" s="7"/>
      <c r="C961" s="7" t="str">
        <f>IFERROR(__xludf.DUMMYFUNCTION("""COMPUTED_VALUE"""),"")</f>
        <v/>
      </c>
      <c r="D961" s="7" t="str">
        <f t="shared" si="1"/>
        <v/>
      </c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8"/>
      <c r="W961" s="6"/>
    </row>
    <row r="962">
      <c r="A962" s="6"/>
      <c r="B962" s="7"/>
      <c r="C962" s="7" t="str">
        <f>IFERROR(__xludf.DUMMYFUNCTION("""COMPUTED_VALUE"""),"")</f>
        <v/>
      </c>
      <c r="D962" s="7" t="str">
        <f t="shared" si="1"/>
        <v/>
      </c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8"/>
      <c r="W962" s="6"/>
    </row>
    <row r="963">
      <c r="A963" s="6"/>
      <c r="B963" s="7"/>
      <c r="C963" s="7" t="str">
        <f>IFERROR(__xludf.DUMMYFUNCTION("""COMPUTED_VALUE"""),"")</f>
        <v/>
      </c>
      <c r="D963" s="7" t="str">
        <f t="shared" si="1"/>
        <v/>
      </c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8"/>
      <c r="W963" s="6"/>
    </row>
    <row r="964">
      <c r="A964" s="6"/>
      <c r="B964" s="7"/>
      <c r="C964" s="7" t="str">
        <f>IFERROR(__xludf.DUMMYFUNCTION("""COMPUTED_VALUE"""),"")</f>
        <v/>
      </c>
      <c r="D964" s="7" t="str">
        <f t="shared" si="1"/>
        <v/>
      </c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8"/>
      <c r="W964" s="6"/>
    </row>
    <row r="965">
      <c r="A965" s="6"/>
      <c r="B965" s="7"/>
      <c r="C965" s="7" t="str">
        <f>IFERROR(__xludf.DUMMYFUNCTION("""COMPUTED_VALUE"""),"")</f>
        <v/>
      </c>
      <c r="D965" s="7" t="str">
        <f t="shared" si="1"/>
        <v/>
      </c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8"/>
      <c r="W965" s="6"/>
    </row>
    <row r="966">
      <c r="A966" s="6"/>
      <c r="B966" s="7"/>
      <c r="C966" s="7" t="str">
        <f>IFERROR(__xludf.DUMMYFUNCTION("""COMPUTED_VALUE"""),"")</f>
        <v/>
      </c>
      <c r="D966" s="7" t="str">
        <f t="shared" si="1"/>
        <v/>
      </c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8"/>
      <c r="W966" s="6"/>
    </row>
    <row r="967">
      <c r="A967" s="6"/>
      <c r="B967" s="7"/>
      <c r="C967" s="7" t="str">
        <f>IFERROR(__xludf.DUMMYFUNCTION("""COMPUTED_VALUE"""),"")</f>
        <v/>
      </c>
      <c r="D967" s="7" t="str">
        <f t="shared" si="1"/>
        <v/>
      </c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8"/>
      <c r="W967" s="6"/>
    </row>
    <row r="968">
      <c r="A968" s="6"/>
      <c r="B968" s="7"/>
      <c r="C968" s="7" t="str">
        <f>IFERROR(__xludf.DUMMYFUNCTION("""COMPUTED_VALUE"""),"")</f>
        <v/>
      </c>
      <c r="D968" s="7" t="str">
        <f t="shared" si="1"/>
        <v/>
      </c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8"/>
      <c r="W968" s="6"/>
    </row>
    <row r="969">
      <c r="A969" s="6"/>
      <c r="B969" s="7"/>
      <c r="C969" s="7" t="str">
        <f>IFERROR(__xludf.DUMMYFUNCTION("""COMPUTED_VALUE"""),"")</f>
        <v/>
      </c>
      <c r="D969" s="7" t="str">
        <f t="shared" si="1"/>
        <v/>
      </c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8"/>
      <c r="W969" s="6"/>
    </row>
    <row r="970">
      <c r="A970" s="6"/>
      <c r="B970" s="7"/>
      <c r="C970" s="7" t="str">
        <f>IFERROR(__xludf.DUMMYFUNCTION("""COMPUTED_VALUE"""),"")</f>
        <v/>
      </c>
      <c r="D970" s="7" t="str">
        <f t="shared" si="1"/>
        <v/>
      </c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8"/>
      <c r="W970" s="6"/>
    </row>
    <row r="971">
      <c r="A971" s="6"/>
      <c r="B971" s="7"/>
      <c r="C971" s="7" t="str">
        <f>IFERROR(__xludf.DUMMYFUNCTION("""COMPUTED_VALUE"""),"")</f>
        <v/>
      </c>
      <c r="D971" s="7" t="str">
        <f t="shared" si="1"/>
        <v/>
      </c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8"/>
      <c r="W971" s="6"/>
    </row>
    <row r="972">
      <c r="A972" s="6"/>
      <c r="B972" s="7"/>
      <c r="C972" s="7" t="str">
        <f>IFERROR(__xludf.DUMMYFUNCTION("""COMPUTED_VALUE"""),"")</f>
        <v/>
      </c>
      <c r="D972" s="7" t="str">
        <f t="shared" si="1"/>
        <v/>
      </c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8"/>
      <c r="W972" s="6"/>
    </row>
    <row r="973">
      <c r="A973" s="6"/>
      <c r="B973" s="7"/>
      <c r="C973" s="7" t="str">
        <f>IFERROR(__xludf.DUMMYFUNCTION("""COMPUTED_VALUE"""),"")</f>
        <v/>
      </c>
      <c r="D973" s="7" t="str">
        <f t="shared" si="1"/>
        <v/>
      </c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8"/>
      <c r="W973" s="6"/>
    </row>
    <row r="974">
      <c r="A974" s="6"/>
      <c r="B974" s="7"/>
      <c r="C974" s="7" t="str">
        <f>IFERROR(__xludf.DUMMYFUNCTION("""COMPUTED_VALUE"""),"")</f>
        <v/>
      </c>
      <c r="D974" s="7" t="str">
        <f t="shared" si="1"/>
        <v/>
      </c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8"/>
      <c r="W974" s="6"/>
    </row>
    <row r="975">
      <c r="A975" s="6"/>
      <c r="B975" s="7"/>
      <c r="C975" s="7" t="str">
        <f>IFERROR(__xludf.DUMMYFUNCTION("""COMPUTED_VALUE"""),"")</f>
        <v/>
      </c>
      <c r="D975" s="7" t="str">
        <f t="shared" si="1"/>
        <v/>
      </c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8"/>
      <c r="W975" s="6"/>
    </row>
    <row r="976">
      <c r="A976" s="6"/>
      <c r="B976" s="7"/>
      <c r="C976" s="7" t="str">
        <f>IFERROR(__xludf.DUMMYFUNCTION("""COMPUTED_VALUE"""),"")</f>
        <v/>
      </c>
      <c r="D976" s="7" t="str">
        <f t="shared" si="1"/>
        <v/>
      </c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8"/>
      <c r="W976" s="6"/>
    </row>
    <row r="977">
      <c r="A977" s="6"/>
      <c r="B977" s="7"/>
      <c r="C977" s="7" t="str">
        <f>IFERROR(__xludf.DUMMYFUNCTION("""COMPUTED_VALUE"""),"")</f>
        <v/>
      </c>
      <c r="D977" s="7" t="str">
        <f t="shared" si="1"/>
        <v/>
      </c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8"/>
      <c r="W977" s="6"/>
    </row>
    <row r="978">
      <c r="A978" s="6"/>
      <c r="B978" s="7"/>
      <c r="C978" s="7" t="str">
        <f>IFERROR(__xludf.DUMMYFUNCTION("""COMPUTED_VALUE"""),"")</f>
        <v/>
      </c>
      <c r="D978" s="7" t="str">
        <f t="shared" si="1"/>
        <v/>
      </c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8"/>
      <c r="W978" s="6"/>
    </row>
    <row r="979">
      <c r="A979" s="6"/>
      <c r="B979" s="7"/>
      <c r="C979" s="7" t="str">
        <f>IFERROR(__xludf.DUMMYFUNCTION("""COMPUTED_VALUE"""),"")</f>
        <v/>
      </c>
      <c r="D979" s="7" t="str">
        <f t="shared" si="1"/>
        <v/>
      </c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8"/>
      <c r="W979" s="6"/>
    </row>
    <row r="980">
      <c r="A980" s="6"/>
      <c r="B980" s="7"/>
      <c r="C980" s="7" t="str">
        <f>IFERROR(__xludf.DUMMYFUNCTION("""COMPUTED_VALUE"""),"")</f>
        <v/>
      </c>
      <c r="D980" s="7" t="str">
        <f t="shared" si="1"/>
        <v/>
      </c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8"/>
      <c r="W980" s="6"/>
    </row>
    <row r="981">
      <c r="A981" s="6"/>
      <c r="B981" s="7"/>
      <c r="C981" s="7" t="str">
        <f>IFERROR(__xludf.DUMMYFUNCTION("""COMPUTED_VALUE"""),"")</f>
        <v/>
      </c>
      <c r="D981" s="7" t="str">
        <f t="shared" si="1"/>
        <v/>
      </c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8"/>
      <c r="W981" s="6"/>
    </row>
    <row r="982">
      <c r="A982" s="6"/>
      <c r="B982" s="7"/>
      <c r="C982" s="7" t="str">
        <f>IFERROR(__xludf.DUMMYFUNCTION("""COMPUTED_VALUE"""),"")</f>
        <v/>
      </c>
      <c r="D982" s="7" t="str">
        <f t="shared" si="1"/>
        <v/>
      </c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8"/>
      <c r="W982" s="6"/>
    </row>
    <row r="983">
      <c r="A983" s="6"/>
      <c r="B983" s="7"/>
      <c r="C983" s="7" t="str">
        <f>IFERROR(__xludf.DUMMYFUNCTION("""COMPUTED_VALUE"""),"")</f>
        <v/>
      </c>
      <c r="D983" s="7" t="str">
        <f t="shared" si="1"/>
        <v/>
      </c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8"/>
      <c r="W983" s="6"/>
    </row>
    <row r="984">
      <c r="A984" s="6"/>
      <c r="B984" s="7"/>
      <c r="C984" s="7" t="str">
        <f>IFERROR(__xludf.DUMMYFUNCTION("""COMPUTED_VALUE"""),"")</f>
        <v/>
      </c>
      <c r="D984" s="7" t="str">
        <f t="shared" si="1"/>
        <v/>
      </c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8"/>
      <c r="W984" s="6"/>
    </row>
    <row r="985">
      <c r="A985" s="6"/>
      <c r="B985" s="7"/>
      <c r="C985" s="7" t="str">
        <f>IFERROR(__xludf.DUMMYFUNCTION("""COMPUTED_VALUE"""),"")</f>
        <v/>
      </c>
      <c r="D985" s="7" t="str">
        <f t="shared" si="1"/>
        <v/>
      </c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8"/>
      <c r="W985" s="6"/>
    </row>
    <row r="986">
      <c r="A986" s="6"/>
      <c r="B986" s="7"/>
      <c r="C986" s="7" t="str">
        <f>IFERROR(__xludf.DUMMYFUNCTION("""COMPUTED_VALUE"""),"")</f>
        <v/>
      </c>
      <c r="D986" s="7" t="str">
        <f t="shared" si="1"/>
        <v/>
      </c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8"/>
      <c r="W986" s="6"/>
    </row>
    <row r="987">
      <c r="A987" s="6"/>
      <c r="B987" s="7"/>
      <c r="C987" s="7" t="str">
        <f>IFERROR(__xludf.DUMMYFUNCTION("""COMPUTED_VALUE"""),"")</f>
        <v/>
      </c>
      <c r="D987" s="7" t="str">
        <f t="shared" si="1"/>
        <v/>
      </c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8"/>
      <c r="W987" s="6"/>
    </row>
    <row r="988">
      <c r="A988" s="6"/>
      <c r="B988" s="7"/>
      <c r="C988" s="7" t="str">
        <f>IFERROR(__xludf.DUMMYFUNCTION("""COMPUTED_VALUE"""),"")</f>
        <v/>
      </c>
      <c r="D988" s="7" t="str">
        <f t="shared" si="1"/>
        <v/>
      </c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8"/>
      <c r="W988" s="6"/>
    </row>
    <row r="989">
      <c r="A989" s="6"/>
      <c r="B989" s="7"/>
      <c r="C989" s="7" t="str">
        <f>IFERROR(__xludf.DUMMYFUNCTION("""COMPUTED_VALUE"""),"")</f>
        <v/>
      </c>
      <c r="D989" s="7" t="str">
        <f t="shared" si="1"/>
        <v/>
      </c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8"/>
      <c r="W989" s="6"/>
    </row>
    <row r="990">
      <c r="A990" s="6"/>
      <c r="B990" s="7"/>
      <c r="C990" s="7" t="str">
        <f>IFERROR(__xludf.DUMMYFUNCTION("""COMPUTED_VALUE"""),"")</f>
        <v/>
      </c>
      <c r="D990" s="7" t="str">
        <f t="shared" si="1"/>
        <v/>
      </c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8"/>
      <c r="W990" s="6"/>
    </row>
    <row r="991">
      <c r="A991" s="6"/>
      <c r="B991" s="7"/>
      <c r="C991" s="7" t="str">
        <f>IFERROR(__xludf.DUMMYFUNCTION("""COMPUTED_VALUE"""),"")</f>
        <v/>
      </c>
      <c r="D991" s="7" t="str">
        <f t="shared" si="1"/>
        <v/>
      </c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8"/>
      <c r="W991" s="6"/>
    </row>
    <row r="992">
      <c r="A992" s="6"/>
      <c r="B992" s="7"/>
      <c r="C992" s="7" t="str">
        <f>IFERROR(__xludf.DUMMYFUNCTION("""COMPUTED_VALUE"""),"")</f>
        <v/>
      </c>
      <c r="D992" s="7" t="str">
        <f t="shared" si="1"/>
        <v/>
      </c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8"/>
      <c r="W992" s="6"/>
    </row>
    <row r="993">
      <c r="A993" s="6"/>
      <c r="B993" s="7"/>
      <c r="C993" s="7" t="str">
        <f>IFERROR(__xludf.DUMMYFUNCTION("""COMPUTED_VALUE"""),"")</f>
        <v/>
      </c>
      <c r="D993" s="7" t="str">
        <f t="shared" si="1"/>
        <v/>
      </c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8"/>
      <c r="W993" s="6"/>
    </row>
    <row r="994">
      <c r="A994" s="6"/>
      <c r="B994" s="7"/>
      <c r="C994" s="7" t="str">
        <f>IFERROR(__xludf.DUMMYFUNCTION("""COMPUTED_VALUE"""),"")</f>
        <v/>
      </c>
      <c r="D994" s="7" t="str">
        <f t="shared" si="1"/>
        <v/>
      </c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8"/>
      <c r="W994" s="6"/>
    </row>
    <row r="995">
      <c r="A995" s="6"/>
      <c r="B995" s="7"/>
      <c r="C995" s="7" t="str">
        <f>IFERROR(__xludf.DUMMYFUNCTION("""COMPUTED_VALUE"""),"")</f>
        <v/>
      </c>
      <c r="D995" s="7" t="str">
        <f t="shared" si="1"/>
        <v/>
      </c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8"/>
      <c r="W995" s="6"/>
    </row>
    <row r="996">
      <c r="A996" s="6"/>
      <c r="B996" s="7"/>
      <c r="C996" s="7" t="str">
        <f>IFERROR(__xludf.DUMMYFUNCTION("""COMPUTED_VALUE"""),"")</f>
        <v/>
      </c>
      <c r="D996" s="7" t="str">
        <f t="shared" si="1"/>
        <v/>
      </c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8"/>
      <c r="W996" s="6"/>
    </row>
    <row r="997">
      <c r="A997" s="6"/>
      <c r="B997" s="7"/>
      <c r="C997" s="7" t="str">
        <f>IFERROR(__xludf.DUMMYFUNCTION("""COMPUTED_VALUE"""),"")</f>
        <v/>
      </c>
      <c r="D997" s="7" t="str">
        <f t="shared" si="1"/>
        <v/>
      </c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8"/>
      <c r="W997" s="6"/>
    </row>
    <row r="998">
      <c r="A998" s="6"/>
      <c r="B998" s="7"/>
      <c r="C998" s="7" t="str">
        <f>IFERROR(__xludf.DUMMYFUNCTION("""COMPUTED_VALUE"""),"")</f>
        <v/>
      </c>
      <c r="D998" s="7" t="str">
        <f t="shared" si="1"/>
        <v/>
      </c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8"/>
      <c r="W998" s="6"/>
    </row>
    <row r="999">
      <c r="A999" s="6"/>
      <c r="B999" s="7"/>
      <c r="C999" s="7" t="str">
        <f>IFERROR(__xludf.DUMMYFUNCTION("""COMPUTED_VALUE"""),"")</f>
        <v/>
      </c>
      <c r="D999" s="7" t="str">
        <f t="shared" si="1"/>
        <v/>
      </c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8"/>
      <c r="W999" s="6"/>
    </row>
    <row r="1000">
      <c r="A1000" s="6"/>
      <c r="B1000" s="7"/>
      <c r="C1000" s="7" t="str">
        <f>IFERROR(__xludf.DUMMYFUNCTION("""COMPUTED_VALUE"""),"")</f>
        <v/>
      </c>
      <c r="D1000" s="7" t="str">
        <f t="shared" si="1"/>
        <v/>
      </c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8"/>
      <c r="W1000" s="6"/>
    </row>
  </sheetData>
  <autoFilter ref="$A$1:$W$1000"/>
  <conditionalFormatting sqref="D2:D1000">
    <cfRule type="expression" dxfId="0" priority="1">
      <formula>"B2&lt;&gt;D2"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2</v>
      </c>
      <c r="B1" s="10" t="s">
        <v>3</v>
      </c>
      <c r="C1" s="10" t="s">
        <v>4</v>
      </c>
      <c r="D1" s="10" t="s">
        <v>5</v>
      </c>
      <c r="E1" s="10" t="s">
        <v>6</v>
      </c>
      <c r="F1" s="10" t="s">
        <v>7</v>
      </c>
      <c r="G1" s="10" t="s">
        <v>8</v>
      </c>
      <c r="H1" s="10" t="s">
        <v>9</v>
      </c>
      <c r="I1" s="10" t="s">
        <v>10</v>
      </c>
      <c r="J1" s="10" t="s">
        <v>11</v>
      </c>
      <c r="K1" s="10" t="s">
        <v>12</v>
      </c>
      <c r="L1" s="10" t="s">
        <v>13</v>
      </c>
      <c r="M1" s="10" t="s">
        <v>14</v>
      </c>
      <c r="N1" s="10" t="s">
        <v>15</v>
      </c>
      <c r="O1" s="10" t="s">
        <v>16</v>
      </c>
      <c r="P1" s="11"/>
      <c r="Q1" s="11"/>
    </row>
    <row r="2">
      <c r="A2" s="12">
        <v>1.0</v>
      </c>
      <c r="B2" s="12" t="s">
        <v>17</v>
      </c>
      <c r="C2" s="13" t="s">
        <v>18</v>
      </c>
      <c r="D2" s="13" t="s">
        <v>19</v>
      </c>
      <c r="E2" s="13" t="s">
        <v>20</v>
      </c>
      <c r="F2" s="13" t="s">
        <v>21</v>
      </c>
      <c r="G2" s="13">
        <v>21.0</v>
      </c>
      <c r="H2" s="13" t="s">
        <v>22</v>
      </c>
      <c r="I2" s="14">
        <v>1.0</v>
      </c>
      <c r="J2" s="15"/>
      <c r="K2" s="16">
        <v>3644.76</v>
      </c>
      <c r="L2" s="16">
        <v>3644.76</v>
      </c>
      <c r="M2" s="14">
        <v>0.0</v>
      </c>
      <c r="N2" s="16">
        <v>3644.76</v>
      </c>
      <c r="O2" s="15"/>
      <c r="P2" s="11"/>
      <c r="Q2" s="11"/>
    </row>
    <row r="3">
      <c r="A3" s="14" t="s">
        <v>23</v>
      </c>
      <c r="B3" s="13" t="s">
        <v>24</v>
      </c>
      <c r="C3" s="13" t="s">
        <v>18</v>
      </c>
      <c r="D3" s="13" t="s">
        <v>25</v>
      </c>
      <c r="E3" s="15"/>
      <c r="F3" s="13">
        <v>36.0</v>
      </c>
      <c r="G3" s="13" t="s">
        <v>21</v>
      </c>
      <c r="H3" s="13" t="s">
        <v>22</v>
      </c>
      <c r="I3" s="14">
        <v>1.0</v>
      </c>
      <c r="J3" s="15"/>
      <c r="K3" s="14">
        <v>651.75</v>
      </c>
      <c r="L3" s="14">
        <v>651.75</v>
      </c>
      <c r="M3" s="14">
        <v>0.0</v>
      </c>
      <c r="N3" s="14">
        <v>651.75</v>
      </c>
      <c r="O3" s="13" t="s">
        <v>26</v>
      </c>
      <c r="P3" s="11"/>
      <c r="Q3" s="11"/>
    </row>
    <row r="4">
      <c r="A4" s="14">
        <v>1.1</v>
      </c>
      <c r="B4" s="13" t="s">
        <v>27</v>
      </c>
      <c r="C4" s="13" t="s">
        <v>18</v>
      </c>
      <c r="D4" s="13" t="s">
        <v>28</v>
      </c>
      <c r="E4" s="15"/>
      <c r="F4" s="13" t="s">
        <v>21</v>
      </c>
      <c r="G4" s="13">
        <v>28.0</v>
      </c>
      <c r="H4" s="13" t="s">
        <v>29</v>
      </c>
      <c r="I4" s="14">
        <v>1.0</v>
      </c>
      <c r="J4" s="15"/>
      <c r="K4" s="14">
        <v>0.0</v>
      </c>
      <c r="L4" s="14">
        <v>0.0</v>
      </c>
      <c r="M4" s="14">
        <v>0.0</v>
      </c>
      <c r="N4" s="16">
        <v>0.0</v>
      </c>
      <c r="O4" s="15"/>
      <c r="P4" s="11"/>
      <c r="Q4" s="11"/>
    </row>
    <row r="5">
      <c r="A5" s="14" t="s">
        <v>30</v>
      </c>
      <c r="B5" s="13" t="s">
        <v>31</v>
      </c>
      <c r="C5" s="13" t="s">
        <v>18</v>
      </c>
      <c r="D5" s="13" t="s">
        <v>32</v>
      </c>
      <c r="E5" s="15"/>
      <c r="F5" s="13">
        <v>36.0</v>
      </c>
      <c r="G5" s="13" t="s">
        <v>21</v>
      </c>
      <c r="H5" s="13" t="s">
        <v>22</v>
      </c>
      <c r="I5" s="14">
        <v>1.0</v>
      </c>
      <c r="J5" s="15"/>
      <c r="K5" s="16">
        <v>0.0</v>
      </c>
      <c r="L5" s="16">
        <v>0.0</v>
      </c>
      <c r="M5" s="14">
        <v>0.0</v>
      </c>
      <c r="N5" s="16">
        <v>0.0</v>
      </c>
      <c r="O5" s="15"/>
      <c r="P5" s="11"/>
      <c r="Q5" s="11"/>
    </row>
    <row r="6">
      <c r="A6" s="14">
        <v>1.2</v>
      </c>
      <c r="B6" s="13" t="s">
        <v>33</v>
      </c>
      <c r="C6" s="13" t="s">
        <v>18</v>
      </c>
      <c r="D6" s="13" t="s">
        <v>34</v>
      </c>
      <c r="E6" s="15"/>
      <c r="F6" s="13" t="s">
        <v>21</v>
      </c>
      <c r="G6" s="13">
        <v>2.0</v>
      </c>
      <c r="H6" s="13" t="s">
        <v>22</v>
      </c>
      <c r="I6" s="14">
        <v>1.0</v>
      </c>
      <c r="J6" s="15"/>
      <c r="K6" s="14">
        <v>0.0</v>
      </c>
      <c r="L6" s="14">
        <v>0.0</v>
      </c>
      <c r="M6" s="14">
        <v>0.0</v>
      </c>
      <c r="N6" s="14">
        <v>0.0</v>
      </c>
      <c r="O6" s="15"/>
      <c r="P6" s="11"/>
      <c r="Q6" s="11"/>
    </row>
    <row r="7">
      <c r="A7" s="14" t="s">
        <v>35</v>
      </c>
      <c r="B7" s="13" t="s">
        <v>36</v>
      </c>
      <c r="C7" s="13" t="s">
        <v>18</v>
      </c>
      <c r="D7" s="13" t="s">
        <v>37</v>
      </c>
      <c r="E7" s="15"/>
      <c r="F7" s="13">
        <v>36.0</v>
      </c>
      <c r="G7" s="13" t="s">
        <v>21</v>
      </c>
      <c r="H7" s="13" t="s">
        <v>22</v>
      </c>
      <c r="I7" s="14">
        <v>1.0</v>
      </c>
      <c r="J7" s="15"/>
      <c r="K7" s="14">
        <v>152.64</v>
      </c>
      <c r="L7" s="14">
        <v>152.64</v>
      </c>
      <c r="M7" s="14">
        <v>0.0</v>
      </c>
      <c r="N7" s="16">
        <v>152.64</v>
      </c>
      <c r="O7" s="13" t="s">
        <v>26</v>
      </c>
      <c r="P7" s="11"/>
      <c r="Q7" s="11"/>
    </row>
    <row r="8">
      <c r="A8" s="14" t="s">
        <v>38</v>
      </c>
      <c r="B8" s="13" t="s">
        <v>39</v>
      </c>
      <c r="C8" s="13" t="s">
        <v>18</v>
      </c>
      <c r="D8" s="13" t="s">
        <v>40</v>
      </c>
      <c r="E8" s="15"/>
      <c r="F8" s="13">
        <v>36.0</v>
      </c>
      <c r="G8" s="13" t="s">
        <v>21</v>
      </c>
      <c r="H8" s="13" t="s">
        <v>22</v>
      </c>
      <c r="I8" s="14">
        <v>1.0</v>
      </c>
      <c r="J8" s="15"/>
      <c r="K8" s="16">
        <v>653.24</v>
      </c>
      <c r="L8" s="16">
        <v>653.24</v>
      </c>
      <c r="M8" s="14">
        <v>0.0</v>
      </c>
      <c r="N8" s="16">
        <v>653.24</v>
      </c>
      <c r="O8" s="15"/>
      <c r="P8" s="11"/>
      <c r="Q8" s="11"/>
    </row>
    <row r="9">
      <c r="A9" s="14">
        <v>1.3</v>
      </c>
      <c r="B9" s="13" t="s">
        <v>41</v>
      </c>
      <c r="C9" s="13" t="s">
        <v>29</v>
      </c>
      <c r="D9" s="13" t="s">
        <v>42</v>
      </c>
      <c r="E9" s="15"/>
      <c r="F9" s="13" t="s">
        <v>21</v>
      </c>
      <c r="G9" s="13">
        <v>6.0</v>
      </c>
      <c r="H9" s="13" t="s">
        <v>29</v>
      </c>
      <c r="I9" s="14">
        <v>1.0</v>
      </c>
      <c r="J9" s="15"/>
      <c r="K9" s="14">
        <v>0.0</v>
      </c>
      <c r="L9" s="14">
        <v>0.0</v>
      </c>
      <c r="M9" s="14">
        <v>0.0</v>
      </c>
      <c r="N9" s="14">
        <v>0.0</v>
      </c>
      <c r="O9" s="15"/>
      <c r="P9" s="11"/>
      <c r="Q9" s="11"/>
    </row>
    <row r="10">
      <c r="A10" s="14" t="s">
        <v>43</v>
      </c>
      <c r="B10" s="13" t="s">
        <v>44</v>
      </c>
      <c r="C10" s="13" t="s">
        <v>18</v>
      </c>
      <c r="D10" s="13" t="s">
        <v>45</v>
      </c>
      <c r="E10" s="15"/>
      <c r="F10" s="13">
        <v>36.0</v>
      </c>
      <c r="G10" s="13" t="s">
        <v>21</v>
      </c>
      <c r="H10" s="13" t="s">
        <v>22</v>
      </c>
      <c r="I10" s="14">
        <v>1.0</v>
      </c>
      <c r="J10" s="15"/>
      <c r="K10" s="14">
        <v>0.0</v>
      </c>
      <c r="L10" s="14">
        <v>0.0</v>
      </c>
      <c r="M10" s="14">
        <v>0.0</v>
      </c>
      <c r="N10" s="16">
        <v>0.0</v>
      </c>
      <c r="O10" s="15"/>
      <c r="P10" s="11"/>
      <c r="Q10" s="11"/>
    </row>
    <row r="11">
      <c r="A11" s="14">
        <v>1.4</v>
      </c>
      <c r="B11" s="13" t="s">
        <v>46</v>
      </c>
      <c r="C11" s="13" t="s">
        <v>29</v>
      </c>
      <c r="D11" s="13" t="s">
        <v>47</v>
      </c>
      <c r="E11" s="15"/>
      <c r="F11" s="13" t="s">
        <v>21</v>
      </c>
      <c r="G11" s="13">
        <v>21.0</v>
      </c>
      <c r="H11" s="13" t="s">
        <v>29</v>
      </c>
      <c r="I11" s="14">
        <v>1.0</v>
      </c>
      <c r="J11" s="15"/>
      <c r="K11" s="16">
        <v>0.0</v>
      </c>
      <c r="L11" s="16">
        <v>0.0</v>
      </c>
      <c r="M11" s="14">
        <v>0.0</v>
      </c>
      <c r="N11" s="16">
        <v>0.0</v>
      </c>
      <c r="O11" s="15"/>
      <c r="P11" s="11"/>
      <c r="Q11" s="11"/>
    </row>
    <row r="12">
      <c r="A12" s="14" t="s">
        <v>48</v>
      </c>
      <c r="B12" s="13" t="s">
        <v>49</v>
      </c>
      <c r="C12" s="13" t="s">
        <v>18</v>
      </c>
      <c r="D12" s="13" t="s">
        <v>50</v>
      </c>
      <c r="E12" s="15"/>
      <c r="F12" s="13">
        <v>36.0</v>
      </c>
      <c r="G12" s="13" t="s">
        <v>21</v>
      </c>
      <c r="H12" s="13" t="s">
        <v>22</v>
      </c>
      <c r="I12" s="14">
        <v>1.0</v>
      </c>
      <c r="J12" s="15"/>
      <c r="K12" s="14">
        <v>0.0</v>
      </c>
      <c r="L12" s="14">
        <v>0.0</v>
      </c>
      <c r="M12" s="14">
        <v>0.0</v>
      </c>
      <c r="N12" s="14">
        <v>0.0</v>
      </c>
      <c r="O12" s="15"/>
      <c r="P12" s="11"/>
      <c r="Q12" s="11"/>
    </row>
    <row r="13">
      <c r="A13" s="14">
        <v>1.5</v>
      </c>
      <c r="B13" s="13" t="s">
        <v>51</v>
      </c>
      <c r="C13" s="13" t="s">
        <v>18</v>
      </c>
      <c r="D13" s="13" t="s">
        <v>52</v>
      </c>
      <c r="E13" s="15"/>
      <c r="F13" s="13" t="s">
        <v>21</v>
      </c>
      <c r="G13" s="13">
        <v>28.0</v>
      </c>
      <c r="H13" s="13" t="s">
        <v>29</v>
      </c>
      <c r="I13" s="14">
        <v>1.0</v>
      </c>
      <c r="J13" s="15"/>
      <c r="K13" s="14">
        <v>0.0</v>
      </c>
      <c r="L13" s="14">
        <v>0.0</v>
      </c>
      <c r="M13" s="14">
        <v>0.0</v>
      </c>
      <c r="N13" s="16">
        <v>0.0</v>
      </c>
      <c r="O13" s="15"/>
      <c r="P13" s="11"/>
      <c r="Q13" s="11"/>
    </row>
    <row r="14">
      <c r="A14" s="14">
        <v>1.6</v>
      </c>
      <c r="B14" s="13" t="s">
        <v>53</v>
      </c>
      <c r="C14" s="13" t="s">
        <v>18</v>
      </c>
      <c r="D14" s="13" t="s">
        <v>54</v>
      </c>
      <c r="E14" s="15"/>
      <c r="F14" s="13" t="s">
        <v>21</v>
      </c>
      <c r="G14" s="13">
        <v>21.0</v>
      </c>
      <c r="H14" s="13" t="s">
        <v>29</v>
      </c>
      <c r="I14" s="14">
        <v>1.0</v>
      </c>
      <c r="J14" s="15"/>
      <c r="K14" s="16">
        <v>0.0</v>
      </c>
      <c r="L14" s="16">
        <v>0.0</v>
      </c>
      <c r="M14" s="14">
        <v>0.0</v>
      </c>
      <c r="N14" s="16">
        <v>0.0</v>
      </c>
      <c r="O14" s="15"/>
      <c r="P14" s="11"/>
      <c r="Q14" s="11"/>
    </row>
    <row r="15">
      <c r="A15" s="14">
        <v>1.7</v>
      </c>
      <c r="B15" s="13" t="s">
        <v>55</v>
      </c>
      <c r="C15" s="13" t="s">
        <v>18</v>
      </c>
      <c r="D15" s="13" t="s">
        <v>56</v>
      </c>
      <c r="E15" s="15"/>
      <c r="F15" s="13" t="s">
        <v>21</v>
      </c>
      <c r="G15" s="13">
        <v>21.0</v>
      </c>
      <c r="H15" s="13" t="s">
        <v>29</v>
      </c>
      <c r="I15" s="14">
        <v>1.0</v>
      </c>
      <c r="J15" s="15"/>
      <c r="K15" s="14">
        <v>0.0</v>
      </c>
      <c r="L15" s="14">
        <v>0.0</v>
      </c>
      <c r="M15" s="14">
        <v>0.0</v>
      </c>
      <c r="N15" s="14">
        <v>0.0</v>
      </c>
      <c r="O15" s="15"/>
      <c r="P15" s="11"/>
      <c r="Q15" s="11"/>
    </row>
    <row r="16">
      <c r="A16" s="14">
        <v>1.8</v>
      </c>
      <c r="B16" s="13" t="s">
        <v>57</v>
      </c>
      <c r="C16" s="13" t="s">
        <v>29</v>
      </c>
      <c r="D16" s="13" t="s">
        <v>58</v>
      </c>
      <c r="E16" s="15"/>
      <c r="F16" s="13" t="s">
        <v>21</v>
      </c>
      <c r="G16" s="13">
        <v>2.0</v>
      </c>
      <c r="H16" s="13" t="s">
        <v>29</v>
      </c>
      <c r="I16" s="14">
        <v>1.0</v>
      </c>
      <c r="J16" s="15"/>
      <c r="K16" s="14">
        <v>0.0</v>
      </c>
      <c r="L16" s="14">
        <v>0.0</v>
      </c>
      <c r="M16" s="14">
        <v>0.0</v>
      </c>
      <c r="N16" s="16">
        <v>0.0</v>
      </c>
      <c r="O16" s="15"/>
      <c r="P16" s="11"/>
      <c r="Q16" s="11"/>
    </row>
    <row r="17">
      <c r="A17" s="14">
        <v>1.9</v>
      </c>
      <c r="B17" s="13" t="s">
        <v>59</v>
      </c>
      <c r="C17" s="13" t="s">
        <v>29</v>
      </c>
      <c r="D17" s="13" t="s">
        <v>60</v>
      </c>
      <c r="E17" s="15"/>
      <c r="F17" s="13" t="s">
        <v>21</v>
      </c>
      <c r="G17" s="13">
        <v>2.0</v>
      </c>
      <c r="H17" s="13" t="s">
        <v>29</v>
      </c>
      <c r="I17" s="14">
        <v>1.0</v>
      </c>
      <c r="J17" s="15"/>
      <c r="K17" s="14">
        <v>0.0</v>
      </c>
      <c r="L17" s="14">
        <v>0.0</v>
      </c>
      <c r="M17" s="14">
        <v>0.0</v>
      </c>
      <c r="N17" s="14">
        <v>0.0</v>
      </c>
      <c r="O17" s="15"/>
      <c r="P17" s="11"/>
      <c r="Q17" s="11"/>
    </row>
    <row r="18">
      <c r="A18" s="14">
        <v>1.1</v>
      </c>
      <c r="B18" s="13" t="s">
        <v>61</v>
      </c>
      <c r="C18" s="13" t="s">
        <v>18</v>
      </c>
      <c r="D18" s="13" t="s">
        <v>62</v>
      </c>
      <c r="E18" s="15"/>
      <c r="F18" s="13" t="s">
        <v>21</v>
      </c>
      <c r="G18" s="13">
        <v>21.0</v>
      </c>
      <c r="H18" s="13" t="s">
        <v>22</v>
      </c>
      <c r="I18" s="14">
        <v>1.0</v>
      </c>
      <c r="J18" s="15"/>
      <c r="K18" s="14">
        <v>0.0</v>
      </c>
      <c r="L18" s="14">
        <v>0.0</v>
      </c>
      <c r="M18" s="14">
        <v>0.0</v>
      </c>
      <c r="N18" s="14">
        <v>0.0</v>
      </c>
      <c r="O18" s="15"/>
      <c r="P18" s="11"/>
      <c r="Q18" s="11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8" t="s">
        <v>63</v>
      </c>
      <c r="N19" s="19">
        <v>5102.39</v>
      </c>
      <c r="O19" s="20"/>
      <c r="P19" s="11"/>
      <c r="Q19" s="11"/>
    </row>
    <row r="20">
      <c r="A20" s="12">
        <v>2.0</v>
      </c>
      <c r="B20" s="12" t="s">
        <v>64</v>
      </c>
      <c r="C20" s="13" t="s">
        <v>18</v>
      </c>
      <c r="D20" s="13" t="s">
        <v>65</v>
      </c>
      <c r="E20" s="13" t="s">
        <v>20</v>
      </c>
      <c r="F20" s="13" t="s">
        <v>21</v>
      </c>
      <c r="G20" s="13">
        <v>21.0</v>
      </c>
      <c r="H20" s="13" t="s">
        <v>22</v>
      </c>
      <c r="I20" s="14">
        <v>1.0</v>
      </c>
      <c r="J20" s="15"/>
      <c r="K20" s="16">
        <v>1515.1</v>
      </c>
      <c r="L20" s="16">
        <v>1515.1</v>
      </c>
      <c r="M20" s="14">
        <v>0.0</v>
      </c>
      <c r="N20" s="16">
        <v>1515.1</v>
      </c>
      <c r="O20" s="15"/>
      <c r="P20" s="11"/>
      <c r="Q20" s="11"/>
    </row>
    <row r="21">
      <c r="A21" s="14" t="s">
        <v>66</v>
      </c>
      <c r="B21" s="13" t="s">
        <v>67</v>
      </c>
      <c r="C21" s="13" t="s">
        <v>18</v>
      </c>
      <c r="D21" s="13" t="s">
        <v>68</v>
      </c>
      <c r="E21" s="15"/>
      <c r="F21" s="13">
        <v>36.0</v>
      </c>
      <c r="G21" s="13" t="s">
        <v>21</v>
      </c>
      <c r="H21" s="13" t="s">
        <v>22</v>
      </c>
      <c r="I21" s="14">
        <v>1.0</v>
      </c>
      <c r="J21" s="15"/>
      <c r="K21" s="14">
        <v>272.25</v>
      </c>
      <c r="L21" s="14">
        <v>272.25</v>
      </c>
      <c r="M21" s="14">
        <v>0.0</v>
      </c>
      <c r="N21" s="14">
        <v>272.25</v>
      </c>
      <c r="O21" s="13" t="s">
        <v>26</v>
      </c>
      <c r="P21" s="11"/>
      <c r="Q21" s="11"/>
    </row>
    <row r="22">
      <c r="A22" s="14">
        <v>2.1</v>
      </c>
      <c r="B22" s="13" t="s">
        <v>69</v>
      </c>
      <c r="C22" s="13" t="s">
        <v>18</v>
      </c>
      <c r="D22" s="13" t="s">
        <v>70</v>
      </c>
      <c r="E22" s="15"/>
      <c r="F22" s="13" t="s">
        <v>21</v>
      </c>
      <c r="G22" s="13">
        <v>28.0</v>
      </c>
      <c r="H22" s="13" t="s">
        <v>29</v>
      </c>
      <c r="I22" s="14">
        <v>1.0</v>
      </c>
      <c r="J22" s="15"/>
      <c r="K22" s="14">
        <v>0.0</v>
      </c>
      <c r="L22" s="14">
        <v>0.0</v>
      </c>
      <c r="M22" s="14">
        <v>0.0</v>
      </c>
      <c r="N22" s="14">
        <v>0.0</v>
      </c>
      <c r="O22" s="15"/>
      <c r="P22" s="11"/>
      <c r="Q22" s="11"/>
    </row>
    <row r="23">
      <c r="A23" s="14" t="s">
        <v>71</v>
      </c>
      <c r="B23" s="13" t="s">
        <v>72</v>
      </c>
      <c r="C23" s="13" t="s">
        <v>18</v>
      </c>
      <c r="D23" s="13" t="s">
        <v>73</v>
      </c>
      <c r="E23" s="15"/>
      <c r="F23" s="13">
        <v>36.0</v>
      </c>
      <c r="G23" s="13" t="s">
        <v>21</v>
      </c>
      <c r="H23" s="13" t="s">
        <v>22</v>
      </c>
      <c r="I23" s="14">
        <v>1.0</v>
      </c>
      <c r="J23" s="15"/>
      <c r="K23" s="14">
        <v>0.0</v>
      </c>
      <c r="L23" s="14">
        <v>0.0</v>
      </c>
      <c r="M23" s="14">
        <v>0.0</v>
      </c>
      <c r="N23" s="14">
        <v>0.0</v>
      </c>
      <c r="O23" s="15"/>
      <c r="P23" s="11"/>
      <c r="Q23" s="11"/>
    </row>
    <row r="24">
      <c r="A24" s="14">
        <v>2.2</v>
      </c>
      <c r="B24" s="13" t="s">
        <v>33</v>
      </c>
      <c r="C24" s="13" t="s">
        <v>18</v>
      </c>
      <c r="D24" s="13" t="s">
        <v>34</v>
      </c>
      <c r="E24" s="15"/>
      <c r="F24" s="13" t="s">
        <v>21</v>
      </c>
      <c r="G24" s="13">
        <v>2.0</v>
      </c>
      <c r="H24" s="13" t="s">
        <v>22</v>
      </c>
      <c r="I24" s="14">
        <v>1.0</v>
      </c>
      <c r="J24" s="15"/>
      <c r="K24" s="14">
        <v>0.0</v>
      </c>
      <c r="L24" s="14">
        <v>0.0</v>
      </c>
      <c r="M24" s="14">
        <v>0.0</v>
      </c>
      <c r="N24" s="14">
        <v>0.0</v>
      </c>
      <c r="O24" s="15"/>
      <c r="P24" s="11"/>
      <c r="Q24" s="11"/>
    </row>
    <row r="25">
      <c r="A25" s="14" t="s">
        <v>74</v>
      </c>
      <c r="B25" s="13" t="s">
        <v>36</v>
      </c>
      <c r="C25" s="13" t="s">
        <v>18</v>
      </c>
      <c r="D25" s="13" t="s">
        <v>37</v>
      </c>
      <c r="E25" s="15"/>
      <c r="F25" s="13">
        <v>36.0</v>
      </c>
      <c r="G25" s="13" t="s">
        <v>21</v>
      </c>
      <c r="H25" s="13" t="s">
        <v>22</v>
      </c>
      <c r="I25" s="14">
        <v>1.0</v>
      </c>
      <c r="J25" s="15"/>
      <c r="K25" s="14">
        <v>152.64</v>
      </c>
      <c r="L25" s="14">
        <v>152.64</v>
      </c>
      <c r="M25" s="14">
        <v>0.0</v>
      </c>
      <c r="N25" s="14">
        <v>152.64</v>
      </c>
      <c r="O25" s="13" t="s">
        <v>26</v>
      </c>
      <c r="P25" s="11"/>
      <c r="Q25" s="11"/>
    </row>
    <row r="26">
      <c r="A26" s="14" t="s">
        <v>75</v>
      </c>
      <c r="B26" s="13" t="s">
        <v>39</v>
      </c>
      <c r="C26" s="13" t="s">
        <v>18</v>
      </c>
      <c r="D26" s="13" t="s">
        <v>40</v>
      </c>
      <c r="E26" s="15"/>
      <c r="F26" s="13">
        <v>36.0</v>
      </c>
      <c r="G26" s="13" t="s">
        <v>21</v>
      </c>
      <c r="H26" s="13" t="s">
        <v>22</v>
      </c>
      <c r="I26" s="14">
        <v>1.0</v>
      </c>
      <c r="J26" s="15"/>
      <c r="K26" s="14">
        <v>653.24</v>
      </c>
      <c r="L26" s="14">
        <v>653.24</v>
      </c>
      <c r="M26" s="14">
        <v>0.0</v>
      </c>
      <c r="N26" s="14">
        <v>653.24</v>
      </c>
      <c r="O26" s="15"/>
      <c r="P26" s="11"/>
      <c r="Q26" s="11"/>
    </row>
    <row r="27">
      <c r="A27" s="14">
        <v>2.3</v>
      </c>
      <c r="B27" s="13" t="s">
        <v>41</v>
      </c>
      <c r="C27" s="13" t="s">
        <v>29</v>
      </c>
      <c r="D27" s="13" t="s">
        <v>42</v>
      </c>
      <c r="E27" s="15"/>
      <c r="F27" s="13" t="s">
        <v>21</v>
      </c>
      <c r="G27" s="13">
        <v>6.0</v>
      </c>
      <c r="H27" s="13" t="s">
        <v>29</v>
      </c>
      <c r="I27" s="14">
        <v>1.0</v>
      </c>
      <c r="J27" s="15"/>
      <c r="K27" s="14">
        <v>0.0</v>
      </c>
      <c r="L27" s="14">
        <v>0.0</v>
      </c>
      <c r="M27" s="14">
        <v>0.0</v>
      </c>
      <c r="N27" s="14">
        <v>0.0</v>
      </c>
      <c r="O27" s="15"/>
      <c r="P27" s="11"/>
      <c r="Q27" s="11"/>
    </row>
    <row r="28">
      <c r="A28" s="14" t="s">
        <v>76</v>
      </c>
      <c r="B28" s="13" t="s">
        <v>44</v>
      </c>
      <c r="C28" s="13" t="s">
        <v>18</v>
      </c>
      <c r="D28" s="13" t="s">
        <v>45</v>
      </c>
      <c r="E28" s="15"/>
      <c r="F28" s="13">
        <v>36.0</v>
      </c>
      <c r="G28" s="13" t="s">
        <v>21</v>
      </c>
      <c r="H28" s="13" t="s">
        <v>22</v>
      </c>
      <c r="I28" s="14">
        <v>1.0</v>
      </c>
      <c r="J28" s="15"/>
      <c r="K28" s="14">
        <v>0.0</v>
      </c>
      <c r="L28" s="14">
        <v>0.0</v>
      </c>
      <c r="M28" s="14">
        <v>0.0</v>
      </c>
      <c r="N28" s="14">
        <v>0.0</v>
      </c>
      <c r="O28" s="15"/>
      <c r="P28" s="11"/>
      <c r="Q28" s="11"/>
    </row>
    <row r="29">
      <c r="A29" s="14">
        <v>2.4</v>
      </c>
      <c r="B29" s="13" t="s">
        <v>46</v>
      </c>
      <c r="C29" s="13" t="s">
        <v>29</v>
      </c>
      <c r="D29" s="13" t="s">
        <v>47</v>
      </c>
      <c r="E29" s="15"/>
      <c r="F29" s="13" t="s">
        <v>21</v>
      </c>
      <c r="G29" s="13">
        <v>21.0</v>
      </c>
      <c r="H29" s="13" t="s">
        <v>29</v>
      </c>
      <c r="I29" s="14">
        <v>1.0</v>
      </c>
      <c r="J29" s="15"/>
      <c r="K29" s="14">
        <v>0.0</v>
      </c>
      <c r="L29" s="14">
        <v>0.0</v>
      </c>
      <c r="M29" s="14">
        <v>0.0</v>
      </c>
      <c r="N29" s="16">
        <v>0.0</v>
      </c>
      <c r="O29" s="15"/>
      <c r="P29" s="11"/>
      <c r="Q29" s="11"/>
    </row>
    <row r="30">
      <c r="A30" s="14" t="s">
        <v>77</v>
      </c>
      <c r="B30" s="13" t="s">
        <v>49</v>
      </c>
      <c r="C30" s="13" t="s">
        <v>18</v>
      </c>
      <c r="D30" s="13" t="s">
        <v>50</v>
      </c>
      <c r="E30" s="15"/>
      <c r="F30" s="13">
        <v>36.0</v>
      </c>
      <c r="G30" s="13" t="s">
        <v>21</v>
      </c>
      <c r="H30" s="13" t="s">
        <v>22</v>
      </c>
      <c r="I30" s="14">
        <v>1.0</v>
      </c>
      <c r="J30" s="15"/>
      <c r="K30" s="16">
        <v>0.0</v>
      </c>
      <c r="L30" s="16">
        <v>0.0</v>
      </c>
      <c r="M30" s="14">
        <v>0.0</v>
      </c>
      <c r="N30" s="16">
        <v>0.0</v>
      </c>
      <c r="O30" s="15"/>
      <c r="P30" s="11"/>
      <c r="Q30" s="11"/>
    </row>
    <row r="31">
      <c r="A31" s="14">
        <v>2.5</v>
      </c>
      <c r="B31" s="13" t="s">
        <v>78</v>
      </c>
      <c r="C31" s="13" t="s">
        <v>18</v>
      </c>
      <c r="D31" s="13" t="s">
        <v>79</v>
      </c>
      <c r="E31" s="15"/>
      <c r="F31" s="13" t="s">
        <v>21</v>
      </c>
      <c r="G31" s="13">
        <v>28.0</v>
      </c>
      <c r="H31" s="13" t="s">
        <v>29</v>
      </c>
      <c r="I31" s="14">
        <v>1.0</v>
      </c>
      <c r="J31" s="15"/>
      <c r="K31" s="14">
        <v>0.0</v>
      </c>
      <c r="L31" s="14">
        <v>0.0</v>
      </c>
      <c r="M31" s="14">
        <v>0.0</v>
      </c>
      <c r="N31" s="14">
        <v>0.0</v>
      </c>
      <c r="O31" s="15"/>
      <c r="P31" s="11"/>
      <c r="Q31" s="11"/>
    </row>
    <row r="32">
      <c r="A32" s="14">
        <v>2.6</v>
      </c>
      <c r="B32" s="13" t="s">
        <v>53</v>
      </c>
      <c r="C32" s="13" t="s">
        <v>18</v>
      </c>
      <c r="D32" s="13" t="s">
        <v>54</v>
      </c>
      <c r="E32" s="15"/>
      <c r="F32" s="13" t="s">
        <v>21</v>
      </c>
      <c r="G32" s="13">
        <v>21.0</v>
      </c>
      <c r="H32" s="13" t="s">
        <v>29</v>
      </c>
      <c r="I32" s="14">
        <v>1.0</v>
      </c>
      <c r="J32" s="15"/>
      <c r="K32" s="14">
        <v>0.0</v>
      </c>
      <c r="L32" s="14">
        <v>0.0</v>
      </c>
      <c r="M32" s="14">
        <v>0.0</v>
      </c>
      <c r="N32" s="14">
        <v>0.0</v>
      </c>
      <c r="O32" s="15"/>
      <c r="P32" s="11"/>
      <c r="Q32" s="11"/>
    </row>
    <row r="33">
      <c r="A33" s="14">
        <v>2.7</v>
      </c>
      <c r="B33" s="13" t="s">
        <v>55</v>
      </c>
      <c r="C33" s="13" t="s">
        <v>18</v>
      </c>
      <c r="D33" s="13" t="s">
        <v>56</v>
      </c>
      <c r="E33" s="15"/>
      <c r="F33" s="13" t="s">
        <v>21</v>
      </c>
      <c r="G33" s="13">
        <v>21.0</v>
      </c>
      <c r="H33" s="13" t="s">
        <v>22</v>
      </c>
      <c r="I33" s="14">
        <v>1.0</v>
      </c>
      <c r="J33" s="15"/>
      <c r="K33" s="14">
        <v>0.0</v>
      </c>
      <c r="L33" s="14">
        <v>0.0</v>
      </c>
      <c r="M33" s="14">
        <v>0.0</v>
      </c>
      <c r="N33" s="14">
        <v>0.0</v>
      </c>
      <c r="O33" s="15"/>
      <c r="P33" s="11"/>
      <c r="Q33" s="11"/>
    </row>
    <row r="34">
      <c r="A34" s="14">
        <v>2.8</v>
      </c>
      <c r="B34" s="13" t="s">
        <v>57</v>
      </c>
      <c r="C34" s="13" t="s">
        <v>29</v>
      </c>
      <c r="D34" s="13" t="s">
        <v>58</v>
      </c>
      <c r="E34" s="15"/>
      <c r="F34" s="13" t="s">
        <v>21</v>
      </c>
      <c r="G34" s="13">
        <v>2.0</v>
      </c>
      <c r="H34" s="13" t="s">
        <v>29</v>
      </c>
      <c r="I34" s="14">
        <v>1.0</v>
      </c>
      <c r="J34" s="15"/>
      <c r="K34" s="14">
        <v>0.0</v>
      </c>
      <c r="L34" s="14">
        <v>0.0</v>
      </c>
      <c r="M34" s="14">
        <v>0.0</v>
      </c>
      <c r="N34" s="14">
        <v>0.0</v>
      </c>
      <c r="O34" s="15"/>
      <c r="P34" s="11"/>
      <c r="Q34" s="11"/>
    </row>
    <row r="35">
      <c r="A35" s="14">
        <v>2.9</v>
      </c>
      <c r="B35" s="13" t="s">
        <v>59</v>
      </c>
      <c r="C35" s="13" t="s">
        <v>29</v>
      </c>
      <c r="D35" s="13" t="s">
        <v>60</v>
      </c>
      <c r="E35" s="15"/>
      <c r="F35" s="13" t="s">
        <v>21</v>
      </c>
      <c r="G35" s="13">
        <v>2.0</v>
      </c>
      <c r="H35" s="13" t="s">
        <v>29</v>
      </c>
      <c r="I35" s="14">
        <v>1.0</v>
      </c>
      <c r="J35" s="15"/>
      <c r="K35" s="14">
        <v>0.0</v>
      </c>
      <c r="L35" s="14">
        <v>0.0</v>
      </c>
      <c r="M35" s="14">
        <v>0.0</v>
      </c>
      <c r="N35" s="14">
        <v>0.0</v>
      </c>
      <c r="O35" s="15"/>
      <c r="P35" s="11"/>
      <c r="Q35" s="11"/>
    </row>
    <row r="36">
      <c r="A36" s="14">
        <v>2.1</v>
      </c>
      <c r="B36" s="13" t="s">
        <v>80</v>
      </c>
      <c r="C36" s="13" t="s">
        <v>18</v>
      </c>
      <c r="D36" s="13" t="s">
        <v>62</v>
      </c>
      <c r="E36" s="15"/>
      <c r="F36" s="13" t="s">
        <v>21</v>
      </c>
      <c r="G36" s="13">
        <v>21.0</v>
      </c>
      <c r="H36" s="13" t="s">
        <v>22</v>
      </c>
      <c r="I36" s="14">
        <v>1.0</v>
      </c>
      <c r="J36" s="15"/>
      <c r="K36" s="14">
        <v>0.0</v>
      </c>
      <c r="L36" s="14">
        <v>0.0</v>
      </c>
      <c r="M36" s="14">
        <v>0.0</v>
      </c>
      <c r="N36" s="14">
        <v>0.0</v>
      </c>
      <c r="O36" s="15"/>
      <c r="P36" s="11"/>
      <c r="Q36" s="11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8" t="s">
        <v>63</v>
      </c>
      <c r="N37" s="19">
        <v>2593.23</v>
      </c>
      <c r="O37" s="20"/>
      <c r="P37" s="11"/>
      <c r="Q37" s="11"/>
    </row>
    <row r="38">
      <c r="A38" s="12">
        <v>3.0</v>
      </c>
      <c r="B38" s="12" t="s">
        <v>81</v>
      </c>
      <c r="C38" s="13" t="s">
        <v>18</v>
      </c>
      <c r="D38" s="13" t="s">
        <v>82</v>
      </c>
      <c r="E38" s="13" t="s">
        <v>20</v>
      </c>
      <c r="F38" s="13" t="s">
        <v>21</v>
      </c>
      <c r="G38" s="13">
        <v>28.0</v>
      </c>
      <c r="H38" s="13" t="s">
        <v>22</v>
      </c>
      <c r="I38" s="14">
        <v>1.0</v>
      </c>
      <c r="J38" s="15"/>
      <c r="K38" s="16">
        <v>2671.2</v>
      </c>
      <c r="L38" s="16">
        <v>2671.2</v>
      </c>
      <c r="M38" s="14">
        <v>0.0</v>
      </c>
      <c r="N38" s="16">
        <v>2671.2</v>
      </c>
      <c r="O38" s="15"/>
      <c r="P38" s="11"/>
      <c r="Q38" s="11"/>
    </row>
    <row r="39">
      <c r="A39" s="14" t="s">
        <v>83</v>
      </c>
      <c r="B39" s="13" t="s">
        <v>84</v>
      </c>
      <c r="C39" s="13" t="s">
        <v>18</v>
      </c>
      <c r="D39" s="13" t="s">
        <v>85</v>
      </c>
      <c r="E39" s="15"/>
      <c r="F39" s="13">
        <v>36.0</v>
      </c>
      <c r="G39" s="13" t="s">
        <v>21</v>
      </c>
      <c r="H39" s="13" t="s">
        <v>22</v>
      </c>
      <c r="I39" s="14">
        <v>1.0</v>
      </c>
      <c r="J39" s="15"/>
      <c r="K39" s="14">
        <v>478.5</v>
      </c>
      <c r="L39" s="14">
        <v>478.5</v>
      </c>
      <c r="M39" s="14">
        <v>0.0</v>
      </c>
      <c r="N39" s="14">
        <v>478.5</v>
      </c>
      <c r="O39" s="13" t="s">
        <v>26</v>
      </c>
      <c r="P39" s="11"/>
      <c r="Q39" s="11"/>
    </row>
    <row r="40">
      <c r="A40" s="14">
        <v>3.1</v>
      </c>
      <c r="B40" s="13" t="s">
        <v>86</v>
      </c>
      <c r="C40" s="13" t="s">
        <v>18</v>
      </c>
      <c r="D40" s="13" t="s">
        <v>87</v>
      </c>
      <c r="E40" s="15"/>
      <c r="F40" s="13" t="s">
        <v>21</v>
      </c>
      <c r="G40" s="13">
        <v>28.0</v>
      </c>
      <c r="H40" s="13" t="s">
        <v>29</v>
      </c>
      <c r="I40" s="14">
        <v>1.0</v>
      </c>
      <c r="J40" s="15"/>
      <c r="K40" s="14">
        <v>0.0</v>
      </c>
      <c r="L40" s="14">
        <v>0.0</v>
      </c>
      <c r="M40" s="14">
        <v>0.0</v>
      </c>
      <c r="N40" s="14">
        <v>0.0</v>
      </c>
      <c r="O40" s="15"/>
      <c r="P40" s="11"/>
      <c r="Q40" s="11"/>
    </row>
    <row r="41">
      <c r="A41" s="14" t="s">
        <v>88</v>
      </c>
      <c r="B41" s="13" t="s">
        <v>89</v>
      </c>
      <c r="C41" s="13" t="s">
        <v>18</v>
      </c>
      <c r="D41" s="13" t="s">
        <v>90</v>
      </c>
      <c r="E41" s="15"/>
      <c r="F41" s="13">
        <v>36.0</v>
      </c>
      <c r="G41" s="13" t="s">
        <v>21</v>
      </c>
      <c r="H41" s="13" t="s">
        <v>22</v>
      </c>
      <c r="I41" s="14">
        <v>1.0</v>
      </c>
      <c r="J41" s="15"/>
      <c r="K41" s="14">
        <v>0.0</v>
      </c>
      <c r="L41" s="14">
        <v>0.0</v>
      </c>
      <c r="M41" s="14">
        <v>0.0</v>
      </c>
      <c r="N41" s="14">
        <v>0.0</v>
      </c>
      <c r="O41" s="15"/>
      <c r="P41" s="11"/>
      <c r="Q41" s="11"/>
    </row>
    <row r="42">
      <c r="A42" s="14">
        <v>3.2</v>
      </c>
      <c r="B42" s="13" t="s">
        <v>33</v>
      </c>
      <c r="C42" s="13" t="s">
        <v>18</v>
      </c>
      <c r="D42" s="13" t="s">
        <v>34</v>
      </c>
      <c r="E42" s="15"/>
      <c r="F42" s="13" t="s">
        <v>21</v>
      </c>
      <c r="G42" s="13">
        <v>2.0</v>
      </c>
      <c r="H42" s="13" t="s">
        <v>22</v>
      </c>
      <c r="I42" s="14">
        <v>1.0</v>
      </c>
      <c r="J42" s="15"/>
      <c r="K42" s="14">
        <v>0.0</v>
      </c>
      <c r="L42" s="14">
        <v>0.0</v>
      </c>
      <c r="M42" s="14">
        <v>0.0</v>
      </c>
      <c r="N42" s="14">
        <v>0.0</v>
      </c>
      <c r="O42" s="15"/>
      <c r="P42" s="11"/>
      <c r="Q42" s="11"/>
    </row>
    <row r="43">
      <c r="A43" s="14" t="s">
        <v>91</v>
      </c>
      <c r="B43" s="13" t="s">
        <v>36</v>
      </c>
      <c r="C43" s="13" t="s">
        <v>18</v>
      </c>
      <c r="D43" s="13" t="s">
        <v>37</v>
      </c>
      <c r="E43" s="15"/>
      <c r="F43" s="13">
        <v>36.0</v>
      </c>
      <c r="G43" s="13" t="s">
        <v>21</v>
      </c>
      <c r="H43" s="13" t="s">
        <v>22</v>
      </c>
      <c r="I43" s="14">
        <v>1.0</v>
      </c>
      <c r="J43" s="15"/>
      <c r="K43" s="14">
        <v>152.64</v>
      </c>
      <c r="L43" s="14">
        <v>152.64</v>
      </c>
      <c r="M43" s="14">
        <v>0.0</v>
      </c>
      <c r="N43" s="14">
        <v>152.64</v>
      </c>
      <c r="O43" s="13" t="s">
        <v>26</v>
      </c>
      <c r="P43" s="11"/>
      <c r="Q43" s="11"/>
    </row>
    <row r="44">
      <c r="A44" s="14" t="s">
        <v>92</v>
      </c>
      <c r="B44" s="13" t="s">
        <v>39</v>
      </c>
      <c r="C44" s="13" t="s">
        <v>18</v>
      </c>
      <c r="D44" s="13" t="s">
        <v>40</v>
      </c>
      <c r="E44" s="15"/>
      <c r="F44" s="13">
        <v>36.0</v>
      </c>
      <c r="G44" s="13" t="s">
        <v>21</v>
      </c>
      <c r="H44" s="13" t="s">
        <v>22</v>
      </c>
      <c r="I44" s="14">
        <v>1.0</v>
      </c>
      <c r="J44" s="15"/>
      <c r="K44" s="14">
        <v>653.24</v>
      </c>
      <c r="L44" s="14">
        <v>653.24</v>
      </c>
      <c r="M44" s="14">
        <v>0.0</v>
      </c>
      <c r="N44" s="14">
        <v>653.24</v>
      </c>
      <c r="O44" s="15"/>
      <c r="P44" s="11"/>
      <c r="Q44" s="11"/>
    </row>
    <row r="45">
      <c r="A45" s="14">
        <v>3.3</v>
      </c>
      <c r="B45" s="13" t="s">
        <v>41</v>
      </c>
      <c r="C45" s="13" t="s">
        <v>29</v>
      </c>
      <c r="D45" s="13" t="s">
        <v>42</v>
      </c>
      <c r="E45" s="15"/>
      <c r="F45" s="13" t="s">
        <v>21</v>
      </c>
      <c r="G45" s="13">
        <v>6.0</v>
      </c>
      <c r="H45" s="13" t="s">
        <v>29</v>
      </c>
      <c r="I45" s="14">
        <v>1.0</v>
      </c>
      <c r="J45" s="15"/>
      <c r="K45" s="14">
        <v>0.0</v>
      </c>
      <c r="L45" s="14">
        <v>0.0</v>
      </c>
      <c r="M45" s="14">
        <v>0.0</v>
      </c>
      <c r="N45" s="14">
        <v>0.0</v>
      </c>
      <c r="O45" s="15"/>
      <c r="P45" s="11"/>
      <c r="Q45" s="11"/>
    </row>
    <row r="46">
      <c r="A46" s="14" t="s">
        <v>93</v>
      </c>
      <c r="B46" s="13" t="s">
        <v>44</v>
      </c>
      <c r="C46" s="13" t="s">
        <v>18</v>
      </c>
      <c r="D46" s="13" t="s">
        <v>45</v>
      </c>
      <c r="E46" s="15"/>
      <c r="F46" s="13">
        <v>36.0</v>
      </c>
      <c r="G46" s="13" t="s">
        <v>21</v>
      </c>
      <c r="H46" s="13" t="s">
        <v>22</v>
      </c>
      <c r="I46" s="14">
        <v>1.0</v>
      </c>
      <c r="J46" s="15"/>
      <c r="K46" s="14">
        <v>0.0</v>
      </c>
      <c r="L46" s="14">
        <v>0.0</v>
      </c>
      <c r="M46" s="14">
        <v>0.0</v>
      </c>
      <c r="N46" s="14">
        <v>0.0</v>
      </c>
      <c r="O46" s="15"/>
      <c r="P46" s="11"/>
      <c r="Q46" s="11"/>
    </row>
    <row r="47">
      <c r="A47" s="14">
        <v>3.4</v>
      </c>
      <c r="B47" s="13" t="s">
        <v>46</v>
      </c>
      <c r="C47" s="13" t="s">
        <v>29</v>
      </c>
      <c r="D47" s="13" t="s">
        <v>47</v>
      </c>
      <c r="E47" s="15"/>
      <c r="F47" s="13" t="s">
        <v>21</v>
      </c>
      <c r="G47" s="13">
        <v>21.0</v>
      </c>
      <c r="H47" s="13" t="s">
        <v>29</v>
      </c>
      <c r="I47" s="14">
        <v>1.0</v>
      </c>
      <c r="J47" s="15"/>
      <c r="K47" s="14">
        <v>0.0</v>
      </c>
      <c r="L47" s="14">
        <v>0.0</v>
      </c>
      <c r="M47" s="14">
        <v>0.0</v>
      </c>
      <c r="N47" s="16">
        <v>0.0</v>
      </c>
      <c r="O47" s="15"/>
      <c r="P47" s="11"/>
      <c r="Q47" s="11"/>
    </row>
    <row r="48">
      <c r="A48" s="14" t="s">
        <v>94</v>
      </c>
      <c r="B48" s="13" t="s">
        <v>49</v>
      </c>
      <c r="C48" s="13" t="s">
        <v>18</v>
      </c>
      <c r="D48" s="13" t="s">
        <v>50</v>
      </c>
      <c r="E48" s="15"/>
      <c r="F48" s="13">
        <v>36.0</v>
      </c>
      <c r="G48" s="13" t="s">
        <v>21</v>
      </c>
      <c r="H48" s="13" t="s">
        <v>22</v>
      </c>
      <c r="I48" s="14">
        <v>1.0</v>
      </c>
      <c r="J48" s="15"/>
      <c r="K48" s="16">
        <v>0.0</v>
      </c>
      <c r="L48" s="16">
        <v>0.0</v>
      </c>
      <c r="M48" s="14">
        <v>0.0</v>
      </c>
      <c r="N48" s="16">
        <v>0.0</v>
      </c>
      <c r="O48" s="15"/>
      <c r="P48" s="11"/>
      <c r="Q48" s="11"/>
    </row>
    <row r="49">
      <c r="A49" s="14">
        <v>3.5</v>
      </c>
      <c r="B49" s="13" t="s">
        <v>95</v>
      </c>
      <c r="C49" s="13" t="s">
        <v>18</v>
      </c>
      <c r="D49" s="13" t="s">
        <v>96</v>
      </c>
      <c r="E49" s="15"/>
      <c r="F49" s="13" t="s">
        <v>21</v>
      </c>
      <c r="G49" s="13">
        <v>28.0</v>
      </c>
      <c r="H49" s="13" t="s">
        <v>29</v>
      </c>
      <c r="I49" s="14">
        <v>1.0</v>
      </c>
      <c r="J49" s="15"/>
      <c r="K49" s="14">
        <v>0.0</v>
      </c>
      <c r="L49" s="14">
        <v>0.0</v>
      </c>
      <c r="M49" s="14">
        <v>0.0</v>
      </c>
      <c r="N49" s="14">
        <v>0.0</v>
      </c>
      <c r="O49" s="15"/>
      <c r="P49" s="11"/>
      <c r="Q49" s="11"/>
    </row>
    <row r="50">
      <c r="A50" s="14">
        <v>3.6</v>
      </c>
      <c r="B50" s="13" t="s">
        <v>53</v>
      </c>
      <c r="C50" s="13" t="s">
        <v>18</v>
      </c>
      <c r="D50" s="13" t="s">
        <v>54</v>
      </c>
      <c r="E50" s="15"/>
      <c r="F50" s="13" t="s">
        <v>21</v>
      </c>
      <c r="G50" s="13">
        <v>21.0</v>
      </c>
      <c r="H50" s="13" t="s">
        <v>22</v>
      </c>
      <c r="I50" s="14">
        <v>1.0</v>
      </c>
      <c r="J50" s="15"/>
      <c r="K50" s="14">
        <v>0.0</v>
      </c>
      <c r="L50" s="14">
        <v>0.0</v>
      </c>
      <c r="M50" s="14">
        <v>0.0</v>
      </c>
      <c r="N50" s="14">
        <v>0.0</v>
      </c>
      <c r="O50" s="15"/>
      <c r="P50" s="11"/>
      <c r="Q50" s="11"/>
    </row>
    <row r="51">
      <c r="A51" s="14">
        <v>3.7</v>
      </c>
      <c r="B51" s="13" t="s">
        <v>55</v>
      </c>
      <c r="C51" s="13" t="s">
        <v>18</v>
      </c>
      <c r="D51" s="13" t="s">
        <v>56</v>
      </c>
      <c r="E51" s="15"/>
      <c r="F51" s="13" t="s">
        <v>21</v>
      </c>
      <c r="G51" s="13">
        <v>21.0</v>
      </c>
      <c r="H51" s="13" t="s">
        <v>22</v>
      </c>
      <c r="I51" s="14">
        <v>1.0</v>
      </c>
      <c r="J51" s="15"/>
      <c r="K51" s="14">
        <v>0.0</v>
      </c>
      <c r="L51" s="14">
        <v>0.0</v>
      </c>
      <c r="M51" s="14">
        <v>0.0</v>
      </c>
      <c r="N51" s="14">
        <v>0.0</v>
      </c>
      <c r="O51" s="15"/>
      <c r="P51" s="11"/>
      <c r="Q51" s="11"/>
    </row>
    <row r="52">
      <c r="A52" s="14">
        <v>3.8</v>
      </c>
      <c r="B52" s="13" t="s">
        <v>57</v>
      </c>
      <c r="C52" s="13" t="s">
        <v>29</v>
      </c>
      <c r="D52" s="13" t="s">
        <v>58</v>
      </c>
      <c r="E52" s="15"/>
      <c r="F52" s="13" t="s">
        <v>21</v>
      </c>
      <c r="G52" s="13">
        <v>2.0</v>
      </c>
      <c r="H52" s="13" t="s">
        <v>29</v>
      </c>
      <c r="I52" s="14">
        <v>1.0</v>
      </c>
      <c r="J52" s="15"/>
      <c r="K52" s="14">
        <v>0.0</v>
      </c>
      <c r="L52" s="14">
        <v>0.0</v>
      </c>
      <c r="M52" s="14">
        <v>0.0</v>
      </c>
      <c r="N52" s="14">
        <v>0.0</v>
      </c>
      <c r="O52" s="15"/>
      <c r="P52" s="11"/>
      <c r="Q52" s="11"/>
    </row>
    <row r="53">
      <c r="A53" s="14">
        <v>3.9</v>
      </c>
      <c r="B53" s="13" t="s">
        <v>59</v>
      </c>
      <c r="C53" s="13" t="s">
        <v>29</v>
      </c>
      <c r="D53" s="13" t="s">
        <v>60</v>
      </c>
      <c r="E53" s="15"/>
      <c r="F53" s="13" t="s">
        <v>21</v>
      </c>
      <c r="G53" s="13">
        <v>2.0</v>
      </c>
      <c r="H53" s="13" t="s">
        <v>29</v>
      </c>
      <c r="I53" s="14">
        <v>1.0</v>
      </c>
      <c r="J53" s="15"/>
      <c r="K53" s="14">
        <v>0.0</v>
      </c>
      <c r="L53" s="14">
        <v>0.0</v>
      </c>
      <c r="M53" s="14">
        <v>0.0</v>
      </c>
      <c r="N53" s="14">
        <v>0.0</v>
      </c>
      <c r="O53" s="15"/>
      <c r="P53" s="11"/>
      <c r="Q53" s="11"/>
    </row>
    <row r="54">
      <c r="A54" s="14">
        <v>3.1</v>
      </c>
      <c r="B54" s="13" t="s">
        <v>97</v>
      </c>
      <c r="C54" s="13" t="s">
        <v>18</v>
      </c>
      <c r="D54" s="13" t="s">
        <v>62</v>
      </c>
      <c r="E54" s="15"/>
      <c r="F54" s="13" t="s">
        <v>21</v>
      </c>
      <c r="G54" s="13">
        <v>21.0</v>
      </c>
      <c r="H54" s="13" t="s">
        <v>22</v>
      </c>
      <c r="I54" s="14">
        <v>1.0</v>
      </c>
      <c r="J54" s="15"/>
      <c r="K54" s="14">
        <v>0.0</v>
      </c>
      <c r="L54" s="14">
        <v>0.0</v>
      </c>
      <c r="M54" s="14">
        <v>0.0</v>
      </c>
      <c r="N54" s="14">
        <v>0.0</v>
      </c>
      <c r="O54" s="15"/>
      <c r="P54" s="11"/>
      <c r="Q54" s="11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8" t="s">
        <v>63</v>
      </c>
      <c r="N55" s="19">
        <v>3955.58</v>
      </c>
      <c r="O55" s="20"/>
      <c r="P55" s="11"/>
      <c r="Q55" s="11"/>
    </row>
    <row r="56">
      <c r="A56" s="12">
        <v>4.0</v>
      </c>
      <c r="B56" s="12" t="s">
        <v>98</v>
      </c>
      <c r="C56" s="13" t="s">
        <v>18</v>
      </c>
      <c r="D56" s="13" t="s">
        <v>99</v>
      </c>
      <c r="E56" s="13" t="s">
        <v>20</v>
      </c>
      <c r="F56" s="13" t="s">
        <v>21</v>
      </c>
      <c r="G56" s="13">
        <v>21.0</v>
      </c>
      <c r="H56" s="13" t="s">
        <v>22</v>
      </c>
      <c r="I56" s="14">
        <v>1.0</v>
      </c>
      <c r="J56" s="15"/>
      <c r="K56" s="16">
        <v>3036.29</v>
      </c>
      <c r="L56" s="16">
        <v>3036.29</v>
      </c>
      <c r="M56" s="14">
        <v>0.0</v>
      </c>
      <c r="N56" s="16">
        <v>3036.29</v>
      </c>
      <c r="O56" s="15"/>
      <c r="P56" s="11"/>
      <c r="Q56" s="11"/>
    </row>
    <row r="57">
      <c r="A57" s="14" t="s">
        <v>100</v>
      </c>
      <c r="B57" s="13" t="s">
        <v>101</v>
      </c>
      <c r="C57" s="13" t="s">
        <v>18</v>
      </c>
      <c r="D57" s="13" t="s">
        <v>102</v>
      </c>
      <c r="E57" s="15"/>
      <c r="F57" s="13">
        <v>36.0</v>
      </c>
      <c r="G57" s="13" t="s">
        <v>21</v>
      </c>
      <c r="H57" s="13" t="s">
        <v>22</v>
      </c>
      <c r="I57" s="14">
        <v>1.0</v>
      </c>
      <c r="J57" s="15"/>
      <c r="K57" s="14">
        <v>544.5</v>
      </c>
      <c r="L57" s="14">
        <v>544.5</v>
      </c>
      <c r="M57" s="14">
        <v>0.0</v>
      </c>
      <c r="N57" s="14">
        <v>544.5</v>
      </c>
      <c r="O57" s="13" t="s">
        <v>26</v>
      </c>
      <c r="P57" s="11"/>
      <c r="Q57" s="11"/>
    </row>
    <row r="58">
      <c r="A58" s="14">
        <v>4.1</v>
      </c>
      <c r="B58" s="13" t="s">
        <v>103</v>
      </c>
      <c r="C58" s="13" t="s">
        <v>18</v>
      </c>
      <c r="D58" s="13" t="s">
        <v>104</v>
      </c>
      <c r="E58" s="15"/>
      <c r="F58" s="13" t="s">
        <v>21</v>
      </c>
      <c r="G58" s="13">
        <v>28.0</v>
      </c>
      <c r="H58" s="13" t="s">
        <v>29</v>
      </c>
      <c r="I58" s="14">
        <v>1.0</v>
      </c>
      <c r="J58" s="15"/>
      <c r="K58" s="14">
        <v>0.0</v>
      </c>
      <c r="L58" s="14">
        <v>0.0</v>
      </c>
      <c r="M58" s="14">
        <v>0.0</v>
      </c>
      <c r="N58" s="14">
        <v>0.0</v>
      </c>
      <c r="O58" s="15"/>
      <c r="P58" s="11"/>
      <c r="Q58" s="11"/>
    </row>
    <row r="59">
      <c r="A59" s="14" t="s">
        <v>105</v>
      </c>
      <c r="B59" s="13" t="s">
        <v>106</v>
      </c>
      <c r="C59" s="13" t="s">
        <v>18</v>
      </c>
      <c r="D59" s="13" t="s">
        <v>107</v>
      </c>
      <c r="E59" s="15"/>
      <c r="F59" s="13">
        <v>36.0</v>
      </c>
      <c r="G59" s="13" t="s">
        <v>21</v>
      </c>
      <c r="H59" s="13" t="s">
        <v>22</v>
      </c>
      <c r="I59" s="14">
        <v>1.0</v>
      </c>
      <c r="J59" s="15"/>
      <c r="K59" s="14">
        <v>0.0</v>
      </c>
      <c r="L59" s="14">
        <v>0.0</v>
      </c>
      <c r="M59" s="14">
        <v>0.0</v>
      </c>
      <c r="N59" s="14">
        <v>0.0</v>
      </c>
      <c r="O59" s="15"/>
      <c r="P59" s="11"/>
      <c r="Q59" s="11"/>
    </row>
    <row r="60">
      <c r="A60" s="14">
        <v>4.2</v>
      </c>
      <c r="B60" s="13" t="s">
        <v>33</v>
      </c>
      <c r="C60" s="13" t="s">
        <v>18</v>
      </c>
      <c r="D60" s="13" t="s">
        <v>34</v>
      </c>
      <c r="E60" s="15"/>
      <c r="F60" s="13" t="s">
        <v>21</v>
      </c>
      <c r="G60" s="13">
        <v>2.0</v>
      </c>
      <c r="H60" s="13" t="s">
        <v>22</v>
      </c>
      <c r="I60" s="14">
        <v>1.0</v>
      </c>
      <c r="J60" s="15"/>
      <c r="K60" s="14">
        <v>0.0</v>
      </c>
      <c r="L60" s="14">
        <v>0.0</v>
      </c>
      <c r="M60" s="14">
        <v>0.0</v>
      </c>
      <c r="N60" s="14">
        <v>0.0</v>
      </c>
      <c r="O60" s="15"/>
      <c r="P60" s="11"/>
      <c r="Q60" s="11"/>
    </row>
    <row r="61">
      <c r="A61" s="14" t="s">
        <v>108</v>
      </c>
      <c r="B61" s="13" t="s">
        <v>36</v>
      </c>
      <c r="C61" s="13" t="s">
        <v>18</v>
      </c>
      <c r="D61" s="13" t="s">
        <v>37</v>
      </c>
      <c r="E61" s="15"/>
      <c r="F61" s="13">
        <v>36.0</v>
      </c>
      <c r="G61" s="13" t="s">
        <v>21</v>
      </c>
      <c r="H61" s="13" t="s">
        <v>22</v>
      </c>
      <c r="I61" s="14">
        <v>1.0</v>
      </c>
      <c r="J61" s="15"/>
      <c r="K61" s="14">
        <v>152.64</v>
      </c>
      <c r="L61" s="14">
        <v>152.64</v>
      </c>
      <c r="M61" s="14">
        <v>0.0</v>
      </c>
      <c r="N61" s="14">
        <v>152.64</v>
      </c>
      <c r="O61" s="13" t="s">
        <v>26</v>
      </c>
      <c r="P61" s="11"/>
      <c r="Q61" s="11"/>
    </row>
    <row r="62">
      <c r="A62" s="14" t="s">
        <v>109</v>
      </c>
      <c r="B62" s="13" t="s">
        <v>39</v>
      </c>
      <c r="C62" s="13" t="s">
        <v>18</v>
      </c>
      <c r="D62" s="13" t="s">
        <v>40</v>
      </c>
      <c r="E62" s="15"/>
      <c r="F62" s="13">
        <v>36.0</v>
      </c>
      <c r="G62" s="13" t="s">
        <v>21</v>
      </c>
      <c r="H62" s="13" t="s">
        <v>22</v>
      </c>
      <c r="I62" s="14">
        <v>1.0</v>
      </c>
      <c r="J62" s="15"/>
      <c r="K62" s="14">
        <v>653.24</v>
      </c>
      <c r="L62" s="14">
        <v>653.24</v>
      </c>
      <c r="M62" s="14">
        <v>0.0</v>
      </c>
      <c r="N62" s="14">
        <v>653.24</v>
      </c>
      <c r="O62" s="15"/>
      <c r="P62" s="11"/>
      <c r="Q62" s="11"/>
    </row>
    <row r="63">
      <c r="A63" s="14">
        <v>4.3</v>
      </c>
      <c r="B63" s="13" t="s">
        <v>41</v>
      </c>
      <c r="C63" s="13" t="s">
        <v>29</v>
      </c>
      <c r="D63" s="13" t="s">
        <v>42</v>
      </c>
      <c r="E63" s="15"/>
      <c r="F63" s="13" t="s">
        <v>21</v>
      </c>
      <c r="G63" s="13">
        <v>6.0</v>
      </c>
      <c r="H63" s="13" t="s">
        <v>29</v>
      </c>
      <c r="I63" s="14">
        <v>1.0</v>
      </c>
      <c r="J63" s="15"/>
      <c r="K63" s="14">
        <v>0.0</v>
      </c>
      <c r="L63" s="14">
        <v>0.0</v>
      </c>
      <c r="M63" s="14">
        <v>0.0</v>
      </c>
      <c r="N63" s="14">
        <v>0.0</v>
      </c>
      <c r="O63" s="15"/>
      <c r="P63" s="11"/>
      <c r="Q63" s="11"/>
    </row>
    <row r="64">
      <c r="A64" s="14" t="s">
        <v>110</v>
      </c>
      <c r="B64" s="13" t="s">
        <v>44</v>
      </c>
      <c r="C64" s="13" t="s">
        <v>18</v>
      </c>
      <c r="D64" s="13" t="s">
        <v>45</v>
      </c>
      <c r="E64" s="15"/>
      <c r="F64" s="13">
        <v>36.0</v>
      </c>
      <c r="G64" s="13" t="s">
        <v>21</v>
      </c>
      <c r="H64" s="13" t="s">
        <v>22</v>
      </c>
      <c r="I64" s="14">
        <v>1.0</v>
      </c>
      <c r="J64" s="15"/>
      <c r="K64" s="14">
        <v>0.0</v>
      </c>
      <c r="L64" s="14">
        <v>0.0</v>
      </c>
      <c r="M64" s="14">
        <v>0.0</v>
      </c>
      <c r="N64" s="14">
        <v>0.0</v>
      </c>
      <c r="O64" s="15"/>
      <c r="P64" s="11"/>
      <c r="Q64" s="11"/>
    </row>
    <row r="65">
      <c r="A65" s="14">
        <v>4.4</v>
      </c>
      <c r="B65" s="13" t="s">
        <v>46</v>
      </c>
      <c r="C65" s="13" t="s">
        <v>29</v>
      </c>
      <c r="D65" s="13" t="s">
        <v>47</v>
      </c>
      <c r="E65" s="15"/>
      <c r="F65" s="13" t="s">
        <v>21</v>
      </c>
      <c r="G65" s="13">
        <v>21.0</v>
      </c>
      <c r="H65" s="13" t="s">
        <v>29</v>
      </c>
      <c r="I65" s="14">
        <v>1.0</v>
      </c>
      <c r="J65" s="15"/>
      <c r="K65" s="14">
        <v>0.0</v>
      </c>
      <c r="L65" s="14">
        <v>0.0</v>
      </c>
      <c r="M65" s="14">
        <v>0.0</v>
      </c>
      <c r="N65" s="16">
        <v>0.0</v>
      </c>
      <c r="O65" s="15"/>
      <c r="P65" s="11"/>
      <c r="Q65" s="11"/>
    </row>
    <row r="66">
      <c r="A66" s="14" t="s">
        <v>111</v>
      </c>
      <c r="B66" s="13" t="s">
        <v>49</v>
      </c>
      <c r="C66" s="13" t="s">
        <v>18</v>
      </c>
      <c r="D66" s="13" t="s">
        <v>50</v>
      </c>
      <c r="E66" s="15"/>
      <c r="F66" s="13">
        <v>36.0</v>
      </c>
      <c r="G66" s="13" t="s">
        <v>21</v>
      </c>
      <c r="H66" s="13" t="s">
        <v>22</v>
      </c>
      <c r="I66" s="14">
        <v>1.0</v>
      </c>
      <c r="J66" s="15"/>
      <c r="K66" s="16">
        <v>0.0</v>
      </c>
      <c r="L66" s="16">
        <v>0.0</v>
      </c>
      <c r="M66" s="14">
        <v>0.0</v>
      </c>
      <c r="N66" s="16">
        <v>0.0</v>
      </c>
      <c r="O66" s="15"/>
      <c r="P66" s="11"/>
      <c r="Q66" s="11"/>
    </row>
    <row r="67">
      <c r="A67" s="14">
        <v>4.5</v>
      </c>
      <c r="B67" s="13" t="s">
        <v>112</v>
      </c>
      <c r="C67" s="13" t="s">
        <v>18</v>
      </c>
      <c r="D67" s="13" t="s">
        <v>113</v>
      </c>
      <c r="E67" s="15"/>
      <c r="F67" s="13" t="s">
        <v>21</v>
      </c>
      <c r="G67" s="13">
        <v>28.0</v>
      </c>
      <c r="H67" s="13" t="s">
        <v>29</v>
      </c>
      <c r="I67" s="14">
        <v>1.0</v>
      </c>
      <c r="J67" s="15"/>
      <c r="K67" s="14">
        <v>0.0</v>
      </c>
      <c r="L67" s="14">
        <v>0.0</v>
      </c>
      <c r="M67" s="14">
        <v>0.0</v>
      </c>
      <c r="N67" s="14">
        <v>0.0</v>
      </c>
      <c r="O67" s="15"/>
      <c r="P67" s="11"/>
      <c r="Q67" s="11"/>
    </row>
    <row r="68">
      <c r="A68" s="14">
        <v>4.6</v>
      </c>
      <c r="B68" s="13" t="s">
        <v>53</v>
      </c>
      <c r="C68" s="13" t="s">
        <v>18</v>
      </c>
      <c r="D68" s="13" t="s">
        <v>54</v>
      </c>
      <c r="E68" s="15"/>
      <c r="F68" s="13" t="s">
        <v>21</v>
      </c>
      <c r="G68" s="13">
        <v>21.0</v>
      </c>
      <c r="H68" s="13" t="s">
        <v>29</v>
      </c>
      <c r="I68" s="14">
        <v>1.0</v>
      </c>
      <c r="J68" s="15"/>
      <c r="K68" s="14">
        <v>0.0</v>
      </c>
      <c r="L68" s="14">
        <v>0.0</v>
      </c>
      <c r="M68" s="14">
        <v>0.0</v>
      </c>
      <c r="N68" s="14">
        <v>0.0</v>
      </c>
      <c r="O68" s="15"/>
      <c r="P68" s="11"/>
      <c r="Q68" s="11"/>
    </row>
    <row r="69">
      <c r="A69" s="14">
        <v>4.7</v>
      </c>
      <c r="B69" s="13" t="s">
        <v>55</v>
      </c>
      <c r="C69" s="13" t="s">
        <v>18</v>
      </c>
      <c r="D69" s="13" t="s">
        <v>56</v>
      </c>
      <c r="E69" s="15"/>
      <c r="F69" s="13" t="s">
        <v>21</v>
      </c>
      <c r="G69" s="13">
        <v>21.0</v>
      </c>
      <c r="H69" s="13" t="s">
        <v>22</v>
      </c>
      <c r="I69" s="14">
        <v>1.0</v>
      </c>
      <c r="J69" s="15"/>
      <c r="K69" s="14">
        <v>0.0</v>
      </c>
      <c r="L69" s="14">
        <v>0.0</v>
      </c>
      <c r="M69" s="14">
        <v>0.0</v>
      </c>
      <c r="N69" s="14">
        <v>0.0</v>
      </c>
      <c r="O69" s="15"/>
      <c r="P69" s="11"/>
      <c r="Q69" s="11"/>
    </row>
    <row r="70">
      <c r="A70" s="14">
        <v>4.8</v>
      </c>
      <c r="B70" s="13" t="s">
        <v>57</v>
      </c>
      <c r="C70" s="13" t="s">
        <v>29</v>
      </c>
      <c r="D70" s="13" t="s">
        <v>58</v>
      </c>
      <c r="E70" s="15"/>
      <c r="F70" s="13" t="s">
        <v>21</v>
      </c>
      <c r="G70" s="13">
        <v>2.0</v>
      </c>
      <c r="H70" s="13" t="s">
        <v>29</v>
      </c>
      <c r="I70" s="14">
        <v>1.0</v>
      </c>
      <c r="J70" s="15"/>
      <c r="K70" s="14">
        <v>0.0</v>
      </c>
      <c r="L70" s="14">
        <v>0.0</v>
      </c>
      <c r="M70" s="14">
        <v>0.0</v>
      </c>
      <c r="N70" s="14">
        <v>0.0</v>
      </c>
      <c r="O70" s="15"/>
      <c r="P70" s="11"/>
      <c r="Q70" s="11"/>
    </row>
    <row r="71">
      <c r="A71" s="14">
        <v>4.9</v>
      </c>
      <c r="B71" s="13" t="s">
        <v>59</v>
      </c>
      <c r="C71" s="13" t="s">
        <v>29</v>
      </c>
      <c r="D71" s="13" t="s">
        <v>60</v>
      </c>
      <c r="E71" s="15"/>
      <c r="F71" s="13" t="s">
        <v>21</v>
      </c>
      <c r="G71" s="13">
        <v>2.0</v>
      </c>
      <c r="H71" s="13" t="s">
        <v>29</v>
      </c>
      <c r="I71" s="14">
        <v>1.0</v>
      </c>
      <c r="J71" s="15"/>
      <c r="K71" s="14">
        <v>0.0</v>
      </c>
      <c r="L71" s="14">
        <v>0.0</v>
      </c>
      <c r="M71" s="14">
        <v>0.0</v>
      </c>
      <c r="N71" s="14">
        <v>0.0</v>
      </c>
      <c r="O71" s="15"/>
      <c r="P71" s="11"/>
      <c r="Q71" s="11"/>
    </row>
    <row r="72">
      <c r="A72" s="14">
        <v>4.1</v>
      </c>
      <c r="B72" s="13" t="s">
        <v>114</v>
      </c>
      <c r="C72" s="13" t="s">
        <v>18</v>
      </c>
      <c r="D72" s="13" t="s">
        <v>62</v>
      </c>
      <c r="E72" s="15"/>
      <c r="F72" s="13" t="s">
        <v>21</v>
      </c>
      <c r="G72" s="13">
        <v>21.0</v>
      </c>
      <c r="H72" s="13" t="s">
        <v>22</v>
      </c>
      <c r="I72" s="14">
        <v>1.0</v>
      </c>
      <c r="J72" s="15"/>
      <c r="K72" s="14">
        <v>0.0</v>
      </c>
      <c r="L72" s="14">
        <v>0.0</v>
      </c>
      <c r="M72" s="14">
        <v>0.0</v>
      </c>
      <c r="N72" s="14">
        <v>0.0</v>
      </c>
      <c r="O72" s="15"/>
      <c r="P72" s="11"/>
      <c r="Q72" s="11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8" t="s">
        <v>63</v>
      </c>
      <c r="N73" s="19">
        <v>4386.67</v>
      </c>
      <c r="O73" s="20"/>
      <c r="P73" s="11"/>
      <c r="Q73" s="11"/>
    </row>
    <row r="74">
      <c r="A74" s="12">
        <v>5.0</v>
      </c>
      <c r="B74" s="12" t="s">
        <v>115</v>
      </c>
      <c r="C74" s="13" t="s">
        <v>18</v>
      </c>
      <c r="D74" s="13" t="s">
        <v>116</v>
      </c>
      <c r="E74" s="13" t="s">
        <v>20</v>
      </c>
      <c r="F74" s="13" t="s">
        <v>21</v>
      </c>
      <c r="G74" s="13">
        <v>28.0</v>
      </c>
      <c r="H74" s="13" t="s">
        <v>22</v>
      </c>
      <c r="I74" s="14">
        <v>1.0</v>
      </c>
      <c r="J74" s="15"/>
      <c r="K74" s="16">
        <v>3401.37</v>
      </c>
      <c r="L74" s="16">
        <v>3401.37</v>
      </c>
      <c r="M74" s="14">
        <v>0.0</v>
      </c>
      <c r="N74" s="16">
        <v>3401.37</v>
      </c>
      <c r="O74" s="15"/>
      <c r="P74" s="11"/>
      <c r="Q74" s="11"/>
    </row>
    <row r="75">
      <c r="A75" s="14" t="s">
        <v>117</v>
      </c>
      <c r="B75" s="13" t="s">
        <v>118</v>
      </c>
      <c r="C75" s="13" t="s">
        <v>18</v>
      </c>
      <c r="D75" s="13" t="s">
        <v>119</v>
      </c>
      <c r="E75" s="15"/>
      <c r="F75" s="13">
        <v>36.0</v>
      </c>
      <c r="G75" s="13" t="s">
        <v>21</v>
      </c>
      <c r="H75" s="13" t="s">
        <v>22</v>
      </c>
      <c r="I75" s="14">
        <v>1.0</v>
      </c>
      <c r="J75" s="15"/>
      <c r="K75" s="14">
        <v>610.5</v>
      </c>
      <c r="L75" s="14">
        <v>610.5</v>
      </c>
      <c r="M75" s="14">
        <v>0.0</v>
      </c>
      <c r="N75" s="14">
        <v>610.5</v>
      </c>
      <c r="O75" s="13" t="s">
        <v>26</v>
      </c>
      <c r="P75" s="11"/>
      <c r="Q75" s="11"/>
    </row>
    <row r="76">
      <c r="A76" s="14">
        <v>5.1</v>
      </c>
      <c r="B76" s="13" t="s">
        <v>120</v>
      </c>
      <c r="C76" s="13" t="s">
        <v>18</v>
      </c>
      <c r="D76" s="13" t="s">
        <v>104</v>
      </c>
      <c r="E76" s="15"/>
      <c r="F76" s="13" t="s">
        <v>21</v>
      </c>
      <c r="G76" s="13">
        <v>28.0</v>
      </c>
      <c r="H76" s="13" t="s">
        <v>29</v>
      </c>
      <c r="I76" s="14">
        <v>1.0</v>
      </c>
      <c r="J76" s="15"/>
      <c r="K76" s="14">
        <v>0.0</v>
      </c>
      <c r="L76" s="14">
        <v>0.0</v>
      </c>
      <c r="M76" s="14">
        <v>0.0</v>
      </c>
      <c r="N76" s="14">
        <v>0.0</v>
      </c>
      <c r="O76" s="15"/>
      <c r="P76" s="11"/>
      <c r="Q76" s="11"/>
    </row>
    <row r="77">
      <c r="A77" s="14" t="s">
        <v>121</v>
      </c>
      <c r="B77" s="13" t="s">
        <v>122</v>
      </c>
      <c r="C77" s="13" t="s">
        <v>18</v>
      </c>
      <c r="D77" s="13" t="s">
        <v>123</v>
      </c>
      <c r="E77" s="15"/>
      <c r="F77" s="13">
        <v>36.0</v>
      </c>
      <c r="G77" s="13" t="s">
        <v>21</v>
      </c>
      <c r="H77" s="13" t="s">
        <v>22</v>
      </c>
      <c r="I77" s="14">
        <v>1.0</v>
      </c>
      <c r="J77" s="15"/>
      <c r="K77" s="14">
        <v>0.0</v>
      </c>
      <c r="L77" s="14">
        <v>0.0</v>
      </c>
      <c r="M77" s="14">
        <v>0.0</v>
      </c>
      <c r="N77" s="14">
        <v>0.0</v>
      </c>
      <c r="O77" s="15"/>
      <c r="P77" s="11"/>
      <c r="Q77" s="11"/>
    </row>
    <row r="78">
      <c r="A78" s="14">
        <v>5.2</v>
      </c>
      <c r="B78" s="13" t="s">
        <v>33</v>
      </c>
      <c r="C78" s="13" t="s">
        <v>18</v>
      </c>
      <c r="D78" s="13" t="s">
        <v>34</v>
      </c>
      <c r="E78" s="15"/>
      <c r="F78" s="13" t="s">
        <v>21</v>
      </c>
      <c r="G78" s="13">
        <v>2.0</v>
      </c>
      <c r="H78" s="13" t="s">
        <v>22</v>
      </c>
      <c r="I78" s="14">
        <v>1.0</v>
      </c>
      <c r="J78" s="15"/>
      <c r="K78" s="14">
        <v>0.0</v>
      </c>
      <c r="L78" s="14">
        <v>0.0</v>
      </c>
      <c r="M78" s="14">
        <v>0.0</v>
      </c>
      <c r="N78" s="14">
        <v>0.0</v>
      </c>
      <c r="O78" s="15"/>
      <c r="P78" s="11"/>
      <c r="Q78" s="11"/>
    </row>
    <row r="79">
      <c r="A79" s="14" t="s">
        <v>124</v>
      </c>
      <c r="B79" s="13" t="s">
        <v>36</v>
      </c>
      <c r="C79" s="13" t="s">
        <v>18</v>
      </c>
      <c r="D79" s="13" t="s">
        <v>37</v>
      </c>
      <c r="E79" s="15"/>
      <c r="F79" s="13">
        <v>36.0</v>
      </c>
      <c r="G79" s="13" t="s">
        <v>21</v>
      </c>
      <c r="H79" s="13" t="s">
        <v>22</v>
      </c>
      <c r="I79" s="14">
        <v>1.0</v>
      </c>
      <c r="J79" s="15"/>
      <c r="K79" s="14">
        <v>152.64</v>
      </c>
      <c r="L79" s="14">
        <v>152.64</v>
      </c>
      <c r="M79" s="14">
        <v>0.0</v>
      </c>
      <c r="N79" s="14">
        <v>152.64</v>
      </c>
      <c r="O79" s="13" t="s">
        <v>26</v>
      </c>
      <c r="P79" s="11"/>
      <c r="Q79" s="11"/>
    </row>
    <row r="80">
      <c r="A80" s="14" t="s">
        <v>125</v>
      </c>
      <c r="B80" s="13" t="s">
        <v>39</v>
      </c>
      <c r="C80" s="13" t="s">
        <v>18</v>
      </c>
      <c r="D80" s="13" t="s">
        <v>40</v>
      </c>
      <c r="E80" s="15"/>
      <c r="F80" s="13">
        <v>36.0</v>
      </c>
      <c r="G80" s="13" t="s">
        <v>21</v>
      </c>
      <c r="H80" s="13" t="s">
        <v>22</v>
      </c>
      <c r="I80" s="14">
        <v>1.0</v>
      </c>
      <c r="J80" s="15"/>
      <c r="K80" s="14">
        <v>653.24</v>
      </c>
      <c r="L80" s="14">
        <v>653.24</v>
      </c>
      <c r="M80" s="14">
        <v>0.0</v>
      </c>
      <c r="N80" s="14">
        <v>653.24</v>
      </c>
      <c r="O80" s="15"/>
      <c r="P80" s="11"/>
      <c r="Q80" s="11"/>
    </row>
    <row r="81">
      <c r="A81" s="14">
        <v>5.3</v>
      </c>
      <c r="B81" s="13" t="s">
        <v>41</v>
      </c>
      <c r="C81" s="13" t="s">
        <v>29</v>
      </c>
      <c r="D81" s="13" t="s">
        <v>42</v>
      </c>
      <c r="E81" s="15"/>
      <c r="F81" s="13" t="s">
        <v>21</v>
      </c>
      <c r="G81" s="13">
        <v>6.0</v>
      </c>
      <c r="H81" s="13" t="s">
        <v>29</v>
      </c>
      <c r="I81" s="14">
        <v>1.0</v>
      </c>
      <c r="J81" s="15"/>
      <c r="K81" s="14">
        <v>0.0</v>
      </c>
      <c r="L81" s="14">
        <v>0.0</v>
      </c>
      <c r="M81" s="14">
        <v>0.0</v>
      </c>
      <c r="N81" s="14">
        <v>0.0</v>
      </c>
      <c r="O81" s="15"/>
      <c r="P81" s="11"/>
      <c r="Q81" s="11"/>
    </row>
    <row r="82">
      <c r="A82" s="14" t="s">
        <v>126</v>
      </c>
      <c r="B82" s="13" t="s">
        <v>44</v>
      </c>
      <c r="C82" s="13" t="s">
        <v>18</v>
      </c>
      <c r="D82" s="13" t="s">
        <v>45</v>
      </c>
      <c r="E82" s="15"/>
      <c r="F82" s="13">
        <v>36.0</v>
      </c>
      <c r="G82" s="13" t="s">
        <v>21</v>
      </c>
      <c r="H82" s="13" t="s">
        <v>22</v>
      </c>
      <c r="I82" s="14">
        <v>1.0</v>
      </c>
      <c r="J82" s="15"/>
      <c r="K82" s="14">
        <v>0.0</v>
      </c>
      <c r="L82" s="14">
        <v>0.0</v>
      </c>
      <c r="M82" s="14">
        <v>0.0</v>
      </c>
      <c r="N82" s="14">
        <v>0.0</v>
      </c>
      <c r="O82" s="15"/>
      <c r="P82" s="11"/>
      <c r="Q82" s="11"/>
    </row>
    <row r="83">
      <c r="A83" s="14">
        <v>5.4</v>
      </c>
      <c r="B83" s="13" t="s">
        <v>46</v>
      </c>
      <c r="C83" s="13" t="s">
        <v>29</v>
      </c>
      <c r="D83" s="13" t="s">
        <v>47</v>
      </c>
      <c r="E83" s="15"/>
      <c r="F83" s="13" t="s">
        <v>21</v>
      </c>
      <c r="G83" s="13">
        <v>21.0</v>
      </c>
      <c r="H83" s="13" t="s">
        <v>29</v>
      </c>
      <c r="I83" s="14">
        <v>1.0</v>
      </c>
      <c r="J83" s="15"/>
      <c r="K83" s="14">
        <v>0.0</v>
      </c>
      <c r="L83" s="14">
        <v>0.0</v>
      </c>
      <c r="M83" s="14">
        <v>0.0</v>
      </c>
      <c r="N83" s="16">
        <v>0.0</v>
      </c>
      <c r="O83" s="15"/>
      <c r="P83" s="11"/>
      <c r="Q83" s="11"/>
    </row>
    <row r="84">
      <c r="A84" s="14" t="s">
        <v>127</v>
      </c>
      <c r="B84" s="13" t="s">
        <v>49</v>
      </c>
      <c r="C84" s="13" t="s">
        <v>18</v>
      </c>
      <c r="D84" s="13" t="s">
        <v>50</v>
      </c>
      <c r="E84" s="15"/>
      <c r="F84" s="13">
        <v>36.0</v>
      </c>
      <c r="G84" s="13" t="s">
        <v>21</v>
      </c>
      <c r="H84" s="13" t="s">
        <v>22</v>
      </c>
      <c r="I84" s="14">
        <v>1.0</v>
      </c>
      <c r="J84" s="15"/>
      <c r="K84" s="16">
        <v>0.0</v>
      </c>
      <c r="L84" s="16">
        <v>0.0</v>
      </c>
      <c r="M84" s="14">
        <v>0.0</v>
      </c>
      <c r="N84" s="16">
        <v>0.0</v>
      </c>
      <c r="O84" s="15"/>
      <c r="P84" s="11"/>
      <c r="Q84" s="11"/>
    </row>
    <row r="85">
      <c r="A85" s="14">
        <v>5.5</v>
      </c>
      <c r="B85" s="13" t="s">
        <v>128</v>
      </c>
      <c r="C85" s="13" t="s">
        <v>18</v>
      </c>
      <c r="D85" s="13" t="s">
        <v>129</v>
      </c>
      <c r="E85" s="15"/>
      <c r="F85" s="13" t="s">
        <v>21</v>
      </c>
      <c r="G85" s="13">
        <v>28.0</v>
      </c>
      <c r="H85" s="13" t="s">
        <v>29</v>
      </c>
      <c r="I85" s="14">
        <v>1.0</v>
      </c>
      <c r="J85" s="15"/>
      <c r="K85" s="14">
        <v>0.0</v>
      </c>
      <c r="L85" s="14">
        <v>0.0</v>
      </c>
      <c r="M85" s="14">
        <v>0.0</v>
      </c>
      <c r="N85" s="14">
        <v>0.0</v>
      </c>
      <c r="O85" s="15"/>
      <c r="P85" s="11"/>
      <c r="Q85" s="11"/>
    </row>
    <row r="86">
      <c r="A86" s="14">
        <v>5.6</v>
      </c>
      <c r="B86" s="13" t="s">
        <v>53</v>
      </c>
      <c r="C86" s="13" t="s">
        <v>18</v>
      </c>
      <c r="D86" s="13" t="s">
        <v>54</v>
      </c>
      <c r="E86" s="15"/>
      <c r="F86" s="13" t="s">
        <v>21</v>
      </c>
      <c r="G86" s="13">
        <v>21.0</v>
      </c>
      <c r="H86" s="13" t="s">
        <v>29</v>
      </c>
      <c r="I86" s="14">
        <v>1.0</v>
      </c>
      <c r="J86" s="15"/>
      <c r="K86" s="14">
        <v>0.0</v>
      </c>
      <c r="L86" s="14">
        <v>0.0</v>
      </c>
      <c r="M86" s="14">
        <v>0.0</v>
      </c>
      <c r="N86" s="14">
        <v>0.0</v>
      </c>
      <c r="O86" s="15"/>
      <c r="P86" s="11"/>
      <c r="Q86" s="11"/>
    </row>
    <row r="87">
      <c r="A87" s="14">
        <v>5.7</v>
      </c>
      <c r="B87" s="13" t="s">
        <v>130</v>
      </c>
      <c r="C87" s="13" t="s">
        <v>18</v>
      </c>
      <c r="D87" s="13" t="s">
        <v>131</v>
      </c>
      <c r="E87" s="15"/>
      <c r="F87" s="13" t="s">
        <v>21</v>
      </c>
      <c r="G87" s="13">
        <v>21.0</v>
      </c>
      <c r="H87" s="13" t="s">
        <v>29</v>
      </c>
      <c r="I87" s="14">
        <v>1.0</v>
      </c>
      <c r="J87" s="15"/>
      <c r="K87" s="14">
        <v>0.0</v>
      </c>
      <c r="L87" s="14">
        <v>0.0</v>
      </c>
      <c r="M87" s="14">
        <v>0.0</v>
      </c>
      <c r="N87" s="14">
        <v>0.0</v>
      </c>
      <c r="O87" s="15"/>
      <c r="P87" s="11"/>
      <c r="Q87" s="11"/>
    </row>
    <row r="88">
      <c r="A88" s="14">
        <v>5.8</v>
      </c>
      <c r="B88" s="13" t="s">
        <v>57</v>
      </c>
      <c r="C88" s="13" t="s">
        <v>29</v>
      </c>
      <c r="D88" s="13" t="s">
        <v>58</v>
      </c>
      <c r="E88" s="15"/>
      <c r="F88" s="13" t="s">
        <v>21</v>
      </c>
      <c r="G88" s="13">
        <v>2.0</v>
      </c>
      <c r="H88" s="13" t="s">
        <v>29</v>
      </c>
      <c r="I88" s="14">
        <v>1.0</v>
      </c>
      <c r="J88" s="15"/>
      <c r="K88" s="14">
        <v>0.0</v>
      </c>
      <c r="L88" s="14">
        <v>0.0</v>
      </c>
      <c r="M88" s="14">
        <v>0.0</v>
      </c>
      <c r="N88" s="14">
        <v>0.0</v>
      </c>
      <c r="O88" s="15"/>
      <c r="P88" s="11"/>
      <c r="Q88" s="11"/>
    </row>
    <row r="89">
      <c r="A89" s="14">
        <v>5.9</v>
      </c>
      <c r="B89" s="13" t="s">
        <v>59</v>
      </c>
      <c r="C89" s="13" t="s">
        <v>29</v>
      </c>
      <c r="D89" s="13" t="s">
        <v>60</v>
      </c>
      <c r="E89" s="15"/>
      <c r="F89" s="13" t="s">
        <v>21</v>
      </c>
      <c r="G89" s="13">
        <v>2.0</v>
      </c>
      <c r="H89" s="13" t="s">
        <v>29</v>
      </c>
      <c r="I89" s="14">
        <v>1.0</v>
      </c>
      <c r="J89" s="15"/>
      <c r="K89" s="14">
        <v>0.0</v>
      </c>
      <c r="L89" s="14">
        <v>0.0</v>
      </c>
      <c r="M89" s="14">
        <v>0.0</v>
      </c>
      <c r="N89" s="14">
        <v>0.0</v>
      </c>
      <c r="O89" s="15"/>
      <c r="P89" s="11"/>
      <c r="Q89" s="11"/>
    </row>
    <row r="90">
      <c r="A90" s="14">
        <v>5.1</v>
      </c>
      <c r="B90" s="13" t="s">
        <v>132</v>
      </c>
      <c r="C90" s="13" t="s">
        <v>18</v>
      </c>
      <c r="D90" s="13" t="s">
        <v>133</v>
      </c>
      <c r="E90" s="15"/>
      <c r="F90" s="13" t="s">
        <v>21</v>
      </c>
      <c r="G90" s="13">
        <v>21.0</v>
      </c>
      <c r="H90" s="13" t="s">
        <v>22</v>
      </c>
      <c r="I90" s="14">
        <v>1.0</v>
      </c>
      <c r="J90" s="15"/>
      <c r="K90" s="14">
        <v>0.0</v>
      </c>
      <c r="L90" s="14">
        <v>0.0</v>
      </c>
      <c r="M90" s="14">
        <v>0.0</v>
      </c>
      <c r="N90" s="14">
        <v>0.0</v>
      </c>
      <c r="O90" s="15"/>
      <c r="P90" s="11"/>
      <c r="Q90" s="11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8" t="s">
        <v>63</v>
      </c>
      <c r="N91" s="19">
        <v>4817.75</v>
      </c>
      <c r="O91" s="20"/>
      <c r="P91" s="11"/>
      <c r="Q91" s="11"/>
    </row>
    <row r="92">
      <c r="A92" s="12">
        <v>6.0</v>
      </c>
      <c r="B92" s="12" t="s">
        <v>134</v>
      </c>
      <c r="C92" s="13" t="s">
        <v>18</v>
      </c>
      <c r="D92" s="13" t="s">
        <v>135</v>
      </c>
      <c r="E92" s="13" t="s">
        <v>20</v>
      </c>
      <c r="F92" s="13" t="s">
        <v>21</v>
      </c>
      <c r="G92" s="13">
        <v>60.0</v>
      </c>
      <c r="H92" s="13" t="s">
        <v>22</v>
      </c>
      <c r="I92" s="14">
        <v>1.0</v>
      </c>
      <c r="J92" s="15"/>
      <c r="K92" s="16">
        <v>1668.3</v>
      </c>
      <c r="L92" s="16">
        <v>1668.3</v>
      </c>
      <c r="M92" s="14">
        <v>0.0</v>
      </c>
      <c r="N92" s="16">
        <v>1668.3</v>
      </c>
      <c r="O92" s="15"/>
      <c r="P92" s="11"/>
      <c r="Q92" s="11"/>
    </row>
    <row r="93">
      <c r="A93" s="14" t="s">
        <v>136</v>
      </c>
      <c r="B93" s="13" t="s">
        <v>137</v>
      </c>
      <c r="C93" s="13" t="s">
        <v>18</v>
      </c>
      <c r="D93" s="13" t="s">
        <v>138</v>
      </c>
      <c r="E93" s="15"/>
      <c r="F93" s="13">
        <v>36.0</v>
      </c>
      <c r="G93" s="13" t="s">
        <v>21</v>
      </c>
      <c r="H93" s="13" t="s">
        <v>22</v>
      </c>
      <c r="I93" s="14">
        <v>1.0</v>
      </c>
      <c r="J93" s="15"/>
      <c r="K93" s="14">
        <v>272.25</v>
      </c>
      <c r="L93" s="14">
        <v>272.25</v>
      </c>
      <c r="M93" s="14">
        <v>0.0</v>
      </c>
      <c r="N93" s="14">
        <v>272.25</v>
      </c>
      <c r="O93" s="13" t="s">
        <v>26</v>
      </c>
      <c r="P93" s="11"/>
      <c r="Q93" s="11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8" t="s">
        <v>63</v>
      </c>
      <c r="N94" s="19">
        <v>1940.55</v>
      </c>
      <c r="O94" s="20"/>
      <c r="P94" s="11"/>
      <c r="Q94" s="11"/>
    </row>
    <row r="95">
      <c r="A95" s="12">
        <v>7.0</v>
      </c>
      <c r="B95" s="12" t="s">
        <v>139</v>
      </c>
      <c r="C95" s="13" t="s">
        <v>18</v>
      </c>
      <c r="D95" s="13" t="s">
        <v>140</v>
      </c>
      <c r="E95" s="13" t="s">
        <v>20</v>
      </c>
      <c r="F95" s="13" t="s">
        <v>21</v>
      </c>
      <c r="G95" s="13">
        <v>10.0</v>
      </c>
      <c r="H95" s="13" t="s">
        <v>22</v>
      </c>
      <c r="I95" s="14">
        <v>1.0</v>
      </c>
      <c r="J95" s="15"/>
      <c r="K95" s="16">
        <v>1410.64</v>
      </c>
      <c r="L95" s="16">
        <v>1410.64</v>
      </c>
      <c r="M95" s="14">
        <v>0.0</v>
      </c>
      <c r="N95" s="16">
        <v>1410.64</v>
      </c>
      <c r="O95" s="15"/>
      <c r="P95" s="11"/>
      <c r="Q95" s="11"/>
    </row>
    <row r="96">
      <c r="A96" s="14" t="s">
        <v>141</v>
      </c>
      <c r="B96" s="13" t="s">
        <v>142</v>
      </c>
      <c r="C96" s="13" t="s">
        <v>18</v>
      </c>
      <c r="D96" s="13" t="s">
        <v>143</v>
      </c>
      <c r="E96" s="15"/>
      <c r="F96" s="13">
        <v>36.0</v>
      </c>
      <c r="G96" s="13" t="s">
        <v>21</v>
      </c>
      <c r="H96" s="13" t="s">
        <v>22</v>
      </c>
      <c r="I96" s="14">
        <v>1.0</v>
      </c>
      <c r="J96" s="15"/>
      <c r="K96" s="14">
        <v>226.89</v>
      </c>
      <c r="L96" s="14">
        <v>226.89</v>
      </c>
      <c r="M96" s="14">
        <v>0.0</v>
      </c>
      <c r="N96" s="14">
        <v>226.89</v>
      </c>
      <c r="O96" s="13" t="s">
        <v>26</v>
      </c>
      <c r="P96" s="11"/>
      <c r="Q96" s="11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8" t="s">
        <v>63</v>
      </c>
      <c r="N97" s="19">
        <v>1637.53</v>
      </c>
      <c r="O97" s="20"/>
      <c r="P97" s="11"/>
      <c r="Q97" s="11"/>
    </row>
    <row r="98">
      <c r="A98" s="12">
        <v>8.0</v>
      </c>
      <c r="B98" s="12" t="s">
        <v>144</v>
      </c>
      <c r="C98" s="13" t="s">
        <v>18</v>
      </c>
      <c r="D98" s="13" t="s">
        <v>145</v>
      </c>
      <c r="E98" s="13" t="s">
        <v>20</v>
      </c>
      <c r="F98" s="13" t="s">
        <v>21</v>
      </c>
      <c r="G98" s="13">
        <v>10.0</v>
      </c>
      <c r="H98" s="13" t="s">
        <v>22</v>
      </c>
      <c r="I98" s="14">
        <v>1.0</v>
      </c>
      <c r="J98" s="15"/>
      <c r="K98" s="16">
        <v>3229.68</v>
      </c>
      <c r="L98" s="16">
        <v>3229.68</v>
      </c>
      <c r="M98" s="14">
        <v>0.0</v>
      </c>
      <c r="N98" s="16">
        <v>3229.68</v>
      </c>
      <c r="O98" s="15"/>
      <c r="P98" s="11"/>
      <c r="Q98" s="11"/>
    </row>
    <row r="99">
      <c r="A99" s="14" t="s">
        <v>146</v>
      </c>
      <c r="B99" s="13" t="s">
        <v>147</v>
      </c>
      <c r="C99" s="13" t="s">
        <v>18</v>
      </c>
      <c r="D99" s="13" t="s">
        <v>148</v>
      </c>
      <c r="E99" s="15"/>
      <c r="F99" s="13">
        <v>36.0</v>
      </c>
      <c r="G99" s="13" t="s">
        <v>21</v>
      </c>
      <c r="H99" s="13" t="s">
        <v>22</v>
      </c>
      <c r="I99" s="14">
        <v>1.0</v>
      </c>
      <c r="J99" s="15"/>
      <c r="K99" s="14">
        <v>519.75</v>
      </c>
      <c r="L99" s="14">
        <v>519.75</v>
      </c>
      <c r="M99" s="14">
        <v>0.0</v>
      </c>
      <c r="N99" s="14">
        <v>519.75</v>
      </c>
      <c r="O99" s="13" t="s">
        <v>26</v>
      </c>
      <c r="P99" s="11"/>
      <c r="Q99" s="11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8" t="s">
        <v>63</v>
      </c>
      <c r="N100" s="19">
        <v>3749.43</v>
      </c>
      <c r="O100" s="20"/>
      <c r="P100" s="11"/>
      <c r="Q100" s="11"/>
    </row>
    <row r="101">
      <c r="A101" s="12">
        <v>9.0</v>
      </c>
      <c r="B101" s="12" t="s">
        <v>149</v>
      </c>
      <c r="C101" s="13" t="s">
        <v>18</v>
      </c>
      <c r="D101" s="13" t="s">
        <v>150</v>
      </c>
      <c r="E101" s="13" t="s">
        <v>20</v>
      </c>
      <c r="F101" s="13" t="s">
        <v>21</v>
      </c>
      <c r="G101" s="13">
        <v>10.0</v>
      </c>
      <c r="H101" s="13" t="s">
        <v>22</v>
      </c>
      <c r="I101" s="14">
        <v>1.0</v>
      </c>
      <c r="J101" s="15"/>
      <c r="K101" s="16">
        <v>3618.02</v>
      </c>
      <c r="L101" s="16">
        <v>3618.02</v>
      </c>
      <c r="M101" s="14">
        <v>0.0</v>
      </c>
      <c r="N101" s="16">
        <v>3618.02</v>
      </c>
      <c r="O101" s="15"/>
      <c r="P101" s="11"/>
      <c r="Q101" s="11"/>
    </row>
    <row r="102">
      <c r="A102" s="14" t="s">
        <v>151</v>
      </c>
      <c r="B102" s="13" t="s">
        <v>152</v>
      </c>
      <c r="C102" s="13" t="s">
        <v>18</v>
      </c>
      <c r="D102" s="13" t="s">
        <v>153</v>
      </c>
      <c r="E102" s="15"/>
      <c r="F102" s="13">
        <v>36.0</v>
      </c>
      <c r="G102" s="13" t="s">
        <v>21</v>
      </c>
      <c r="H102" s="13" t="s">
        <v>22</v>
      </c>
      <c r="I102" s="14">
        <v>1.0</v>
      </c>
      <c r="J102" s="15"/>
      <c r="K102" s="16">
        <v>585.75</v>
      </c>
      <c r="L102" s="16">
        <v>585.75</v>
      </c>
      <c r="M102" s="14">
        <v>0.0</v>
      </c>
      <c r="N102" s="16">
        <v>585.75</v>
      </c>
      <c r="O102" s="13" t="s">
        <v>26</v>
      </c>
      <c r="P102" s="11"/>
      <c r="Q102" s="11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8" t="s">
        <v>63</v>
      </c>
      <c r="N103" s="19">
        <v>4203.77</v>
      </c>
      <c r="O103" s="20"/>
      <c r="P103" s="11"/>
      <c r="Q103" s="11"/>
    </row>
    <row r="104">
      <c r="A104" s="12">
        <v>10.0</v>
      </c>
      <c r="B104" s="12" t="s">
        <v>154</v>
      </c>
      <c r="C104" s="13" t="s">
        <v>18</v>
      </c>
      <c r="D104" s="13" t="s">
        <v>155</v>
      </c>
      <c r="E104" s="13" t="s">
        <v>20</v>
      </c>
      <c r="F104" s="13" t="s">
        <v>21</v>
      </c>
      <c r="G104" s="13">
        <v>10.0</v>
      </c>
      <c r="H104" s="13" t="s">
        <v>22</v>
      </c>
      <c r="I104" s="14">
        <v>1.0</v>
      </c>
      <c r="J104" s="15"/>
      <c r="K104" s="16">
        <v>3876.91</v>
      </c>
      <c r="L104" s="16">
        <v>3876.91</v>
      </c>
      <c r="M104" s="14">
        <v>0.0</v>
      </c>
      <c r="N104" s="16">
        <v>3876.91</v>
      </c>
      <c r="O104" s="15"/>
      <c r="P104" s="11"/>
      <c r="Q104" s="11"/>
    </row>
    <row r="105">
      <c r="A105" s="14" t="s">
        <v>156</v>
      </c>
      <c r="B105" s="13" t="s">
        <v>157</v>
      </c>
      <c r="C105" s="13" t="s">
        <v>18</v>
      </c>
      <c r="D105" s="13" t="s">
        <v>158</v>
      </c>
      <c r="E105" s="15"/>
      <c r="F105" s="13">
        <v>36.0</v>
      </c>
      <c r="G105" s="13" t="s">
        <v>21</v>
      </c>
      <c r="H105" s="13" t="s">
        <v>22</v>
      </c>
      <c r="I105" s="14">
        <v>1.0</v>
      </c>
      <c r="J105" s="15"/>
      <c r="K105" s="14">
        <v>627.0</v>
      </c>
      <c r="L105" s="14">
        <v>627.0</v>
      </c>
      <c r="M105" s="14">
        <v>0.0</v>
      </c>
      <c r="N105" s="14">
        <v>627.0</v>
      </c>
      <c r="O105" s="13" t="s">
        <v>26</v>
      </c>
      <c r="P105" s="11"/>
      <c r="Q105" s="11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8" t="s">
        <v>63</v>
      </c>
      <c r="N106" s="19">
        <v>4503.91</v>
      </c>
      <c r="O106" s="20"/>
      <c r="P106" s="11"/>
      <c r="Q106" s="11"/>
    </row>
    <row r="107">
      <c r="A107" s="12">
        <v>11.0</v>
      </c>
      <c r="B107" s="12" t="s">
        <v>159</v>
      </c>
      <c r="C107" s="13" t="s">
        <v>18</v>
      </c>
      <c r="D107" s="13" t="s">
        <v>160</v>
      </c>
      <c r="E107" s="13" t="s">
        <v>20</v>
      </c>
      <c r="F107" s="13" t="s">
        <v>21</v>
      </c>
      <c r="G107" s="13" t="s">
        <v>21</v>
      </c>
      <c r="H107" s="13" t="s">
        <v>22</v>
      </c>
      <c r="I107" s="14">
        <v>1.0</v>
      </c>
      <c r="J107" s="15"/>
      <c r="K107" s="14">
        <v>0.0</v>
      </c>
      <c r="L107" s="14">
        <v>0.0</v>
      </c>
      <c r="M107" s="14">
        <v>0.0</v>
      </c>
      <c r="N107" s="14">
        <v>0.0</v>
      </c>
      <c r="O107" s="15"/>
      <c r="P107" s="11"/>
      <c r="Q107" s="11"/>
    </row>
    <row r="108">
      <c r="A108" s="14">
        <v>11.1</v>
      </c>
      <c r="B108" s="13" t="s">
        <v>161</v>
      </c>
      <c r="C108" s="13" t="s">
        <v>29</v>
      </c>
      <c r="D108" s="13" t="s">
        <v>162</v>
      </c>
      <c r="E108" s="15"/>
      <c r="F108" s="13" t="s">
        <v>21</v>
      </c>
      <c r="G108" s="13">
        <v>2.0</v>
      </c>
      <c r="H108" s="13" t="s">
        <v>22</v>
      </c>
      <c r="I108" s="14">
        <v>1.0</v>
      </c>
      <c r="J108" s="14">
        <v>1.0</v>
      </c>
      <c r="K108" s="14">
        <v>20.83</v>
      </c>
      <c r="L108" s="14">
        <v>749.88</v>
      </c>
      <c r="M108" s="14">
        <v>0.0</v>
      </c>
      <c r="N108" s="14">
        <v>749.88</v>
      </c>
      <c r="O108" s="15"/>
      <c r="P108" s="11"/>
      <c r="Q108" s="11"/>
    </row>
    <row r="109">
      <c r="A109" s="14">
        <v>11.2</v>
      </c>
      <c r="B109" s="13" t="s">
        <v>163</v>
      </c>
      <c r="C109" s="13" t="s">
        <v>29</v>
      </c>
      <c r="D109" s="13" t="s">
        <v>164</v>
      </c>
      <c r="E109" s="15"/>
      <c r="F109" s="13" t="s">
        <v>21</v>
      </c>
      <c r="G109" s="13" t="s">
        <v>21</v>
      </c>
      <c r="H109" s="13" t="s">
        <v>22</v>
      </c>
      <c r="I109" s="14">
        <v>1.0</v>
      </c>
      <c r="J109" s="14">
        <v>1.0</v>
      </c>
      <c r="K109" s="14">
        <v>0.0</v>
      </c>
      <c r="L109" s="14">
        <v>0.0</v>
      </c>
      <c r="M109" s="14">
        <v>0.0</v>
      </c>
      <c r="N109" s="14">
        <v>0.0</v>
      </c>
      <c r="O109" s="15"/>
      <c r="P109" s="11"/>
      <c r="Q109" s="11"/>
    </row>
    <row r="110">
      <c r="A110" s="14">
        <v>11.3</v>
      </c>
      <c r="B110" s="13" t="s">
        <v>165</v>
      </c>
      <c r="C110" s="13" t="s">
        <v>29</v>
      </c>
      <c r="D110" s="13" t="s">
        <v>166</v>
      </c>
      <c r="E110" s="15"/>
      <c r="F110" s="13" t="s">
        <v>21</v>
      </c>
      <c r="G110" s="13">
        <v>2.0</v>
      </c>
      <c r="H110" s="13" t="s">
        <v>22</v>
      </c>
      <c r="I110" s="14">
        <v>1.0</v>
      </c>
      <c r="J110" s="14">
        <v>1.0</v>
      </c>
      <c r="K110" s="14">
        <v>0.0</v>
      </c>
      <c r="L110" s="14">
        <v>0.0</v>
      </c>
      <c r="M110" s="14">
        <v>0.0</v>
      </c>
      <c r="N110" s="14">
        <v>0.0</v>
      </c>
      <c r="O110" s="15"/>
      <c r="P110" s="11"/>
      <c r="Q110" s="11"/>
    </row>
    <row r="111">
      <c r="A111" s="14">
        <v>11.4</v>
      </c>
      <c r="B111" s="13" t="s">
        <v>161</v>
      </c>
      <c r="C111" s="13" t="s">
        <v>29</v>
      </c>
      <c r="D111" s="13" t="s">
        <v>162</v>
      </c>
      <c r="E111" s="15"/>
      <c r="F111" s="13" t="s">
        <v>21</v>
      </c>
      <c r="G111" s="13">
        <v>2.0</v>
      </c>
      <c r="H111" s="13" t="s">
        <v>22</v>
      </c>
      <c r="I111" s="14">
        <v>1.0</v>
      </c>
      <c r="J111" s="14">
        <v>1.0</v>
      </c>
      <c r="K111" s="14">
        <v>20.83</v>
      </c>
      <c r="L111" s="14">
        <v>749.88</v>
      </c>
      <c r="M111" s="14">
        <v>0.0</v>
      </c>
      <c r="N111" s="14">
        <v>749.88</v>
      </c>
      <c r="O111" s="15"/>
      <c r="P111" s="11"/>
      <c r="Q111" s="11"/>
    </row>
    <row r="112">
      <c r="A112" s="14">
        <v>11.5</v>
      </c>
      <c r="B112" s="13" t="s">
        <v>163</v>
      </c>
      <c r="C112" s="13" t="s">
        <v>29</v>
      </c>
      <c r="D112" s="13" t="s">
        <v>164</v>
      </c>
      <c r="E112" s="15"/>
      <c r="F112" s="13" t="s">
        <v>21</v>
      </c>
      <c r="G112" s="13" t="s">
        <v>21</v>
      </c>
      <c r="H112" s="13" t="s">
        <v>22</v>
      </c>
      <c r="I112" s="14">
        <v>1.0</v>
      </c>
      <c r="J112" s="14">
        <v>1.0</v>
      </c>
      <c r="K112" s="14">
        <v>0.0</v>
      </c>
      <c r="L112" s="14">
        <v>0.0</v>
      </c>
      <c r="M112" s="14">
        <v>0.0</v>
      </c>
      <c r="N112" s="14">
        <v>0.0</v>
      </c>
      <c r="O112" s="15"/>
      <c r="P112" s="11"/>
      <c r="Q112" s="11"/>
    </row>
    <row r="113">
      <c r="A113" s="14">
        <v>11.6</v>
      </c>
      <c r="B113" s="13" t="s">
        <v>161</v>
      </c>
      <c r="C113" s="13" t="s">
        <v>29</v>
      </c>
      <c r="D113" s="13" t="s">
        <v>162</v>
      </c>
      <c r="E113" s="15"/>
      <c r="F113" s="13" t="s">
        <v>21</v>
      </c>
      <c r="G113" s="13">
        <v>2.0</v>
      </c>
      <c r="H113" s="13" t="s">
        <v>22</v>
      </c>
      <c r="I113" s="14">
        <v>1.0</v>
      </c>
      <c r="J113" s="14">
        <v>1.0</v>
      </c>
      <c r="K113" s="14">
        <v>20.83</v>
      </c>
      <c r="L113" s="14">
        <v>749.88</v>
      </c>
      <c r="M113" s="14">
        <v>0.0</v>
      </c>
      <c r="N113" s="14">
        <v>749.88</v>
      </c>
      <c r="O113" s="15"/>
      <c r="P113" s="11"/>
      <c r="Q113" s="11"/>
    </row>
    <row r="114">
      <c r="A114" s="14">
        <v>11.7</v>
      </c>
      <c r="B114" s="13" t="s">
        <v>163</v>
      </c>
      <c r="C114" s="13" t="s">
        <v>29</v>
      </c>
      <c r="D114" s="13" t="s">
        <v>164</v>
      </c>
      <c r="E114" s="15"/>
      <c r="F114" s="13" t="s">
        <v>21</v>
      </c>
      <c r="G114" s="13" t="s">
        <v>21</v>
      </c>
      <c r="H114" s="13" t="s">
        <v>22</v>
      </c>
      <c r="I114" s="14">
        <v>1.0</v>
      </c>
      <c r="J114" s="14">
        <v>1.0</v>
      </c>
      <c r="K114" s="14">
        <v>0.0</v>
      </c>
      <c r="L114" s="14">
        <v>0.0</v>
      </c>
      <c r="M114" s="14">
        <v>0.0</v>
      </c>
      <c r="N114" s="14">
        <v>0.0</v>
      </c>
      <c r="O114" s="15"/>
      <c r="P114" s="11"/>
      <c r="Q114" s="11"/>
    </row>
    <row r="115">
      <c r="A115" s="14">
        <v>11.8</v>
      </c>
      <c r="B115" s="13" t="s">
        <v>161</v>
      </c>
      <c r="C115" s="13" t="s">
        <v>29</v>
      </c>
      <c r="D115" s="13" t="s">
        <v>162</v>
      </c>
      <c r="E115" s="15"/>
      <c r="F115" s="13" t="s">
        <v>21</v>
      </c>
      <c r="G115" s="13">
        <v>2.0</v>
      </c>
      <c r="H115" s="13" t="s">
        <v>22</v>
      </c>
      <c r="I115" s="14">
        <v>1.0</v>
      </c>
      <c r="J115" s="14">
        <v>1.0</v>
      </c>
      <c r="K115" s="14">
        <v>20.83</v>
      </c>
      <c r="L115" s="14">
        <v>749.88</v>
      </c>
      <c r="M115" s="14">
        <v>0.0</v>
      </c>
      <c r="N115" s="14">
        <v>749.88</v>
      </c>
      <c r="O115" s="15"/>
      <c r="P115" s="11"/>
      <c r="Q115" s="11"/>
    </row>
    <row r="116">
      <c r="A116" s="14">
        <v>11.9</v>
      </c>
      <c r="B116" s="13" t="s">
        <v>163</v>
      </c>
      <c r="C116" s="13" t="s">
        <v>29</v>
      </c>
      <c r="D116" s="13" t="s">
        <v>164</v>
      </c>
      <c r="E116" s="15"/>
      <c r="F116" s="13" t="s">
        <v>21</v>
      </c>
      <c r="G116" s="13" t="s">
        <v>21</v>
      </c>
      <c r="H116" s="13" t="s">
        <v>22</v>
      </c>
      <c r="I116" s="14">
        <v>1.0</v>
      </c>
      <c r="J116" s="14">
        <v>1.0</v>
      </c>
      <c r="K116" s="14">
        <v>0.0</v>
      </c>
      <c r="L116" s="14">
        <v>0.0</v>
      </c>
      <c r="M116" s="14">
        <v>0.0</v>
      </c>
      <c r="N116" s="14">
        <v>0.0</v>
      </c>
      <c r="O116" s="15"/>
      <c r="P116" s="11"/>
      <c r="Q116" s="11"/>
    </row>
    <row r="117">
      <c r="A117" s="14">
        <v>11.1</v>
      </c>
      <c r="B117" s="13" t="s">
        <v>161</v>
      </c>
      <c r="C117" s="13" t="s">
        <v>29</v>
      </c>
      <c r="D117" s="13" t="s">
        <v>162</v>
      </c>
      <c r="E117" s="15"/>
      <c r="F117" s="13" t="s">
        <v>21</v>
      </c>
      <c r="G117" s="13">
        <v>2.0</v>
      </c>
      <c r="H117" s="13" t="s">
        <v>22</v>
      </c>
      <c r="I117" s="14">
        <v>1.0</v>
      </c>
      <c r="J117" s="14">
        <v>1.0</v>
      </c>
      <c r="K117" s="14">
        <v>20.83</v>
      </c>
      <c r="L117" s="14">
        <v>749.88</v>
      </c>
      <c r="M117" s="14">
        <v>0.0</v>
      </c>
      <c r="N117" s="14">
        <v>749.88</v>
      </c>
      <c r="O117" s="15"/>
      <c r="P117" s="11"/>
      <c r="Q117" s="11"/>
    </row>
    <row r="118">
      <c r="A118" s="14">
        <v>11.11</v>
      </c>
      <c r="B118" s="13" t="s">
        <v>163</v>
      </c>
      <c r="C118" s="13" t="s">
        <v>29</v>
      </c>
      <c r="D118" s="13" t="s">
        <v>164</v>
      </c>
      <c r="E118" s="15"/>
      <c r="F118" s="13" t="s">
        <v>21</v>
      </c>
      <c r="G118" s="13" t="s">
        <v>21</v>
      </c>
      <c r="H118" s="13" t="s">
        <v>22</v>
      </c>
      <c r="I118" s="14">
        <v>1.0</v>
      </c>
      <c r="J118" s="14">
        <v>1.0</v>
      </c>
      <c r="K118" s="14">
        <v>0.0</v>
      </c>
      <c r="L118" s="14">
        <v>0.0</v>
      </c>
      <c r="M118" s="14">
        <v>0.0</v>
      </c>
      <c r="N118" s="14">
        <v>0.0</v>
      </c>
      <c r="O118" s="15"/>
      <c r="P118" s="11"/>
      <c r="Q118" s="11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8" t="s">
        <v>63</v>
      </c>
      <c r="N119" s="19">
        <v>3749.4</v>
      </c>
      <c r="O119" s="20"/>
      <c r="P119" s="11"/>
      <c r="Q119" s="11"/>
    </row>
    <row r="120">
      <c r="A120" s="12">
        <v>12.0</v>
      </c>
      <c r="B120" s="12" t="s">
        <v>167</v>
      </c>
      <c r="C120" s="13" t="s">
        <v>18</v>
      </c>
      <c r="D120" s="13" t="s">
        <v>168</v>
      </c>
      <c r="E120" s="13" t="s">
        <v>20</v>
      </c>
      <c r="F120" s="13" t="s">
        <v>21</v>
      </c>
      <c r="G120" s="13">
        <v>28.0</v>
      </c>
      <c r="H120" s="13" t="s">
        <v>22</v>
      </c>
      <c r="I120" s="14">
        <v>1.0</v>
      </c>
      <c r="J120" s="15"/>
      <c r="K120" s="16">
        <v>3287.24</v>
      </c>
      <c r="L120" s="16">
        <v>3287.24</v>
      </c>
      <c r="M120" s="14">
        <v>0.0</v>
      </c>
      <c r="N120" s="16">
        <v>3287.24</v>
      </c>
      <c r="O120" s="15"/>
      <c r="P120" s="11"/>
      <c r="Q120" s="11"/>
    </row>
    <row r="121">
      <c r="A121" s="14" t="s">
        <v>169</v>
      </c>
      <c r="B121" s="13" t="s">
        <v>170</v>
      </c>
      <c r="C121" s="13" t="s">
        <v>18</v>
      </c>
      <c r="D121" s="13" t="s">
        <v>171</v>
      </c>
      <c r="E121" s="15"/>
      <c r="F121" s="13">
        <v>36.0</v>
      </c>
      <c r="G121" s="13" t="s">
        <v>21</v>
      </c>
      <c r="H121" s="13" t="s">
        <v>22</v>
      </c>
      <c r="I121" s="14">
        <v>1.0</v>
      </c>
      <c r="J121" s="15"/>
      <c r="K121" s="14">
        <v>614.64</v>
      </c>
      <c r="L121" s="14">
        <v>614.64</v>
      </c>
      <c r="M121" s="14">
        <v>0.0</v>
      </c>
      <c r="N121" s="14">
        <v>614.64</v>
      </c>
      <c r="O121" s="13" t="s">
        <v>26</v>
      </c>
      <c r="P121" s="11"/>
      <c r="Q121" s="11"/>
    </row>
    <row r="122">
      <c r="A122" s="14">
        <v>12.1</v>
      </c>
      <c r="B122" s="13" t="s">
        <v>59</v>
      </c>
      <c r="C122" s="13" t="s">
        <v>29</v>
      </c>
      <c r="D122" s="13" t="s">
        <v>60</v>
      </c>
      <c r="E122" s="15"/>
      <c r="F122" s="13" t="s">
        <v>21</v>
      </c>
      <c r="G122" s="13">
        <v>2.0</v>
      </c>
      <c r="H122" s="13" t="s">
        <v>29</v>
      </c>
      <c r="I122" s="14">
        <v>1.0</v>
      </c>
      <c r="J122" s="15"/>
      <c r="K122" s="14">
        <v>0.0</v>
      </c>
      <c r="L122" s="14">
        <v>0.0</v>
      </c>
      <c r="M122" s="14">
        <v>0.0</v>
      </c>
      <c r="N122" s="14">
        <v>0.0</v>
      </c>
      <c r="O122" s="15"/>
      <c r="P122" s="11"/>
      <c r="Q122" s="11"/>
    </row>
    <row r="123">
      <c r="A123" s="14">
        <v>12.2</v>
      </c>
      <c r="B123" s="13" t="s">
        <v>46</v>
      </c>
      <c r="C123" s="13" t="s">
        <v>29</v>
      </c>
      <c r="D123" s="13" t="s">
        <v>47</v>
      </c>
      <c r="E123" s="15"/>
      <c r="F123" s="13" t="s">
        <v>21</v>
      </c>
      <c r="G123" s="13">
        <v>21.0</v>
      </c>
      <c r="H123" s="13" t="s">
        <v>29</v>
      </c>
      <c r="I123" s="14">
        <v>1.0</v>
      </c>
      <c r="J123" s="15"/>
      <c r="K123" s="14">
        <v>0.0</v>
      </c>
      <c r="L123" s="14">
        <v>0.0</v>
      </c>
      <c r="M123" s="14">
        <v>0.0</v>
      </c>
      <c r="N123" s="14">
        <v>0.0</v>
      </c>
      <c r="O123" s="15"/>
      <c r="P123" s="11"/>
      <c r="Q123" s="11"/>
    </row>
    <row r="124">
      <c r="A124" s="14" t="s">
        <v>172</v>
      </c>
      <c r="B124" s="13" t="s">
        <v>49</v>
      </c>
      <c r="C124" s="13" t="s">
        <v>18</v>
      </c>
      <c r="D124" s="13" t="s">
        <v>50</v>
      </c>
      <c r="E124" s="15"/>
      <c r="F124" s="13">
        <v>36.0</v>
      </c>
      <c r="G124" s="13" t="s">
        <v>21</v>
      </c>
      <c r="H124" s="13" t="s">
        <v>22</v>
      </c>
      <c r="I124" s="14">
        <v>1.0</v>
      </c>
      <c r="J124" s="15"/>
      <c r="K124" s="14">
        <v>0.0</v>
      </c>
      <c r="L124" s="14">
        <v>0.0</v>
      </c>
      <c r="M124" s="14">
        <v>0.0</v>
      </c>
      <c r="N124" s="14">
        <v>0.0</v>
      </c>
      <c r="O124" s="15"/>
      <c r="P124" s="11"/>
      <c r="Q124" s="11"/>
    </row>
    <row r="125">
      <c r="A125" s="14">
        <v>12.3</v>
      </c>
      <c r="B125" s="13" t="s">
        <v>41</v>
      </c>
      <c r="C125" s="13" t="s">
        <v>29</v>
      </c>
      <c r="D125" s="13" t="s">
        <v>42</v>
      </c>
      <c r="E125" s="15"/>
      <c r="F125" s="13" t="s">
        <v>21</v>
      </c>
      <c r="G125" s="13">
        <v>6.0</v>
      </c>
      <c r="H125" s="13" t="s">
        <v>29</v>
      </c>
      <c r="I125" s="14">
        <v>1.0</v>
      </c>
      <c r="J125" s="15"/>
      <c r="K125" s="14">
        <v>0.0</v>
      </c>
      <c r="L125" s="14">
        <v>0.0</v>
      </c>
      <c r="M125" s="14">
        <v>0.0</v>
      </c>
      <c r="N125" s="14">
        <v>0.0</v>
      </c>
      <c r="O125" s="15"/>
      <c r="P125" s="11"/>
      <c r="Q125" s="11"/>
    </row>
    <row r="126">
      <c r="A126" s="14" t="s">
        <v>173</v>
      </c>
      <c r="B126" s="13" t="s">
        <v>44</v>
      </c>
      <c r="C126" s="13" t="s">
        <v>18</v>
      </c>
      <c r="D126" s="13" t="s">
        <v>45</v>
      </c>
      <c r="E126" s="15"/>
      <c r="F126" s="13">
        <v>36.0</v>
      </c>
      <c r="G126" s="13" t="s">
        <v>21</v>
      </c>
      <c r="H126" s="13" t="s">
        <v>22</v>
      </c>
      <c r="I126" s="14">
        <v>1.0</v>
      </c>
      <c r="J126" s="15"/>
      <c r="K126" s="14">
        <v>0.0</v>
      </c>
      <c r="L126" s="14">
        <v>0.0</v>
      </c>
      <c r="M126" s="14">
        <v>0.0</v>
      </c>
      <c r="N126" s="14">
        <v>0.0</v>
      </c>
      <c r="O126" s="15"/>
      <c r="P126" s="11"/>
      <c r="Q126" s="11"/>
    </row>
    <row r="127">
      <c r="A127" s="14">
        <v>12.4</v>
      </c>
      <c r="B127" s="13" t="s">
        <v>57</v>
      </c>
      <c r="C127" s="13" t="s">
        <v>29</v>
      </c>
      <c r="D127" s="13" t="s">
        <v>58</v>
      </c>
      <c r="E127" s="15"/>
      <c r="F127" s="13" t="s">
        <v>21</v>
      </c>
      <c r="G127" s="13">
        <v>2.0</v>
      </c>
      <c r="H127" s="13" t="s">
        <v>29</v>
      </c>
      <c r="I127" s="14">
        <v>1.0</v>
      </c>
      <c r="J127" s="15"/>
      <c r="K127" s="14">
        <v>0.0</v>
      </c>
      <c r="L127" s="14">
        <v>0.0</v>
      </c>
      <c r="M127" s="14">
        <v>0.0</v>
      </c>
      <c r="N127" s="14">
        <v>0.0</v>
      </c>
      <c r="O127" s="15"/>
      <c r="P127" s="11"/>
      <c r="Q127" s="11"/>
    </row>
    <row r="128">
      <c r="A128" s="14">
        <v>12.5</v>
      </c>
      <c r="B128" s="13" t="s">
        <v>174</v>
      </c>
      <c r="C128" s="13" t="s">
        <v>18</v>
      </c>
      <c r="D128" s="13" t="s">
        <v>175</v>
      </c>
      <c r="E128" s="15"/>
      <c r="F128" s="13" t="s">
        <v>21</v>
      </c>
      <c r="G128" s="13">
        <v>28.0</v>
      </c>
      <c r="H128" s="13" t="s">
        <v>29</v>
      </c>
      <c r="I128" s="14">
        <v>1.0</v>
      </c>
      <c r="J128" s="15"/>
      <c r="K128" s="14">
        <v>0.0</v>
      </c>
      <c r="L128" s="14">
        <v>0.0</v>
      </c>
      <c r="M128" s="14">
        <v>0.0</v>
      </c>
      <c r="N128" s="14">
        <v>0.0</v>
      </c>
      <c r="O128" s="15"/>
      <c r="P128" s="11"/>
      <c r="Q128" s="11"/>
    </row>
    <row r="129">
      <c r="A129" s="14" t="s">
        <v>176</v>
      </c>
      <c r="B129" s="13" t="s">
        <v>177</v>
      </c>
      <c r="C129" s="13" t="s">
        <v>18</v>
      </c>
      <c r="D129" s="13" t="s">
        <v>178</v>
      </c>
      <c r="E129" s="15"/>
      <c r="F129" s="13">
        <v>36.0</v>
      </c>
      <c r="G129" s="13" t="s">
        <v>21</v>
      </c>
      <c r="H129" s="13" t="s">
        <v>22</v>
      </c>
      <c r="I129" s="14">
        <v>1.0</v>
      </c>
      <c r="J129" s="15"/>
      <c r="K129" s="14">
        <v>0.0</v>
      </c>
      <c r="L129" s="14">
        <v>0.0</v>
      </c>
      <c r="M129" s="14">
        <v>0.0</v>
      </c>
      <c r="N129" s="14">
        <v>0.0</v>
      </c>
      <c r="O129" s="15"/>
      <c r="P129" s="11"/>
      <c r="Q129" s="11"/>
    </row>
    <row r="130">
      <c r="A130" s="14">
        <v>12.6</v>
      </c>
      <c r="B130" s="13" t="s">
        <v>179</v>
      </c>
      <c r="C130" s="13" t="s">
        <v>18</v>
      </c>
      <c r="D130" s="13" t="s">
        <v>180</v>
      </c>
      <c r="E130" s="15"/>
      <c r="F130" s="13" t="s">
        <v>21</v>
      </c>
      <c r="G130" s="13">
        <v>21.0</v>
      </c>
      <c r="H130" s="13" t="s">
        <v>29</v>
      </c>
      <c r="I130" s="14">
        <v>1.0</v>
      </c>
      <c r="J130" s="15"/>
      <c r="K130" s="14">
        <v>0.0</v>
      </c>
      <c r="L130" s="14">
        <v>0.0</v>
      </c>
      <c r="M130" s="14">
        <v>0.0</v>
      </c>
      <c r="N130" s="14">
        <v>0.0</v>
      </c>
      <c r="O130" s="15"/>
      <c r="P130" s="11"/>
      <c r="Q130" s="11"/>
    </row>
    <row r="131">
      <c r="A131" s="14">
        <v>12.7</v>
      </c>
      <c r="B131" s="13" t="s">
        <v>181</v>
      </c>
      <c r="C131" s="13" t="s">
        <v>18</v>
      </c>
      <c r="D131" s="13" t="s">
        <v>182</v>
      </c>
      <c r="E131" s="15"/>
      <c r="F131" s="13" t="s">
        <v>21</v>
      </c>
      <c r="G131" s="13">
        <v>28.0</v>
      </c>
      <c r="H131" s="13" t="s">
        <v>29</v>
      </c>
      <c r="I131" s="14">
        <v>1.0</v>
      </c>
      <c r="J131" s="15"/>
      <c r="K131" s="14">
        <v>0.0</v>
      </c>
      <c r="L131" s="14">
        <v>0.0</v>
      </c>
      <c r="M131" s="14">
        <v>0.0</v>
      </c>
      <c r="N131" s="14">
        <v>0.0</v>
      </c>
      <c r="O131" s="15"/>
      <c r="P131" s="11"/>
      <c r="Q131" s="11"/>
    </row>
    <row r="132">
      <c r="A132" s="14">
        <v>12.8</v>
      </c>
      <c r="B132" s="13" t="s">
        <v>33</v>
      </c>
      <c r="C132" s="13" t="s">
        <v>18</v>
      </c>
      <c r="D132" s="13" t="s">
        <v>34</v>
      </c>
      <c r="E132" s="15"/>
      <c r="F132" s="13" t="s">
        <v>21</v>
      </c>
      <c r="G132" s="13">
        <v>2.0</v>
      </c>
      <c r="H132" s="13" t="s">
        <v>22</v>
      </c>
      <c r="I132" s="14">
        <v>1.0</v>
      </c>
      <c r="J132" s="15"/>
      <c r="K132" s="14">
        <v>0.0</v>
      </c>
      <c r="L132" s="14">
        <v>0.0</v>
      </c>
      <c r="M132" s="14">
        <v>0.0</v>
      </c>
      <c r="N132" s="14">
        <v>0.0</v>
      </c>
      <c r="O132" s="15"/>
      <c r="P132" s="11"/>
      <c r="Q132" s="11"/>
    </row>
    <row r="133">
      <c r="A133" s="14" t="s">
        <v>183</v>
      </c>
      <c r="B133" s="13" t="s">
        <v>184</v>
      </c>
      <c r="C133" s="13" t="s">
        <v>18</v>
      </c>
      <c r="D133" s="13" t="s">
        <v>185</v>
      </c>
      <c r="E133" s="15"/>
      <c r="F133" s="13">
        <v>36.0</v>
      </c>
      <c r="G133" s="13" t="s">
        <v>21</v>
      </c>
      <c r="H133" s="13" t="s">
        <v>22</v>
      </c>
      <c r="I133" s="14">
        <v>1.0</v>
      </c>
      <c r="J133" s="15"/>
      <c r="K133" s="14">
        <v>152.64</v>
      </c>
      <c r="L133" s="14">
        <v>152.64</v>
      </c>
      <c r="M133" s="14">
        <v>0.0</v>
      </c>
      <c r="N133" s="14">
        <v>152.64</v>
      </c>
      <c r="O133" s="13" t="s">
        <v>26</v>
      </c>
      <c r="P133" s="11"/>
      <c r="Q133" s="11"/>
    </row>
    <row r="134">
      <c r="A134" s="14" t="s">
        <v>186</v>
      </c>
      <c r="B134" s="13" t="s">
        <v>39</v>
      </c>
      <c r="C134" s="13" t="s">
        <v>18</v>
      </c>
      <c r="D134" s="13" t="s">
        <v>40</v>
      </c>
      <c r="E134" s="15"/>
      <c r="F134" s="13">
        <v>36.0</v>
      </c>
      <c r="G134" s="13" t="s">
        <v>21</v>
      </c>
      <c r="H134" s="13" t="s">
        <v>22</v>
      </c>
      <c r="I134" s="14">
        <v>1.0</v>
      </c>
      <c r="J134" s="15"/>
      <c r="K134" s="14">
        <v>653.24</v>
      </c>
      <c r="L134" s="14">
        <v>653.24</v>
      </c>
      <c r="M134" s="14">
        <v>0.0</v>
      </c>
      <c r="N134" s="14">
        <v>653.24</v>
      </c>
      <c r="O134" s="15"/>
      <c r="P134" s="11"/>
      <c r="Q134" s="11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8" t="s">
        <v>63</v>
      </c>
      <c r="N135" s="19">
        <v>4707.76</v>
      </c>
      <c r="O135" s="20"/>
      <c r="P135" s="11"/>
      <c r="Q135" s="11"/>
    </row>
    <row r="136">
      <c r="A136" s="12">
        <v>13.0</v>
      </c>
      <c r="B136" s="12" t="s">
        <v>187</v>
      </c>
      <c r="C136" s="13" t="s">
        <v>18</v>
      </c>
      <c r="D136" s="13" t="s">
        <v>188</v>
      </c>
      <c r="E136" s="13" t="s">
        <v>20</v>
      </c>
      <c r="F136" s="13" t="s">
        <v>21</v>
      </c>
      <c r="G136" s="13">
        <v>28.0</v>
      </c>
      <c r="H136" s="13" t="s">
        <v>22</v>
      </c>
      <c r="I136" s="14">
        <v>1.0</v>
      </c>
      <c r="J136" s="15"/>
      <c r="K136" s="16">
        <v>3573.72</v>
      </c>
      <c r="L136" s="16">
        <v>3573.72</v>
      </c>
      <c r="M136" s="14">
        <v>0.0</v>
      </c>
      <c r="N136" s="16">
        <v>3573.72</v>
      </c>
      <c r="O136" s="15"/>
      <c r="P136" s="11"/>
      <c r="Q136" s="11"/>
    </row>
    <row r="137">
      <c r="A137" s="14" t="s">
        <v>189</v>
      </c>
      <c r="B137" s="13" t="s">
        <v>190</v>
      </c>
      <c r="C137" s="13" t="s">
        <v>18</v>
      </c>
      <c r="D137" s="13" t="s">
        <v>191</v>
      </c>
      <c r="E137" s="15"/>
      <c r="F137" s="13">
        <v>36.0</v>
      </c>
      <c r="G137" s="13" t="s">
        <v>21</v>
      </c>
      <c r="H137" s="13" t="s">
        <v>22</v>
      </c>
      <c r="I137" s="14">
        <v>1.0</v>
      </c>
      <c r="J137" s="15"/>
      <c r="K137" s="14">
        <v>655.89</v>
      </c>
      <c r="L137" s="14">
        <v>655.89</v>
      </c>
      <c r="M137" s="14">
        <v>0.0</v>
      </c>
      <c r="N137" s="14">
        <v>655.89</v>
      </c>
      <c r="O137" s="13" t="s">
        <v>26</v>
      </c>
      <c r="P137" s="11"/>
      <c r="Q137" s="11"/>
    </row>
    <row r="138">
      <c r="A138" s="14">
        <v>13.1</v>
      </c>
      <c r="B138" s="13" t="s">
        <v>59</v>
      </c>
      <c r="C138" s="13" t="s">
        <v>29</v>
      </c>
      <c r="D138" s="13" t="s">
        <v>60</v>
      </c>
      <c r="E138" s="15"/>
      <c r="F138" s="13" t="s">
        <v>21</v>
      </c>
      <c r="G138" s="13">
        <v>2.0</v>
      </c>
      <c r="H138" s="13" t="s">
        <v>29</v>
      </c>
      <c r="I138" s="14">
        <v>1.0</v>
      </c>
      <c r="J138" s="15"/>
      <c r="K138" s="14">
        <v>0.0</v>
      </c>
      <c r="L138" s="14">
        <v>0.0</v>
      </c>
      <c r="M138" s="14">
        <v>0.0</v>
      </c>
      <c r="N138" s="14">
        <v>0.0</v>
      </c>
      <c r="O138" s="15"/>
      <c r="P138" s="11"/>
      <c r="Q138" s="11"/>
    </row>
    <row r="139">
      <c r="A139" s="14">
        <v>13.2</v>
      </c>
      <c r="B139" s="13" t="s">
        <v>46</v>
      </c>
      <c r="C139" s="13" t="s">
        <v>29</v>
      </c>
      <c r="D139" s="13" t="s">
        <v>47</v>
      </c>
      <c r="E139" s="15"/>
      <c r="F139" s="13" t="s">
        <v>21</v>
      </c>
      <c r="G139" s="13">
        <v>21.0</v>
      </c>
      <c r="H139" s="13" t="s">
        <v>29</v>
      </c>
      <c r="I139" s="14">
        <v>1.0</v>
      </c>
      <c r="J139" s="15"/>
      <c r="K139" s="14">
        <v>0.0</v>
      </c>
      <c r="L139" s="14">
        <v>0.0</v>
      </c>
      <c r="M139" s="14">
        <v>0.0</v>
      </c>
      <c r="N139" s="14">
        <v>0.0</v>
      </c>
      <c r="O139" s="15"/>
      <c r="P139" s="11"/>
      <c r="Q139" s="11"/>
    </row>
    <row r="140">
      <c r="A140" s="14" t="s">
        <v>192</v>
      </c>
      <c r="B140" s="13" t="s">
        <v>49</v>
      </c>
      <c r="C140" s="13" t="s">
        <v>18</v>
      </c>
      <c r="D140" s="13" t="s">
        <v>50</v>
      </c>
      <c r="E140" s="15"/>
      <c r="F140" s="13">
        <v>36.0</v>
      </c>
      <c r="G140" s="13" t="s">
        <v>21</v>
      </c>
      <c r="H140" s="13" t="s">
        <v>22</v>
      </c>
      <c r="I140" s="14">
        <v>1.0</v>
      </c>
      <c r="J140" s="15"/>
      <c r="K140" s="14">
        <v>0.0</v>
      </c>
      <c r="L140" s="14">
        <v>0.0</v>
      </c>
      <c r="M140" s="14">
        <v>0.0</v>
      </c>
      <c r="N140" s="14">
        <v>0.0</v>
      </c>
      <c r="O140" s="15"/>
      <c r="P140" s="11"/>
      <c r="Q140" s="11"/>
    </row>
    <row r="141">
      <c r="A141" s="14">
        <v>13.3</v>
      </c>
      <c r="B141" s="13" t="s">
        <v>41</v>
      </c>
      <c r="C141" s="13" t="s">
        <v>29</v>
      </c>
      <c r="D141" s="13" t="s">
        <v>42</v>
      </c>
      <c r="E141" s="15"/>
      <c r="F141" s="13" t="s">
        <v>21</v>
      </c>
      <c r="G141" s="13">
        <v>6.0</v>
      </c>
      <c r="H141" s="13" t="s">
        <v>29</v>
      </c>
      <c r="I141" s="14">
        <v>1.0</v>
      </c>
      <c r="J141" s="15"/>
      <c r="K141" s="14">
        <v>0.0</v>
      </c>
      <c r="L141" s="14">
        <v>0.0</v>
      </c>
      <c r="M141" s="14">
        <v>0.0</v>
      </c>
      <c r="N141" s="14">
        <v>0.0</v>
      </c>
      <c r="O141" s="15"/>
      <c r="P141" s="11"/>
      <c r="Q141" s="11"/>
    </row>
    <row r="142">
      <c r="A142" s="14" t="s">
        <v>193</v>
      </c>
      <c r="B142" s="13" t="s">
        <v>44</v>
      </c>
      <c r="C142" s="13" t="s">
        <v>18</v>
      </c>
      <c r="D142" s="13" t="s">
        <v>45</v>
      </c>
      <c r="E142" s="15"/>
      <c r="F142" s="13">
        <v>36.0</v>
      </c>
      <c r="G142" s="13" t="s">
        <v>21</v>
      </c>
      <c r="H142" s="13" t="s">
        <v>22</v>
      </c>
      <c r="I142" s="14">
        <v>1.0</v>
      </c>
      <c r="J142" s="15"/>
      <c r="K142" s="14">
        <v>0.0</v>
      </c>
      <c r="L142" s="14">
        <v>0.0</v>
      </c>
      <c r="M142" s="14">
        <v>0.0</v>
      </c>
      <c r="N142" s="14">
        <v>0.0</v>
      </c>
      <c r="O142" s="15"/>
      <c r="P142" s="11"/>
      <c r="Q142" s="11"/>
    </row>
    <row r="143">
      <c r="A143" s="14">
        <v>13.4</v>
      </c>
      <c r="B143" s="13" t="s">
        <v>57</v>
      </c>
      <c r="C143" s="13" t="s">
        <v>29</v>
      </c>
      <c r="D143" s="13" t="s">
        <v>58</v>
      </c>
      <c r="E143" s="15"/>
      <c r="F143" s="13" t="s">
        <v>21</v>
      </c>
      <c r="G143" s="13">
        <v>2.0</v>
      </c>
      <c r="H143" s="13" t="s">
        <v>29</v>
      </c>
      <c r="I143" s="14">
        <v>1.0</v>
      </c>
      <c r="J143" s="15"/>
      <c r="K143" s="14">
        <v>0.0</v>
      </c>
      <c r="L143" s="14">
        <v>0.0</v>
      </c>
      <c r="M143" s="14">
        <v>0.0</v>
      </c>
      <c r="N143" s="14">
        <v>0.0</v>
      </c>
      <c r="O143" s="15"/>
      <c r="P143" s="11"/>
      <c r="Q143" s="11"/>
    </row>
    <row r="144">
      <c r="A144" s="14">
        <v>13.5</v>
      </c>
      <c r="B144" s="13" t="s">
        <v>174</v>
      </c>
      <c r="C144" s="13" t="s">
        <v>18</v>
      </c>
      <c r="D144" s="13" t="s">
        <v>175</v>
      </c>
      <c r="E144" s="15"/>
      <c r="F144" s="13" t="s">
        <v>21</v>
      </c>
      <c r="G144" s="13">
        <v>28.0</v>
      </c>
      <c r="H144" s="13" t="s">
        <v>29</v>
      </c>
      <c r="I144" s="14">
        <v>1.0</v>
      </c>
      <c r="J144" s="15"/>
      <c r="K144" s="14">
        <v>0.0</v>
      </c>
      <c r="L144" s="14">
        <v>0.0</v>
      </c>
      <c r="M144" s="14">
        <v>0.0</v>
      </c>
      <c r="N144" s="14">
        <v>0.0</v>
      </c>
      <c r="O144" s="15"/>
      <c r="P144" s="11"/>
      <c r="Q144" s="11"/>
    </row>
    <row r="145">
      <c r="A145" s="14" t="s">
        <v>194</v>
      </c>
      <c r="B145" s="13" t="s">
        <v>177</v>
      </c>
      <c r="C145" s="13" t="s">
        <v>18</v>
      </c>
      <c r="D145" s="13" t="s">
        <v>178</v>
      </c>
      <c r="E145" s="15"/>
      <c r="F145" s="13">
        <v>36.0</v>
      </c>
      <c r="G145" s="13" t="s">
        <v>21</v>
      </c>
      <c r="H145" s="13" t="s">
        <v>22</v>
      </c>
      <c r="I145" s="14">
        <v>1.0</v>
      </c>
      <c r="J145" s="15"/>
      <c r="K145" s="14">
        <v>0.0</v>
      </c>
      <c r="L145" s="14">
        <v>0.0</v>
      </c>
      <c r="M145" s="14">
        <v>0.0</v>
      </c>
      <c r="N145" s="14">
        <v>0.0</v>
      </c>
      <c r="O145" s="15"/>
      <c r="P145" s="11"/>
      <c r="Q145" s="11"/>
    </row>
    <row r="146">
      <c r="A146" s="14">
        <v>13.6</v>
      </c>
      <c r="B146" s="13" t="s">
        <v>181</v>
      </c>
      <c r="C146" s="13" t="s">
        <v>18</v>
      </c>
      <c r="D146" s="13" t="s">
        <v>182</v>
      </c>
      <c r="E146" s="15"/>
      <c r="F146" s="13" t="s">
        <v>21</v>
      </c>
      <c r="G146" s="13">
        <v>28.0</v>
      </c>
      <c r="H146" s="13" t="s">
        <v>29</v>
      </c>
      <c r="I146" s="14">
        <v>1.0</v>
      </c>
      <c r="J146" s="15"/>
      <c r="K146" s="14">
        <v>0.0</v>
      </c>
      <c r="L146" s="14">
        <v>0.0</v>
      </c>
      <c r="M146" s="14">
        <v>0.0</v>
      </c>
      <c r="N146" s="14">
        <v>0.0</v>
      </c>
      <c r="O146" s="15"/>
      <c r="P146" s="11"/>
      <c r="Q146" s="11"/>
    </row>
    <row r="147">
      <c r="A147" s="14">
        <v>13.7</v>
      </c>
      <c r="B147" s="13" t="s">
        <v>33</v>
      </c>
      <c r="C147" s="13" t="s">
        <v>18</v>
      </c>
      <c r="D147" s="13" t="s">
        <v>34</v>
      </c>
      <c r="E147" s="15"/>
      <c r="F147" s="13" t="s">
        <v>21</v>
      </c>
      <c r="G147" s="13">
        <v>2.0</v>
      </c>
      <c r="H147" s="13" t="s">
        <v>22</v>
      </c>
      <c r="I147" s="14">
        <v>1.0</v>
      </c>
      <c r="J147" s="15"/>
      <c r="K147" s="14">
        <v>0.0</v>
      </c>
      <c r="L147" s="14">
        <v>0.0</v>
      </c>
      <c r="M147" s="14">
        <v>0.0</v>
      </c>
      <c r="N147" s="14">
        <v>0.0</v>
      </c>
      <c r="O147" s="15"/>
      <c r="P147" s="11"/>
      <c r="Q147" s="11"/>
    </row>
    <row r="148">
      <c r="A148" s="14" t="s">
        <v>195</v>
      </c>
      <c r="B148" s="13" t="s">
        <v>184</v>
      </c>
      <c r="C148" s="13" t="s">
        <v>18</v>
      </c>
      <c r="D148" s="13" t="s">
        <v>185</v>
      </c>
      <c r="E148" s="15"/>
      <c r="F148" s="13">
        <v>36.0</v>
      </c>
      <c r="G148" s="13" t="s">
        <v>21</v>
      </c>
      <c r="H148" s="13" t="s">
        <v>22</v>
      </c>
      <c r="I148" s="14">
        <v>1.0</v>
      </c>
      <c r="J148" s="15"/>
      <c r="K148" s="14">
        <v>152.64</v>
      </c>
      <c r="L148" s="14">
        <v>152.64</v>
      </c>
      <c r="M148" s="14">
        <v>0.0</v>
      </c>
      <c r="N148" s="14">
        <v>152.64</v>
      </c>
      <c r="O148" s="13" t="s">
        <v>26</v>
      </c>
      <c r="P148" s="11"/>
      <c r="Q148" s="11"/>
    </row>
    <row r="149">
      <c r="A149" s="14" t="s">
        <v>196</v>
      </c>
      <c r="B149" s="13" t="s">
        <v>39</v>
      </c>
      <c r="C149" s="13" t="s">
        <v>18</v>
      </c>
      <c r="D149" s="13" t="s">
        <v>40</v>
      </c>
      <c r="E149" s="15"/>
      <c r="F149" s="13">
        <v>36.0</v>
      </c>
      <c r="G149" s="13" t="s">
        <v>21</v>
      </c>
      <c r="H149" s="13" t="s">
        <v>22</v>
      </c>
      <c r="I149" s="14">
        <v>1.0</v>
      </c>
      <c r="J149" s="15"/>
      <c r="K149" s="14">
        <v>653.24</v>
      </c>
      <c r="L149" s="14">
        <v>653.24</v>
      </c>
      <c r="M149" s="14">
        <v>0.0</v>
      </c>
      <c r="N149" s="14">
        <v>653.24</v>
      </c>
      <c r="O149" s="15"/>
      <c r="P149" s="11"/>
      <c r="Q149" s="11"/>
    </row>
    <row r="150">
      <c r="A150" s="14">
        <v>13.8</v>
      </c>
      <c r="B150" s="13" t="s">
        <v>179</v>
      </c>
      <c r="C150" s="13" t="s">
        <v>18</v>
      </c>
      <c r="D150" s="13" t="s">
        <v>180</v>
      </c>
      <c r="E150" s="15"/>
      <c r="F150" s="13" t="s">
        <v>21</v>
      </c>
      <c r="G150" s="13">
        <v>21.0</v>
      </c>
      <c r="H150" s="13" t="s">
        <v>22</v>
      </c>
      <c r="I150" s="14">
        <v>1.0</v>
      </c>
      <c r="J150" s="15"/>
      <c r="K150" s="14">
        <v>0.0</v>
      </c>
      <c r="L150" s="14">
        <v>0.0</v>
      </c>
      <c r="M150" s="14">
        <v>0.0</v>
      </c>
      <c r="N150" s="14">
        <v>0.0</v>
      </c>
      <c r="O150" s="15"/>
      <c r="P150" s="11"/>
      <c r="Q150" s="11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8" t="s">
        <v>63</v>
      </c>
      <c r="N151" s="19">
        <v>5035.49</v>
      </c>
      <c r="O151" s="20"/>
      <c r="P151" s="11"/>
      <c r="Q151" s="11"/>
    </row>
    <row r="152">
      <c r="A152" s="12">
        <v>14.0</v>
      </c>
      <c r="B152" s="12" t="s">
        <v>197</v>
      </c>
      <c r="C152" s="13" t="s">
        <v>18</v>
      </c>
      <c r="D152" s="13" t="s">
        <v>198</v>
      </c>
      <c r="E152" s="13" t="s">
        <v>20</v>
      </c>
      <c r="F152" s="13" t="s">
        <v>21</v>
      </c>
      <c r="G152" s="13">
        <v>28.0</v>
      </c>
      <c r="H152" s="13" t="s">
        <v>22</v>
      </c>
      <c r="I152" s="14">
        <v>1.0</v>
      </c>
      <c r="J152" s="15"/>
      <c r="K152" s="16">
        <v>3573.72</v>
      </c>
      <c r="L152" s="16">
        <v>3573.72</v>
      </c>
      <c r="M152" s="14">
        <v>0.0</v>
      </c>
      <c r="N152" s="16">
        <v>3573.72</v>
      </c>
      <c r="O152" s="15"/>
      <c r="P152" s="11"/>
      <c r="Q152" s="11"/>
    </row>
    <row r="153">
      <c r="A153" s="14" t="s">
        <v>199</v>
      </c>
      <c r="B153" s="13" t="s">
        <v>200</v>
      </c>
      <c r="C153" s="13" t="s">
        <v>18</v>
      </c>
      <c r="D153" s="13" t="s">
        <v>201</v>
      </c>
      <c r="E153" s="15"/>
      <c r="F153" s="13">
        <v>36.0</v>
      </c>
      <c r="G153" s="13" t="s">
        <v>21</v>
      </c>
      <c r="H153" s="13" t="s">
        <v>22</v>
      </c>
      <c r="I153" s="14">
        <v>1.0</v>
      </c>
      <c r="J153" s="15"/>
      <c r="K153" s="14">
        <v>655.89</v>
      </c>
      <c r="L153" s="14">
        <v>655.89</v>
      </c>
      <c r="M153" s="14">
        <v>0.0</v>
      </c>
      <c r="N153" s="14">
        <v>655.89</v>
      </c>
      <c r="O153" s="13" t="s">
        <v>26</v>
      </c>
      <c r="P153" s="11"/>
      <c r="Q153" s="11"/>
    </row>
    <row r="154">
      <c r="A154" s="14">
        <v>14.1</v>
      </c>
      <c r="B154" s="13" t="s">
        <v>59</v>
      </c>
      <c r="C154" s="13" t="s">
        <v>29</v>
      </c>
      <c r="D154" s="13" t="s">
        <v>60</v>
      </c>
      <c r="E154" s="15"/>
      <c r="F154" s="13" t="s">
        <v>21</v>
      </c>
      <c r="G154" s="13">
        <v>2.0</v>
      </c>
      <c r="H154" s="13" t="s">
        <v>29</v>
      </c>
      <c r="I154" s="14">
        <v>1.0</v>
      </c>
      <c r="J154" s="15"/>
      <c r="K154" s="14">
        <v>0.0</v>
      </c>
      <c r="L154" s="14">
        <v>0.0</v>
      </c>
      <c r="M154" s="14">
        <v>0.0</v>
      </c>
      <c r="N154" s="14">
        <v>0.0</v>
      </c>
      <c r="O154" s="15"/>
      <c r="P154" s="11"/>
      <c r="Q154" s="11"/>
    </row>
    <row r="155">
      <c r="A155" s="14">
        <v>14.2</v>
      </c>
      <c r="B155" s="13" t="s">
        <v>46</v>
      </c>
      <c r="C155" s="13" t="s">
        <v>29</v>
      </c>
      <c r="D155" s="13" t="s">
        <v>47</v>
      </c>
      <c r="E155" s="15"/>
      <c r="F155" s="13" t="s">
        <v>21</v>
      </c>
      <c r="G155" s="13">
        <v>21.0</v>
      </c>
      <c r="H155" s="13" t="s">
        <v>29</v>
      </c>
      <c r="I155" s="14">
        <v>1.0</v>
      </c>
      <c r="J155" s="15"/>
      <c r="K155" s="14">
        <v>0.0</v>
      </c>
      <c r="L155" s="14">
        <v>0.0</v>
      </c>
      <c r="M155" s="14">
        <v>0.0</v>
      </c>
      <c r="N155" s="14">
        <v>0.0</v>
      </c>
      <c r="O155" s="15"/>
      <c r="P155" s="11"/>
      <c r="Q155" s="11"/>
    </row>
    <row r="156">
      <c r="A156" s="14" t="s">
        <v>202</v>
      </c>
      <c r="B156" s="13" t="s">
        <v>49</v>
      </c>
      <c r="C156" s="13" t="s">
        <v>18</v>
      </c>
      <c r="D156" s="13" t="s">
        <v>50</v>
      </c>
      <c r="E156" s="15"/>
      <c r="F156" s="13">
        <v>36.0</v>
      </c>
      <c r="G156" s="13" t="s">
        <v>21</v>
      </c>
      <c r="H156" s="13" t="s">
        <v>22</v>
      </c>
      <c r="I156" s="14">
        <v>1.0</v>
      </c>
      <c r="J156" s="15"/>
      <c r="K156" s="14">
        <v>0.0</v>
      </c>
      <c r="L156" s="14">
        <v>0.0</v>
      </c>
      <c r="M156" s="14">
        <v>0.0</v>
      </c>
      <c r="N156" s="14">
        <v>0.0</v>
      </c>
      <c r="O156" s="15"/>
      <c r="P156" s="11"/>
      <c r="Q156" s="11"/>
    </row>
    <row r="157">
      <c r="A157" s="14">
        <v>14.3</v>
      </c>
      <c r="B157" s="13" t="s">
        <v>41</v>
      </c>
      <c r="C157" s="13" t="s">
        <v>29</v>
      </c>
      <c r="D157" s="13" t="s">
        <v>42</v>
      </c>
      <c r="E157" s="15"/>
      <c r="F157" s="13" t="s">
        <v>21</v>
      </c>
      <c r="G157" s="13">
        <v>6.0</v>
      </c>
      <c r="H157" s="13" t="s">
        <v>29</v>
      </c>
      <c r="I157" s="14">
        <v>1.0</v>
      </c>
      <c r="J157" s="15"/>
      <c r="K157" s="14">
        <v>0.0</v>
      </c>
      <c r="L157" s="14">
        <v>0.0</v>
      </c>
      <c r="M157" s="14">
        <v>0.0</v>
      </c>
      <c r="N157" s="14">
        <v>0.0</v>
      </c>
      <c r="O157" s="15"/>
      <c r="P157" s="11"/>
      <c r="Q157" s="11"/>
    </row>
    <row r="158">
      <c r="A158" s="14" t="s">
        <v>203</v>
      </c>
      <c r="B158" s="13" t="s">
        <v>44</v>
      </c>
      <c r="C158" s="13" t="s">
        <v>18</v>
      </c>
      <c r="D158" s="13" t="s">
        <v>45</v>
      </c>
      <c r="E158" s="15"/>
      <c r="F158" s="13">
        <v>36.0</v>
      </c>
      <c r="G158" s="13" t="s">
        <v>21</v>
      </c>
      <c r="H158" s="13" t="s">
        <v>22</v>
      </c>
      <c r="I158" s="14">
        <v>1.0</v>
      </c>
      <c r="J158" s="15"/>
      <c r="K158" s="14">
        <v>0.0</v>
      </c>
      <c r="L158" s="14">
        <v>0.0</v>
      </c>
      <c r="M158" s="14">
        <v>0.0</v>
      </c>
      <c r="N158" s="14">
        <v>0.0</v>
      </c>
      <c r="O158" s="15"/>
      <c r="P158" s="11"/>
      <c r="Q158" s="11"/>
    </row>
    <row r="159">
      <c r="A159" s="14">
        <v>14.4</v>
      </c>
      <c r="B159" s="13" t="s">
        <v>57</v>
      </c>
      <c r="C159" s="13" t="s">
        <v>29</v>
      </c>
      <c r="D159" s="13" t="s">
        <v>58</v>
      </c>
      <c r="E159" s="15"/>
      <c r="F159" s="13" t="s">
        <v>21</v>
      </c>
      <c r="G159" s="13">
        <v>2.0</v>
      </c>
      <c r="H159" s="13" t="s">
        <v>29</v>
      </c>
      <c r="I159" s="14">
        <v>1.0</v>
      </c>
      <c r="J159" s="15"/>
      <c r="K159" s="14">
        <v>0.0</v>
      </c>
      <c r="L159" s="14">
        <v>0.0</v>
      </c>
      <c r="M159" s="14">
        <v>0.0</v>
      </c>
      <c r="N159" s="14">
        <v>0.0</v>
      </c>
      <c r="O159" s="15"/>
      <c r="P159" s="11"/>
      <c r="Q159" s="11"/>
    </row>
    <row r="160">
      <c r="A160" s="14">
        <v>14.5</v>
      </c>
      <c r="B160" s="13" t="s">
        <v>174</v>
      </c>
      <c r="C160" s="13" t="s">
        <v>18</v>
      </c>
      <c r="D160" s="13" t="s">
        <v>175</v>
      </c>
      <c r="E160" s="15"/>
      <c r="F160" s="13" t="s">
        <v>21</v>
      </c>
      <c r="G160" s="13">
        <v>28.0</v>
      </c>
      <c r="H160" s="13" t="s">
        <v>29</v>
      </c>
      <c r="I160" s="14">
        <v>1.0</v>
      </c>
      <c r="J160" s="15"/>
      <c r="K160" s="14">
        <v>0.0</v>
      </c>
      <c r="L160" s="14">
        <v>0.0</v>
      </c>
      <c r="M160" s="14">
        <v>0.0</v>
      </c>
      <c r="N160" s="14">
        <v>0.0</v>
      </c>
      <c r="O160" s="15"/>
      <c r="P160" s="11"/>
      <c r="Q160" s="11"/>
    </row>
    <row r="161">
      <c r="A161" s="14" t="s">
        <v>204</v>
      </c>
      <c r="B161" s="13" t="s">
        <v>177</v>
      </c>
      <c r="C161" s="13" t="s">
        <v>18</v>
      </c>
      <c r="D161" s="13" t="s">
        <v>178</v>
      </c>
      <c r="E161" s="15"/>
      <c r="F161" s="13">
        <v>36.0</v>
      </c>
      <c r="G161" s="13" t="s">
        <v>21</v>
      </c>
      <c r="H161" s="13" t="s">
        <v>22</v>
      </c>
      <c r="I161" s="14">
        <v>1.0</v>
      </c>
      <c r="J161" s="15"/>
      <c r="K161" s="14">
        <v>0.0</v>
      </c>
      <c r="L161" s="14">
        <v>0.0</v>
      </c>
      <c r="M161" s="14">
        <v>0.0</v>
      </c>
      <c r="N161" s="14">
        <v>0.0</v>
      </c>
      <c r="O161" s="15"/>
      <c r="P161" s="11"/>
      <c r="Q161" s="11"/>
    </row>
    <row r="162">
      <c r="A162" s="14">
        <v>14.6</v>
      </c>
      <c r="B162" s="13" t="s">
        <v>205</v>
      </c>
      <c r="C162" s="13" t="s">
        <v>18</v>
      </c>
      <c r="D162" s="13" t="s">
        <v>182</v>
      </c>
      <c r="E162" s="15"/>
      <c r="F162" s="13" t="s">
        <v>21</v>
      </c>
      <c r="G162" s="13">
        <v>28.0</v>
      </c>
      <c r="H162" s="13" t="s">
        <v>29</v>
      </c>
      <c r="I162" s="14">
        <v>1.0</v>
      </c>
      <c r="J162" s="15"/>
      <c r="K162" s="14">
        <v>0.0</v>
      </c>
      <c r="L162" s="14">
        <v>0.0</v>
      </c>
      <c r="M162" s="14">
        <v>0.0</v>
      </c>
      <c r="N162" s="14">
        <v>0.0</v>
      </c>
      <c r="O162" s="15"/>
      <c r="P162" s="11"/>
      <c r="Q162" s="11"/>
    </row>
    <row r="163">
      <c r="A163" s="14">
        <v>14.7</v>
      </c>
      <c r="B163" s="13" t="s">
        <v>33</v>
      </c>
      <c r="C163" s="13" t="s">
        <v>18</v>
      </c>
      <c r="D163" s="13" t="s">
        <v>34</v>
      </c>
      <c r="E163" s="15"/>
      <c r="F163" s="13" t="s">
        <v>21</v>
      </c>
      <c r="G163" s="13">
        <v>2.0</v>
      </c>
      <c r="H163" s="13" t="s">
        <v>22</v>
      </c>
      <c r="I163" s="14">
        <v>1.0</v>
      </c>
      <c r="J163" s="15"/>
      <c r="K163" s="14">
        <v>0.0</v>
      </c>
      <c r="L163" s="14">
        <v>0.0</v>
      </c>
      <c r="M163" s="14">
        <v>0.0</v>
      </c>
      <c r="N163" s="14">
        <v>0.0</v>
      </c>
      <c r="O163" s="15"/>
      <c r="P163" s="11"/>
      <c r="Q163" s="11"/>
    </row>
    <row r="164">
      <c r="A164" s="14" t="s">
        <v>206</v>
      </c>
      <c r="B164" s="13" t="s">
        <v>184</v>
      </c>
      <c r="C164" s="13" t="s">
        <v>18</v>
      </c>
      <c r="D164" s="13" t="s">
        <v>185</v>
      </c>
      <c r="E164" s="15"/>
      <c r="F164" s="13">
        <v>36.0</v>
      </c>
      <c r="G164" s="13" t="s">
        <v>21</v>
      </c>
      <c r="H164" s="13" t="s">
        <v>22</v>
      </c>
      <c r="I164" s="14">
        <v>1.0</v>
      </c>
      <c r="J164" s="15"/>
      <c r="K164" s="14">
        <v>152.64</v>
      </c>
      <c r="L164" s="14">
        <v>152.64</v>
      </c>
      <c r="M164" s="14">
        <v>0.0</v>
      </c>
      <c r="N164" s="14">
        <v>152.64</v>
      </c>
      <c r="O164" s="13" t="s">
        <v>26</v>
      </c>
      <c r="P164" s="11"/>
      <c r="Q164" s="11"/>
    </row>
    <row r="165">
      <c r="A165" s="14" t="s">
        <v>207</v>
      </c>
      <c r="B165" s="13" t="s">
        <v>39</v>
      </c>
      <c r="C165" s="13" t="s">
        <v>18</v>
      </c>
      <c r="D165" s="13" t="s">
        <v>40</v>
      </c>
      <c r="E165" s="15"/>
      <c r="F165" s="13">
        <v>36.0</v>
      </c>
      <c r="G165" s="13" t="s">
        <v>21</v>
      </c>
      <c r="H165" s="13" t="s">
        <v>22</v>
      </c>
      <c r="I165" s="14">
        <v>1.0</v>
      </c>
      <c r="J165" s="15"/>
      <c r="K165" s="14">
        <v>653.24</v>
      </c>
      <c r="L165" s="14">
        <v>653.24</v>
      </c>
      <c r="M165" s="14">
        <v>0.0</v>
      </c>
      <c r="N165" s="14">
        <v>653.24</v>
      </c>
      <c r="O165" s="15"/>
      <c r="P165" s="11"/>
      <c r="Q165" s="11"/>
    </row>
    <row r="166">
      <c r="A166" s="14">
        <v>14.8</v>
      </c>
      <c r="B166" s="13" t="s">
        <v>179</v>
      </c>
      <c r="C166" s="13" t="s">
        <v>18</v>
      </c>
      <c r="D166" s="13" t="s">
        <v>180</v>
      </c>
      <c r="E166" s="15"/>
      <c r="F166" s="13" t="s">
        <v>21</v>
      </c>
      <c r="G166" s="13">
        <v>21.0</v>
      </c>
      <c r="H166" s="13" t="s">
        <v>22</v>
      </c>
      <c r="I166" s="14">
        <v>1.0</v>
      </c>
      <c r="J166" s="15"/>
      <c r="K166" s="14">
        <v>0.0</v>
      </c>
      <c r="L166" s="14">
        <v>0.0</v>
      </c>
      <c r="M166" s="14">
        <v>0.0</v>
      </c>
      <c r="N166" s="14">
        <v>0.0</v>
      </c>
      <c r="O166" s="15"/>
      <c r="P166" s="11"/>
      <c r="Q166" s="11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8" t="s">
        <v>63</v>
      </c>
      <c r="N167" s="19">
        <v>5035.49</v>
      </c>
      <c r="O167" s="20"/>
      <c r="P167" s="11"/>
      <c r="Q167" s="11"/>
    </row>
    <row r="168">
      <c r="A168" s="12">
        <v>15.0</v>
      </c>
      <c r="B168" s="12" t="s">
        <v>208</v>
      </c>
      <c r="C168" s="13" t="s">
        <v>18</v>
      </c>
      <c r="D168" s="13" t="s">
        <v>209</v>
      </c>
      <c r="E168" s="13" t="s">
        <v>20</v>
      </c>
      <c r="F168" s="13" t="s">
        <v>21</v>
      </c>
      <c r="G168" s="13">
        <v>49.0</v>
      </c>
      <c r="H168" s="13" t="s">
        <v>22</v>
      </c>
      <c r="I168" s="14">
        <v>1.0</v>
      </c>
      <c r="J168" s="15"/>
      <c r="K168" s="16">
        <v>2789.25</v>
      </c>
      <c r="L168" s="16">
        <v>2789.25</v>
      </c>
      <c r="M168" s="14">
        <v>0.0</v>
      </c>
      <c r="N168" s="16">
        <v>2789.25</v>
      </c>
      <c r="O168" s="15"/>
      <c r="P168" s="11"/>
      <c r="Q168" s="11"/>
    </row>
    <row r="169">
      <c r="A169" s="14" t="s">
        <v>210</v>
      </c>
      <c r="B169" s="13" t="s">
        <v>211</v>
      </c>
      <c r="C169" s="13" t="s">
        <v>18</v>
      </c>
      <c r="D169" s="13" t="s">
        <v>212</v>
      </c>
      <c r="E169" s="15"/>
      <c r="F169" s="13">
        <v>36.0</v>
      </c>
      <c r="G169" s="13" t="s">
        <v>21</v>
      </c>
      <c r="H169" s="13" t="s">
        <v>22</v>
      </c>
      <c r="I169" s="14">
        <v>1.0</v>
      </c>
      <c r="J169" s="15"/>
      <c r="K169" s="14">
        <v>651.75</v>
      </c>
      <c r="L169" s="14">
        <v>651.75</v>
      </c>
      <c r="M169" s="14">
        <v>0.0</v>
      </c>
      <c r="N169" s="14">
        <v>651.75</v>
      </c>
      <c r="O169" s="13" t="s">
        <v>26</v>
      </c>
      <c r="P169" s="11"/>
      <c r="Q169" s="11"/>
    </row>
    <row r="170">
      <c r="A170" s="14">
        <v>15.1</v>
      </c>
      <c r="B170" s="13" t="s">
        <v>59</v>
      </c>
      <c r="C170" s="13" t="s">
        <v>29</v>
      </c>
      <c r="D170" s="13" t="s">
        <v>60</v>
      </c>
      <c r="E170" s="15"/>
      <c r="F170" s="13" t="s">
        <v>21</v>
      </c>
      <c r="G170" s="13">
        <v>2.0</v>
      </c>
      <c r="H170" s="13" t="s">
        <v>29</v>
      </c>
      <c r="I170" s="14">
        <v>1.0</v>
      </c>
      <c r="J170" s="15"/>
      <c r="K170" s="14">
        <v>0.0</v>
      </c>
      <c r="L170" s="14">
        <v>0.0</v>
      </c>
      <c r="M170" s="14">
        <v>0.0</v>
      </c>
      <c r="N170" s="14">
        <v>0.0</v>
      </c>
      <c r="O170" s="15"/>
      <c r="P170" s="11"/>
      <c r="Q170" s="11"/>
    </row>
    <row r="171">
      <c r="A171" s="14">
        <v>15.2</v>
      </c>
      <c r="B171" s="13" t="s">
        <v>41</v>
      </c>
      <c r="C171" s="13" t="s">
        <v>29</v>
      </c>
      <c r="D171" s="13" t="s">
        <v>42</v>
      </c>
      <c r="E171" s="15"/>
      <c r="F171" s="13" t="s">
        <v>21</v>
      </c>
      <c r="G171" s="13">
        <v>6.0</v>
      </c>
      <c r="H171" s="13" t="s">
        <v>29</v>
      </c>
      <c r="I171" s="14">
        <v>1.0</v>
      </c>
      <c r="J171" s="15"/>
      <c r="K171" s="14">
        <v>0.0</v>
      </c>
      <c r="L171" s="14">
        <v>0.0</v>
      </c>
      <c r="M171" s="14">
        <v>0.0</v>
      </c>
      <c r="N171" s="14">
        <v>0.0</v>
      </c>
      <c r="O171" s="15"/>
      <c r="P171" s="11"/>
      <c r="Q171" s="11"/>
    </row>
    <row r="172">
      <c r="A172" s="14" t="s">
        <v>213</v>
      </c>
      <c r="B172" s="13" t="s">
        <v>44</v>
      </c>
      <c r="C172" s="13" t="s">
        <v>18</v>
      </c>
      <c r="D172" s="13" t="s">
        <v>45</v>
      </c>
      <c r="E172" s="15"/>
      <c r="F172" s="13">
        <v>36.0</v>
      </c>
      <c r="G172" s="13" t="s">
        <v>21</v>
      </c>
      <c r="H172" s="13" t="s">
        <v>22</v>
      </c>
      <c r="I172" s="14">
        <v>1.0</v>
      </c>
      <c r="J172" s="15"/>
      <c r="K172" s="14">
        <v>0.0</v>
      </c>
      <c r="L172" s="14">
        <v>0.0</v>
      </c>
      <c r="M172" s="14">
        <v>0.0</v>
      </c>
      <c r="N172" s="14">
        <v>0.0</v>
      </c>
      <c r="O172" s="15"/>
      <c r="P172" s="11"/>
      <c r="Q172" s="11"/>
    </row>
    <row r="173">
      <c r="A173" s="14">
        <v>15.3</v>
      </c>
      <c r="B173" s="13" t="s">
        <v>57</v>
      </c>
      <c r="C173" s="13" t="s">
        <v>29</v>
      </c>
      <c r="D173" s="13" t="s">
        <v>58</v>
      </c>
      <c r="E173" s="15"/>
      <c r="F173" s="13" t="s">
        <v>21</v>
      </c>
      <c r="G173" s="13">
        <v>2.0</v>
      </c>
      <c r="H173" s="13" t="s">
        <v>29</v>
      </c>
      <c r="I173" s="14">
        <v>1.0</v>
      </c>
      <c r="J173" s="15"/>
      <c r="K173" s="14">
        <v>0.0</v>
      </c>
      <c r="L173" s="14">
        <v>0.0</v>
      </c>
      <c r="M173" s="14">
        <v>0.0</v>
      </c>
      <c r="N173" s="14">
        <v>0.0</v>
      </c>
      <c r="O173" s="15"/>
      <c r="P173" s="11"/>
      <c r="Q173" s="11"/>
    </row>
    <row r="174">
      <c r="A174" s="14">
        <v>15.4</v>
      </c>
      <c r="B174" s="13" t="s">
        <v>214</v>
      </c>
      <c r="C174" s="13" t="s">
        <v>18</v>
      </c>
      <c r="D174" s="13" t="s">
        <v>215</v>
      </c>
      <c r="E174" s="15"/>
      <c r="F174" s="13" t="s">
        <v>21</v>
      </c>
      <c r="G174" s="13">
        <v>28.0</v>
      </c>
      <c r="H174" s="13" t="s">
        <v>29</v>
      </c>
      <c r="I174" s="14">
        <v>1.0</v>
      </c>
      <c r="J174" s="15"/>
      <c r="K174" s="14">
        <v>0.0</v>
      </c>
      <c r="L174" s="14">
        <v>0.0</v>
      </c>
      <c r="M174" s="14">
        <v>0.0</v>
      </c>
      <c r="N174" s="14">
        <v>0.0</v>
      </c>
      <c r="O174" s="15"/>
      <c r="P174" s="11"/>
      <c r="Q174" s="11"/>
    </row>
    <row r="175">
      <c r="A175" s="14" t="s">
        <v>216</v>
      </c>
      <c r="B175" s="13" t="s">
        <v>217</v>
      </c>
      <c r="C175" s="13" t="s">
        <v>18</v>
      </c>
      <c r="D175" s="13" t="s">
        <v>218</v>
      </c>
      <c r="E175" s="15"/>
      <c r="F175" s="13">
        <v>36.0</v>
      </c>
      <c r="G175" s="13" t="s">
        <v>21</v>
      </c>
      <c r="H175" s="13" t="s">
        <v>22</v>
      </c>
      <c r="I175" s="14">
        <v>1.0</v>
      </c>
      <c r="J175" s="15"/>
      <c r="K175" s="14">
        <v>0.0</v>
      </c>
      <c r="L175" s="14">
        <v>0.0</v>
      </c>
      <c r="M175" s="14">
        <v>0.0</v>
      </c>
      <c r="N175" s="14">
        <v>0.0</v>
      </c>
      <c r="O175" s="15"/>
      <c r="P175" s="11"/>
      <c r="Q175" s="11"/>
    </row>
    <row r="176">
      <c r="A176" s="14">
        <v>15.5</v>
      </c>
      <c r="B176" s="13" t="s">
        <v>219</v>
      </c>
      <c r="C176" s="13" t="s">
        <v>18</v>
      </c>
      <c r="D176" s="13" t="s">
        <v>220</v>
      </c>
      <c r="E176" s="15"/>
      <c r="F176" s="13" t="s">
        <v>21</v>
      </c>
      <c r="G176" s="13">
        <v>28.0</v>
      </c>
      <c r="H176" s="13" t="s">
        <v>29</v>
      </c>
      <c r="I176" s="14">
        <v>1.0</v>
      </c>
      <c r="J176" s="15"/>
      <c r="K176" s="14">
        <v>0.0</v>
      </c>
      <c r="L176" s="14">
        <v>0.0</v>
      </c>
      <c r="M176" s="14">
        <v>0.0</v>
      </c>
      <c r="N176" s="14">
        <v>0.0</v>
      </c>
      <c r="O176" s="15"/>
      <c r="P176" s="11"/>
      <c r="Q176" s="11"/>
    </row>
    <row r="177">
      <c r="A177" s="14">
        <v>15.6</v>
      </c>
      <c r="B177" s="13" t="s">
        <v>33</v>
      </c>
      <c r="C177" s="13" t="s">
        <v>18</v>
      </c>
      <c r="D177" s="13" t="s">
        <v>34</v>
      </c>
      <c r="E177" s="15"/>
      <c r="F177" s="13" t="s">
        <v>21</v>
      </c>
      <c r="G177" s="13">
        <v>2.0</v>
      </c>
      <c r="H177" s="13" t="s">
        <v>22</v>
      </c>
      <c r="I177" s="14">
        <v>1.0</v>
      </c>
      <c r="J177" s="15"/>
      <c r="K177" s="14">
        <v>0.0</v>
      </c>
      <c r="L177" s="14">
        <v>0.0</v>
      </c>
      <c r="M177" s="14">
        <v>0.0</v>
      </c>
      <c r="N177" s="14">
        <v>0.0</v>
      </c>
      <c r="O177" s="15"/>
      <c r="P177" s="11"/>
      <c r="Q177" s="11"/>
    </row>
    <row r="178">
      <c r="A178" s="14" t="s">
        <v>221</v>
      </c>
      <c r="B178" s="13" t="s">
        <v>36</v>
      </c>
      <c r="C178" s="13" t="s">
        <v>18</v>
      </c>
      <c r="D178" s="13" t="s">
        <v>37</v>
      </c>
      <c r="E178" s="15"/>
      <c r="F178" s="13">
        <v>36.0</v>
      </c>
      <c r="G178" s="13" t="s">
        <v>21</v>
      </c>
      <c r="H178" s="13" t="s">
        <v>22</v>
      </c>
      <c r="I178" s="14">
        <v>1.0</v>
      </c>
      <c r="J178" s="15"/>
      <c r="K178" s="14">
        <v>152.64</v>
      </c>
      <c r="L178" s="14">
        <v>152.64</v>
      </c>
      <c r="M178" s="14">
        <v>0.0</v>
      </c>
      <c r="N178" s="14">
        <v>152.64</v>
      </c>
      <c r="O178" s="13" t="s">
        <v>26</v>
      </c>
      <c r="P178" s="11"/>
      <c r="Q178" s="11"/>
    </row>
    <row r="179">
      <c r="A179" s="14" t="s">
        <v>222</v>
      </c>
      <c r="B179" s="13" t="s">
        <v>39</v>
      </c>
      <c r="C179" s="13" t="s">
        <v>18</v>
      </c>
      <c r="D179" s="13" t="s">
        <v>40</v>
      </c>
      <c r="E179" s="15"/>
      <c r="F179" s="13">
        <v>36.0</v>
      </c>
      <c r="G179" s="13" t="s">
        <v>21</v>
      </c>
      <c r="H179" s="13" t="s">
        <v>22</v>
      </c>
      <c r="I179" s="14">
        <v>1.0</v>
      </c>
      <c r="J179" s="15"/>
      <c r="K179" s="14">
        <v>653.24</v>
      </c>
      <c r="L179" s="14">
        <v>653.24</v>
      </c>
      <c r="M179" s="14">
        <v>0.0</v>
      </c>
      <c r="N179" s="14">
        <v>653.24</v>
      </c>
      <c r="O179" s="15"/>
      <c r="P179" s="11"/>
      <c r="Q179" s="11"/>
    </row>
    <row r="180">
      <c r="A180" s="14">
        <v>15.7</v>
      </c>
      <c r="B180" s="13" t="s">
        <v>46</v>
      </c>
      <c r="C180" s="13" t="s">
        <v>29</v>
      </c>
      <c r="D180" s="13" t="s">
        <v>47</v>
      </c>
      <c r="E180" s="15"/>
      <c r="F180" s="13" t="s">
        <v>21</v>
      </c>
      <c r="G180" s="13">
        <v>21.0</v>
      </c>
      <c r="H180" s="13" t="s">
        <v>29</v>
      </c>
      <c r="I180" s="14">
        <v>1.0</v>
      </c>
      <c r="J180" s="15"/>
      <c r="K180" s="14">
        <v>0.0</v>
      </c>
      <c r="L180" s="14">
        <v>0.0</v>
      </c>
      <c r="M180" s="14">
        <v>0.0</v>
      </c>
      <c r="N180" s="14">
        <v>0.0</v>
      </c>
      <c r="O180" s="15"/>
      <c r="P180" s="11"/>
      <c r="Q180" s="11"/>
    </row>
    <row r="181">
      <c r="A181" s="14" t="s">
        <v>223</v>
      </c>
      <c r="B181" s="13" t="s">
        <v>49</v>
      </c>
      <c r="C181" s="13" t="s">
        <v>18</v>
      </c>
      <c r="D181" s="13" t="s">
        <v>50</v>
      </c>
      <c r="E181" s="15"/>
      <c r="F181" s="13">
        <v>36.0</v>
      </c>
      <c r="G181" s="13" t="s">
        <v>21</v>
      </c>
      <c r="H181" s="13" t="s">
        <v>22</v>
      </c>
      <c r="I181" s="14">
        <v>1.0</v>
      </c>
      <c r="J181" s="15"/>
      <c r="K181" s="14">
        <v>0.0</v>
      </c>
      <c r="L181" s="14">
        <v>0.0</v>
      </c>
      <c r="M181" s="14">
        <v>0.0</v>
      </c>
      <c r="N181" s="14">
        <v>0.0</v>
      </c>
      <c r="O181" s="15"/>
      <c r="P181" s="11"/>
      <c r="Q181" s="11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8" t="s">
        <v>63</v>
      </c>
      <c r="N182" s="19">
        <v>4246.88</v>
      </c>
      <c r="O182" s="20"/>
      <c r="P182" s="11"/>
      <c r="Q182" s="11"/>
    </row>
    <row r="183">
      <c r="A183" s="21"/>
      <c r="B183" s="21"/>
      <c r="C183" s="22" t="s">
        <v>224</v>
      </c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</row>
    <row r="184">
      <c r="A184" s="12">
        <v>16.0</v>
      </c>
      <c r="B184" s="12" t="s">
        <v>225</v>
      </c>
      <c r="C184" s="13" t="s">
        <v>18</v>
      </c>
      <c r="D184" s="13" t="s">
        <v>226</v>
      </c>
      <c r="E184" s="13" t="s">
        <v>20</v>
      </c>
      <c r="F184" s="13" t="s">
        <v>21</v>
      </c>
      <c r="G184" s="13">
        <v>28.0</v>
      </c>
      <c r="H184" s="13" t="s">
        <v>22</v>
      </c>
      <c r="I184" s="14">
        <v>1.0</v>
      </c>
      <c r="J184" s="15"/>
      <c r="K184" s="14">
        <v>120.48</v>
      </c>
      <c r="L184" s="14">
        <v>120.48</v>
      </c>
      <c r="M184" s="14">
        <v>0.0</v>
      </c>
      <c r="N184" s="14">
        <v>120.48</v>
      </c>
      <c r="O184" s="15"/>
      <c r="P184" s="11"/>
      <c r="Q184" s="11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8" t="s">
        <v>63</v>
      </c>
      <c r="N185" s="18">
        <v>120.48</v>
      </c>
      <c r="O185" s="20"/>
      <c r="P185" s="11"/>
      <c r="Q185" s="11"/>
    </row>
    <row r="186">
      <c r="A186" s="12">
        <v>17.0</v>
      </c>
      <c r="B186" s="12" t="s">
        <v>227</v>
      </c>
      <c r="C186" s="13" t="s">
        <v>18</v>
      </c>
      <c r="D186" s="13" t="s">
        <v>228</v>
      </c>
      <c r="E186" s="13" t="s">
        <v>20</v>
      </c>
      <c r="F186" s="13" t="s">
        <v>21</v>
      </c>
      <c r="G186" s="13">
        <v>21.0</v>
      </c>
      <c r="H186" s="13" t="s">
        <v>22</v>
      </c>
      <c r="I186" s="14">
        <v>1.0</v>
      </c>
      <c r="J186" s="15"/>
      <c r="K186" s="16">
        <v>1292.5</v>
      </c>
      <c r="L186" s="16">
        <v>1292.5</v>
      </c>
      <c r="M186" s="14">
        <v>0.0</v>
      </c>
      <c r="N186" s="16">
        <v>1292.5</v>
      </c>
      <c r="O186" s="15"/>
      <c r="P186" s="11"/>
      <c r="Q186" s="11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8" t="s">
        <v>63</v>
      </c>
      <c r="N187" s="19">
        <v>1292.5</v>
      </c>
      <c r="O187" s="20"/>
      <c r="P187" s="11"/>
      <c r="Q187" s="11"/>
    </row>
    <row r="188">
      <c r="A188" s="12">
        <v>18.0</v>
      </c>
      <c r="B188" s="12" t="s">
        <v>229</v>
      </c>
      <c r="C188" s="13" t="s">
        <v>18</v>
      </c>
      <c r="D188" s="13" t="s">
        <v>230</v>
      </c>
      <c r="E188" s="13" t="s">
        <v>20</v>
      </c>
      <c r="F188" s="13" t="s">
        <v>21</v>
      </c>
      <c r="G188" s="13">
        <v>21.0</v>
      </c>
      <c r="H188" s="13" t="s">
        <v>22</v>
      </c>
      <c r="I188" s="14">
        <v>1.0</v>
      </c>
      <c r="J188" s="15"/>
      <c r="K188" s="14">
        <v>483.4</v>
      </c>
      <c r="L188" s="14">
        <v>483.4</v>
      </c>
      <c r="M188" s="14">
        <v>0.0</v>
      </c>
      <c r="N188" s="14">
        <v>483.4</v>
      </c>
      <c r="O188" s="15"/>
      <c r="P188" s="11"/>
      <c r="Q188" s="11"/>
    </row>
    <row r="189">
      <c r="A189" s="14">
        <v>18.1</v>
      </c>
      <c r="B189" s="13" t="s">
        <v>231</v>
      </c>
      <c r="C189" s="13" t="s">
        <v>18</v>
      </c>
      <c r="D189" s="13" t="s">
        <v>232</v>
      </c>
      <c r="E189" s="15"/>
      <c r="F189" s="13" t="s">
        <v>21</v>
      </c>
      <c r="G189" s="13">
        <v>21.0</v>
      </c>
      <c r="H189" s="13" t="s">
        <v>22</v>
      </c>
      <c r="I189" s="14">
        <v>1.0</v>
      </c>
      <c r="J189" s="15"/>
      <c r="K189" s="14">
        <v>0.0</v>
      </c>
      <c r="L189" s="14">
        <v>0.0</v>
      </c>
      <c r="M189" s="14">
        <v>0.0</v>
      </c>
      <c r="N189" s="14">
        <v>0.0</v>
      </c>
      <c r="O189" s="15"/>
      <c r="P189" s="11"/>
      <c r="Q189" s="11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8" t="s">
        <v>63</v>
      </c>
      <c r="N190" s="18">
        <v>483.4</v>
      </c>
      <c r="O190" s="20"/>
      <c r="P190" s="11"/>
      <c r="Q190" s="11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8" t="s">
        <v>233</v>
      </c>
      <c r="N191" s="19">
        <v>61562.21</v>
      </c>
      <c r="O191" s="20"/>
      <c r="P191" s="11"/>
      <c r="Q191" s="11"/>
    </row>
  </sheetData>
  <mergeCells count="1">
    <mergeCell ref="C183:Q18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234</v>
      </c>
      <c r="B1" s="24" t="s">
        <v>235</v>
      </c>
      <c r="C1" s="11" t="str">
        <f>IFERROR(__xludf.DUMMYFUNCTION("{""STT"",""Devices"",""Price Base"";
ARRAYFORMULA(
  LET(
    data,
    UNIQUE(
      HSTACK(
        FILTER(
          AP_input!B:B,
          AP_input!A:A&lt;&gt;"""",
          REGEXMATCH(TO_TEXT(AP_input!A:A),""^\d+(\.0)?$"")
        ),
        FILTER(
    "&amp;"      AP_input!N:N,
          TRIM(AP_input!M:M)=""SubTotal""
        )
      )
    ),
    HSTACK(
      SEQUENCE(ROWS(data)),
      INDEX(data,,1),
      INDEX(data,,2)
    )
  )
)}"),"STT")</f>
        <v>STT</v>
      </c>
      <c r="D1" s="11" t="str">
        <f>IFERROR(__xludf.DUMMYFUNCTION("""COMPUTED_VALUE"""),"Devices")</f>
        <v>Devices</v>
      </c>
      <c r="E1" s="11" t="str">
        <f>IFERROR(__xludf.DUMMYFUNCTION("""COMPUTED_VALUE"""),"Price Base")</f>
        <v>Price Base</v>
      </c>
      <c r="F1" s="11" t="str">
        <f>IFERROR(__xludf.DUMMYFUNCTION("{""License"",""List Price"";
ARRAYFORMULA(
IFERROR(
UNIQUE(
FILTER(
HSTACK(
AP_input!B:B,
AP_input!N:N
),
REGEXMATCH(TO_TEXT(AP_input!A:A),""^\d+\.\d+$""),
REGEXMATCH(
IFNA(
VLOOKUP(
VALUE(REGEXEXTRACT(TO_TEXT(AP_input!A:A),""^\d+"")),
HSTACK(
VALUE(AP_in"&amp;"put!A:A),
AP_input!B:B
),
2,
FALSE
),
""""
),
""^(CISCO-NETWORK-SUB)$""
)
)
),
""""
)
)}"),"License")</f>
        <v>License</v>
      </c>
      <c r="G1" s="11" t="str">
        <f>IFERROR(__xludf.DUMMYFUNCTION("""COMPUTED_VALUE"""),"List Price")</f>
        <v>List Price</v>
      </c>
      <c r="I1" s="25" t="s">
        <v>236</v>
      </c>
      <c r="J1" s="25" t="s">
        <v>237</v>
      </c>
      <c r="K1" s="26" t="s">
        <v>238</v>
      </c>
      <c r="L1" s="25" t="s">
        <v>239</v>
      </c>
      <c r="M1" s="27"/>
      <c r="N1" s="28" t="s">
        <v>240</v>
      </c>
    </row>
    <row r="2">
      <c r="A2" s="29">
        <f>IFERROR(__xludf.DUMMYFUNCTION("ARRAYFORMULA(IF(B2:B1000="""","""",MATCH(ROW(B2:B1000),FILTER(ROW(B2:B1000),B2:B1000&lt;&gt;""""),0)))"),1.0)</f>
        <v>1</v>
      </c>
      <c r="B2" s="11" t="str">
        <f>IFERROR(__xludf.DUMMYFUNCTION("ARRAYFORMULA(IFERROR(REGEXREPLACE(FILTER($D$2:$D1000,$D$2:$D1000&lt;&gt;"""",$D$2:$D1000&lt;&gt;""CISCO-NETWORK-SUB"",$D$2:$D1000&lt;&gt;""AIR-MNT-VERT1="",$D$2:$D1000&lt;&gt;""IW-PWRINJ-60RGDMG="",$D$2:$D1000&lt;&gt;""AIR-PWRINJ7=""),""-(ROW|RTG)$"","""")))"),"C9136I")</f>
        <v>C9136I</v>
      </c>
      <c r="C2" s="29">
        <f>IFERROR(__xludf.DUMMYFUNCTION("""COMPUTED_VALUE"""),1.0)</f>
        <v>1</v>
      </c>
      <c r="D2" s="11" t="str">
        <f>IFERROR(__xludf.DUMMYFUNCTION("""COMPUTED_VALUE"""),"C9136I-ROW")</f>
        <v>C9136I-ROW</v>
      </c>
      <c r="E2" s="29">
        <f>IFERROR(__xludf.DUMMYFUNCTION("""COMPUTED_VALUE"""),5102.39)</f>
        <v>5102.39</v>
      </c>
      <c r="F2" s="11" t="str">
        <f>IFERROR(__xludf.DUMMYFUNCTION("""COMPUTED_VALUE"""),"LIC-CW-A")</f>
        <v>LIC-CW-A</v>
      </c>
      <c r="G2" s="29">
        <f>IFERROR(__xludf.DUMMYFUNCTION("""COMPUTED_VALUE"""),749.88)</f>
        <v>749.88</v>
      </c>
      <c r="I2" s="30" t="s">
        <v>241</v>
      </c>
      <c r="J2" s="11"/>
      <c r="K2" s="31" t="s">
        <v>229</v>
      </c>
      <c r="L2" s="30" t="s">
        <v>242</v>
      </c>
      <c r="M2" s="31" t="str">
        <f t="array" ref="M2:M1000">IF(A2:A1000&lt;&gt;"","SubTotal","")</f>
        <v>SubTotal</v>
      </c>
      <c r="N2" s="32">
        <f>IFERROR(__xludf.DUMMYFUNCTION("MAP(B2:B1000,LAMBDA(dev,
IF(OR(dev="""",REGEXMATCH(dev,""(?i)^(Indoor|Out ?door|CISCO-NETWORK-SUB|AIR-MNT-VERT1=|IW-PWRINJ-60RGDMG=|AIR-PWRINJ7=)$"")),"""",
LET(
  key,TRIM(CLEAN(REGEXREPLACE(dev,""-(ROW|RTG)$"",""""))),
  addon,TRIM(CLEAN(IFNA(XLOOKUP(ke"&amp;"y,$I$2:$I1000,$J$2:$J1000,""""),""""))),
  injector,TRIM(CLEAN(IFNA(XLOOKUP(key,$I$2:$I1000,$K$2:$K1000,""""),""""))),
  base,IFNA(XLOOKUP(key&amp;""*"",$D$2:$D1000,$E$2:$E1000,"""",2),0),
  addonPrice,IF(addon="""",0,IFNA(XLOOKUP(addon,$F$2:$F1000,$G$2:$G100"&amp;"0),IFNA(XLOOKUP(addon,$D$2:$D1000,$E$2:$E1000),0))),
  injectorPrice,IF(injector="""",0,IFNA(XLOOKUP(injector,$D$2:$D1000,$E$2:$E1000),IFNA(XLOOKUP(injector,$F$2:$F1000,$G$2:$G1000),0))),
  base+addonPrice+injectorPrice
))))"),5585.79)</f>
        <v>5585.79</v>
      </c>
    </row>
    <row r="3">
      <c r="A3" s="29">
        <f>IFERROR(__xludf.DUMMYFUNCTION("""COMPUTED_VALUE"""),2.0)</f>
        <v>2</v>
      </c>
      <c r="B3" s="11" t="str">
        <f>IFERROR(__xludf.DUMMYFUNCTION("""COMPUTED_VALUE"""),"CW9162I")</f>
        <v>CW9162I</v>
      </c>
      <c r="C3" s="29">
        <f>IFERROR(__xludf.DUMMYFUNCTION("""COMPUTED_VALUE"""),2.0)</f>
        <v>2</v>
      </c>
      <c r="D3" s="11" t="str">
        <f>IFERROR(__xludf.DUMMYFUNCTION("""COMPUTED_VALUE"""),"CW9162I-ROW")</f>
        <v>CW9162I-ROW</v>
      </c>
      <c r="E3" s="29">
        <f>IFERROR(__xludf.DUMMYFUNCTION("""COMPUTED_VALUE"""),2593.23)</f>
        <v>2593.23</v>
      </c>
      <c r="F3" s="11" t="str">
        <f>IFERROR(__xludf.DUMMYFUNCTION("""COMPUTED_VALUE"""),"LIC-SPACES-ADV")</f>
        <v>LIC-SPACES-ADV</v>
      </c>
      <c r="G3" s="29">
        <f>IFERROR(__xludf.DUMMYFUNCTION("""COMPUTED_VALUE"""),0.0)</f>
        <v>0</v>
      </c>
      <c r="I3" s="30" t="s">
        <v>243</v>
      </c>
      <c r="J3" s="11"/>
      <c r="K3" s="31" t="s">
        <v>229</v>
      </c>
      <c r="L3" s="30" t="s">
        <v>242</v>
      </c>
      <c r="M3" s="31" t="s">
        <v>63</v>
      </c>
      <c r="N3" s="32">
        <f>IFERROR(__xludf.DUMMYFUNCTION("""COMPUTED_VALUE"""),3076.63)</f>
        <v>3076.63</v>
      </c>
    </row>
    <row r="4">
      <c r="A4" s="29">
        <f>IFERROR(__xludf.DUMMYFUNCTION("""COMPUTED_VALUE"""),3.0)</f>
        <v>3</v>
      </c>
      <c r="B4" s="11" t="str">
        <f>IFERROR(__xludf.DUMMYFUNCTION("""COMPUTED_VALUE"""),"CW9164I")</f>
        <v>CW9164I</v>
      </c>
      <c r="C4" s="29">
        <f>IFERROR(__xludf.DUMMYFUNCTION("""COMPUTED_VALUE"""),3.0)</f>
        <v>3</v>
      </c>
      <c r="D4" s="11" t="str">
        <f>IFERROR(__xludf.DUMMYFUNCTION("""COMPUTED_VALUE"""),"CW9164I-ROW")</f>
        <v>CW9164I-ROW</v>
      </c>
      <c r="E4" s="29">
        <f>IFERROR(__xludf.DUMMYFUNCTION("""COMPUTED_VALUE"""),3955.58)</f>
        <v>3955.58</v>
      </c>
      <c r="F4" s="11" t="str">
        <f>IFERROR(__xludf.DUMMYFUNCTION("""COMPUTED_VALUE"""),"SVS-L0SPT-CN")</f>
        <v>SVS-L0SPT-CN</v>
      </c>
      <c r="G4" s="29">
        <f>IFERROR(__xludf.DUMMYFUNCTION("""COMPUTED_VALUE"""),0.0)</f>
        <v>0</v>
      </c>
      <c r="I4" s="30" t="s">
        <v>244</v>
      </c>
      <c r="J4" s="11"/>
      <c r="K4" s="31" t="s">
        <v>229</v>
      </c>
      <c r="L4" s="30" t="s">
        <v>242</v>
      </c>
      <c r="M4" s="31" t="s">
        <v>63</v>
      </c>
      <c r="N4" s="32">
        <f>IFERROR(__xludf.DUMMYFUNCTION("""COMPUTED_VALUE"""),4438.98)</f>
        <v>4438.98</v>
      </c>
    </row>
    <row r="5">
      <c r="A5" s="29">
        <f>IFERROR(__xludf.DUMMYFUNCTION("""COMPUTED_VALUE"""),4.0)</f>
        <v>4</v>
      </c>
      <c r="B5" s="11" t="str">
        <f>IFERROR(__xludf.DUMMYFUNCTION("""COMPUTED_VALUE"""),"CW9166I")</f>
        <v>CW9166I</v>
      </c>
      <c r="C5" s="29">
        <f>IFERROR(__xludf.DUMMYFUNCTION("""COMPUTED_VALUE"""),4.0)</f>
        <v>4</v>
      </c>
      <c r="D5" s="11" t="str">
        <f>IFERROR(__xludf.DUMMYFUNCTION("""COMPUTED_VALUE"""),"CW9166I-ROW")</f>
        <v>CW9166I-ROW</v>
      </c>
      <c r="E5" s="29">
        <f>IFERROR(__xludf.DUMMYFUNCTION("""COMPUTED_VALUE"""),4386.67)</f>
        <v>4386.67</v>
      </c>
      <c r="F5" s="11"/>
      <c r="G5" s="11"/>
      <c r="I5" s="30" t="s">
        <v>245</v>
      </c>
      <c r="J5" s="11"/>
      <c r="K5" s="31" t="s">
        <v>229</v>
      </c>
      <c r="L5" s="30" t="s">
        <v>242</v>
      </c>
      <c r="M5" s="31" t="s">
        <v>63</v>
      </c>
      <c r="N5" s="32">
        <f>IFERROR(__xludf.DUMMYFUNCTION("""COMPUTED_VALUE"""),4870.07)</f>
        <v>4870.07</v>
      </c>
    </row>
    <row r="6">
      <c r="A6" s="29">
        <f>IFERROR(__xludf.DUMMYFUNCTION("""COMPUTED_VALUE"""),5.0)</f>
        <v>5</v>
      </c>
      <c r="B6" s="11" t="str">
        <f>IFERROR(__xludf.DUMMYFUNCTION("""COMPUTED_VALUE"""),"CW9166D1")</f>
        <v>CW9166D1</v>
      </c>
      <c r="C6" s="29">
        <f>IFERROR(__xludf.DUMMYFUNCTION("""COMPUTED_VALUE"""),5.0)</f>
        <v>5</v>
      </c>
      <c r="D6" s="11" t="str">
        <f>IFERROR(__xludf.DUMMYFUNCTION("""COMPUTED_VALUE"""),"CW9166D1-ROW")</f>
        <v>CW9166D1-ROW</v>
      </c>
      <c r="E6" s="29">
        <f>IFERROR(__xludf.DUMMYFUNCTION("""COMPUTED_VALUE"""),4817.75)</f>
        <v>4817.75</v>
      </c>
      <c r="F6" s="11"/>
      <c r="G6" s="11"/>
      <c r="I6" s="30" t="s">
        <v>246</v>
      </c>
      <c r="J6" s="11"/>
      <c r="K6" s="31" t="s">
        <v>229</v>
      </c>
      <c r="L6" s="30" t="s">
        <v>242</v>
      </c>
      <c r="M6" s="31" t="s">
        <v>63</v>
      </c>
      <c r="N6" s="32">
        <f>IFERROR(__xludf.DUMMYFUNCTION("""COMPUTED_VALUE"""),5301.15)</f>
        <v>5301.15</v>
      </c>
    </row>
    <row r="7">
      <c r="A7" s="29">
        <f>IFERROR(__xludf.DUMMYFUNCTION("""COMPUTED_VALUE"""),6.0)</f>
        <v>6</v>
      </c>
      <c r="B7" s="11" t="str">
        <f>IFERROR(__xludf.DUMMYFUNCTION("""COMPUTED_VALUE"""),"CW9172I")</f>
        <v>CW9172I</v>
      </c>
      <c r="C7" s="29">
        <f>IFERROR(__xludf.DUMMYFUNCTION("""COMPUTED_VALUE"""),6.0)</f>
        <v>6</v>
      </c>
      <c r="D7" s="11" t="str">
        <f>IFERROR(__xludf.DUMMYFUNCTION("""COMPUTED_VALUE"""),"CW9172I-RTG")</f>
        <v>CW9172I-RTG</v>
      </c>
      <c r="E7" s="29">
        <f>IFERROR(__xludf.DUMMYFUNCTION("""COMPUTED_VALUE"""),1940.55)</f>
        <v>1940.55</v>
      </c>
      <c r="F7" s="11"/>
      <c r="G7" s="11"/>
      <c r="I7" s="30" t="s">
        <v>247</v>
      </c>
      <c r="J7" s="30" t="s">
        <v>161</v>
      </c>
      <c r="K7" s="31" t="s">
        <v>229</v>
      </c>
      <c r="L7" s="30" t="s">
        <v>248</v>
      </c>
      <c r="M7" s="31" t="s">
        <v>63</v>
      </c>
      <c r="N7" s="32">
        <f>IFERROR(__xludf.DUMMYFUNCTION("""COMPUTED_VALUE"""),3173.83)</f>
        <v>3173.83</v>
      </c>
    </row>
    <row r="8">
      <c r="A8" s="29">
        <f>IFERROR(__xludf.DUMMYFUNCTION("""COMPUTED_VALUE"""),7.0)</f>
        <v>7</v>
      </c>
      <c r="B8" s="11" t="str">
        <f>IFERROR(__xludf.DUMMYFUNCTION("""COMPUTED_VALUE"""),"CW9172H")</f>
        <v>CW9172H</v>
      </c>
      <c r="C8" s="29">
        <f>IFERROR(__xludf.DUMMYFUNCTION("""COMPUTED_VALUE"""),7.0)</f>
        <v>7</v>
      </c>
      <c r="D8" s="11" t="str">
        <f>IFERROR(__xludf.DUMMYFUNCTION("""COMPUTED_VALUE"""),"CW9172H-RTG")</f>
        <v>CW9172H-RTG</v>
      </c>
      <c r="E8" s="29">
        <f>IFERROR(__xludf.DUMMYFUNCTION("""COMPUTED_VALUE"""),1637.53)</f>
        <v>1637.53</v>
      </c>
      <c r="F8" s="11"/>
      <c r="G8" s="11"/>
      <c r="I8" s="30" t="s">
        <v>249</v>
      </c>
      <c r="J8" s="30" t="s">
        <v>161</v>
      </c>
      <c r="K8" s="31" t="s">
        <v>229</v>
      </c>
      <c r="L8" s="30" t="s">
        <v>248</v>
      </c>
      <c r="M8" s="31" t="s">
        <v>63</v>
      </c>
      <c r="N8" s="32">
        <f>IFERROR(__xludf.DUMMYFUNCTION("""COMPUTED_VALUE"""),2870.81)</f>
        <v>2870.81</v>
      </c>
    </row>
    <row r="9">
      <c r="A9" s="29">
        <f>IFERROR(__xludf.DUMMYFUNCTION("""COMPUTED_VALUE"""),8.0)</f>
        <v>8</v>
      </c>
      <c r="B9" s="11" t="str">
        <f>IFERROR(__xludf.DUMMYFUNCTION("""COMPUTED_VALUE"""),"CW9176I")</f>
        <v>CW9176I</v>
      </c>
      <c r="C9" s="29">
        <f>IFERROR(__xludf.DUMMYFUNCTION("""COMPUTED_VALUE"""),8.0)</f>
        <v>8</v>
      </c>
      <c r="D9" s="11" t="str">
        <f>IFERROR(__xludf.DUMMYFUNCTION("""COMPUTED_VALUE"""),"CW9176I-RTG")</f>
        <v>CW9176I-RTG</v>
      </c>
      <c r="E9" s="29">
        <f>IFERROR(__xludf.DUMMYFUNCTION("""COMPUTED_VALUE"""),3749.43)</f>
        <v>3749.43</v>
      </c>
      <c r="F9" s="11"/>
      <c r="G9" s="11"/>
      <c r="I9" s="30" t="s">
        <v>250</v>
      </c>
      <c r="J9" s="30" t="s">
        <v>161</v>
      </c>
      <c r="K9" s="31" t="s">
        <v>229</v>
      </c>
      <c r="L9" s="30" t="s">
        <v>248</v>
      </c>
      <c r="M9" s="31" t="s">
        <v>63</v>
      </c>
      <c r="N9" s="32">
        <f>IFERROR(__xludf.DUMMYFUNCTION("""COMPUTED_VALUE"""),4982.709999999999)</f>
        <v>4982.71</v>
      </c>
    </row>
    <row r="10">
      <c r="A10" s="29">
        <f>IFERROR(__xludf.DUMMYFUNCTION("""COMPUTED_VALUE"""),9.0)</f>
        <v>9</v>
      </c>
      <c r="B10" s="11" t="str">
        <f>IFERROR(__xludf.DUMMYFUNCTION("""COMPUTED_VALUE"""),"CW9176D1")</f>
        <v>CW9176D1</v>
      </c>
      <c r="C10" s="29">
        <f>IFERROR(__xludf.DUMMYFUNCTION("""COMPUTED_VALUE"""),9.0)</f>
        <v>9</v>
      </c>
      <c r="D10" s="11" t="str">
        <f>IFERROR(__xludf.DUMMYFUNCTION("""COMPUTED_VALUE"""),"CW9176D1-RTG")</f>
        <v>CW9176D1-RTG</v>
      </c>
      <c r="E10" s="29">
        <f>IFERROR(__xludf.DUMMYFUNCTION("""COMPUTED_VALUE"""),4203.77)</f>
        <v>4203.77</v>
      </c>
      <c r="F10" s="11"/>
      <c r="G10" s="11"/>
      <c r="I10" s="30" t="s">
        <v>251</v>
      </c>
      <c r="J10" s="30" t="s">
        <v>161</v>
      </c>
      <c r="K10" s="31" t="s">
        <v>229</v>
      </c>
      <c r="L10" s="30" t="s">
        <v>248</v>
      </c>
      <c r="M10" s="31" t="s">
        <v>63</v>
      </c>
      <c r="N10" s="32">
        <f>IFERROR(__xludf.DUMMYFUNCTION("""COMPUTED_VALUE"""),5437.05)</f>
        <v>5437.05</v>
      </c>
    </row>
    <row r="11">
      <c r="A11" s="29">
        <f>IFERROR(__xludf.DUMMYFUNCTION("""COMPUTED_VALUE"""),10.0)</f>
        <v>10</v>
      </c>
      <c r="B11" s="11" t="str">
        <f>IFERROR(__xludf.DUMMYFUNCTION("""COMPUTED_VALUE"""),"CW9178I")</f>
        <v>CW9178I</v>
      </c>
      <c r="C11" s="29">
        <f>IFERROR(__xludf.DUMMYFUNCTION("""COMPUTED_VALUE"""),10.0)</f>
        <v>10</v>
      </c>
      <c r="D11" s="11" t="str">
        <f>IFERROR(__xludf.DUMMYFUNCTION("""COMPUTED_VALUE"""),"CW9178I-RTG")</f>
        <v>CW9178I-RTG</v>
      </c>
      <c r="E11" s="29">
        <f>IFERROR(__xludf.DUMMYFUNCTION("""COMPUTED_VALUE"""),4503.91)</f>
        <v>4503.91</v>
      </c>
      <c r="F11" s="11"/>
      <c r="G11" s="11"/>
      <c r="I11" s="30" t="s">
        <v>252</v>
      </c>
      <c r="J11" s="30" t="s">
        <v>161</v>
      </c>
      <c r="K11" s="31" t="s">
        <v>229</v>
      </c>
      <c r="L11" s="30" t="s">
        <v>248</v>
      </c>
      <c r="M11" s="31" t="s">
        <v>63</v>
      </c>
      <c r="N11" s="32">
        <f>IFERROR(__xludf.DUMMYFUNCTION("""COMPUTED_VALUE"""),5737.19)</f>
        <v>5737.19</v>
      </c>
    </row>
    <row r="12">
      <c r="A12" s="29">
        <f>IFERROR(__xludf.DUMMYFUNCTION("""COMPUTED_VALUE"""),11.0)</f>
        <v>11</v>
      </c>
      <c r="B12" s="11" t="str">
        <f>IFERROR(__xludf.DUMMYFUNCTION("""COMPUTED_VALUE"""),"C9124AXI")</f>
        <v>C9124AXI</v>
      </c>
      <c r="C12" s="29">
        <f>IFERROR(__xludf.DUMMYFUNCTION("""COMPUTED_VALUE"""),11.0)</f>
        <v>11</v>
      </c>
      <c r="D12" s="11" t="str">
        <f>IFERROR(__xludf.DUMMYFUNCTION("""COMPUTED_VALUE"""),"CISCO-NETWORK-SUB")</f>
        <v>CISCO-NETWORK-SUB</v>
      </c>
      <c r="E12" s="29">
        <f>IFERROR(__xludf.DUMMYFUNCTION("""COMPUTED_VALUE"""),3749.4)</f>
        <v>3749.4</v>
      </c>
      <c r="F12" s="11"/>
      <c r="G12" s="11"/>
      <c r="I12" s="11"/>
      <c r="J12" s="11"/>
      <c r="K12" s="11"/>
      <c r="L12" s="11"/>
      <c r="M12" s="31" t="s">
        <v>63</v>
      </c>
      <c r="N12" s="32">
        <f>IFERROR(__xludf.DUMMYFUNCTION("""COMPUTED_VALUE"""),6120.74)</f>
        <v>6120.74</v>
      </c>
    </row>
    <row r="13">
      <c r="A13" s="29">
        <f>IFERROR(__xludf.DUMMYFUNCTION("""COMPUTED_VALUE"""),12.0)</f>
        <v>12</v>
      </c>
      <c r="B13" s="11" t="str">
        <f>IFERROR(__xludf.DUMMYFUNCTION("""COMPUTED_VALUE"""),"C9124AXD")</f>
        <v>C9124AXD</v>
      </c>
      <c r="C13" s="29">
        <f>IFERROR(__xludf.DUMMYFUNCTION("""COMPUTED_VALUE"""),12.0)</f>
        <v>12</v>
      </c>
      <c r="D13" s="11" t="str">
        <f>IFERROR(__xludf.DUMMYFUNCTION("""COMPUTED_VALUE"""),"C9124AXI-ROW")</f>
        <v>C9124AXI-ROW</v>
      </c>
      <c r="E13" s="29">
        <f>IFERROR(__xludf.DUMMYFUNCTION("""COMPUTED_VALUE"""),4707.76)</f>
        <v>4707.76</v>
      </c>
      <c r="F13" s="11"/>
      <c r="G13" s="11"/>
      <c r="I13" s="25" t="s">
        <v>253</v>
      </c>
      <c r="J13" s="25" t="s">
        <v>254</v>
      </c>
      <c r="K13" s="33"/>
      <c r="L13" s="25" t="s">
        <v>239</v>
      </c>
      <c r="M13" s="31" t="s">
        <v>63</v>
      </c>
      <c r="N13" s="32">
        <f>IFERROR(__xludf.DUMMYFUNCTION("""COMPUTED_VALUE"""),6448.469999999999)</f>
        <v>6448.47</v>
      </c>
    </row>
    <row r="14">
      <c r="A14" s="29">
        <f>IFERROR(__xludf.DUMMYFUNCTION("""COMPUTED_VALUE"""),13.0)</f>
        <v>13</v>
      </c>
      <c r="B14" s="11" t="str">
        <f>IFERROR(__xludf.DUMMYFUNCTION("""COMPUTED_VALUE"""),"C9124AXE")</f>
        <v>C9124AXE</v>
      </c>
      <c r="C14" s="29">
        <f>IFERROR(__xludf.DUMMYFUNCTION("""COMPUTED_VALUE"""),13.0)</f>
        <v>13</v>
      </c>
      <c r="D14" s="11" t="str">
        <f>IFERROR(__xludf.DUMMYFUNCTION("""COMPUTED_VALUE"""),"C9124AXD-ROW")</f>
        <v>C9124AXD-ROW</v>
      </c>
      <c r="E14" s="29">
        <f>IFERROR(__xludf.DUMMYFUNCTION("""COMPUTED_VALUE"""),5035.49)</f>
        <v>5035.49</v>
      </c>
      <c r="F14" s="11"/>
      <c r="G14" s="11"/>
      <c r="I14" s="30" t="s">
        <v>255</v>
      </c>
      <c r="J14" s="30" t="s">
        <v>225</v>
      </c>
      <c r="K14" s="31" t="s">
        <v>256</v>
      </c>
      <c r="L14" s="30" t="s">
        <v>257</v>
      </c>
      <c r="M14" s="31" t="s">
        <v>63</v>
      </c>
      <c r="N14" s="32">
        <f>IFERROR(__xludf.DUMMYFUNCTION("""COMPUTED_VALUE"""),6448.469999999999)</f>
        <v>6448.47</v>
      </c>
    </row>
    <row r="15">
      <c r="A15" s="29">
        <f>IFERROR(__xludf.DUMMYFUNCTION("""COMPUTED_VALUE"""),14.0)</f>
        <v>14</v>
      </c>
      <c r="B15" s="11" t="str">
        <f>IFERROR(__xludf.DUMMYFUNCTION("""COMPUTED_VALUE"""),"CW9163E")</f>
        <v>CW9163E</v>
      </c>
      <c r="C15" s="29">
        <f>IFERROR(__xludf.DUMMYFUNCTION("""COMPUTED_VALUE"""),14.0)</f>
        <v>14</v>
      </c>
      <c r="D15" s="11" t="str">
        <f>IFERROR(__xludf.DUMMYFUNCTION("""COMPUTED_VALUE"""),"C9124AXE-ROW")</f>
        <v>C9124AXE-ROW</v>
      </c>
      <c r="E15" s="29">
        <f>IFERROR(__xludf.DUMMYFUNCTION("""COMPUTED_VALUE"""),5035.49)</f>
        <v>5035.49</v>
      </c>
      <c r="F15" s="11"/>
      <c r="G15" s="11"/>
      <c r="I15" s="30" t="s">
        <v>258</v>
      </c>
      <c r="J15" s="30" t="s">
        <v>225</v>
      </c>
      <c r="K15" s="31" t="s">
        <v>256</v>
      </c>
      <c r="L15" s="30" t="s">
        <v>257</v>
      </c>
      <c r="M15" s="31" t="s">
        <v>63</v>
      </c>
      <c r="N15" s="32">
        <f>IFERROR(__xludf.DUMMYFUNCTION("""COMPUTED_VALUE"""),5659.86)</f>
        <v>5659.86</v>
      </c>
    </row>
    <row r="16">
      <c r="A16" s="11" t="str">
        <f>IFERROR(__xludf.DUMMYFUNCTION("""COMPUTED_VALUE"""),"")</f>
        <v/>
      </c>
      <c r="B16" s="11"/>
      <c r="C16" s="29">
        <f>IFERROR(__xludf.DUMMYFUNCTION("""COMPUTED_VALUE"""),15.0)</f>
        <v>15</v>
      </c>
      <c r="D16" s="11" t="str">
        <f>IFERROR(__xludf.DUMMYFUNCTION("""COMPUTED_VALUE"""),"CW9163E-ROW")</f>
        <v>CW9163E-ROW</v>
      </c>
      <c r="E16" s="29">
        <f>IFERROR(__xludf.DUMMYFUNCTION("""COMPUTED_VALUE"""),4246.88)</f>
        <v>4246.88</v>
      </c>
      <c r="F16" s="11"/>
      <c r="G16" s="11"/>
      <c r="I16" s="30" t="s">
        <v>259</v>
      </c>
      <c r="J16" s="30" t="s">
        <v>225</v>
      </c>
      <c r="K16" s="31" t="s">
        <v>256</v>
      </c>
      <c r="L16" s="30" t="s">
        <v>257</v>
      </c>
      <c r="M16" s="11" t="s">
        <v>260</v>
      </c>
      <c r="N16" s="11" t="str">
        <f>IFERROR(__xludf.DUMMYFUNCTION("""COMPUTED_VALUE"""),"")</f>
        <v/>
      </c>
    </row>
    <row r="17">
      <c r="A17" s="11" t="str">
        <f>IFERROR(__xludf.DUMMYFUNCTION("""COMPUTED_VALUE"""),"")</f>
        <v/>
      </c>
      <c r="B17" s="11"/>
      <c r="C17" s="29">
        <f>IFERROR(__xludf.DUMMYFUNCTION("""COMPUTED_VALUE"""),16.0)</f>
        <v>16</v>
      </c>
      <c r="D17" s="11" t="str">
        <f>IFERROR(__xludf.DUMMYFUNCTION("""COMPUTED_VALUE"""),"AIR-MNT-VERT1=")</f>
        <v>AIR-MNT-VERT1=</v>
      </c>
      <c r="E17" s="29">
        <f>IFERROR(__xludf.DUMMYFUNCTION("""COMPUTED_VALUE"""),120.48)</f>
        <v>120.48</v>
      </c>
      <c r="F17" s="11"/>
      <c r="G17" s="11"/>
      <c r="I17" s="30" t="s">
        <v>261</v>
      </c>
      <c r="J17" s="30" t="s">
        <v>225</v>
      </c>
      <c r="K17" s="31" t="s">
        <v>256</v>
      </c>
      <c r="L17" s="30" t="s">
        <v>257</v>
      </c>
      <c r="M17" s="11" t="s">
        <v>260</v>
      </c>
      <c r="N17" s="11" t="str">
        <f>IFERROR(__xludf.DUMMYFUNCTION("""COMPUTED_VALUE"""),"")</f>
        <v/>
      </c>
    </row>
    <row r="18">
      <c r="A18" s="11" t="str">
        <f>IFERROR(__xludf.DUMMYFUNCTION("""COMPUTED_VALUE"""),"")</f>
        <v/>
      </c>
      <c r="B18" s="11"/>
      <c r="C18" s="29">
        <f>IFERROR(__xludf.DUMMYFUNCTION("""COMPUTED_VALUE"""),17.0)</f>
        <v>17</v>
      </c>
      <c r="D18" s="11" t="str">
        <f>IFERROR(__xludf.DUMMYFUNCTION("""COMPUTED_VALUE"""),"IW-PWRINJ-60RGDMG=")</f>
        <v>IW-PWRINJ-60RGDMG=</v>
      </c>
      <c r="E18" s="29">
        <f>IFERROR(__xludf.DUMMYFUNCTION("""COMPUTED_VALUE"""),1292.5)</f>
        <v>1292.5</v>
      </c>
      <c r="F18" s="11"/>
      <c r="G18" s="11"/>
      <c r="M18" s="34" t="s">
        <v>260</v>
      </c>
      <c r="N18" s="34" t="str">
        <f>IFERROR(__xludf.DUMMYFUNCTION("""COMPUTED_VALUE"""),"")</f>
        <v/>
      </c>
    </row>
    <row r="19">
      <c r="A19" s="11" t="str">
        <f>IFERROR(__xludf.DUMMYFUNCTION("""COMPUTED_VALUE"""),"")</f>
        <v/>
      </c>
      <c r="B19" s="11"/>
      <c r="C19" s="29">
        <f>IFERROR(__xludf.DUMMYFUNCTION("""COMPUTED_VALUE"""),18.0)</f>
        <v>18</v>
      </c>
      <c r="D19" s="11" t="str">
        <f>IFERROR(__xludf.DUMMYFUNCTION("""COMPUTED_VALUE"""),"AIR-PWRINJ7=")</f>
        <v>AIR-PWRINJ7=</v>
      </c>
      <c r="E19" s="29">
        <f>IFERROR(__xludf.DUMMYFUNCTION("""COMPUTED_VALUE"""),483.4)</f>
        <v>483.4</v>
      </c>
      <c r="F19" s="11"/>
      <c r="G19" s="11"/>
      <c r="M19" s="34" t="s">
        <v>260</v>
      </c>
      <c r="N19" s="34" t="str">
        <f>IFERROR(__xludf.DUMMYFUNCTION("""COMPUTED_VALUE"""),"")</f>
        <v/>
      </c>
    </row>
    <row r="20">
      <c r="A20" s="34" t="str">
        <f>IFERROR(__xludf.DUMMYFUNCTION("""COMPUTED_VALUE"""),"")</f>
        <v/>
      </c>
      <c r="M20" s="34" t="s">
        <v>260</v>
      </c>
      <c r="N20" s="34" t="str">
        <f>IFERROR(__xludf.DUMMYFUNCTION("""COMPUTED_VALUE"""),"")</f>
        <v/>
      </c>
    </row>
    <row r="21">
      <c r="A21" s="34" t="str">
        <f>IFERROR(__xludf.DUMMYFUNCTION("""COMPUTED_VALUE"""),"")</f>
        <v/>
      </c>
      <c r="M21" s="34" t="s">
        <v>260</v>
      </c>
      <c r="N21" s="34" t="str">
        <f>IFERROR(__xludf.DUMMYFUNCTION("""COMPUTED_VALUE"""),"")</f>
        <v/>
      </c>
    </row>
    <row r="22">
      <c r="A22" s="34" t="str">
        <f>IFERROR(__xludf.DUMMYFUNCTION("""COMPUTED_VALUE"""),"")</f>
        <v/>
      </c>
      <c r="M22" s="34" t="s">
        <v>260</v>
      </c>
      <c r="N22" s="34" t="str">
        <f>IFERROR(__xludf.DUMMYFUNCTION("""COMPUTED_VALUE"""),"")</f>
        <v/>
      </c>
    </row>
    <row r="23">
      <c r="A23" s="34" t="str">
        <f>IFERROR(__xludf.DUMMYFUNCTION("""COMPUTED_VALUE"""),"")</f>
        <v/>
      </c>
      <c r="M23" s="34" t="s">
        <v>260</v>
      </c>
      <c r="N23" s="34" t="str">
        <f>IFERROR(__xludf.DUMMYFUNCTION("""COMPUTED_VALUE"""),"")</f>
        <v/>
      </c>
    </row>
    <row r="24">
      <c r="A24" s="34" t="str">
        <f>IFERROR(__xludf.DUMMYFUNCTION("""COMPUTED_VALUE"""),"")</f>
        <v/>
      </c>
      <c r="M24" s="34" t="s">
        <v>260</v>
      </c>
      <c r="N24" s="34" t="str">
        <f>IFERROR(__xludf.DUMMYFUNCTION("""COMPUTED_VALUE"""),"")</f>
        <v/>
      </c>
    </row>
    <row r="25">
      <c r="A25" s="34" t="str">
        <f>IFERROR(__xludf.DUMMYFUNCTION("""COMPUTED_VALUE"""),"")</f>
        <v/>
      </c>
      <c r="M25" s="34" t="s">
        <v>260</v>
      </c>
      <c r="N25" s="34" t="str">
        <f>IFERROR(__xludf.DUMMYFUNCTION("""COMPUTED_VALUE"""),"")</f>
        <v/>
      </c>
    </row>
    <row r="26">
      <c r="A26" s="34" t="str">
        <f>IFERROR(__xludf.DUMMYFUNCTION("""COMPUTED_VALUE"""),"")</f>
        <v/>
      </c>
      <c r="M26" s="34" t="s">
        <v>260</v>
      </c>
      <c r="N26" s="34" t="str">
        <f>IFERROR(__xludf.DUMMYFUNCTION("""COMPUTED_VALUE"""),"")</f>
        <v/>
      </c>
    </row>
    <row r="27">
      <c r="A27" s="34" t="str">
        <f>IFERROR(__xludf.DUMMYFUNCTION("""COMPUTED_VALUE"""),"")</f>
        <v/>
      </c>
      <c r="M27" s="34" t="s">
        <v>260</v>
      </c>
      <c r="N27" s="34" t="str">
        <f>IFERROR(__xludf.DUMMYFUNCTION("""COMPUTED_VALUE"""),"")</f>
        <v/>
      </c>
    </row>
    <row r="28">
      <c r="A28" s="34" t="str">
        <f>IFERROR(__xludf.DUMMYFUNCTION("""COMPUTED_VALUE"""),"")</f>
        <v/>
      </c>
      <c r="M28" s="34" t="s">
        <v>260</v>
      </c>
      <c r="N28" s="34" t="str">
        <f>IFERROR(__xludf.DUMMYFUNCTION("""COMPUTED_VALUE"""),"")</f>
        <v/>
      </c>
    </row>
    <row r="29">
      <c r="A29" s="34" t="str">
        <f>IFERROR(__xludf.DUMMYFUNCTION("""COMPUTED_VALUE"""),"")</f>
        <v/>
      </c>
      <c r="M29" s="34" t="s">
        <v>260</v>
      </c>
      <c r="N29" s="34" t="str">
        <f>IFERROR(__xludf.DUMMYFUNCTION("""COMPUTED_VALUE"""),"")</f>
        <v/>
      </c>
    </row>
    <row r="30">
      <c r="A30" s="34" t="str">
        <f>IFERROR(__xludf.DUMMYFUNCTION("""COMPUTED_VALUE"""),"")</f>
        <v/>
      </c>
      <c r="M30" s="34" t="s">
        <v>260</v>
      </c>
      <c r="N30" s="34" t="str">
        <f>IFERROR(__xludf.DUMMYFUNCTION("""COMPUTED_VALUE"""),"")</f>
        <v/>
      </c>
    </row>
    <row r="31">
      <c r="A31" s="34" t="str">
        <f>IFERROR(__xludf.DUMMYFUNCTION("""COMPUTED_VALUE"""),"")</f>
        <v/>
      </c>
      <c r="M31" s="34" t="s">
        <v>260</v>
      </c>
      <c r="N31" s="34" t="str">
        <f>IFERROR(__xludf.DUMMYFUNCTION("""COMPUTED_VALUE"""),"")</f>
        <v/>
      </c>
    </row>
    <row r="32">
      <c r="A32" s="34" t="str">
        <f>IFERROR(__xludf.DUMMYFUNCTION("""COMPUTED_VALUE"""),"")</f>
        <v/>
      </c>
      <c r="M32" s="34" t="s">
        <v>260</v>
      </c>
      <c r="N32" s="34" t="str">
        <f>IFERROR(__xludf.DUMMYFUNCTION("""COMPUTED_VALUE"""),"")</f>
        <v/>
      </c>
    </row>
    <row r="33">
      <c r="A33" s="34" t="str">
        <f>IFERROR(__xludf.DUMMYFUNCTION("""COMPUTED_VALUE"""),"")</f>
        <v/>
      </c>
      <c r="M33" s="34" t="s">
        <v>260</v>
      </c>
      <c r="N33" s="34" t="str">
        <f>IFERROR(__xludf.DUMMYFUNCTION("""COMPUTED_VALUE"""),"")</f>
        <v/>
      </c>
    </row>
    <row r="34">
      <c r="A34" s="34" t="str">
        <f>IFERROR(__xludf.DUMMYFUNCTION("""COMPUTED_VALUE"""),"")</f>
        <v/>
      </c>
      <c r="M34" s="34" t="s">
        <v>260</v>
      </c>
      <c r="N34" s="34" t="str">
        <f>IFERROR(__xludf.DUMMYFUNCTION("""COMPUTED_VALUE"""),"")</f>
        <v/>
      </c>
    </row>
    <row r="35">
      <c r="A35" s="34" t="str">
        <f>IFERROR(__xludf.DUMMYFUNCTION("""COMPUTED_VALUE"""),"")</f>
        <v/>
      </c>
      <c r="M35" s="34" t="s">
        <v>260</v>
      </c>
      <c r="N35" s="34" t="str">
        <f>IFERROR(__xludf.DUMMYFUNCTION("""COMPUTED_VALUE"""),"")</f>
        <v/>
      </c>
    </row>
    <row r="36">
      <c r="A36" s="34" t="str">
        <f>IFERROR(__xludf.DUMMYFUNCTION("""COMPUTED_VALUE"""),"")</f>
        <v/>
      </c>
      <c r="M36" s="34" t="s">
        <v>260</v>
      </c>
      <c r="N36" s="34" t="str">
        <f>IFERROR(__xludf.DUMMYFUNCTION("""COMPUTED_VALUE"""),"")</f>
        <v/>
      </c>
    </row>
    <row r="37">
      <c r="A37" s="34" t="str">
        <f>IFERROR(__xludf.DUMMYFUNCTION("""COMPUTED_VALUE"""),"")</f>
        <v/>
      </c>
      <c r="M37" s="34" t="s">
        <v>260</v>
      </c>
      <c r="N37" s="34" t="str">
        <f>IFERROR(__xludf.DUMMYFUNCTION("""COMPUTED_VALUE"""),"")</f>
        <v/>
      </c>
    </row>
    <row r="38">
      <c r="A38" s="34" t="str">
        <f>IFERROR(__xludf.DUMMYFUNCTION("""COMPUTED_VALUE"""),"")</f>
        <v/>
      </c>
      <c r="M38" s="34" t="s">
        <v>260</v>
      </c>
      <c r="N38" s="34" t="str">
        <f>IFERROR(__xludf.DUMMYFUNCTION("""COMPUTED_VALUE"""),"")</f>
        <v/>
      </c>
    </row>
    <row r="39">
      <c r="A39" s="34" t="str">
        <f>IFERROR(__xludf.DUMMYFUNCTION("""COMPUTED_VALUE"""),"")</f>
        <v/>
      </c>
      <c r="M39" s="34" t="s">
        <v>260</v>
      </c>
      <c r="N39" s="34" t="str">
        <f>IFERROR(__xludf.DUMMYFUNCTION("""COMPUTED_VALUE"""),"")</f>
        <v/>
      </c>
    </row>
    <row r="40">
      <c r="A40" s="34" t="str">
        <f>IFERROR(__xludf.DUMMYFUNCTION("""COMPUTED_VALUE"""),"")</f>
        <v/>
      </c>
      <c r="M40" s="34" t="s">
        <v>260</v>
      </c>
      <c r="N40" s="34" t="str">
        <f>IFERROR(__xludf.DUMMYFUNCTION("""COMPUTED_VALUE"""),"")</f>
        <v/>
      </c>
    </row>
    <row r="41">
      <c r="A41" s="34" t="str">
        <f>IFERROR(__xludf.DUMMYFUNCTION("""COMPUTED_VALUE"""),"")</f>
        <v/>
      </c>
      <c r="M41" s="34" t="s">
        <v>260</v>
      </c>
      <c r="N41" s="34" t="str">
        <f>IFERROR(__xludf.DUMMYFUNCTION("""COMPUTED_VALUE"""),"")</f>
        <v/>
      </c>
    </row>
    <row r="42">
      <c r="A42" s="34" t="str">
        <f>IFERROR(__xludf.DUMMYFUNCTION("""COMPUTED_VALUE"""),"")</f>
        <v/>
      </c>
      <c r="M42" s="34" t="s">
        <v>260</v>
      </c>
      <c r="N42" s="34" t="str">
        <f>IFERROR(__xludf.DUMMYFUNCTION("""COMPUTED_VALUE"""),"")</f>
        <v/>
      </c>
    </row>
    <row r="43">
      <c r="A43" s="34" t="str">
        <f>IFERROR(__xludf.DUMMYFUNCTION("""COMPUTED_VALUE"""),"")</f>
        <v/>
      </c>
      <c r="M43" s="34" t="s">
        <v>260</v>
      </c>
      <c r="N43" s="34" t="str">
        <f>IFERROR(__xludf.DUMMYFUNCTION("""COMPUTED_VALUE"""),"")</f>
        <v/>
      </c>
    </row>
    <row r="44">
      <c r="A44" s="34" t="str">
        <f>IFERROR(__xludf.DUMMYFUNCTION("""COMPUTED_VALUE"""),"")</f>
        <v/>
      </c>
      <c r="M44" s="34" t="s">
        <v>260</v>
      </c>
      <c r="N44" s="34" t="str">
        <f>IFERROR(__xludf.DUMMYFUNCTION("""COMPUTED_VALUE"""),"")</f>
        <v/>
      </c>
    </row>
    <row r="45">
      <c r="A45" s="34" t="str">
        <f>IFERROR(__xludf.DUMMYFUNCTION("""COMPUTED_VALUE"""),"")</f>
        <v/>
      </c>
      <c r="M45" s="34" t="s">
        <v>260</v>
      </c>
      <c r="N45" s="34" t="str">
        <f>IFERROR(__xludf.DUMMYFUNCTION("""COMPUTED_VALUE"""),"")</f>
        <v/>
      </c>
    </row>
    <row r="46">
      <c r="A46" s="34" t="str">
        <f>IFERROR(__xludf.DUMMYFUNCTION("""COMPUTED_VALUE"""),"")</f>
        <v/>
      </c>
      <c r="M46" s="34" t="s">
        <v>260</v>
      </c>
      <c r="N46" s="34" t="str">
        <f>IFERROR(__xludf.DUMMYFUNCTION("""COMPUTED_VALUE"""),"")</f>
        <v/>
      </c>
    </row>
    <row r="47">
      <c r="A47" s="34" t="str">
        <f>IFERROR(__xludf.DUMMYFUNCTION("""COMPUTED_VALUE"""),"")</f>
        <v/>
      </c>
      <c r="M47" s="34" t="s">
        <v>260</v>
      </c>
      <c r="N47" s="34" t="str">
        <f>IFERROR(__xludf.DUMMYFUNCTION("""COMPUTED_VALUE"""),"")</f>
        <v/>
      </c>
    </row>
    <row r="48">
      <c r="A48" s="34" t="str">
        <f>IFERROR(__xludf.DUMMYFUNCTION("""COMPUTED_VALUE"""),"")</f>
        <v/>
      </c>
      <c r="M48" s="34" t="s">
        <v>260</v>
      </c>
      <c r="N48" s="34" t="str">
        <f>IFERROR(__xludf.DUMMYFUNCTION("""COMPUTED_VALUE"""),"")</f>
        <v/>
      </c>
    </row>
    <row r="49">
      <c r="A49" s="34" t="str">
        <f>IFERROR(__xludf.DUMMYFUNCTION("""COMPUTED_VALUE"""),"")</f>
        <v/>
      </c>
      <c r="M49" s="34" t="s">
        <v>260</v>
      </c>
      <c r="N49" s="34" t="str">
        <f>IFERROR(__xludf.DUMMYFUNCTION("""COMPUTED_VALUE"""),"")</f>
        <v/>
      </c>
    </row>
    <row r="50">
      <c r="A50" s="34" t="str">
        <f>IFERROR(__xludf.DUMMYFUNCTION("""COMPUTED_VALUE"""),"")</f>
        <v/>
      </c>
      <c r="M50" s="34" t="s">
        <v>260</v>
      </c>
      <c r="N50" s="34" t="str">
        <f>IFERROR(__xludf.DUMMYFUNCTION("""COMPUTED_VALUE"""),"")</f>
        <v/>
      </c>
    </row>
    <row r="51">
      <c r="A51" s="34" t="str">
        <f>IFERROR(__xludf.DUMMYFUNCTION("""COMPUTED_VALUE"""),"")</f>
        <v/>
      </c>
      <c r="M51" s="34" t="s">
        <v>260</v>
      </c>
      <c r="N51" s="34" t="str">
        <f>IFERROR(__xludf.DUMMYFUNCTION("""COMPUTED_VALUE"""),"")</f>
        <v/>
      </c>
    </row>
    <row r="52">
      <c r="A52" s="34" t="str">
        <f>IFERROR(__xludf.DUMMYFUNCTION("""COMPUTED_VALUE"""),"")</f>
        <v/>
      </c>
      <c r="M52" s="34" t="s">
        <v>260</v>
      </c>
      <c r="N52" s="34" t="str">
        <f>IFERROR(__xludf.DUMMYFUNCTION("""COMPUTED_VALUE"""),"")</f>
        <v/>
      </c>
    </row>
    <row r="53">
      <c r="A53" s="34" t="str">
        <f>IFERROR(__xludf.DUMMYFUNCTION("""COMPUTED_VALUE"""),"")</f>
        <v/>
      </c>
      <c r="M53" s="34" t="s">
        <v>260</v>
      </c>
      <c r="N53" s="34" t="str">
        <f>IFERROR(__xludf.DUMMYFUNCTION("""COMPUTED_VALUE"""),"")</f>
        <v/>
      </c>
    </row>
    <row r="54">
      <c r="A54" s="34" t="str">
        <f>IFERROR(__xludf.DUMMYFUNCTION("""COMPUTED_VALUE"""),"")</f>
        <v/>
      </c>
      <c r="M54" s="34" t="s">
        <v>260</v>
      </c>
      <c r="N54" s="34" t="str">
        <f>IFERROR(__xludf.DUMMYFUNCTION("""COMPUTED_VALUE"""),"")</f>
        <v/>
      </c>
    </row>
    <row r="55">
      <c r="A55" s="34" t="str">
        <f>IFERROR(__xludf.DUMMYFUNCTION("""COMPUTED_VALUE"""),"")</f>
        <v/>
      </c>
      <c r="M55" s="34" t="s">
        <v>260</v>
      </c>
      <c r="N55" s="34" t="str">
        <f>IFERROR(__xludf.DUMMYFUNCTION("""COMPUTED_VALUE"""),"")</f>
        <v/>
      </c>
    </row>
    <row r="56">
      <c r="A56" s="34" t="str">
        <f>IFERROR(__xludf.DUMMYFUNCTION("""COMPUTED_VALUE"""),"")</f>
        <v/>
      </c>
      <c r="M56" s="34" t="s">
        <v>260</v>
      </c>
      <c r="N56" s="34" t="str">
        <f>IFERROR(__xludf.DUMMYFUNCTION("""COMPUTED_VALUE"""),"")</f>
        <v/>
      </c>
    </row>
    <row r="57">
      <c r="A57" s="34" t="str">
        <f>IFERROR(__xludf.DUMMYFUNCTION("""COMPUTED_VALUE"""),"")</f>
        <v/>
      </c>
      <c r="M57" s="34" t="s">
        <v>260</v>
      </c>
      <c r="N57" s="34" t="str">
        <f>IFERROR(__xludf.DUMMYFUNCTION("""COMPUTED_VALUE"""),"")</f>
        <v/>
      </c>
    </row>
    <row r="58">
      <c r="A58" s="34" t="str">
        <f>IFERROR(__xludf.DUMMYFUNCTION("""COMPUTED_VALUE"""),"")</f>
        <v/>
      </c>
      <c r="M58" s="34" t="s">
        <v>260</v>
      </c>
      <c r="N58" s="34" t="str">
        <f>IFERROR(__xludf.DUMMYFUNCTION("""COMPUTED_VALUE"""),"")</f>
        <v/>
      </c>
    </row>
    <row r="59">
      <c r="A59" s="34" t="str">
        <f>IFERROR(__xludf.DUMMYFUNCTION("""COMPUTED_VALUE"""),"")</f>
        <v/>
      </c>
      <c r="M59" s="34" t="s">
        <v>260</v>
      </c>
      <c r="N59" s="34" t="str">
        <f>IFERROR(__xludf.DUMMYFUNCTION("""COMPUTED_VALUE"""),"")</f>
        <v/>
      </c>
    </row>
    <row r="60">
      <c r="A60" s="34" t="str">
        <f>IFERROR(__xludf.DUMMYFUNCTION("""COMPUTED_VALUE"""),"")</f>
        <v/>
      </c>
      <c r="M60" s="34" t="s">
        <v>260</v>
      </c>
      <c r="N60" s="34" t="str">
        <f>IFERROR(__xludf.DUMMYFUNCTION("""COMPUTED_VALUE"""),"")</f>
        <v/>
      </c>
    </row>
    <row r="61">
      <c r="A61" s="34" t="str">
        <f>IFERROR(__xludf.DUMMYFUNCTION("""COMPUTED_VALUE"""),"")</f>
        <v/>
      </c>
      <c r="M61" s="34" t="s">
        <v>260</v>
      </c>
      <c r="N61" s="34" t="str">
        <f>IFERROR(__xludf.DUMMYFUNCTION("""COMPUTED_VALUE"""),"")</f>
        <v/>
      </c>
    </row>
    <row r="62">
      <c r="A62" s="34" t="str">
        <f>IFERROR(__xludf.DUMMYFUNCTION("""COMPUTED_VALUE"""),"")</f>
        <v/>
      </c>
      <c r="M62" s="34" t="s">
        <v>260</v>
      </c>
      <c r="N62" s="34" t="str">
        <f>IFERROR(__xludf.DUMMYFUNCTION("""COMPUTED_VALUE"""),"")</f>
        <v/>
      </c>
    </row>
    <row r="63">
      <c r="A63" s="34" t="str">
        <f>IFERROR(__xludf.DUMMYFUNCTION("""COMPUTED_VALUE"""),"")</f>
        <v/>
      </c>
      <c r="M63" s="34" t="s">
        <v>260</v>
      </c>
      <c r="N63" s="34" t="str">
        <f>IFERROR(__xludf.DUMMYFUNCTION("""COMPUTED_VALUE"""),"")</f>
        <v/>
      </c>
    </row>
    <row r="64">
      <c r="A64" s="34" t="str">
        <f>IFERROR(__xludf.DUMMYFUNCTION("""COMPUTED_VALUE"""),"")</f>
        <v/>
      </c>
      <c r="M64" s="34" t="s">
        <v>260</v>
      </c>
      <c r="N64" s="34" t="str">
        <f>IFERROR(__xludf.DUMMYFUNCTION("""COMPUTED_VALUE"""),"")</f>
        <v/>
      </c>
    </row>
    <row r="65">
      <c r="A65" s="34" t="str">
        <f>IFERROR(__xludf.DUMMYFUNCTION("""COMPUTED_VALUE"""),"")</f>
        <v/>
      </c>
      <c r="M65" s="34" t="s">
        <v>260</v>
      </c>
      <c r="N65" s="34" t="str">
        <f>IFERROR(__xludf.DUMMYFUNCTION("""COMPUTED_VALUE"""),"")</f>
        <v/>
      </c>
    </row>
    <row r="66">
      <c r="A66" s="34" t="str">
        <f>IFERROR(__xludf.DUMMYFUNCTION("""COMPUTED_VALUE"""),"")</f>
        <v/>
      </c>
      <c r="M66" s="34" t="s">
        <v>260</v>
      </c>
      <c r="N66" s="34" t="str">
        <f>IFERROR(__xludf.DUMMYFUNCTION("""COMPUTED_VALUE"""),"")</f>
        <v/>
      </c>
    </row>
    <row r="67">
      <c r="A67" s="34" t="str">
        <f>IFERROR(__xludf.DUMMYFUNCTION("""COMPUTED_VALUE"""),"")</f>
        <v/>
      </c>
      <c r="M67" s="34" t="s">
        <v>260</v>
      </c>
      <c r="N67" s="34" t="str">
        <f>IFERROR(__xludf.DUMMYFUNCTION("""COMPUTED_VALUE"""),"")</f>
        <v/>
      </c>
    </row>
    <row r="68">
      <c r="A68" s="34" t="str">
        <f>IFERROR(__xludf.DUMMYFUNCTION("""COMPUTED_VALUE"""),"")</f>
        <v/>
      </c>
      <c r="M68" s="34" t="s">
        <v>260</v>
      </c>
      <c r="N68" s="34" t="str">
        <f>IFERROR(__xludf.DUMMYFUNCTION("""COMPUTED_VALUE"""),"")</f>
        <v/>
      </c>
    </row>
    <row r="69">
      <c r="A69" s="34" t="str">
        <f>IFERROR(__xludf.DUMMYFUNCTION("""COMPUTED_VALUE"""),"")</f>
        <v/>
      </c>
      <c r="M69" s="34" t="s">
        <v>260</v>
      </c>
      <c r="N69" s="34" t="str">
        <f>IFERROR(__xludf.DUMMYFUNCTION("""COMPUTED_VALUE"""),"")</f>
        <v/>
      </c>
    </row>
    <row r="70">
      <c r="A70" s="34" t="str">
        <f>IFERROR(__xludf.DUMMYFUNCTION("""COMPUTED_VALUE"""),"")</f>
        <v/>
      </c>
      <c r="M70" s="34" t="s">
        <v>260</v>
      </c>
      <c r="N70" s="34" t="str">
        <f>IFERROR(__xludf.DUMMYFUNCTION("""COMPUTED_VALUE"""),"")</f>
        <v/>
      </c>
    </row>
    <row r="71">
      <c r="A71" s="34" t="str">
        <f>IFERROR(__xludf.DUMMYFUNCTION("""COMPUTED_VALUE"""),"")</f>
        <v/>
      </c>
      <c r="M71" s="34" t="s">
        <v>260</v>
      </c>
      <c r="N71" s="34" t="str">
        <f>IFERROR(__xludf.DUMMYFUNCTION("""COMPUTED_VALUE"""),"")</f>
        <v/>
      </c>
    </row>
    <row r="72">
      <c r="A72" s="34" t="str">
        <f>IFERROR(__xludf.DUMMYFUNCTION("""COMPUTED_VALUE"""),"")</f>
        <v/>
      </c>
      <c r="M72" s="34" t="s">
        <v>260</v>
      </c>
      <c r="N72" s="34" t="str">
        <f>IFERROR(__xludf.DUMMYFUNCTION("""COMPUTED_VALUE"""),"")</f>
        <v/>
      </c>
    </row>
    <row r="73">
      <c r="A73" s="34" t="str">
        <f>IFERROR(__xludf.DUMMYFUNCTION("""COMPUTED_VALUE"""),"")</f>
        <v/>
      </c>
      <c r="M73" s="34" t="s">
        <v>260</v>
      </c>
      <c r="N73" s="34" t="str">
        <f>IFERROR(__xludf.DUMMYFUNCTION("""COMPUTED_VALUE"""),"")</f>
        <v/>
      </c>
    </row>
    <row r="74">
      <c r="A74" s="34" t="str">
        <f>IFERROR(__xludf.DUMMYFUNCTION("""COMPUTED_VALUE"""),"")</f>
        <v/>
      </c>
      <c r="M74" s="34" t="s">
        <v>260</v>
      </c>
      <c r="N74" s="34" t="str">
        <f>IFERROR(__xludf.DUMMYFUNCTION("""COMPUTED_VALUE"""),"")</f>
        <v/>
      </c>
    </row>
    <row r="75">
      <c r="A75" s="34" t="str">
        <f>IFERROR(__xludf.DUMMYFUNCTION("""COMPUTED_VALUE"""),"")</f>
        <v/>
      </c>
      <c r="M75" s="34" t="s">
        <v>260</v>
      </c>
      <c r="N75" s="34" t="str">
        <f>IFERROR(__xludf.DUMMYFUNCTION("""COMPUTED_VALUE"""),"")</f>
        <v/>
      </c>
    </row>
    <row r="76">
      <c r="A76" s="34" t="str">
        <f>IFERROR(__xludf.DUMMYFUNCTION("""COMPUTED_VALUE"""),"")</f>
        <v/>
      </c>
      <c r="M76" s="34" t="s">
        <v>260</v>
      </c>
      <c r="N76" s="34" t="str">
        <f>IFERROR(__xludf.DUMMYFUNCTION("""COMPUTED_VALUE"""),"")</f>
        <v/>
      </c>
    </row>
    <row r="77">
      <c r="A77" s="34" t="str">
        <f>IFERROR(__xludf.DUMMYFUNCTION("""COMPUTED_VALUE"""),"")</f>
        <v/>
      </c>
      <c r="M77" s="34" t="s">
        <v>260</v>
      </c>
      <c r="N77" s="34" t="str">
        <f>IFERROR(__xludf.DUMMYFUNCTION("""COMPUTED_VALUE"""),"")</f>
        <v/>
      </c>
    </row>
    <row r="78">
      <c r="A78" s="34" t="str">
        <f>IFERROR(__xludf.DUMMYFUNCTION("""COMPUTED_VALUE"""),"")</f>
        <v/>
      </c>
      <c r="M78" s="34" t="s">
        <v>260</v>
      </c>
      <c r="N78" s="34" t="str">
        <f>IFERROR(__xludf.DUMMYFUNCTION("""COMPUTED_VALUE"""),"")</f>
        <v/>
      </c>
    </row>
    <row r="79">
      <c r="A79" s="34" t="str">
        <f>IFERROR(__xludf.DUMMYFUNCTION("""COMPUTED_VALUE"""),"")</f>
        <v/>
      </c>
      <c r="M79" s="34" t="s">
        <v>260</v>
      </c>
      <c r="N79" s="34" t="str">
        <f>IFERROR(__xludf.DUMMYFUNCTION("""COMPUTED_VALUE"""),"")</f>
        <v/>
      </c>
    </row>
    <row r="80">
      <c r="A80" s="34" t="str">
        <f>IFERROR(__xludf.DUMMYFUNCTION("""COMPUTED_VALUE"""),"")</f>
        <v/>
      </c>
      <c r="M80" s="34" t="s">
        <v>260</v>
      </c>
      <c r="N80" s="34" t="str">
        <f>IFERROR(__xludf.DUMMYFUNCTION("""COMPUTED_VALUE"""),"")</f>
        <v/>
      </c>
    </row>
    <row r="81">
      <c r="A81" s="34" t="str">
        <f>IFERROR(__xludf.DUMMYFUNCTION("""COMPUTED_VALUE"""),"")</f>
        <v/>
      </c>
      <c r="M81" s="34" t="s">
        <v>260</v>
      </c>
      <c r="N81" s="34" t="str">
        <f>IFERROR(__xludf.DUMMYFUNCTION("""COMPUTED_VALUE"""),"")</f>
        <v/>
      </c>
    </row>
    <row r="82">
      <c r="A82" s="34" t="str">
        <f>IFERROR(__xludf.DUMMYFUNCTION("""COMPUTED_VALUE"""),"")</f>
        <v/>
      </c>
      <c r="M82" s="34" t="s">
        <v>260</v>
      </c>
      <c r="N82" s="34" t="str">
        <f>IFERROR(__xludf.DUMMYFUNCTION("""COMPUTED_VALUE"""),"")</f>
        <v/>
      </c>
    </row>
    <row r="83">
      <c r="A83" s="34" t="str">
        <f>IFERROR(__xludf.DUMMYFUNCTION("""COMPUTED_VALUE"""),"")</f>
        <v/>
      </c>
      <c r="M83" s="34" t="s">
        <v>260</v>
      </c>
      <c r="N83" s="34" t="str">
        <f>IFERROR(__xludf.DUMMYFUNCTION("""COMPUTED_VALUE"""),"")</f>
        <v/>
      </c>
    </row>
    <row r="84">
      <c r="A84" s="34" t="str">
        <f>IFERROR(__xludf.DUMMYFUNCTION("""COMPUTED_VALUE"""),"")</f>
        <v/>
      </c>
      <c r="M84" s="34" t="s">
        <v>260</v>
      </c>
      <c r="N84" s="34" t="str">
        <f>IFERROR(__xludf.DUMMYFUNCTION("""COMPUTED_VALUE"""),"")</f>
        <v/>
      </c>
    </row>
    <row r="85">
      <c r="A85" s="34" t="str">
        <f>IFERROR(__xludf.DUMMYFUNCTION("""COMPUTED_VALUE"""),"")</f>
        <v/>
      </c>
      <c r="M85" s="34" t="s">
        <v>260</v>
      </c>
      <c r="N85" s="34" t="str">
        <f>IFERROR(__xludf.DUMMYFUNCTION("""COMPUTED_VALUE"""),"")</f>
        <v/>
      </c>
    </row>
    <row r="86">
      <c r="A86" s="34" t="str">
        <f>IFERROR(__xludf.DUMMYFUNCTION("""COMPUTED_VALUE"""),"")</f>
        <v/>
      </c>
      <c r="M86" s="34" t="s">
        <v>260</v>
      </c>
      <c r="N86" s="34" t="str">
        <f>IFERROR(__xludf.DUMMYFUNCTION("""COMPUTED_VALUE"""),"")</f>
        <v/>
      </c>
    </row>
    <row r="87">
      <c r="A87" s="34" t="str">
        <f>IFERROR(__xludf.DUMMYFUNCTION("""COMPUTED_VALUE"""),"")</f>
        <v/>
      </c>
      <c r="M87" s="34" t="s">
        <v>260</v>
      </c>
      <c r="N87" s="34" t="str">
        <f>IFERROR(__xludf.DUMMYFUNCTION("""COMPUTED_VALUE"""),"")</f>
        <v/>
      </c>
    </row>
    <row r="88">
      <c r="A88" s="34" t="str">
        <f>IFERROR(__xludf.DUMMYFUNCTION("""COMPUTED_VALUE"""),"")</f>
        <v/>
      </c>
      <c r="M88" s="34" t="s">
        <v>260</v>
      </c>
      <c r="N88" s="34" t="str">
        <f>IFERROR(__xludf.DUMMYFUNCTION("""COMPUTED_VALUE"""),"")</f>
        <v/>
      </c>
    </row>
    <row r="89">
      <c r="A89" s="34" t="str">
        <f>IFERROR(__xludf.DUMMYFUNCTION("""COMPUTED_VALUE"""),"")</f>
        <v/>
      </c>
      <c r="M89" s="34" t="s">
        <v>260</v>
      </c>
      <c r="N89" s="34" t="str">
        <f>IFERROR(__xludf.DUMMYFUNCTION("""COMPUTED_VALUE"""),"")</f>
        <v/>
      </c>
    </row>
    <row r="90">
      <c r="A90" s="34" t="str">
        <f>IFERROR(__xludf.DUMMYFUNCTION("""COMPUTED_VALUE"""),"")</f>
        <v/>
      </c>
      <c r="M90" s="34" t="s">
        <v>260</v>
      </c>
      <c r="N90" s="34" t="str">
        <f>IFERROR(__xludf.DUMMYFUNCTION("""COMPUTED_VALUE"""),"")</f>
        <v/>
      </c>
    </row>
    <row r="91">
      <c r="A91" s="34" t="str">
        <f>IFERROR(__xludf.DUMMYFUNCTION("""COMPUTED_VALUE"""),"")</f>
        <v/>
      </c>
      <c r="M91" s="34" t="s">
        <v>260</v>
      </c>
      <c r="N91" s="34" t="str">
        <f>IFERROR(__xludf.DUMMYFUNCTION("""COMPUTED_VALUE"""),"")</f>
        <v/>
      </c>
    </row>
    <row r="92">
      <c r="A92" s="34" t="str">
        <f>IFERROR(__xludf.DUMMYFUNCTION("""COMPUTED_VALUE"""),"")</f>
        <v/>
      </c>
      <c r="M92" s="34" t="s">
        <v>260</v>
      </c>
      <c r="N92" s="34" t="str">
        <f>IFERROR(__xludf.DUMMYFUNCTION("""COMPUTED_VALUE"""),"")</f>
        <v/>
      </c>
    </row>
    <row r="93">
      <c r="A93" s="34" t="str">
        <f>IFERROR(__xludf.DUMMYFUNCTION("""COMPUTED_VALUE"""),"")</f>
        <v/>
      </c>
      <c r="M93" s="34" t="s">
        <v>260</v>
      </c>
      <c r="N93" s="34" t="str">
        <f>IFERROR(__xludf.DUMMYFUNCTION("""COMPUTED_VALUE"""),"")</f>
        <v/>
      </c>
    </row>
    <row r="94">
      <c r="A94" s="34" t="str">
        <f>IFERROR(__xludf.DUMMYFUNCTION("""COMPUTED_VALUE"""),"")</f>
        <v/>
      </c>
      <c r="M94" s="34" t="s">
        <v>260</v>
      </c>
      <c r="N94" s="34" t="str">
        <f>IFERROR(__xludf.DUMMYFUNCTION("""COMPUTED_VALUE"""),"")</f>
        <v/>
      </c>
    </row>
    <row r="95">
      <c r="A95" s="34" t="str">
        <f>IFERROR(__xludf.DUMMYFUNCTION("""COMPUTED_VALUE"""),"")</f>
        <v/>
      </c>
      <c r="M95" s="34" t="s">
        <v>260</v>
      </c>
      <c r="N95" s="34" t="str">
        <f>IFERROR(__xludf.DUMMYFUNCTION("""COMPUTED_VALUE"""),"")</f>
        <v/>
      </c>
    </row>
    <row r="96">
      <c r="A96" s="34" t="str">
        <f>IFERROR(__xludf.DUMMYFUNCTION("""COMPUTED_VALUE"""),"")</f>
        <v/>
      </c>
      <c r="M96" s="34" t="s">
        <v>260</v>
      </c>
      <c r="N96" s="34" t="str">
        <f>IFERROR(__xludf.DUMMYFUNCTION("""COMPUTED_VALUE"""),"")</f>
        <v/>
      </c>
    </row>
    <row r="97">
      <c r="A97" s="34" t="str">
        <f>IFERROR(__xludf.DUMMYFUNCTION("""COMPUTED_VALUE"""),"")</f>
        <v/>
      </c>
      <c r="M97" s="34" t="s">
        <v>260</v>
      </c>
      <c r="N97" s="34" t="str">
        <f>IFERROR(__xludf.DUMMYFUNCTION("""COMPUTED_VALUE"""),"")</f>
        <v/>
      </c>
    </row>
    <row r="98">
      <c r="A98" s="34" t="str">
        <f>IFERROR(__xludf.DUMMYFUNCTION("""COMPUTED_VALUE"""),"")</f>
        <v/>
      </c>
      <c r="M98" s="34" t="s">
        <v>260</v>
      </c>
      <c r="N98" s="34" t="str">
        <f>IFERROR(__xludf.DUMMYFUNCTION("""COMPUTED_VALUE"""),"")</f>
        <v/>
      </c>
    </row>
    <row r="99">
      <c r="A99" s="34" t="str">
        <f>IFERROR(__xludf.DUMMYFUNCTION("""COMPUTED_VALUE"""),"")</f>
        <v/>
      </c>
      <c r="M99" s="34" t="s">
        <v>260</v>
      </c>
      <c r="N99" s="34" t="str">
        <f>IFERROR(__xludf.DUMMYFUNCTION("""COMPUTED_VALUE"""),"")</f>
        <v/>
      </c>
    </row>
    <row r="100">
      <c r="A100" s="34" t="str">
        <f>IFERROR(__xludf.DUMMYFUNCTION("""COMPUTED_VALUE"""),"")</f>
        <v/>
      </c>
      <c r="M100" s="34" t="s">
        <v>260</v>
      </c>
      <c r="N100" s="34" t="str">
        <f>IFERROR(__xludf.DUMMYFUNCTION("""COMPUTED_VALUE"""),"")</f>
        <v/>
      </c>
    </row>
    <row r="101">
      <c r="A101" s="34" t="str">
        <f>IFERROR(__xludf.DUMMYFUNCTION("""COMPUTED_VALUE"""),"")</f>
        <v/>
      </c>
      <c r="M101" s="34" t="s">
        <v>260</v>
      </c>
      <c r="N101" s="34" t="str">
        <f>IFERROR(__xludf.DUMMYFUNCTION("""COMPUTED_VALUE"""),"")</f>
        <v/>
      </c>
    </row>
    <row r="102">
      <c r="A102" s="34" t="str">
        <f>IFERROR(__xludf.DUMMYFUNCTION("""COMPUTED_VALUE"""),"")</f>
        <v/>
      </c>
      <c r="M102" s="34" t="s">
        <v>260</v>
      </c>
      <c r="N102" s="34" t="str">
        <f>IFERROR(__xludf.DUMMYFUNCTION("""COMPUTED_VALUE"""),"")</f>
        <v/>
      </c>
    </row>
    <row r="103">
      <c r="A103" s="34" t="str">
        <f>IFERROR(__xludf.DUMMYFUNCTION("""COMPUTED_VALUE"""),"")</f>
        <v/>
      </c>
      <c r="M103" s="34" t="s">
        <v>260</v>
      </c>
      <c r="N103" s="34" t="str">
        <f>IFERROR(__xludf.DUMMYFUNCTION("""COMPUTED_VALUE"""),"")</f>
        <v/>
      </c>
    </row>
    <row r="104">
      <c r="A104" s="34" t="str">
        <f>IFERROR(__xludf.DUMMYFUNCTION("""COMPUTED_VALUE"""),"")</f>
        <v/>
      </c>
      <c r="M104" s="34" t="s">
        <v>260</v>
      </c>
      <c r="N104" s="34" t="str">
        <f>IFERROR(__xludf.DUMMYFUNCTION("""COMPUTED_VALUE"""),"")</f>
        <v/>
      </c>
    </row>
    <row r="105">
      <c r="A105" s="34" t="str">
        <f>IFERROR(__xludf.DUMMYFUNCTION("""COMPUTED_VALUE"""),"")</f>
        <v/>
      </c>
      <c r="M105" s="34" t="s">
        <v>260</v>
      </c>
      <c r="N105" s="34" t="str">
        <f>IFERROR(__xludf.DUMMYFUNCTION("""COMPUTED_VALUE"""),"")</f>
        <v/>
      </c>
    </row>
    <row r="106">
      <c r="A106" s="34" t="str">
        <f>IFERROR(__xludf.DUMMYFUNCTION("""COMPUTED_VALUE"""),"")</f>
        <v/>
      </c>
      <c r="M106" s="34" t="s">
        <v>260</v>
      </c>
      <c r="N106" s="34" t="str">
        <f>IFERROR(__xludf.DUMMYFUNCTION("""COMPUTED_VALUE"""),"")</f>
        <v/>
      </c>
    </row>
    <row r="107">
      <c r="A107" s="34" t="str">
        <f>IFERROR(__xludf.DUMMYFUNCTION("""COMPUTED_VALUE"""),"")</f>
        <v/>
      </c>
      <c r="M107" s="34" t="s">
        <v>260</v>
      </c>
      <c r="N107" s="34" t="str">
        <f>IFERROR(__xludf.DUMMYFUNCTION("""COMPUTED_VALUE"""),"")</f>
        <v/>
      </c>
    </row>
    <row r="108">
      <c r="A108" s="34" t="str">
        <f>IFERROR(__xludf.DUMMYFUNCTION("""COMPUTED_VALUE"""),"")</f>
        <v/>
      </c>
      <c r="M108" s="34" t="s">
        <v>260</v>
      </c>
      <c r="N108" s="34" t="str">
        <f>IFERROR(__xludf.DUMMYFUNCTION("""COMPUTED_VALUE"""),"")</f>
        <v/>
      </c>
    </row>
    <row r="109">
      <c r="A109" s="34" t="str">
        <f>IFERROR(__xludf.DUMMYFUNCTION("""COMPUTED_VALUE"""),"")</f>
        <v/>
      </c>
      <c r="M109" s="34" t="s">
        <v>260</v>
      </c>
      <c r="N109" s="34" t="str">
        <f>IFERROR(__xludf.DUMMYFUNCTION("""COMPUTED_VALUE"""),"")</f>
        <v/>
      </c>
    </row>
    <row r="110">
      <c r="A110" s="34" t="str">
        <f>IFERROR(__xludf.DUMMYFUNCTION("""COMPUTED_VALUE"""),"")</f>
        <v/>
      </c>
      <c r="M110" s="34" t="s">
        <v>260</v>
      </c>
      <c r="N110" s="34" t="str">
        <f>IFERROR(__xludf.DUMMYFUNCTION("""COMPUTED_VALUE"""),"")</f>
        <v/>
      </c>
    </row>
    <row r="111">
      <c r="A111" s="34" t="str">
        <f>IFERROR(__xludf.DUMMYFUNCTION("""COMPUTED_VALUE"""),"")</f>
        <v/>
      </c>
      <c r="M111" s="34" t="s">
        <v>260</v>
      </c>
      <c r="N111" s="34" t="str">
        <f>IFERROR(__xludf.DUMMYFUNCTION("""COMPUTED_VALUE"""),"")</f>
        <v/>
      </c>
    </row>
    <row r="112">
      <c r="A112" s="34" t="str">
        <f>IFERROR(__xludf.DUMMYFUNCTION("""COMPUTED_VALUE"""),"")</f>
        <v/>
      </c>
      <c r="M112" s="34" t="s">
        <v>260</v>
      </c>
      <c r="N112" s="34" t="str">
        <f>IFERROR(__xludf.DUMMYFUNCTION("""COMPUTED_VALUE"""),"")</f>
        <v/>
      </c>
    </row>
    <row r="113">
      <c r="A113" s="34" t="str">
        <f>IFERROR(__xludf.DUMMYFUNCTION("""COMPUTED_VALUE"""),"")</f>
        <v/>
      </c>
      <c r="M113" s="34" t="s">
        <v>260</v>
      </c>
      <c r="N113" s="34" t="str">
        <f>IFERROR(__xludf.DUMMYFUNCTION("""COMPUTED_VALUE"""),"")</f>
        <v/>
      </c>
    </row>
    <row r="114">
      <c r="A114" s="34" t="str">
        <f>IFERROR(__xludf.DUMMYFUNCTION("""COMPUTED_VALUE"""),"")</f>
        <v/>
      </c>
      <c r="M114" s="34" t="s">
        <v>260</v>
      </c>
      <c r="N114" s="34" t="str">
        <f>IFERROR(__xludf.DUMMYFUNCTION("""COMPUTED_VALUE"""),"")</f>
        <v/>
      </c>
    </row>
    <row r="115">
      <c r="A115" s="34" t="str">
        <f>IFERROR(__xludf.DUMMYFUNCTION("""COMPUTED_VALUE"""),"")</f>
        <v/>
      </c>
      <c r="M115" s="34" t="s">
        <v>260</v>
      </c>
      <c r="N115" s="34" t="str">
        <f>IFERROR(__xludf.DUMMYFUNCTION("""COMPUTED_VALUE"""),"")</f>
        <v/>
      </c>
    </row>
    <row r="116">
      <c r="A116" s="34" t="str">
        <f>IFERROR(__xludf.DUMMYFUNCTION("""COMPUTED_VALUE"""),"")</f>
        <v/>
      </c>
      <c r="M116" s="34" t="s">
        <v>260</v>
      </c>
      <c r="N116" s="34" t="str">
        <f>IFERROR(__xludf.DUMMYFUNCTION("""COMPUTED_VALUE"""),"")</f>
        <v/>
      </c>
    </row>
    <row r="117">
      <c r="A117" s="34" t="str">
        <f>IFERROR(__xludf.DUMMYFUNCTION("""COMPUTED_VALUE"""),"")</f>
        <v/>
      </c>
      <c r="M117" s="34" t="s">
        <v>260</v>
      </c>
      <c r="N117" s="34" t="str">
        <f>IFERROR(__xludf.DUMMYFUNCTION("""COMPUTED_VALUE"""),"")</f>
        <v/>
      </c>
    </row>
    <row r="118">
      <c r="A118" s="34" t="str">
        <f>IFERROR(__xludf.DUMMYFUNCTION("""COMPUTED_VALUE"""),"")</f>
        <v/>
      </c>
      <c r="M118" s="34" t="s">
        <v>260</v>
      </c>
      <c r="N118" s="34" t="str">
        <f>IFERROR(__xludf.DUMMYFUNCTION("""COMPUTED_VALUE"""),"")</f>
        <v/>
      </c>
    </row>
    <row r="119">
      <c r="A119" s="34" t="str">
        <f>IFERROR(__xludf.DUMMYFUNCTION("""COMPUTED_VALUE"""),"")</f>
        <v/>
      </c>
      <c r="M119" s="34" t="s">
        <v>260</v>
      </c>
      <c r="N119" s="34" t="str">
        <f>IFERROR(__xludf.DUMMYFUNCTION("""COMPUTED_VALUE"""),"")</f>
        <v/>
      </c>
    </row>
    <row r="120">
      <c r="A120" s="34" t="str">
        <f>IFERROR(__xludf.DUMMYFUNCTION("""COMPUTED_VALUE"""),"")</f>
        <v/>
      </c>
      <c r="M120" s="34" t="s">
        <v>260</v>
      </c>
      <c r="N120" s="34" t="str">
        <f>IFERROR(__xludf.DUMMYFUNCTION("""COMPUTED_VALUE"""),"")</f>
        <v/>
      </c>
    </row>
    <row r="121">
      <c r="A121" s="34" t="str">
        <f>IFERROR(__xludf.DUMMYFUNCTION("""COMPUTED_VALUE"""),"")</f>
        <v/>
      </c>
      <c r="M121" s="34" t="s">
        <v>260</v>
      </c>
      <c r="N121" s="34" t="str">
        <f>IFERROR(__xludf.DUMMYFUNCTION("""COMPUTED_VALUE"""),"")</f>
        <v/>
      </c>
    </row>
    <row r="122">
      <c r="A122" s="34" t="str">
        <f>IFERROR(__xludf.DUMMYFUNCTION("""COMPUTED_VALUE"""),"")</f>
        <v/>
      </c>
      <c r="M122" s="34" t="s">
        <v>260</v>
      </c>
      <c r="N122" s="34" t="str">
        <f>IFERROR(__xludf.DUMMYFUNCTION("""COMPUTED_VALUE"""),"")</f>
        <v/>
      </c>
    </row>
    <row r="123">
      <c r="A123" s="34" t="str">
        <f>IFERROR(__xludf.DUMMYFUNCTION("""COMPUTED_VALUE"""),"")</f>
        <v/>
      </c>
      <c r="M123" s="34" t="s">
        <v>260</v>
      </c>
      <c r="N123" s="34" t="str">
        <f>IFERROR(__xludf.DUMMYFUNCTION("""COMPUTED_VALUE"""),"")</f>
        <v/>
      </c>
    </row>
    <row r="124">
      <c r="A124" s="34" t="str">
        <f>IFERROR(__xludf.DUMMYFUNCTION("""COMPUTED_VALUE"""),"")</f>
        <v/>
      </c>
      <c r="M124" s="34" t="s">
        <v>260</v>
      </c>
      <c r="N124" s="34" t="str">
        <f>IFERROR(__xludf.DUMMYFUNCTION("""COMPUTED_VALUE"""),"")</f>
        <v/>
      </c>
    </row>
    <row r="125">
      <c r="A125" s="34" t="str">
        <f>IFERROR(__xludf.DUMMYFUNCTION("""COMPUTED_VALUE"""),"")</f>
        <v/>
      </c>
      <c r="M125" s="34" t="s">
        <v>260</v>
      </c>
      <c r="N125" s="34" t="str">
        <f>IFERROR(__xludf.DUMMYFUNCTION("""COMPUTED_VALUE"""),"")</f>
        <v/>
      </c>
    </row>
    <row r="126">
      <c r="A126" s="34" t="str">
        <f>IFERROR(__xludf.DUMMYFUNCTION("""COMPUTED_VALUE"""),"")</f>
        <v/>
      </c>
      <c r="M126" s="34" t="s">
        <v>260</v>
      </c>
      <c r="N126" s="34" t="str">
        <f>IFERROR(__xludf.DUMMYFUNCTION("""COMPUTED_VALUE"""),"")</f>
        <v/>
      </c>
    </row>
    <row r="127">
      <c r="A127" s="34" t="str">
        <f>IFERROR(__xludf.DUMMYFUNCTION("""COMPUTED_VALUE"""),"")</f>
        <v/>
      </c>
      <c r="M127" s="34" t="s">
        <v>260</v>
      </c>
      <c r="N127" s="34" t="str">
        <f>IFERROR(__xludf.DUMMYFUNCTION("""COMPUTED_VALUE"""),"")</f>
        <v/>
      </c>
    </row>
    <row r="128">
      <c r="A128" s="34" t="str">
        <f>IFERROR(__xludf.DUMMYFUNCTION("""COMPUTED_VALUE"""),"")</f>
        <v/>
      </c>
      <c r="M128" s="34" t="s">
        <v>260</v>
      </c>
      <c r="N128" s="34" t="str">
        <f>IFERROR(__xludf.DUMMYFUNCTION("""COMPUTED_VALUE"""),"")</f>
        <v/>
      </c>
    </row>
    <row r="129">
      <c r="A129" s="34" t="str">
        <f>IFERROR(__xludf.DUMMYFUNCTION("""COMPUTED_VALUE"""),"")</f>
        <v/>
      </c>
      <c r="M129" s="34" t="s">
        <v>260</v>
      </c>
      <c r="N129" s="34" t="str">
        <f>IFERROR(__xludf.DUMMYFUNCTION("""COMPUTED_VALUE"""),"")</f>
        <v/>
      </c>
    </row>
    <row r="130">
      <c r="A130" s="34" t="str">
        <f>IFERROR(__xludf.DUMMYFUNCTION("""COMPUTED_VALUE"""),"")</f>
        <v/>
      </c>
      <c r="M130" s="34" t="s">
        <v>260</v>
      </c>
      <c r="N130" s="34" t="str">
        <f>IFERROR(__xludf.DUMMYFUNCTION("""COMPUTED_VALUE"""),"")</f>
        <v/>
      </c>
    </row>
    <row r="131">
      <c r="A131" s="34" t="str">
        <f>IFERROR(__xludf.DUMMYFUNCTION("""COMPUTED_VALUE"""),"")</f>
        <v/>
      </c>
      <c r="M131" s="34" t="s">
        <v>260</v>
      </c>
      <c r="N131" s="34" t="str">
        <f>IFERROR(__xludf.DUMMYFUNCTION("""COMPUTED_VALUE"""),"")</f>
        <v/>
      </c>
    </row>
    <row r="132">
      <c r="A132" s="34" t="str">
        <f>IFERROR(__xludf.DUMMYFUNCTION("""COMPUTED_VALUE"""),"")</f>
        <v/>
      </c>
      <c r="M132" s="34" t="s">
        <v>260</v>
      </c>
      <c r="N132" s="34" t="str">
        <f>IFERROR(__xludf.DUMMYFUNCTION("""COMPUTED_VALUE"""),"")</f>
        <v/>
      </c>
    </row>
    <row r="133">
      <c r="A133" s="34" t="str">
        <f>IFERROR(__xludf.DUMMYFUNCTION("""COMPUTED_VALUE"""),"")</f>
        <v/>
      </c>
      <c r="M133" s="34" t="s">
        <v>260</v>
      </c>
      <c r="N133" s="34" t="str">
        <f>IFERROR(__xludf.DUMMYFUNCTION("""COMPUTED_VALUE"""),"")</f>
        <v/>
      </c>
    </row>
    <row r="134">
      <c r="A134" s="34" t="str">
        <f>IFERROR(__xludf.DUMMYFUNCTION("""COMPUTED_VALUE"""),"")</f>
        <v/>
      </c>
      <c r="M134" s="34" t="s">
        <v>260</v>
      </c>
      <c r="N134" s="34" t="str">
        <f>IFERROR(__xludf.DUMMYFUNCTION("""COMPUTED_VALUE"""),"")</f>
        <v/>
      </c>
    </row>
    <row r="135">
      <c r="A135" s="34" t="str">
        <f>IFERROR(__xludf.DUMMYFUNCTION("""COMPUTED_VALUE"""),"")</f>
        <v/>
      </c>
      <c r="M135" s="34" t="s">
        <v>260</v>
      </c>
      <c r="N135" s="34" t="str">
        <f>IFERROR(__xludf.DUMMYFUNCTION("""COMPUTED_VALUE"""),"")</f>
        <v/>
      </c>
    </row>
    <row r="136">
      <c r="A136" s="34" t="str">
        <f>IFERROR(__xludf.DUMMYFUNCTION("""COMPUTED_VALUE"""),"")</f>
        <v/>
      </c>
      <c r="M136" s="34" t="s">
        <v>260</v>
      </c>
      <c r="N136" s="34" t="str">
        <f>IFERROR(__xludf.DUMMYFUNCTION("""COMPUTED_VALUE"""),"")</f>
        <v/>
      </c>
    </row>
    <row r="137">
      <c r="A137" s="34" t="str">
        <f>IFERROR(__xludf.DUMMYFUNCTION("""COMPUTED_VALUE"""),"")</f>
        <v/>
      </c>
      <c r="M137" s="34" t="s">
        <v>260</v>
      </c>
      <c r="N137" s="34" t="str">
        <f>IFERROR(__xludf.DUMMYFUNCTION("""COMPUTED_VALUE"""),"")</f>
        <v/>
      </c>
    </row>
    <row r="138">
      <c r="A138" s="34" t="str">
        <f>IFERROR(__xludf.DUMMYFUNCTION("""COMPUTED_VALUE"""),"")</f>
        <v/>
      </c>
      <c r="M138" s="34" t="s">
        <v>260</v>
      </c>
      <c r="N138" s="34" t="str">
        <f>IFERROR(__xludf.DUMMYFUNCTION("""COMPUTED_VALUE"""),"")</f>
        <v/>
      </c>
    </row>
    <row r="139">
      <c r="A139" s="34" t="str">
        <f>IFERROR(__xludf.DUMMYFUNCTION("""COMPUTED_VALUE"""),"")</f>
        <v/>
      </c>
      <c r="M139" s="34" t="s">
        <v>260</v>
      </c>
      <c r="N139" s="34" t="str">
        <f>IFERROR(__xludf.DUMMYFUNCTION("""COMPUTED_VALUE"""),"")</f>
        <v/>
      </c>
    </row>
    <row r="140">
      <c r="A140" s="34" t="str">
        <f>IFERROR(__xludf.DUMMYFUNCTION("""COMPUTED_VALUE"""),"")</f>
        <v/>
      </c>
      <c r="M140" s="34" t="s">
        <v>260</v>
      </c>
      <c r="N140" s="34" t="str">
        <f>IFERROR(__xludf.DUMMYFUNCTION("""COMPUTED_VALUE"""),"")</f>
        <v/>
      </c>
    </row>
    <row r="141">
      <c r="A141" s="34" t="str">
        <f>IFERROR(__xludf.DUMMYFUNCTION("""COMPUTED_VALUE"""),"")</f>
        <v/>
      </c>
      <c r="M141" s="34" t="s">
        <v>260</v>
      </c>
      <c r="N141" s="34" t="str">
        <f>IFERROR(__xludf.DUMMYFUNCTION("""COMPUTED_VALUE"""),"")</f>
        <v/>
      </c>
    </row>
    <row r="142">
      <c r="A142" s="34" t="str">
        <f>IFERROR(__xludf.DUMMYFUNCTION("""COMPUTED_VALUE"""),"")</f>
        <v/>
      </c>
      <c r="M142" s="34" t="s">
        <v>260</v>
      </c>
      <c r="N142" s="34" t="str">
        <f>IFERROR(__xludf.DUMMYFUNCTION("""COMPUTED_VALUE"""),"")</f>
        <v/>
      </c>
    </row>
    <row r="143">
      <c r="A143" s="34" t="str">
        <f>IFERROR(__xludf.DUMMYFUNCTION("""COMPUTED_VALUE"""),"")</f>
        <v/>
      </c>
      <c r="M143" s="34" t="s">
        <v>260</v>
      </c>
      <c r="N143" s="34" t="str">
        <f>IFERROR(__xludf.DUMMYFUNCTION("""COMPUTED_VALUE"""),"")</f>
        <v/>
      </c>
    </row>
    <row r="144">
      <c r="A144" s="34" t="str">
        <f>IFERROR(__xludf.DUMMYFUNCTION("""COMPUTED_VALUE"""),"")</f>
        <v/>
      </c>
      <c r="M144" s="34" t="s">
        <v>260</v>
      </c>
      <c r="N144" s="34" t="str">
        <f>IFERROR(__xludf.DUMMYFUNCTION("""COMPUTED_VALUE"""),"")</f>
        <v/>
      </c>
    </row>
    <row r="145">
      <c r="A145" s="34" t="str">
        <f>IFERROR(__xludf.DUMMYFUNCTION("""COMPUTED_VALUE"""),"")</f>
        <v/>
      </c>
      <c r="M145" s="34" t="s">
        <v>260</v>
      </c>
      <c r="N145" s="34" t="str">
        <f>IFERROR(__xludf.DUMMYFUNCTION("""COMPUTED_VALUE"""),"")</f>
        <v/>
      </c>
    </row>
    <row r="146">
      <c r="A146" s="34" t="str">
        <f>IFERROR(__xludf.DUMMYFUNCTION("""COMPUTED_VALUE"""),"")</f>
        <v/>
      </c>
      <c r="M146" s="34" t="s">
        <v>260</v>
      </c>
      <c r="N146" s="34" t="str">
        <f>IFERROR(__xludf.DUMMYFUNCTION("""COMPUTED_VALUE"""),"")</f>
        <v/>
      </c>
    </row>
    <row r="147">
      <c r="A147" s="34" t="str">
        <f>IFERROR(__xludf.DUMMYFUNCTION("""COMPUTED_VALUE"""),"")</f>
        <v/>
      </c>
      <c r="M147" s="34" t="s">
        <v>260</v>
      </c>
      <c r="N147" s="34" t="str">
        <f>IFERROR(__xludf.DUMMYFUNCTION("""COMPUTED_VALUE"""),"")</f>
        <v/>
      </c>
    </row>
    <row r="148">
      <c r="A148" s="34" t="str">
        <f>IFERROR(__xludf.DUMMYFUNCTION("""COMPUTED_VALUE"""),"")</f>
        <v/>
      </c>
      <c r="M148" s="34" t="s">
        <v>260</v>
      </c>
      <c r="N148" s="34" t="str">
        <f>IFERROR(__xludf.DUMMYFUNCTION("""COMPUTED_VALUE"""),"")</f>
        <v/>
      </c>
    </row>
    <row r="149">
      <c r="A149" s="34" t="str">
        <f>IFERROR(__xludf.DUMMYFUNCTION("""COMPUTED_VALUE"""),"")</f>
        <v/>
      </c>
      <c r="M149" s="34" t="s">
        <v>260</v>
      </c>
      <c r="N149" s="34" t="str">
        <f>IFERROR(__xludf.DUMMYFUNCTION("""COMPUTED_VALUE"""),"")</f>
        <v/>
      </c>
    </row>
    <row r="150">
      <c r="A150" s="34" t="str">
        <f>IFERROR(__xludf.DUMMYFUNCTION("""COMPUTED_VALUE"""),"")</f>
        <v/>
      </c>
      <c r="M150" s="34" t="s">
        <v>260</v>
      </c>
      <c r="N150" s="34" t="str">
        <f>IFERROR(__xludf.DUMMYFUNCTION("""COMPUTED_VALUE"""),"")</f>
        <v/>
      </c>
    </row>
    <row r="151">
      <c r="A151" s="34" t="str">
        <f>IFERROR(__xludf.DUMMYFUNCTION("""COMPUTED_VALUE"""),"")</f>
        <v/>
      </c>
      <c r="M151" s="34" t="s">
        <v>260</v>
      </c>
      <c r="N151" s="34" t="str">
        <f>IFERROR(__xludf.DUMMYFUNCTION("""COMPUTED_VALUE"""),"")</f>
        <v/>
      </c>
    </row>
    <row r="152">
      <c r="A152" s="34" t="str">
        <f>IFERROR(__xludf.DUMMYFUNCTION("""COMPUTED_VALUE"""),"")</f>
        <v/>
      </c>
      <c r="M152" s="34" t="s">
        <v>260</v>
      </c>
      <c r="N152" s="34" t="str">
        <f>IFERROR(__xludf.DUMMYFUNCTION("""COMPUTED_VALUE"""),"")</f>
        <v/>
      </c>
    </row>
    <row r="153">
      <c r="A153" s="34" t="str">
        <f>IFERROR(__xludf.DUMMYFUNCTION("""COMPUTED_VALUE"""),"")</f>
        <v/>
      </c>
      <c r="M153" s="34" t="s">
        <v>260</v>
      </c>
      <c r="N153" s="34" t="str">
        <f>IFERROR(__xludf.DUMMYFUNCTION("""COMPUTED_VALUE"""),"")</f>
        <v/>
      </c>
    </row>
    <row r="154">
      <c r="A154" s="34" t="str">
        <f>IFERROR(__xludf.DUMMYFUNCTION("""COMPUTED_VALUE"""),"")</f>
        <v/>
      </c>
      <c r="M154" s="34" t="s">
        <v>260</v>
      </c>
      <c r="N154" s="34" t="str">
        <f>IFERROR(__xludf.DUMMYFUNCTION("""COMPUTED_VALUE"""),"")</f>
        <v/>
      </c>
    </row>
    <row r="155">
      <c r="A155" s="34" t="str">
        <f>IFERROR(__xludf.DUMMYFUNCTION("""COMPUTED_VALUE"""),"")</f>
        <v/>
      </c>
      <c r="M155" s="34" t="s">
        <v>260</v>
      </c>
      <c r="N155" s="34" t="str">
        <f>IFERROR(__xludf.DUMMYFUNCTION("""COMPUTED_VALUE"""),"")</f>
        <v/>
      </c>
    </row>
    <row r="156">
      <c r="A156" s="34" t="str">
        <f>IFERROR(__xludf.DUMMYFUNCTION("""COMPUTED_VALUE"""),"")</f>
        <v/>
      </c>
      <c r="M156" s="34" t="s">
        <v>260</v>
      </c>
      <c r="N156" s="34" t="str">
        <f>IFERROR(__xludf.DUMMYFUNCTION("""COMPUTED_VALUE"""),"")</f>
        <v/>
      </c>
    </row>
    <row r="157">
      <c r="A157" s="34" t="str">
        <f>IFERROR(__xludf.DUMMYFUNCTION("""COMPUTED_VALUE"""),"")</f>
        <v/>
      </c>
      <c r="M157" s="34" t="s">
        <v>260</v>
      </c>
      <c r="N157" s="34" t="str">
        <f>IFERROR(__xludf.DUMMYFUNCTION("""COMPUTED_VALUE"""),"")</f>
        <v/>
      </c>
    </row>
    <row r="158">
      <c r="A158" s="34" t="str">
        <f>IFERROR(__xludf.DUMMYFUNCTION("""COMPUTED_VALUE"""),"")</f>
        <v/>
      </c>
      <c r="M158" s="34" t="s">
        <v>260</v>
      </c>
      <c r="N158" s="34" t="str">
        <f>IFERROR(__xludf.DUMMYFUNCTION("""COMPUTED_VALUE"""),"")</f>
        <v/>
      </c>
    </row>
    <row r="159">
      <c r="A159" s="34" t="str">
        <f>IFERROR(__xludf.DUMMYFUNCTION("""COMPUTED_VALUE"""),"")</f>
        <v/>
      </c>
      <c r="M159" s="34" t="s">
        <v>260</v>
      </c>
      <c r="N159" s="34" t="str">
        <f>IFERROR(__xludf.DUMMYFUNCTION("""COMPUTED_VALUE"""),"")</f>
        <v/>
      </c>
    </row>
    <row r="160">
      <c r="A160" s="34" t="str">
        <f>IFERROR(__xludf.DUMMYFUNCTION("""COMPUTED_VALUE"""),"")</f>
        <v/>
      </c>
      <c r="M160" s="34" t="s">
        <v>260</v>
      </c>
      <c r="N160" s="34" t="str">
        <f>IFERROR(__xludf.DUMMYFUNCTION("""COMPUTED_VALUE"""),"")</f>
        <v/>
      </c>
    </row>
    <row r="161">
      <c r="A161" s="34" t="str">
        <f>IFERROR(__xludf.DUMMYFUNCTION("""COMPUTED_VALUE"""),"")</f>
        <v/>
      </c>
      <c r="M161" s="34" t="s">
        <v>260</v>
      </c>
      <c r="N161" s="34" t="str">
        <f>IFERROR(__xludf.DUMMYFUNCTION("""COMPUTED_VALUE"""),"")</f>
        <v/>
      </c>
    </row>
    <row r="162">
      <c r="A162" s="34" t="str">
        <f>IFERROR(__xludf.DUMMYFUNCTION("""COMPUTED_VALUE"""),"")</f>
        <v/>
      </c>
      <c r="M162" s="34" t="s">
        <v>260</v>
      </c>
      <c r="N162" s="34" t="str">
        <f>IFERROR(__xludf.DUMMYFUNCTION("""COMPUTED_VALUE"""),"")</f>
        <v/>
      </c>
    </row>
    <row r="163">
      <c r="A163" s="34" t="str">
        <f>IFERROR(__xludf.DUMMYFUNCTION("""COMPUTED_VALUE"""),"")</f>
        <v/>
      </c>
      <c r="M163" s="34" t="s">
        <v>260</v>
      </c>
      <c r="N163" s="34" t="str">
        <f>IFERROR(__xludf.DUMMYFUNCTION("""COMPUTED_VALUE"""),"")</f>
        <v/>
      </c>
    </row>
    <row r="164">
      <c r="A164" s="34" t="str">
        <f>IFERROR(__xludf.DUMMYFUNCTION("""COMPUTED_VALUE"""),"")</f>
        <v/>
      </c>
      <c r="M164" s="34" t="s">
        <v>260</v>
      </c>
      <c r="N164" s="34" t="str">
        <f>IFERROR(__xludf.DUMMYFUNCTION("""COMPUTED_VALUE"""),"")</f>
        <v/>
      </c>
    </row>
    <row r="165">
      <c r="A165" s="34" t="str">
        <f>IFERROR(__xludf.DUMMYFUNCTION("""COMPUTED_VALUE"""),"")</f>
        <v/>
      </c>
      <c r="M165" s="34" t="s">
        <v>260</v>
      </c>
      <c r="N165" s="34" t="str">
        <f>IFERROR(__xludf.DUMMYFUNCTION("""COMPUTED_VALUE"""),"")</f>
        <v/>
      </c>
    </row>
    <row r="166">
      <c r="A166" s="34" t="str">
        <f>IFERROR(__xludf.DUMMYFUNCTION("""COMPUTED_VALUE"""),"")</f>
        <v/>
      </c>
      <c r="M166" s="34" t="s">
        <v>260</v>
      </c>
      <c r="N166" s="34" t="str">
        <f>IFERROR(__xludf.DUMMYFUNCTION("""COMPUTED_VALUE"""),"")</f>
        <v/>
      </c>
    </row>
    <row r="167">
      <c r="A167" s="34" t="str">
        <f>IFERROR(__xludf.DUMMYFUNCTION("""COMPUTED_VALUE"""),"")</f>
        <v/>
      </c>
      <c r="M167" s="34" t="s">
        <v>260</v>
      </c>
      <c r="N167" s="34" t="str">
        <f>IFERROR(__xludf.DUMMYFUNCTION("""COMPUTED_VALUE"""),"")</f>
        <v/>
      </c>
    </row>
    <row r="168">
      <c r="A168" s="34" t="str">
        <f>IFERROR(__xludf.DUMMYFUNCTION("""COMPUTED_VALUE"""),"")</f>
        <v/>
      </c>
      <c r="M168" s="34" t="s">
        <v>260</v>
      </c>
      <c r="N168" s="34" t="str">
        <f>IFERROR(__xludf.DUMMYFUNCTION("""COMPUTED_VALUE"""),"")</f>
        <v/>
      </c>
    </row>
    <row r="169">
      <c r="A169" s="34" t="str">
        <f>IFERROR(__xludf.DUMMYFUNCTION("""COMPUTED_VALUE"""),"")</f>
        <v/>
      </c>
      <c r="M169" s="34" t="s">
        <v>260</v>
      </c>
      <c r="N169" s="34" t="str">
        <f>IFERROR(__xludf.DUMMYFUNCTION("""COMPUTED_VALUE"""),"")</f>
        <v/>
      </c>
    </row>
    <row r="170">
      <c r="A170" s="34" t="str">
        <f>IFERROR(__xludf.DUMMYFUNCTION("""COMPUTED_VALUE"""),"")</f>
        <v/>
      </c>
      <c r="M170" s="34" t="s">
        <v>260</v>
      </c>
      <c r="N170" s="34" t="str">
        <f>IFERROR(__xludf.DUMMYFUNCTION("""COMPUTED_VALUE"""),"")</f>
        <v/>
      </c>
    </row>
    <row r="171">
      <c r="A171" s="34" t="str">
        <f>IFERROR(__xludf.DUMMYFUNCTION("""COMPUTED_VALUE"""),"")</f>
        <v/>
      </c>
      <c r="M171" s="34" t="s">
        <v>260</v>
      </c>
      <c r="N171" s="34" t="str">
        <f>IFERROR(__xludf.DUMMYFUNCTION("""COMPUTED_VALUE"""),"")</f>
        <v/>
      </c>
    </row>
    <row r="172">
      <c r="A172" s="34" t="str">
        <f>IFERROR(__xludf.DUMMYFUNCTION("""COMPUTED_VALUE"""),"")</f>
        <v/>
      </c>
      <c r="M172" s="34" t="s">
        <v>260</v>
      </c>
      <c r="N172" s="34" t="str">
        <f>IFERROR(__xludf.DUMMYFUNCTION("""COMPUTED_VALUE"""),"")</f>
        <v/>
      </c>
    </row>
    <row r="173">
      <c r="A173" s="34" t="str">
        <f>IFERROR(__xludf.DUMMYFUNCTION("""COMPUTED_VALUE"""),"")</f>
        <v/>
      </c>
      <c r="M173" s="34" t="s">
        <v>260</v>
      </c>
      <c r="N173" s="34" t="str">
        <f>IFERROR(__xludf.DUMMYFUNCTION("""COMPUTED_VALUE"""),"")</f>
        <v/>
      </c>
    </row>
    <row r="174">
      <c r="A174" s="34" t="str">
        <f>IFERROR(__xludf.DUMMYFUNCTION("""COMPUTED_VALUE"""),"")</f>
        <v/>
      </c>
      <c r="M174" s="34" t="s">
        <v>260</v>
      </c>
      <c r="N174" s="34" t="str">
        <f>IFERROR(__xludf.DUMMYFUNCTION("""COMPUTED_VALUE"""),"")</f>
        <v/>
      </c>
    </row>
    <row r="175">
      <c r="A175" s="34" t="str">
        <f>IFERROR(__xludf.DUMMYFUNCTION("""COMPUTED_VALUE"""),"")</f>
        <v/>
      </c>
      <c r="M175" s="34" t="s">
        <v>260</v>
      </c>
      <c r="N175" s="34" t="str">
        <f>IFERROR(__xludf.DUMMYFUNCTION("""COMPUTED_VALUE"""),"")</f>
        <v/>
      </c>
    </row>
    <row r="176">
      <c r="A176" s="34" t="str">
        <f>IFERROR(__xludf.DUMMYFUNCTION("""COMPUTED_VALUE"""),"")</f>
        <v/>
      </c>
      <c r="M176" s="34" t="s">
        <v>260</v>
      </c>
      <c r="N176" s="34" t="str">
        <f>IFERROR(__xludf.DUMMYFUNCTION("""COMPUTED_VALUE"""),"")</f>
        <v/>
      </c>
    </row>
    <row r="177">
      <c r="A177" s="34" t="str">
        <f>IFERROR(__xludf.DUMMYFUNCTION("""COMPUTED_VALUE"""),"")</f>
        <v/>
      </c>
      <c r="M177" s="34" t="s">
        <v>260</v>
      </c>
      <c r="N177" s="34" t="str">
        <f>IFERROR(__xludf.DUMMYFUNCTION("""COMPUTED_VALUE"""),"")</f>
        <v/>
      </c>
    </row>
    <row r="178">
      <c r="A178" s="34" t="str">
        <f>IFERROR(__xludf.DUMMYFUNCTION("""COMPUTED_VALUE"""),"")</f>
        <v/>
      </c>
      <c r="M178" s="34" t="s">
        <v>260</v>
      </c>
      <c r="N178" s="34" t="str">
        <f>IFERROR(__xludf.DUMMYFUNCTION("""COMPUTED_VALUE"""),"")</f>
        <v/>
      </c>
    </row>
    <row r="179">
      <c r="A179" s="34" t="str">
        <f>IFERROR(__xludf.DUMMYFUNCTION("""COMPUTED_VALUE"""),"")</f>
        <v/>
      </c>
      <c r="M179" s="34" t="s">
        <v>260</v>
      </c>
      <c r="N179" s="34" t="str">
        <f>IFERROR(__xludf.DUMMYFUNCTION("""COMPUTED_VALUE"""),"")</f>
        <v/>
      </c>
    </row>
    <row r="180">
      <c r="A180" s="34" t="str">
        <f>IFERROR(__xludf.DUMMYFUNCTION("""COMPUTED_VALUE"""),"")</f>
        <v/>
      </c>
      <c r="M180" s="34" t="s">
        <v>260</v>
      </c>
      <c r="N180" s="34" t="str">
        <f>IFERROR(__xludf.DUMMYFUNCTION("""COMPUTED_VALUE"""),"")</f>
        <v/>
      </c>
    </row>
    <row r="181">
      <c r="A181" s="34" t="str">
        <f>IFERROR(__xludf.DUMMYFUNCTION("""COMPUTED_VALUE"""),"")</f>
        <v/>
      </c>
      <c r="M181" s="34" t="s">
        <v>260</v>
      </c>
      <c r="N181" s="34" t="str">
        <f>IFERROR(__xludf.DUMMYFUNCTION("""COMPUTED_VALUE"""),"")</f>
        <v/>
      </c>
    </row>
    <row r="182">
      <c r="A182" s="34" t="str">
        <f>IFERROR(__xludf.DUMMYFUNCTION("""COMPUTED_VALUE"""),"")</f>
        <v/>
      </c>
      <c r="M182" s="34" t="s">
        <v>260</v>
      </c>
      <c r="N182" s="34" t="str">
        <f>IFERROR(__xludf.DUMMYFUNCTION("""COMPUTED_VALUE"""),"")</f>
        <v/>
      </c>
    </row>
    <row r="183">
      <c r="A183" s="34" t="str">
        <f>IFERROR(__xludf.DUMMYFUNCTION("""COMPUTED_VALUE"""),"")</f>
        <v/>
      </c>
      <c r="M183" s="34" t="s">
        <v>260</v>
      </c>
      <c r="N183" s="34" t="str">
        <f>IFERROR(__xludf.DUMMYFUNCTION("""COMPUTED_VALUE"""),"")</f>
        <v/>
      </c>
    </row>
    <row r="184">
      <c r="A184" s="34" t="str">
        <f>IFERROR(__xludf.DUMMYFUNCTION("""COMPUTED_VALUE"""),"")</f>
        <v/>
      </c>
      <c r="M184" s="34" t="s">
        <v>260</v>
      </c>
      <c r="N184" s="34" t="str">
        <f>IFERROR(__xludf.DUMMYFUNCTION("""COMPUTED_VALUE"""),"")</f>
        <v/>
      </c>
    </row>
    <row r="185">
      <c r="A185" s="34" t="str">
        <f>IFERROR(__xludf.DUMMYFUNCTION("""COMPUTED_VALUE"""),"")</f>
        <v/>
      </c>
      <c r="M185" s="34" t="s">
        <v>260</v>
      </c>
      <c r="N185" s="34" t="str">
        <f>IFERROR(__xludf.DUMMYFUNCTION("""COMPUTED_VALUE"""),"")</f>
        <v/>
      </c>
    </row>
    <row r="186">
      <c r="A186" s="34" t="str">
        <f>IFERROR(__xludf.DUMMYFUNCTION("""COMPUTED_VALUE"""),"")</f>
        <v/>
      </c>
      <c r="M186" s="34" t="s">
        <v>260</v>
      </c>
      <c r="N186" s="34" t="str">
        <f>IFERROR(__xludf.DUMMYFUNCTION("""COMPUTED_VALUE"""),"")</f>
        <v/>
      </c>
    </row>
    <row r="187">
      <c r="A187" s="34" t="str">
        <f>IFERROR(__xludf.DUMMYFUNCTION("""COMPUTED_VALUE"""),"")</f>
        <v/>
      </c>
      <c r="M187" s="34" t="s">
        <v>260</v>
      </c>
      <c r="N187" s="34" t="str">
        <f>IFERROR(__xludf.DUMMYFUNCTION("""COMPUTED_VALUE"""),"")</f>
        <v/>
      </c>
    </row>
    <row r="188">
      <c r="A188" s="34" t="str">
        <f>IFERROR(__xludf.DUMMYFUNCTION("""COMPUTED_VALUE"""),"")</f>
        <v/>
      </c>
      <c r="M188" s="34" t="s">
        <v>260</v>
      </c>
      <c r="N188" s="34" t="str">
        <f>IFERROR(__xludf.DUMMYFUNCTION("""COMPUTED_VALUE"""),"")</f>
        <v/>
      </c>
    </row>
    <row r="189">
      <c r="A189" s="34" t="str">
        <f>IFERROR(__xludf.DUMMYFUNCTION("""COMPUTED_VALUE"""),"")</f>
        <v/>
      </c>
      <c r="M189" s="34" t="s">
        <v>260</v>
      </c>
      <c r="N189" s="34" t="str">
        <f>IFERROR(__xludf.DUMMYFUNCTION("""COMPUTED_VALUE"""),"")</f>
        <v/>
      </c>
    </row>
    <row r="190">
      <c r="A190" s="34" t="str">
        <f>IFERROR(__xludf.DUMMYFUNCTION("""COMPUTED_VALUE"""),"")</f>
        <v/>
      </c>
      <c r="M190" s="34" t="s">
        <v>260</v>
      </c>
      <c r="N190" s="34" t="str">
        <f>IFERROR(__xludf.DUMMYFUNCTION("""COMPUTED_VALUE"""),"")</f>
        <v/>
      </c>
    </row>
    <row r="191">
      <c r="A191" s="34" t="str">
        <f>IFERROR(__xludf.DUMMYFUNCTION("""COMPUTED_VALUE"""),"")</f>
        <v/>
      </c>
      <c r="M191" s="34" t="s">
        <v>260</v>
      </c>
      <c r="N191" s="34" t="str">
        <f>IFERROR(__xludf.DUMMYFUNCTION("""COMPUTED_VALUE"""),"")</f>
        <v/>
      </c>
    </row>
    <row r="192">
      <c r="A192" s="34" t="str">
        <f>IFERROR(__xludf.DUMMYFUNCTION("""COMPUTED_VALUE"""),"")</f>
        <v/>
      </c>
      <c r="M192" s="34" t="s">
        <v>260</v>
      </c>
      <c r="N192" s="34" t="str">
        <f>IFERROR(__xludf.DUMMYFUNCTION("""COMPUTED_VALUE"""),"")</f>
        <v/>
      </c>
    </row>
    <row r="193">
      <c r="A193" s="34" t="str">
        <f>IFERROR(__xludf.DUMMYFUNCTION("""COMPUTED_VALUE"""),"")</f>
        <v/>
      </c>
      <c r="M193" s="34" t="s">
        <v>260</v>
      </c>
      <c r="N193" s="34" t="str">
        <f>IFERROR(__xludf.DUMMYFUNCTION("""COMPUTED_VALUE"""),"")</f>
        <v/>
      </c>
    </row>
    <row r="194">
      <c r="A194" s="34" t="str">
        <f>IFERROR(__xludf.DUMMYFUNCTION("""COMPUTED_VALUE"""),"")</f>
        <v/>
      </c>
      <c r="M194" s="34" t="s">
        <v>260</v>
      </c>
      <c r="N194" s="34" t="str">
        <f>IFERROR(__xludf.DUMMYFUNCTION("""COMPUTED_VALUE"""),"")</f>
        <v/>
      </c>
    </row>
    <row r="195">
      <c r="A195" s="34" t="str">
        <f>IFERROR(__xludf.DUMMYFUNCTION("""COMPUTED_VALUE"""),"")</f>
        <v/>
      </c>
      <c r="M195" s="34" t="s">
        <v>260</v>
      </c>
      <c r="N195" s="34" t="str">
        <f>IFERROR(__xludf.DUMMYFUNCTION("""COMPUTED_VALUE"""),"")</f>
        <v/>
      </c>
    </row>
    <row r="196">
      <c r="A196" s="34" t="str">
        <f>IFERROR(__xludf.DUMMYFUNCTION("""COMPUTED_VALUE"""),"")</f>
        <v/>
      </c>
      <c r="M196" s="34" t="s">
        <v>260</v>
      </c>
      <c r="N196" s="34" t="str">
        <f>IFERROR(__xludf.DUMMYFUNCTION("""COMPUTED_VALUE"""),"")</f>
        <v/>
      </c>
    </row>
    <row r="197">
      <c r="A197" s="34" t="str">
        <f>IFERROR(__xludf.DUMMYFUNCTION("""COMPUTED_VALUE"""),"")</f>
        <v/>
      </c>
      <c r="M197" s="34" t="s">
        <v>260</v>
      </c>
      <c r="N197" s="34" t="str">
        <f>IFERROR(__xludf.DUMMYFUNCTION("""COMPUTED_VALUE"""),"")</f>
        <v/>
      </c>
    </row>
    <row r="198">
      <c r="A198" s="34" t="str">
        <f>IFERROR(__xludf.DUMMYFUNCTION("""COMPUTED_VALUE"""),"")</f>
        <v/>
      </c>
      <c r="M198" s="34" t="s">
        <v>260</v>
      </c>
      <c r="N198" s="34" t="str">
        <f>IFERROR(__xludf.DUMMYFUNCTION("""COMPUTED_VALUE"""),"")</f>
        <v/>
      </c>
    </row>
    <row r="199">
      <c r="A199" s="34" t="str">
        <f>IFERROR(__xludf.DUMMYFUNCTION("""COMPUTED_VALUE"""),"")</f>
        <v/>
      </c>
      <c r="M199" s="34" t="s">
        <v>260</v>
      </c>
      <c r="N199" s="34" t="str">
        <f>IFERROR(__xludf.DUMMYFUNCTION("""COMPUTED_VALUE"""),"")</f>
        <v/>
      </c>
    </row>
    <row r="200">
      <c r="A200" s="34" t="str">
        <f>IFERROR(__xludf.DUMMYFUNCTION("""COMPUTED_VALUE"""),"")</f>
        <v/>
      </c>
      <c r="M200" s="34" t="s">
        <v>260</v>
      </c>
      <c r="N200" s="34" t="str">
        <f>IFERROR(__xludf.DUMMYFUNCTION("""COMPUTED_VALUE"""),"")</f>
        <v/>
      </c>
    </row>
    <row r="201">
      <c r="A201" s="34" t="str">
        <f>IFERROR(__xludf.DUMMYFUNCTION("""COMPUTED_VALUE"""),"")</f>
        <v/>
      </c>
      <c r="M201" s="34" t="s">
        <v>260</v>
      </c>
      <c r="N201" s="34" t="str">
        <f>IFERROR(__xludf.DUMMYFUNCTION("""COMPUTED_VALUE"""),"")</f>
        <v/>
      </c>
    </row>
    <row r="202">
      <c r="A202" s="34" t="str">
        <f>IFERROR(__xludf.DUMMYFUNCTION("""COMPUTED_VALUE"""),"")</f>
        <v/>
      </c>
      <c r="M202" s="34" t="s">
        <v>260</v>
      </c>
      <c r="N202" s="34" t="str">
        <f>IFERROR(__xludf.DUMMYFUNCTION("""COMPUTED_VALUE"""),"")</f>
        <v/>
      </c>
    </row>
    <row r="203">
      <c r="A203" s="34" t="str">
        <f>IFERROR(__xludf.DUMMYFUNCTION("""COMPUTED_VALUE"""),"")</f>
        <v/>
      </c>
      <c r="M203" s="34" t="s">
        <v>260</v>
      </c>
      <c r="N203" s="34" t="str">
        <f>IFERROR(__xludf.DUMMYFUNCTION("""COMPUTED_VALUE"""),"")</f>
        <v/>
      </c>
    </row>
    <row r="204">
      <c r="A204" s="34" t="str">
        <f>IFERROR(__xludf.DUMMYFUNCTION("""COMPUTED_VALUE"""),"")</f>
        <v/>
      </c>
      <c r="M204" s="34" t="s">
        <v>260</v>
      </c>
      <c r="N204" s="34" t="str">
        <f>IFERROR(__xludf.DUMMYFUNCTION("""COMPUTED_VALUE"""),"")</f>
        <v/>
      </c>
    </row>
    <row r="205">
      <c r="A205" s="34" t="str">
        <f>IFERROR(__xludf.DUMMYFUNCTION("""COMPUTED_VALUE"""),"")</f>
        <v/>
      </c>
      <c r="M205" s="34" t="s">
        <v>260</v>
      </c>
      <c r="N205" s="34" t="str">
        <f>IFERROR(__xludf.DUMMYFUNCTION("""COMPUTED_VALUE"""),"")</f>
        <v/>
      </c>
    </row>
    <row r="206">
      <c r="A206" s="34" t="str">
        <f>IFERROR(__xludf.DUMMYFUNCTION("""COMPUTED_VALUE"""),"")</f>
        <v/>
      </c>
      <c r="M206" s="34" t="s">
        <v>260</v>
      </c>
      <c r="N206" s="34" t="str">
        <f>IFERROR(__xludf.DUMMYFUNCTION("""COMPUTED_VALUE"""),"")</f>
        <v/>
      </c>
    </row>
    <row r="207">
      <c r="A207" s="34" t="str">
        <f>IFERROR(__xludf.DUMMYFUNCTION("""COMPUTED_VALUE"""),"")</f>
        <v/>
      </c>
      <c r="M207" s="34" t="s">
        <v>260</v>
      </c>
      <c r="N207" s="34" t="str">
        <f>IFERROR(__xludf.DUMMYFUNCTION("""COMPUTED_VALUE"""),"")</f>
        <v/>
      </c>
    </row>
    <row r="208">
      <c r="A208" s="34" t="str">
        <f>IFERROR(__xludf.DUMMYFUNCTION("""COMPUTED_VALUE"""),"")</f>
        <v/>
      </c>
      <c r="M208" s="34" t="s">
        <v>260</v>
      </c>
      <c r="N208" s="34" t="str">
        <f>IFERROR(__xludf.DUMMYFUNCTION("""COMPUTED_VALUE"""),"")</f>
        <v/>
      </c>
    </row>
    <row r="209">
      <c r="A209" s="34" t="str">
        <f>IFERROR(__xludf.DUMMYFUNCTION("""COMPUTED_VALUE"""),"")</f>
        <v/>
      </c>
      <c r="M209" s="34" t="s">
        <v>260</v>
      </c>
      <c r="N209" s="34" t="str">
        <f>IFERROR(__xludf.DUMMYFUNCTION("""COMPUTED_VALUE"""),"")</f>
        <v/>
      </c>
    </row>
    <row r="210">
      <c r="A210" s="34" t="str">
        <f>IFERROR(__xludf.DUMMYFUNCTION("""COMPUTED_VALUE"""),"")</f>
        <v/>
      </c>
      <c r="M210" s="34" t="s">
        <v>260</v>
      </c>
      <c r="N210" s="34" t="str">
        <f>IFERROR(__xludf.DUMMYFUNCTION("""COMPUTED_VALUE"""),"")</f>
        <v/>
      </c>
    </row>
    <row r="211">
      <c r="A211" s="34" t="str">
        <f>IFERROR(__xludf.DUMMYFUNCTION("""COMPUTED_VALUE"""),"")</f>
        <v/>
      </c>
      <c r="M211" s="34" t="s">
        <v>260</v>
      </c>
      <c r="N211" s="34" t="str">
        <f>IFERROR(__xludf.DUMMYFUNCTION("""COMPUTED_VALUE"""),"")</f>
        <v/>
      </c>
    </row>
    <row r="212">
      <c r="A212" s="34" t="str">
        <f>IFERROR(__xludf.DUMMYFUNCTION("""COMPUTED_VALUE"""),"")</f>
        <v/>
      </c>
      <c r="M212" s="34" t="s">
        <v>260</v>
      </c>
      <c r="N212" s="34" t="str">
        <f>IFERROR(__xludf.DUMMYFUNCTION("""COMPUTED_VALUE"""),"")</f>
        <v/>
      </c>
    </row>
    <row r="213">
      <c r="A213" s="34" t="str">
        <f>IFERROR(__xludf.DUMMYFUNCTION("""COMPUTED_VALUE"""),"")</f>
        <v/>
      </c>
      <c r="M213" s="34" t="s">
        <v>260</v>
      </c>
      <c r="N213" s="34" t="str">
        <f>IFERROR(__xludf.DUMMYFUNCTION("""COMPUTED_VALUE"""),"")</f>
        <v/>
      </c>
    </row>
    <row r="214">
      <c r="A214" s="34" t="str">
        <f>IFERROR(__xludf.DUMMYFUNCTION("""COMPUTED_VALUE"""),"")</f>
        <v/>
      </c>
      <c r="M214" s="34" t="s">
        <v>260</v>
      </c>
      <c r="N214" s="34" t="str">
        <f>IFERROR(__xludf.DUMMYFUNCTION("""COMPUTED_VALUE"""),"")</f>
        <v/>
      </c>
    </row>
    <row r="215">
      <c r="A215" s="34" t="str">
        <f>IFERROR(__xludf.DUMMYFUNCTION("""COMPUTED_VALUE"""),"")</f>
        <v/>
      </c>
      <c r="M215" s="34" t="s">
        <v>260</v>
      </c>
      <c r="N215" s="34" t="str">
        <f>IFERROR(__xludf.DUMMYFUNCTION("""COMPUTED_VALUE"""),"")</f>
        <v/>
      </c>
    </row>
    <row r="216">
      <c r="A216" s="34" t="str">
        <f>IFERROR(__xludf.DUMMYFUNCTION("""COMPUTED_VALUE"""),"")</f>
        <v/>
      </c>
      <c r="M216" s="34" t="s">
        <v>260</v>
      </c>
      <c r="N216" s="34" t="str">
        <f>IFERROR(__xludf.DUMMYFUNCTION("""COMPUTED_VALUE"""),"")</f>
        <v/>
      </c>
    </row>
    <row r="217">
      <c r="A217" s="34" t="str">
        <f>IFERROR(__xludf.DUMMYFUNCTION("""COMPUTED_VALUE"""),"")</f>
        <v/>
      </c>
      <c r="M217" s="34" t="s">
        <v>260</v>
      </c>
      <c r="N217" s="34" t="str">
        <f>IFERROR(__xludf.DUMMYFUNCTION("""COMPUTED_VALUE"""),"")</f>
        <v/>
      </c>
    </row>
    <row r="218">
      <c r="A218" s="34" t="str">
        <f>IFERROR(__xludf.DUMMYFUNCTION("""COMPUTED_VALUE"""),"")</f>
        <v/>
      </c>
      <c r="M218" s="34" t="s">
        <v>260</v>
      </c>
      <c r="N218" s="34" t="str">
        <f>IFERROR(__xludf.DUMMYFUNCTION("""COMPUTED_VALUE"""),"")</f>
        <v/>
      </c>
    </row>
    <row r="219">
      <c r="A219" s="34" t="str">
        <f>IFERROR(__xludf.DUMMYFUNCTION("""COMPUTED_VALUE"""),"")</f>
        <v/>
      </c>
      <c r="M219" s="34" t="s">
        <v>260</v>
      </c>
      <c r="N219" s="34" t="str">
        <f>IFERROR(__xludf.DUMMYFUNCTION("""COMPUTED_VALUE"""),"")</f>
        <v/>
      </c>
    </row>
    <row r="220">
      <c r="A220" s="34" t="str">
        <f>IFERROR(__xludf.DUMMYFUNCTION("""COMPUTED_VALUE"""),"")</f>
        <v/>
      </c>
      <c r="M220" s="34" t="s">
        <v>260</v>
      </c>
      <c r="N220" s="34" t="str">
        <f>IFERROR(__xludf.DUMMYFUNCTION("""COMPUTED_VALUE"""),"")</f>
        <v/>
      </c>
    </row>
    <row r="221">
      <c r="A221" s="34" t="str">
        <f>IFERROR(__xludf.DUMMYFUNCTION("""COMPUTED_VALUE"""),"")</f>
        <v/>
      </c>
      <c r="M221" s="34" t="s">
        <v>260</v>
      </c>
      <c r="N221" s="34" t="str">
        <f>IFERROR(__xludf.DUMMYFUNCTION("""COMPUTED_VALUE"""),"")</f>
        <v/>
      </c>
    </row>
    <row r="222">
      <c r="A222" s="34" t="str">
        <f>IFERROR(__xludf.DUMMYFUNCTION("""COMPUTED_VALUE"""),"")</f>
        <v/>
      </c>
      <c r="M222" s="34" t="s">
        <v>260</v>
      </c>
      <c r="N222" s="34" t="str">
        <f>IFERROR(__xludf.DUMMYFUNCTION("""COMPUTED_VALUE"""),"")</f>
        <v/>
      </c>
    </row>
    <row r="223">
      <c r="A223" s="34" t="str">
        <f>IFERROR(__xludf.DUMMYFUNCTION("""COMPUTED_VALUE"""),"")</f>
        <v/>
      </c>
      <c r="M223" s="34" t="s">
        <v>260</v>
      </c>
      <c r="N223" s="34" t="str">
        <f>IFERROR(__xludf.DUMMYFUNCTION("""COMPUTED_VALUE"""),"")</f>
        <v/>
      </c>
    </row>
    <row r="224">
      <c r="A224" s="34" t="str">
        <f>IFERROR(__xludf.DUMMYFUNCTION("""COMPUTED_VALUE"""),"")</f>
        <v/>
      </c>
      <c r="M224" s="34" t="s">
        <v>260</v>
      </c>
      <c r="N224" s="34" t="str">
        <f>IFERROR(__xludf.DUMMYFUNCTION("""COMPUTED_VALUE"""),"")</f>
        <v/>
      </c>
    </row>
    <row r="225">
      <c r="A225" s="34" t="str">
        <f>IFERROR(__xludf.DUMMYFUNCTION("""COMPUTED_VALUE"""),"")</f>
        <v/>
      </c>
      <c r="M225" s="34" t="s">
        <v>260</v>
      </c>
      <c r="N225" s="34" t="str">
        <f>IFERROR(__xludf.DUMMYFUNCTION("""COMPUTED_VALUE"""),"")</f>
        <v/>
      </c>
    </row>
    <row r="226">
      <c r="A226" s="34" t="str">
        <f>IFERROR(__xludf.DUMMYFUNCTION("""COMPUTED_VALUE"""),"")</f>
        <v/>
      </c>
      <c r="M226" s="34" t="s">
        <v>260</v>
      </c>
      <c r="N226" s="34" t="str">
        <f>IFERROR(__xludf.DUMMYFUNCTION("""COMPUTED_VALUE"""),"")</f>
        <v/>
      </c>
    </row>
    <row r="227">
      <c r="A227" s="34" t="str">
        <f>IFERROR(__xludf.DUMMYFUNCTION("""COMPUTED_VALUE"""),"")</f>
        <v/>
      </c>
      <c r="M227" s="34" t="s">
        <v>260</v>
      </c>
      <c r="N227" s="34" t="str">
        <f>IFERROR(__xludf.DUMMYFUNCTION("""COMPUTED_VALUE"""),"")</f>
        <v/>
      </c>
    </row>
    <row r="228">
      <c r="A228" s="34" t="str">
        <f>IFERROR(__xludf.DUMMYFUNCTION("""COMPUTED_VALUE"""),"")</f>
        <v/>
      </c>
      <c r="M228" s="34" t="s">
        <v>260</v>
      </c>
      <c r="N228" s="34" t="str">
        <f>IFERROR(__xludf.DUMMYFUNCTION("""COMPUTED_VALUE"""),"")</f>
        <v/>
      </c>
    </row>
    <row r="229">
      <c r="A229" s="34" t="str">
        <f>IFERROR(__xludf.DUMMYFUNCTION("""COMPUTED_VALUE"""),"")</f>
        <v/>
      </c>
      <c r="M229" s="34" t="s">
        <v>260</v>
      </c>
      <c r="N229" s="34" t="str">
        <f>IFERROR(__xludf.DUMMYFUNCTION("""COMPUTED_VALUE"""),"")</f>
        <v/>
      </c>
    </row>
    <row r="230">
      <c r="A230" s="34" t="str">
        <f>IFERROR(__xludf.DUMMYFUNCTION("""COMPUTED_VALUE"""),"")</f>
        <v/>
      </c>
      <c r="M230" s="34" t="s">
        <v>260</v>
      </c>
      <c r="N230" s="34" t="str">
        <f>IFERROR(__xludf.DUMMYFUNCTION("""COMPUTED_VALUE"""),"")</f>
        <v/>
      </c>
    </row>
    <row r="231">
      <c r="A231" s="34" t="str">
        <f>IFERROR(__xludf.DUMMYFUNCTION("""COMPUTED_VALUE"""),"")</f>
        <v/>
      </c>
      <c r="M231" s="34" t="s">
        <v>260</v>
      </c>
      <c r="N231" s="34" t="str">
        <f>IFERROR(__xludf.DUMMYFUNCTION("""COMPUTED_VALUE"""),"")</f>
        <v/>
      </c>
    </row>
    <row r="232">
      <c r="A232" s="34" t="str">
        <f>IFERROR(__xludf.DUMMYFUNCTION("""COMPUTED_VALUE"""),"")</f>
        <v/>
      </c>
      <c r="M232" s="34" t="s">
        <v>260</v>
      </c>
      <c r="N232" s="34" t="str">
        <f>IFERROR(__xludf.DUMMYFUNCTION("""COMPUTED_VALUE"""),"")</f>
        <v/>
      </c>
    </row>
    <row r="233">
      <c r="A233" s="34" t="str">
        <f>IFERROR(__xludf.DUMMYFUNCTION("""COMPUTED_VALUE"""),"")</f>
        <v/>
      </c>
      <c r="M233" s="34" t="s">
        <v>260</v>
      </c>
      <c r="N233" s="34" t="str">
        <f>IFERROR(__xludf.DUMMYFUNCTION("""COMPUTED_VALUE"""),"")</f>
        <v/>
      </c>
    </row>
    <row r="234">
      <c r="A234" s="34" t="str">
        <f>IFERROR(__xludf.DUMMYFUNCTION("""COMPUTED_VALUE"""),"")</f>
        <v/>
      </c>
      <c r="M234" s="34" t="s">
        <v>260</v>
      </c>
      <c r="N234" s="34" t="str">
        <f>IFERROR(__xludf.DUMMYFUNCTION("""COMPUTED_VALUE"""),"")</f>
        <v/>
      </c>
    </row>
    <row r="235">
      <c r="A235" s="34" t="str">
        <f>IFERROR(__xludf.DUMMYFUNCTION("""COMPUTED_VALUE"""),"")</f>
        <v/>
      </c>
      <c r="M235" s="34" t="s">
        <v>260</v>
      </c>
      <c r="N235" s="34" t="str">
        <f>IFERROR(__xludf.DUMMYFUNCTION("""COMPUTED_VALUE"""),"")</f>
        <v/>
      </c>
    </row>
    <row r="236">
      <c r="A236" s="34" t="str">
        <f>IFERROR(__xludf.DUMMYFUNCTION("""COMPUTED_VALUE"""),"")</f>
        <v/>
      </c>
      <c r="M236" s="34" t="s">
        <v>260</v>
      </c>
      <c r="N236" s="34" t="str">
        <f>IFERROR(__xludf.DUMMYFUNCTION("""COMPUTED_VALUE"""),"")</f>
        <v/>
      </c>
    </row>
    <row r="237">
      <c r="A237" s="34" t="str">
        <f>IFERROR(__xludf.DUMMYFUNCTION("""COMPUTED_VALUE"""),"")</f>
        <v/>
      </c>
      <c r="M237" s="34" t="s">
        <v>260</v>
      </c>
      <c r="N237" s="34" t="str">
        <f>IFERROR(__xludf.DUMMYFUNCTION("""COMPUTED_VALUE"""),"")</f>
        <v/>
      </c>
    </row>
    <row r="238">
      <c r="A238" s="34" t="str">
        <f>IFERROR(__xludf.DUMMYFUNCTION("""COMPUTED_VALUE"""),"")</f>
        <v/>
      </c>
      <c r="M238" s="34" t="s">
        <v>260</v>
      </c>
      <c r="N238" s="34" t="str">
        <f>IFERROR(__xludf.DUMMYFUNCTION("""COMPUTED_VALUE"""),"")</f>
        <v/>
      </c>
    </row>
    <row r="239">
      <c r="A239" s="34" t="str">
        <f>IFERROR(__xludf.DUMMYFUNCTION("""COMPUTED_VALUE"""),"")</f>
        <v/>
      </c>
      <c r="M239" s="34" t="s">
        <v>260</v>
      </c>
      <c r="N239" s="34" t="str">
        <f>IFERROR(__xludf.DUMMYFUNCTION("""COMPUTED_VALUE"""),"")</f>
        <v/>
      </c>
    </row>
    <row r="240">
      <c r="A240" s="34" t="str">
        <f>IFERROR(__xludf.DUMMYFUNCTION("""COMPUTED_VALUE"""),"")</f>
        <v/>
      </c>
      <c r="M240" s="34" t="s">
        <v>260</v>
      </c>
      <c r="N240" s="34" t="str">
        <f>IFERROR(__xludf.DUMMYFUNCTION("""COMPUTED_VALUE"""),"")</f>
        <v/>
      </c>
    </row>
    <row r="241">
      <c r="A241" s="34" t="str">
        <f>IFERROR(__xludf.DUMMYFUNCTION("""COMPUTED_VALUE"""),"")</f>
        <v/>
      </c>
      <c r="M241" s="34" t="s">
        <v>260</v>
      </c>
      <c r="N241" s="34" t="str">
        <f>IFERROR(__xludf.DUMMYFUNCTION("""COMPUTED_VALUE"""),"")</f>
        <v/>
      </c>
    </row>
    <row r="242">
      <c r="A242" s="34" t="str">
        <f>IFERROR(__xludf.DUMMYFUNCTION("""COMPUTED_VALUE"""),"")</f>
        <v/>
      </c>
      <c r="M242" s="34" t="s">
        <v>260</v>
      </c>
      <c r="N242" s="34" t="str">
        <f>IFERROR(__xludf.DUMMYFUNCTION("""COMPUTED_VALUE"""),"")</f>
        <v/>
      </c>
    </row>
    <row r="243">
      <c r="A243" s="34" t="str">
        <f>IFERROR(__xludf.DUMMYFUNCTION("""COMPUTED_VALUE"""),"")</f>
        <v/>
      </c>
      <c r="M243" s="34" t="s">
        <v>260</v>
      </c>
      <c r="N243" s="34" t="str">
        <f>IFERROR(__xludf.DUMMYFUNCTION("""COMPUTED_VALUE"""),"")</f>
        <v/>
      </c>
    </row>
    <row r="244">
      <c r="A244" s="34" t="str">
        <f>IFERROR(__xludf.DUMMYFUNCTION("""COMPUTED_VALUE"""),"")</f>
        <v/>
      </c>
      <c r="M244" s="34" t="s">
        <v>260</v>
      </c>
      <c r="N244" s="34" t="str">
        <f>IFERROR(__xludf.DUMMYFUNCTION("""COMPUTED_VALUE"""),"")</f>
        <v/>
      </c>
    </row>
    <row r="245">
      <c r="A245" s="34" t="str">
        <f>IFERROR(__xludf.DUMMYFUNCTION("""COMPUTED_VALUE"""),"")</f>
        <v/>
      </c>
      <c r="M245" s="34" t="s">
        <v>260</v>
      </c>
      <c r="N245" s="34" t="str">
        <f>IFERROR(__xludf.DUMMYFUNCTION("""COMPUTED_VALUE"""),"")</f>
        <v/>
      </c>
    </row>
    <row r="246">
      <c r="A246" s="34" t="str">
        <f>IFERROR(__xludf.DUMMYFUNCTION("""COMPUTED_VALUE"""),"")</f>
        <v/>
      </c>
      <c r="M246" s="34" t="s">
        <v>260</v>
      </c>
      <c r="N246" s="34" t="str">
        <f>IFERROR(__xludf.DUMMYFUNCTION("""COMPUTED_VALUE"""),"")</f>
        <v/>
      </c>
    </row>
    <row r="247">
      <c r="A247" s="34" t="str">
        <f>IFERROR(__xludf.DUMMYFUNCTION("""COMPUTED_VALUE"""),"")</f>
        <v/>
      </c>
      <c r="M247" s="34" t="s">
        <v>260</v>
      </c>
      <c r="N247" s="34" t="str">
        <f>IFERROR(__xludf.DUMMYFUNCTION("""COMPUTED_VALUE"""),"")</f>
        <v/>
      </c>
    </row>
    <row r="248">
      <c r="A248" s="34" t="str">
        <f>IFERROR(__xludf.DUMMYFUNCTION("""COMPUTED_VALUE"""),"")</f>
        <v/>
      </c>
      <c r="M248" s="34" t="s">
        <v>260</v>
      </c>
      <c r="N248" s="34" t="str">
        <f>IFERROR(__xludf.DUMMYFUNCTION("""COMPUTED_VALUE"""),"")</f>
        <v/>
      </c>
    </row>
    <row r="249">
      <c r="A249" s="34" t="str">
        <f>IFERROR(__xludf.DUMMYFUNCTION("""COMPUTED_VALUE"""),"")</f>
        <v/>
      </c>
      <c r="M249" s="34" t="s">
        <v>260</v>
      </c>
      <c r="N249" s="34" t="str">
        <f>IFERROR(__xludf.DUMMYFUNCTION("""COMPUTED_VALUE"""),"")</f>
        <v/>
      </c>
    </row>
    <row r="250">
      <c r="A250" s="34" t="str">
        <f>IFERROR(__xludf.DUMMYFUNCTION("""COMPUTED_VALUE"""),"")</f>
        <v/>
      </c>
      <c r="M250" s="34" t="s">
        <v>260</v>
      </c>
      <c r="N250" s="34" t="str">
        <f>IFERROR(__xludf.DUMMYFUNCTION("""COMPUTED_VALUE"""),"")</f>
        <v/>
      </c>
    </row>
    <row r="251">
      <c r="A251" s="34" t="str">
        <f>IFERROR(__xludf.DUMMYFUNCTION("""COMPUTED_VALUE"""),"")</f>
        <v/>
      </c>
      <c r="M251" s="34" t="s">
        <v>260</v>
      </c>
      <c r="N251" s="34" t="str">
        <f>IFERROR(__xludf.DUMMYFUNCTION("""COMPUTED_VALUE"""),"")</f>
        <v/>
      </c>
    </row>
    <row r="252">
      <c r="A252" s="34" t="str">
        <f>IFERROR(__xludf.DUMMYFUNCTION("""COMPUTED_VALUE"""),"")</f>
        <v/>
      </c>
      <c r="M252" s="34" t="s">
        <v>260</v>
      </c>
      <c r="N252" s="34" t="str">
        <f>IFERROR(__xludf.DUMMYFUNCTION("""COMPUTED_VALUE"""),"")</f>
        <v/>
      </c>
    </row>
    <row r="253">
      <c r="A253" s="34" t="str">
        <f>IFERROR(__xludf.DUMMYFUNCTION("""COMPUTED_VALUE"""),"")</f>
        <v/>
      </c>
      <c r="M253" s="34" t="s">
        <v>260</v>
      </c>
      <c r="N253" s="34" t="str">
        <f>IFERROR(__xludf.DUMMYFUNCTION("""COMPUTED_VALUE"""),"")</f>
        <v/>
      </c>
    </row>
    <row r="254">
      <c r="A254" s="34" t="str">
        <f>IFERROR(__xludf.DUMMYFUNCTION("""COMPUTED_VALUE"""),"")</f>
        <v/>
      </c>
      <c r="M254" s="34" t="s">
        <v>260</v>
      </c>
      <c r="N254" s="34" t="str">
        <f>IFERROR(__xludf.DUMMYFUNCTION("""COMPUTED_VALUE"""),"")</f>
        <v/>
      </c>
    </row>
    <row r="255">
      <c r="A255" s="34" t="str">
        <f>IFERROR(__xludf.DUMMYFUNCTION("""COMPUTED_VALUE"""),"")</f>
        <v/>
      </c>
      <c r="M255" s="34" t="s">
        <v>260</v>
      </c>
      <c r="N255" s="34" t="str">
        <f>IFERROR(__xludf.DUMMYFUNCTION("""COMPUTED_VALUE"""),"")</f>
        <v/>
      </c>
    </row>
    <row r="256">
      <c r="A256" s="34" t="str">
        <f>IFERROR(__xludf.DUMMYFUNCTION("""COMPUTED_VALUE"""),"")</f>
        <v/>
      </c>
      <c r="M256" s="34" t="s">
        <v>260</v>
      </c>
      <c r="N256" s="34" t="str">
        <f>IFERROR(__xludf.DUMMYFUNCTION("""COMPUTED_VALUE"""),"")</f>
        <v/>
      </c>
    </row>
    <row r="257">
      <c r="A257" s="34" t="str">
        <f>IFERROR(__xludf.DUMMYFUNCTION("""COMPUTED_VALUE"""),"")</f>
        <v/>
      </c>
      <c r="M257" s="34" t="s">
        <v>260</v>
      </c>
      <c r="N257" s="34" t="str">
        <f>IFERROR(__xludf.DUMMYFUNCTION("""COMPUTED_VALUE"""),"")</f>
        <v/>
      </c>
    </row>
    <row r="258">
      <c r="A258" s="34" t="str">
        <f>IFERROR(__xludf.DUMMYFUNCTION("""COMPUTED_VALUE"""),"")</f>
        <v/>
      </c>
      <c r="M258" s="34" t="s">
        <v>260</v>
      </c>
      <c r="N258" s="34" t="str">
        <f>IFERROR(__xludf.DUMMYFUNCTION("""COMPUTED_VALUE"""),"")</f>
        <v/>
      </c>
    </row>
    <row r="259">
      <c r="A259" s="34" t="str">
        <f>IFERROR(__xludf.DUMMYFUNCTION("""COMPUTED_VALUE"""),"")</f>
        <v/>
      </c>
      <c r="M259" s="34" t="s">
        <v>260</v>
      </c>
      <c r="N259" s="34" t="str">
        <f>IFERROR(__xludf.DUMMYFUNCTION("""COMPUTED_VALUE"""),"")</f>
        <v/>
      </c>
    </row>
    <row r="260">
      <c r="A260" s="34" t="str">
        <f>IFERROR(__xludf.DUMMYFUNCTION("""COMPUTED_VALUE"""),"")</f>
        <v/>
      </c>
      <c r="M260" s="34" t="s">
        <v>260</v>
      </c>
      <c r="N260" s="34" t="str">
        <f>IFERROR(__xludf.DUMMYFUNCTION("""COMPUTED_VALUE"""),"")</f>
        <v/>
      </c>
    </row>
    <row r="261">
      <c r="A261" s="34" t="str">
        <f>IFERROR(__xludf.DUMMYFUNCTION("""COMPUTED_VALUE"""),"")</f>
        <v/>
      </c>
      <c r="M261" s="34" t="s">
        <v>260</v>
      </c>
      <c r="N261" s="34" t="str">
        <f>IFERROR(__xludf.DUMMYFUNCTION("""COMPUTED_VALUE"""),"")</f>
        <v/>
      </c>
    </row>
    <row r="262">
      <c r="A262" s="34" t="str">
        <f>IFERROR(__xludf.DUMMYFUNCTION("""COMPUTED_VALUE"""),"")</f>
        <v/>
      </c>
      <c r="M262" s="34" t="s">
        <v>260</v>
      </c>
      <c r="N262" s="34" t="str">
        <f>IFERROR(__xludf.DUMMYFUNCTION("""COMPUTED_VALUE"""),"")</f>
        <v/>
      </c>
    </row>
    <row r="263">
      <c r="A263" s="34" t="str">
        <f>IFERROR(__xludf.DUMMYFUNCTION("""COMPUTED_VALUE"""),"")</f>
        <v/>
      </c>
      <c r="M263" s="34" t="s">
        <v>260</v>
      </c>
      <c r="N263" s="34" t="str">
        <f>IFERROR(__xludf.DUMMYFUNCTION("""COMPUTED_VALUE"""),"")</f>
        <v/>
      </c>
    </row>
    <row r="264">
      <c r="A264" s="34" t="str">
        <f>IFERROR(__xludf.DUMMYFUNCTION("""COMPUTED_VALUE"""),"")</f>
        <v/>
      </c>
      <c r="M264" s="34" t="s">
        <v>260</v>
      </c>
      <c r="N264" s="34" t="str">
        <f>IFERROR(__xludf.DUMMYFUNCTION("""COMPUTED_VALUE"""),"")</f>
        <v/>
      </c>
    </row>
    <row r="265">
      <c r="A265" s="34" t="str">
        <f>IFERROR(__xludf.DUMMYFUNCTION("""COMPUTED_VALUE"""),"")</f>
        <v/>
      </c>
      <c r="M265" s="34" t="s">
        <v>260</v>
      </c>
      <c r="N265" s="34" t="str">
        <f>IFERROR(__xludf.DUMMYFUNCTION("""COMPUTED_VALUE"""),"")</f>
        <v/>
      </c>
    </row>
    <row r="266">
      <c r="A266" s="34" t="str">
        <f>IFERROR(__xludf.DUMMYFUNCTION("""COMPUTED_VALUE"""),"")</f>
        <v/>
      </c>
      <c r="M266" s="34" t="s">
        <v>260</v>
      </c>
      <c r="N266" s="34" t="str">
        <f>IFERROR(__xludf.DUMMYFUNCTION("""COMPUTED_VALUE"""),"")</f>
        <v/>
      </c>
    </row>
    <row r="267">
      <c r="A267" s="34" t="str">
        <f>IFERROR(__xludf.DUMMYFUNCTION("""COMPUTED_VALUE"""),"")</f>
        <v/>
      </c>
      <c r="M267" s="34" t="s">
        <v>260</v>
      </c>
      <c r="N267" s="34" t="str">
        <f>IFERROR(__xludf.DUMMYFUNCTION("""COMPUTED_VALUE"""),"")</f>
        <v/>
      </c>
    </row>
    <row r="268">
      <c r="A268" s="34" t="str">
        <f>IFERROR(__xludf.DUMMYFUNCTION("""COMPUTED_VALUE"""),"")</f>
        <v/>
      </c>
      <c r="M268" s="34" t="s">
        <v>260</v>
      </c>
      <c r="N268" s="34" t="str">
        <f>IFERROR(__xludf.DUMMYFUNCTION("""COMPUTED_VALUE"""),"")</f>
        <v/>
      </c>
    </row>
    <row r="269">
      <c r="A269" s="34" t="str">
        <f>IFERROR(__xludf.DUMMYFUNCTION("""COMPUTED_VALUE"""),"")</f>
        <v/>
      </c>
      <c r="M269" s="34" t="s">
        <v>260</v>
      </c>
      <c r="N269" s="34" t="str">
        <f>IFERROR(__xludf.DUMMYFUNCTION("""COMPUTED_VALUE"""),"")</f>
        <v/>
      </c>
    </row>
    <row r="270">
      <c r="A270" s="34" t="str">
        <f>IFERROR(__xludf.DUMMYFUNCTION("""COMPUTED_VALUE"""),"")</f>
        <v/>
      </c>
      <c r="M270" s="34" t="s">
        <v>260</v>
      </c>
      <c r="N270" s="34" t="str">
        <f>IFERROR(__xludf.DUMMYFUNCTION("""COMPUTED_VALUE"""),"")</f>
        <v/>
      </c>
    </row>
    <row r="271">
      <c r="A271" s="34" t="str">
        <f>IFERROR(__xludf.DUMMYFUNCTION("""COMPUTED_VALUE"""),"")</f>
        <v/>
      </c>
      <c r="M271" s="34" t="s">
        <v>260</v>
      </c>
      <c r="N271" s="34" t="str">
        <f>IFERROR(__xludf.DUMMYFUNCTION("""COMPUTED_VALUE"""),"")</f>
        <v/>
      </c>
    </row>
    <row r="272">
      <c r="A272" s="34" t="str">
        <f>IFERROR(__xludf.DUMMYFUNCTION("""COMPUTED_VALUE"""),"")</f>
        <v/>
      </c>
      <c r="M272" s="34" t="s">
        <v>260</v>
      </c>
      <c r="N272" s="34" t="str">
        <f>IFERROR(__xludf.DUMMYFUNCTION("""COMPUTED_VALUE"""),"")</f>
        <v/>
      </c>
    </row>
    <row r="273">
      <c r="A273" s="34" t="str">
        <f>IFERROR(__xludf.DUMMYFUNCTION("""COMPUTED_VALUE"""),"")</f>
        <v/>
      </c>
      <c r="M273" s="34" t="s">
        <v>260</v>
      </c>
      <c r="N273" s="34" t="str">
        <f>IFERROR(__xludf.DUMMYFUNCTION("""COMPUTED_VALUE"""),"")</f>
        <v/>
      </c>
    </row>
    <row r="274">
      <c r="A274" s="34" t="str">
        <f>IFERROR(__xludf.DUMMYFUNCTION("""COMPUTED_VALUE"""),"")</f>
        <v/>
      </c>
      <c r="M274" s="34" t="s">
        <v>260</v>
      </c>
      <c r="N274" s="34" t="str">
        <f>IFERROR(__xludf.DUMMYFUNCTION("""COMPUTED_VALUE"""),"")</f>
        <v/>
      </c>
    </row>
    <row r="275">
      <c r="A275" s="34" t="str">
        <f>IFERROR(__xludf.DUMMYFUNCTION("""COMPUTED_VALUE"""),"")</f>
        <v/>
      </c>
      <c r="M275" s="34" t="s">
        <v>260</v>
      </c>
      <c r="N275" s="34" t="str">
        <f>IFERROR(__xludf.DUMMYFUNCTION("""COMPUTED_VALUE"""),"")</f>
        <v/>
      </c>
    </row>
    <row r="276">
      <c r="A276" s="34" t="str">
        <f>IFERROR(__xludf.DUMMYFUNCTION("""COMPUTED_VALUE"""),"")</f>
        <v/>
      </c>
      <c r="M276" s="34" t="s">
        <v>260</v>
      </c>
      <c r="N276" s="34" t="str">
        <f>IFERROR(__xludf.DUMMYFUNCTION("""COMPUTED_VALUE"""),"")</f>
        <v/>
      </c>
    </row>
    <row r="277">
      <c r="A277" s="34" t="str">
        <f>IFERROR(__xludf.DUMMYFUNCTION("""COMPUTED_VALUE"""),"")</f>
        <v/>
      </c>
      <c r="M277" s="34" t="s">
        <v>260</v>
      </c>
      <c r="N277" s="34" t="str">
        <f>IFERROR(__xludf.DUMMYFUNCTION("""COMPUTED_VALUE"""),"")</f>
        <v/>
      </c>
    </row>
    <row r="278">
      <c r="A278" s="34" t="str">
        <f>IFERROR(__xludf.DUMMYFUNCTION("""COMPUTED_VALUE"""),"")</f>
        <v/>
      </c>
      <c r="M278" s="34" t="s">
        <v>260</v>
      </c>
      <c r="N278" s="34" t="str">
        <f>IFERROR(__xludf.DUMMYFUNCTION("""COMPUTED_VALUE"""),"")</f>
        <v/>
      </c>
    </row>
    <row r="279">
      <c r="A279" s="34" t="str">
        <f>IFERROR(__xludf.DUMMYFUNCTION("""COMPUTED_VALUE"""),"")</f>
        <v/>
      </c>
      <c r="M279" s="34" t="s">
        <v>260</v>
      </c>
      <c r="N279" s="34" t="str">
        <f>IFERROR(__xludf.DUMMYFUNCTION("""COMPUTED_VALUE"""),"")</f>
        <v/>
      </c>
    </row>
    <row r="280">
      <c r="A280" s="34" t="str">
        <f>IFERROR(__xludf.DUMMYFUNCTION("""COMPUTED_VALUE"""),"")</f>
        <v/>
      </c>
      <c r="M280" s="34" t="s">
        <v>260</v>
      </c>
      <c r="N280" s="34" t="str">
        <f>IFERROR(__xludf.DUMMYFUNCTION("""COMPUTED_VALUE"""),"")</f>
        <v/>
      </c>
    </row>
    <row r="281">
      <c r="A281" s="34" t="str">
        <f>IFERROR(__xludf.DUMMYFUNCTION("""COMPUTED_VALUE"""),"")</f>
        <v/>
      </c>
      <c r="M281" s="34" t="s">
        <v>260</v>
      </c>
      <c r="N281" s="34" t="str">
        <f>IFERROR(__xludf.DUMMYFUNCTION("""COMPUTED_VALUE"""),"")</f>
        <v/>
      </c>
    </row>
    <row r="282">
      <c r="A282" s="34" t="str">
        <f>IFERROR(__xludf.DUMMYFUNCTION("""COMPUTED_VALUE"""),"")</f>
        <v/>
      </c>
      <c r="M282" s="34" t="s">
        <v>260</v>
      </c>
      <c r="N282" s="34" t="str">
        <f>IFERROR(__xludf.DUMMYFUNCTION("""COMPUTED_VALUE"""),"")</f>
        <v/>
      </c>
    </row>
    <row r="283">
      <c r="A283" s="34" t="str">
        <f>IFERROR(__xludf.DUMMYFUNCTION("""COMPUTED_VALUE"""),"")</f>
        <v/>
      </c>
      <c r="M283" s="34" t="s">
        <v>260</v>
      </c>
      <c r="N283" s="34" t="str">
        <f>IFERROR(__xludf.DUMMYFUNCTION("""COMPUTED_VALUE"""),"")</f>
        <v/>
      </c>
    </row>
    <row r="284">
      <c r="A284" s="34" t="str">
        <f>IFERROR(__xludf.DUMMYFUNCTION("""COMPUTED_VALUE"""),"")</f>
        <v/>
      </c>
      <c r="M284" s="34" t="s">
        <v>260</v>
      </c>
      <c r="N284" s="34" t="str">
        <f>IFERROR(__xludf.DUMMYFUNCTION("""COMPUTED_VALUE"""),"")</f>
        <v/>
      </c>
    </row>
    <row r="285">
      <c r="A285" s="34" t="str">
        <f>IFERROR(__xludf.DUMMYFUNCTION("""COMPUTED_VALUE"""),"")</f>
        <v/>
      </c>
      <c r="M285" s="34" t="s">
        <v>260</v>
      </c>
      <c r="N285" s="34" t="str">
        <f>IFERROR(__xludf.DUMMYFUNCTION("""COMPUTED_VALUE"""),"")</f>
        <v/>
      </c>
    </row>
    <row r="286">
      <c r="A286" s="34" t="str">
        <f>IFERROR(__xludf.DUMMYFUNCTION("""COMPUTED_VALUE"""),"")</f>
        <v/>
      </c>
      <c r="M286" s="34" t="s">
        <v>260</v>
      </c>
      <c r="N286" s="34" t="str">
        <f>IFERROR(__xludf.DUMMYFUNCTION("""COMPUTED_VALUE"""),"")</f>
        <v/>
      </c>
    </row>
    <row r="287">
      <c r="A287" s="34" t="str">
        <f>IFERROR(__xludf.DUMMYFUNCTION("""COMPUTED_VALUE"""),"")</f>
        <v/>
      </c>
      <c r="M287" s="34" t="s">
        <v>260</v>
      </c>
      <c r="N287" s="34" t="str">
        <f>IFERROR(__xludf.DUMMYFUNCTION("""COMPUTED_VALUE"""),"")</f>
        <v/>
      </c>
    </row>
    <row r="288">
      <c r="A288" s="34" t="str">
        <f>IFERROR(__xludf.DUMMYFUNCTION("""COMPUTED_VALUE"""),"")</f>
        <v/>
      </c>
      <c r="M288" s="34" t="s">
        <v>260</v>
      </c>
      <c r="N288" s="34" t="str">
        <f>IFERROR(__xludf.DUMMYFUNCTION("""COMPUTED_VALUE"""),"")</f>
        <v/>
      </c>
    </row>
    <row r="289">
      <c r="A289" s="34" t="str">
        <f>IFERROR(__xludf.DUMMYFUNCTION("""COMPUTED_VALUE"""),"")</f>
        <v/>
      </c>
      <c r="M289" s="34" t="s">
        <v>260</v>
      </c>
      <c r="N289" s="34" t="str">
        <f>IFERROR(__xludf.DUMMYFUNCTION("""COMPUTED_VALUE"""),"")</f>
        <v/>
      </c>
    </row>
    <row r="290">
      <c r="A290" s="34" t="str">
        <f>IFERROR(__xludf.DUMMYFUNCTION("""COMPUTED_VALUE"""),"")</f>
        <v/>
      </c>
      <c r="M290" s="34" t="s">
        <v>260</v>
      </c>
      <c r="N290" s="34" t="str">
        <f>IFERROR(__xludf.DUMMYFUNCTION("""COMPUTED_VALUE"""),"")</f>
        <v/>
      </c>
    </row>
    <row r="291">
      <c r="A291" s="34" t="str">
        <f>IFERROR(__xludf.DUMMYFUNCTION("""COMPUTED_VALUE"""),"")</f>
        <v/>
      </c>
      <c r="M291" s="34" t="s">
        <v>260</v>
      </c>
      <c r="N291" s="34" t="str">
        <f>IFERROR(__xludf.DUMMYFUNCTION("""COMPUTED_VALUE"""),"")</f>
        <v/>
      </c>
    </row>
    <row r="292">
      <c r="A292" s="34" t="str">
        <f>IFERROR(__xludf.DUMMYFUNCTION("""COMPUTED_VALUE"""),"")</f>
        <v/>
      </c>
      <c r="M292" s="34" t="s">
        <v>260</v>
      </c>
      <c r="N292" s="34" t="str">
        <f>IFERROR(__xludf.DUMMYFUNCTION("""COMPUTED_VALUE"""),"")</f>
        <v/>
      </c>
    </row>
    <row r="293">
      <c r="A293" s="34" t="str">
        <f>IFERROR(__xludf.DUMMYFUNCTION("""COMPUTED_VALUE"""),"")</f>
        <v/>
      </c>
      <c r="M293" s="34" t="s">
        <v>260</v>
      </c>
      <c r="N293" s="34" t="str">
        <f>IFERROR(__xludf.DUMMYFUNCTION("""COMPUTED_VALUE"""),"")</f>
        <v/>
      </c>
    </row>
    <row r="294">
      <c r="A294" s="34" t="str">
        <f>IFERROR(__xludf.DUMMYFUNCTION("""COMPUTED_VALUE"""),"")</f>
        <v/>
      </c>
      <c r="M294" s="34" t="s">
        <v>260</v>
      </c>
      <c r="N294" s="34" t="str">
        <f>IFERROR(__xludf.DUMMYFUNCTION("""COMPUTED_VALUE"""),"")</f>
        <v/>
      </c>
    </row>
    <row r="295">
      <c r="A295" s="34" t="str">
        <f>IFERROR(__xludf.DUMMYFUNCTION("""COMPUTED_VALUE"""),"")</f>
        <v/>
      </c>
      <c r="M295" s="34" t="s">
        <v>260</v>
      </c>
      <c r="N295" s="34" t="str">
        <f>IFERROR(__xludf.DUMMYFUNCTION("""COMPUTED_VALUE"""),"")</f>
        <v/>
      </c>
    </row>
    <row r="296">
      <c r="A296" s="34" t="str">
        <f>IFERROR(__xludf.DUMMYFUNCTION("""COMPUTED_VALUE"""),"")</f>
        <v/>
      </c>
      <c r="M296" s="34" t="s">
        <v>260</v>
      </c>
      <c r="N296" s="34" t="str">
        <f>IFERROR(__xludf.DUMMYFUNCTION("""COMPUTED_VALUE"""),"")</f>
        <v/>
      </c>
    </row>
    <row r="297">
      <c r="A297" s="34" t="str">
        <f>IFERROR(__xludf.DUMMYFUNCTION("""COMPUTED_VALUE"""),"")</f>
        <v/>
      </c>
      <c r="M297" s="34" t="s">
        <v>260</v>
      </c>
      <c r="N297" s="34" t="str">
        <f>IFERROR(__xludf.DUMMYFUNCTION("""COMPUTED_VALUE"""),"")</f>
        <v/>
      </c>
    </row>
    <row r="298">
      <c r="A298" s="34" t="str">
        <f>IFERROR(__xludf.DUMMYFUNCTION("""COMPUTED_VALUE"""),"")</f>
        <v/>
      </c>
      <c r="M298" s="34" t="s">
        <v>260</v>
      </c>
      <c r="N298" s="34" t="str">
        <f>IFERROR(__xludf.DUMMYFUNCTION("""COMPUTED_VALUE"""),"")</f>
        <v/>
      </c>
    </row>
    <row r="299">
      <c r="A299" s="34" t="str">
        <f>IFERROR(__xludf.DUMMYFUNCTION("""COMPUTED_VALUE"""),"")</f>
        <v/>
      </c>
      <c r="M299" s="34" t="s">
        <v>260</v>
      </c>
      <c r="N299" s="34" t="str">
        <f>IFERROR(__xludf.DUMMYFUNCTION("""COMPUTED_VALUE"""),"")</f>
        <v/>
      </c>
    </row>
    <row r="300">
      <c r="A300" s="34" t="str">
        <f>IFERROR(__xludf.DUMMYFUNCTION("""COMPUTED_VALUE"""),"")</f>
        <v/>
      </c>
      <c r="M300" s="34" t="s">
        <v>260</v>
      </c>
      <c r="N300" s="34" t="str">
        <f>IFERROR(__xludf.DUMMYFUNCTION("""COMPUTED_VALUE"""),"")</f>
        <v/>
      </c>
    </row>
    <row r="301">
      <c r="A301" s="34" t="str">
        <f>IFERROR(__xludf.DUMMYFUNCTION("""COMPUTED_VALUE"""),"")</f>
        <v/>
      </c>
      <c r="M301" s="34" t="s">
        <v>260</v>
      </c>
      <c r="N301" s="34" t="str">
        <f>IFERROR(__xludf.DUMMYFUNCTION("""COMPUTED_VALUE"""),"")</f>
        <v/>
      </c>
    </row>
    <row r="302">
      <c r="A302" s="34" t="str">
        <f>IFERROR(__xludf.DUMMYFUNCTION("""COMPUTED_VALUE"""),"")</f>
        <v/>
      </c>
      <c r="M302" s="34" t="s">
        <v>260</v>
      </c>
      <c r="N302" s="34" t="str">
        <f>IFERROR(__xludf.DUMMYFUNCTION("""COMPUTED_VALUE"""),"")</f>
        <v/>
      </c>
    </row>
    <row r="303">
      <c r="A303" s="34" t="str">
        <f>IFERROR(__xludf.DUMMYFUNCTION("""COMPUTED_VALUE"""),"")</f>
        <v/>
      </c>
      <c r="M303" s="34" t="s">
        <v>260</v>
      </c>
      <c r="N303" s="34" t="str">
        <f>IFERROR(__xludf.DUMMYFUNCTION("""COMPUTED_VALUE"""),"")</f>
        <v/>
      </c>
    </row>
    <row r="304">
      <c r="A304" s="34" t="str">
        <f>IFERROR(__xludf.DUMMYFUNCTION("""COMPUTED_VALUE"""),"")</f>
        <v/>
      </c>
      <c r="M304" s="34" t="s">
        <v>260</v>
      </c>
      <c r="N304" s="34" t="str">
        <f>IFERROR(__xludf.DUMMYFUNCTION("""COMPUTED_VALUE"""),"")</f>
        <v/>
      </c>
    </row>
    <row r="305">
      <c r="A305" s="34" t="str">
        <f>IFERROR(__xludf.DUMMYFUNCTION("""COMPUTED_VALUE"""),"")</f>
        <v/>
      </c>
      <c r="M305" s="34" t="s">
        <v>260</v>
      </c>
      <c r="N305" s="34" t="str">
        <f>IFERROR(__xludf.DUMMYFUNCTION("""COMPUTED_VALUE"""),"")</f>
        <v/>
      </c>
    </row>
    <row r="306">
      <c r="A306" s="34" t="str">
        <f>IFERROR(__xludf.DUMMYFUNCTION("""COMPUTED_VALUE"""),"")</f>
        <v/>
      </c>
      <c r="M306" s="34" t="s">
        <v>260</v>
      </c>
      <c r="N306" s="34" t="str">
        <f>IFERROR(__xludf.DUMMYFUNCTION("""COMPUTED_VALUE"""),"")</f>
        <v/>
      </c>
    </row>
    <row r="307">
      <c r="A307" s="34" t="str">
        <f>IFERROR(__xludf.DUMMYFUNCTION("""COMPUTED_VALUE"""),"")</f>
        <v/>
      </c>
      <c r="M307" s="34" t="s">
        <v>260</v>
      </c>
      <c r="N307" s="34" t="str">
        <f>IFERROR(__xludf.DUMMYFUNCTION("""COMPUTED_VALUE"""),"")</f>
        <v/>
      </c>
    </row>
    <row r="308">
      <c r="A308" s="34" t="str">
        <f>IFERROR(__xludf.DUMMYFUNCTION("""COMPUTED_VALUE"""),"")</f>
        <v/>
      </c>
      <c r="M308" s="34" t="s">
        <v>260</v>
      </c>
      <c r="N308" s="34" t="str">
        <f>IFERROR(__xludf.DUMMYFUNCTION("""COMPUTED_VALUE"""),"")</f>
        <v/>
      </c>
    </row>
    <row r="309">
      <c r="A309" s="34" t="str">
        <f>IFERROR(__xludf.DUMMYFUNCTION("""COMPUTED_VALUE"""),"")</f>
        <v/>
      </c>
      <c r="M309" s="34" t="s">
        <v>260</v>
      </c>
      <c r="N309" s="34" t="str">
        <f>IFERROR(__xludf.DUMMYFUNCTION("""COMPUTED_VALUE"""),"")</f>
        <v/>
      </c>
    </row>
    <row r="310">
      <c r="A310" s="34" t="str">
        <f>IFERROR(__xludf.DUMMYFUNCTION("""COMPUTED_VALUE"""),"")</f>
        <v/>
      </c>
      <c r="M310" s="34" t="s">
        <v>260</v>
      </c>
      <c r="N310" s="34" t="str">
        <f>IFERROR(__xludf.DUMMYFUNCTION("""COMPUTED_VALUE"""),"")</f>
        <v/>
      </c>
    </row>
    <row r="311">
      <c r="A311" s="34" t="str">
        <f>IFERROR(__xludf.DUMMYFUNCTION("""COMPUTED_VALUE"""),"")</f>
        <v/>
      </c>
      <c r="M311" s="34" t="s">
        <v>260</v>
      </c>
      <c r="N311" s="34" t="str">
        <f>IFERROR(__xludf.DUMMYFUNCTION("""COMPUTED_VALUE"""),"")</f>
        <v/>
      </c>
    </row>
    <row r="312">
      <c r="A312" s="34" t="str">
        <f>IFERROR(__xludf.DUMMYFUNCTION("""COMPUTED_VALUE"""),"")</f>
        <v/>
      </c>
      <c r="M312" s="34" t="s">
        <v>260</v>
      </c>
      <c r="N312" s="34" t="str">
        <f>IFERROR(__xludf.DUMMYFUNCTION("""COMPUTED_VALUE"""),"")</f>
        <v/>
      </c>
    </row>
    <row r="313">
      <c r="A313" s="34" t="str">
        <f>IFERROR(__xludf.DUMMYFUNCTION("""COMPUTED_VALUE"""),"")</f>
        <v/>
      </c>
      <c r="M313" s="34" t="s">
        <v>260</v>
      </c>
      <c r="N313" s="34" t="str">
        <f>IFERROR(__xludf.DUMMYFUNCTION("""COMPUTED_VALUE"""),"")</f>
        <v/>
      </c>
    </row>
    <row r="314">
      <c r="A314" s="34" t="str">
        <f>IFERROR(__xludf.DUMMYFUNCTION("""COMPUTED_VALUE"""),"")</f>
        <v/>
      </c>
      <c r="M314" s="34" t="s">
        <v>260</v>
      </c>
      <c r="N314" s="34" t="str">
        <f>IFERROR(__xludf.DUMMYFUNCTION("""COMPUTED_VALUE"""),"")</f>
        <v/>
      </c>
    </row>
    <row r="315">
      <c r="A315" s="34" t="str">
        <f>IFERROR(__xludf.DUMMYFUNCTION("""COMPUTED_VALUE"""),"")</f>
        <v/>
      </c>
      <c r="M315" s="34" t="s">
        <v>260</v>
      </c>
      <c r="N315" s="34" t="str">
        <f>IFERROR(__xludf.DUMMYFUNCTION("""COMPUTED_VALUE"""),"")</f>
        <v/>
      </c>
    </row>
    <row r="316">
      <c r="A316" s="34" t="str">
        <f>IFERROR(__xludf.DUMMYFUNCTION("""COMPUTED_VALUE"""),"")</f>
        <v/>
      </c>
      <c r="M316" s="34" t="s">
        <v>260</v>
      </c>
      <c r="N316" s="34" t="str">
        <f>IFERROR(__xludf.DUMMYFUNCTION("""COMPUTED_VALUE"""),"")</f>
        <v/>
      </c>
    </row>
    <row r="317">
      <c r="A317" s="34" t="str">
        <f>IFERROR(__xludf.DUMMYFUNCTION("""COMPUTED_VALUE"""),"")</f>
        <v/>
      </c>
      <c r="M317" s="34" t="s">
        <v>260</v>
      </c>
      <c r="N317" s="34" t="str">
        <f>IFERROR(__xludf.DUMMYFUNCTION("""COMPUTED_VALUE"""),"")</f>
        <v/>
      </c>
    </row>
    <row r="318">
      <c r="A318" s="34" t="str">
        <f>IFERROR(__xludf.DUMMYFUNCTION("""COMPUTED_VALUE"""),"")</f>
        <v/>
      </c>
      <c r="M318" s="34" t="s">
        <v>260</v>
      </c>
      <c r="N318" s="34" t="str">
        <f>IFERROR(__xludf.DUMMYFUNCTION("""COMPUTED_VALUE"""),"")</f>
        <v/>
      </c>
    </row>
    <row r="319">
      <c r="A319" s="34" t="str">
        <f>IFERROR(__xludf.DUMMYFUNCTION("""COMPUTED_VALUE"""),"")</f>
        <v/>
      </c>
      <c r="M319" s="34" t="s">
        <v>260</v>
      </c>
      <c r="N319" s="34" t="str">
        <f>IFERROR(__xludf.DUMMYFUNCTION("""COMPUTED_VALUE"""),"")</f>
        <v/>
      </c>
    </row>
    <row r="320">
      <c r="A320" s="34" t="str">
        <f>IFERROR(__xludf.DUMMYFUNCTION("""COMPUTED_VALUE"""),"")</f>
        <v/>
      </c>
      <c r="M320" s="34" t="s">
        <v>260</v>
      </c>
      <c r="N320" s="34" t="str">
        <f>IFERROR(__xludf.DUMMYFUNCTION("""COMPUTED_VALUE"""),"")</f>
        <v/>
      </c>
    </row>
    <row r="321">
      <c r="A321" s="34" t="str">
        <f>IFERROR(__xludf.DUMMYFUNCTION("""COMPUTED_VALUE"""),"")</f>
        <v/>
      </c>
      <c r="M321" s="34" t="s">
        <v>260</v>
      </c>
      <c r="N321" s="34" t="str">
        <f>IFERROR(__xludf.DUMMYFUNCTION("""COMPUTED_VALUE"""),"")</f>
        <v/>
      </c>
    </row>
    <row r="322">
      <c r="A322" s="34" t="str">
        <f>IFERROR(__xludf.DUMMYFUNCTION("""COMPUTED_VALUE"""),"")</f>
        <v/>
      </c>
      <c r="M322" s="34" t="s">
        <v>260</v>
      </c>
      <c r="N322" s="34" t="str">
        <f>IFERROR(__xludf.DUMMYFUNCTION("""COMPUTED_VALUE"""),"")</f>
        <v/>
      </c>
    </row>
    <row r="323">
      <c r="A323" s="34" t="str">
        <f>IFERROR(__xludf.DUMMYFUNCTION("""COMPUTED_VALUE"""),"")</f>
        <v/>
      </c>
      <c r="M323" s="34" t="s">
        <v>260</v>
      </c>
      <c r="N323" s="34" t="str">
        <f>IFERROR(__xludf.DUMMYFUNCTION("""COMPUTED_VALUE"""),"")</f>
        <v/>
      </c>
    </row>
    <row r="324">
      <c r="A324" s="34" t="str">
        <f>IFERROR(__xludf.DUMMYFUNCTION("""COMPUTED_VALUE"""),"")</f>
        <v/>
      </c>
      <c r="M324" s="34" t="s">
        <v>260</v>
      </c>
      <c r="N324" s="34" t="str">
        <f>IFERROR(__xludf.DUMMYFUNCTION("""COMPUTED_VALUE"""),"")</f>
        <v/>
      </c>
    </row>
    <row r="325">
      <c r="A325" s="34" t="str">
        <f>IFERROR(__xludf.DUMMYFUNCTION("""COMPUTED_VALUE"""),"")</f>
        <v/>
      </c>
      <c r="M325" s="34" t="s">
        <v>260</v>
      </c>
      <c r="N325" s="34" t="str">
        <f>IFERROR(__xludf.DUMMYFUNCTION("""COMPUTED_VALUE"""),"")</f>
        <v/>
      </c>
    </row>
    <row r="326">
      <c r="A326" s="34" t="str">
        <f>IFERROR(__xludf.DUMMYFUNCTION("""COMPUTED_VALUE"""),"")</f>
        <v/>
      </c>
      <c r="M326" s="34" t="s">
        <v>260</v>
      </c>
      <c r="N326" s="34" t="str">
        <f>IFERROR(__xludf.DUMMYFUNCTION("""COMPUTED_VALUE"""),"")</f>
        <v/>
      </c>
    </row>
    <row r="327">
      <c r="A327" s="34" t="str">
        <f>IFERROR(__xludf.DUMMYFUNCTION("""COMPUTED_VALUE"""),"")</f>
        <v/>
      </c>
      <c r="M327" s="34" t="s">
        <v>260</v>
      </c>
      <c r="N327" s="34" t="str">
        <f>IFERROR(__xludf.DUMMYFUNCTION("""COMPUTED_VALUE"""),"")</f>
        <v/>
      </c>
    </row>
    <row r="328">
      <c r="A328" s="34" t="str">
        <f>IFERROR(__xludf.DUMMYFUNCTION("""COMPUTED_VALUE"""),"")</f>
        <v/>
      </c>
      <c r="M328" s="34" t="s">
        <v>260</v>
      </c>
      <c r="N328" s="34" t="str">
        <f>IFERROR(__xludf.DUMMYFUNCTION("""COMPUTED_VALUE"""),"")</f>
        <v/>
      </c>
    </row>
    <row r="329">
      <c r="A329" s="34" t="str">
        <f>IFERROR(__xludf.DUMMYFUNCTION("""COMPUTED_VALUE"""),"")</f>
        <v/>
      </c>
      <c r="M329" s="34" t="s">
        <v>260</v>
      </c>
      <c r="N329" s="34" t="str">
        <f>IFERROR(__xludf.DUMMYFUNCTION("""COMPUTED_VALUE"""),"")</f>
        <v/>
      </c>
    </row>
    <row r="330">
      <c r="A330" s="34" t="str">
        <f>IFERROR(__xludf.DUMMYFUNCTION("""COMPUTED_VALUE"""),"")</f>
        <v/>
      </c>
      <c r="M330" s="34" t="s">
        <v>260</v>
      </c>
      <c r="N330" s="34" t="str">
        <f>IFERROR(__xludf.DUMMYFUNCTION("""COMPUTED_VALUE"""),"")</f>
        <v/>
      </c>
    </row>
    <row r="331">
      <c r="A331" s="34" t="str">
        <f>IFERROR(__xludf.DUMMYFUNCTION("""COMPUTED_VALUE"""),"")</f>
        <v/>
      </c>
      <c r="M331" s="34" t="s">
        <v>260</v>
      </c>
      <c r="N331" s="34" t="str">
        <f>IFERROR(__xludf.DUMMYFUNCTION("""COMPUTED_VALUE"""),"")</f>
        <v/>
      </c>
    </row>
    <row r="332">
      <c r="A332" s="34" t="str">
        <f>IFERROR(__xludf.DUMMYFUNCTION("""COMPUTED_VALUE"""),"")</f>
        <v/>
      </c>
      <c r="M332" s="34" t="s">
        <v>260</v>
      </c>
      <c r="N332" s="34" t="str">
        <f>IFERROR(__xludf.DUMMYFUNCTION("""COMPUTED_VALUE"""),"")</f>
        <v/>
      </c>
    </row>
    <row r="333">
      <c r="A333" s="34" t="str">
        <f>IFERROR(__xludf.DUMMYFUNCTION("""COMPUTED_VALUE"""),"")</f>
        <v/>
      </c>
      <c r="M333" s="34" t="s">
        <v>260</v>
      </c>
      <c r="N333" s="34" t="str">
        <f>IFERROR(__xludf.DUMMYFUNCTION("""COMPUTED_VALUE"""),"")</f>
        <v/>
      </c>
    </row>
    <row r="334">
      <c r="A334" s="34" t="str">
        <f>IFERROR(__xludf.DUMMYFUNCTION("""COMPUTED_VALUE"""),"")</f>
        <v/>
      </c>
      <c r="M334" s="34" t="s">
        <v>260</v>
      </c>
      <c r="N334" s="34" t="str">
        <f>IFERROR(__xludf.DUMMYFUNCTION("""COMPUTED_VALUE"""),"")</f>
        <v/>
      </c>
    </row>
    <row r="335">
      <c r="A335" s="34" t="str">
        <f>IFERROR(__xludf.DUMMYFUNCTION("""COMPUTED_VALUE"""),"")</f>
        <v/>
      </c>
      <c r="M335" s="34" t="s">
        <v>260</v>
      </c>
      <c r="N335" s="34" t="str">
        <f>IFERROR(__xludf.DUMMYFUNCTION("""COMPUTED_VALUE"""),"")</f>
        <v/>
      </c>
    </row>
    <row r="336">
      <c r="A336" s="34" t="str">
        <f>IFERROR(__xludf.DUMMYFUNCTION("""COMPUTED_VALUE"""),"")</f>
        <v/>
      </c>
      <c r="M336" s="34" t="s">
        <v>260</v>
      </c>
      <c r="N336" s="34" t="str">
        <f>IFERROR(__xludf.DUMMYFUNCTION("""COMPUTED_VALUE"""),"")</f>
        <v/>
      </c>
    </row>
    <row r="337">
      <c r="A337" s="34" t="str">
        <f>IFERROR(__xludf.DUMMYFUNCTION("""COMPUTED_VALUE"""),"")</f>
        <v/>
      </c>
      <c r="M337" s="34" t="s">
        <v>260</v>
      </c>
      <c r="N337" s="34" t="str">
        <f>IFERROR(__xludf.DUMMYFUNCTION("""COMPUTED_VALUE"""),"")</f>
        <v/>
      </c>
    </row>
    <row r="338">
      <c r="A338" s="34" t="str">
        <f>IFERROR(__xludf.DUMMYFUNCTION("""COMPUTED_VALUE"""),"")</f>
        <v/>
      </c>
      <c r="M338" s="34" t="s">
        <v>260</v>
      </c>
      <c r="N338" s="34" t="str">
        <f>IFERROR(__xludf.DUMMYFUNCTION("""COMPUTED_VALUE"""),"")</f>
        <v/>
      </c>
    </row>
    <row r="339">
      <c r="A339" s="34" t="str">
        <f>IFERROR(__xludf.DUMMYFUNCTION("""COMPUTED_VALUE"""),"")</f>
        <v/>
      </c>
      <c r="M339" s="34" t="s">
        <v>260</v>
      </c>
      <c r="N339" s="34" t="str">
        <f>IFERROR(__xludf.DUMMYFUNCTION("""COMPUTED_VALUE"""),"")</f>
        <v/>
      </c>
    </row>
    <row r="340">
      <c r="A340" s="34" t="str">
        <f>IFERROR(__xludf.DUMMYFUNCTION("""COMPUTED_VALUE"""),"")</f>
        <v/>
      </c>
      <c r="M340" s="34" t="s">
        <v>260</v>
      </c>
      <c r="N340" s="34" t="str">
        <f>IFERROR(__xludf.DUMMYFUNCTION("""COMPUTED_VALUE"""),"")</f>
        <v/>
      </c>
    </row>
    <row r="341">
      <c r="A341" s="34" t="str">
        <f>IFERROR(__xludf.DUMMYFUNCTION("""COMPUTED_VALUE"""),"")</f>
        <v/>
      </c>
      <c r="M341" s="34" t="s">
        <v>260</v>
      </c>
      <c r="N341" s="34" t="str">
        <f>IFERROR(__xludf.DUMMYFUNCTION("""COMPUTED_VALUE"""),"")</f>
        <v/>
      </c>
    </row>
    <row r="342">
      <c r="A342" s="34" t="str">
        <f>IFERROR(__xludf.DUMMYFUNCTION("""COMPUTED_VALUE"""),"")</f>
        <v/>
      </c>
      <c r="M342" s="34" t="s">
        <v>260</v>
      </c>
      <c r="N342" s="34" t="str">
        <f>IFERROR(__xludf.DUMMYFUNCTION("""COMPUTED_VALUE"""),"")</f>
        <v/>
      </c>
    </row>
    <row r="343">
      <c r="A343" s="34" t="str">
        <f>IFERROR(__xludf.DUMMYFUNCTION("""COMPUTED_VALUE"""),"")</f>
        <v/>
      </c>
      <c r="M343" s="34" t="s">
        <v>260</v>
      </c>
      <c r="N343" s="34" t="str">
        <f>IFERROR(__xludf.DUMMYFUNCTION("""COMPUTED_VALUE"""),"")</f>
        <v/>
      </c>
    </row>
    <row r="344">
      <c r="A344" s="34" t="str">
        <f>IFERROR(__xludf.DUMMYFUNCTION("""COMPUTED_VALUE"""),"")</f>
        <v/>
      </c>
      <c r="M344" s="34" t="s">
        <v>260</v>
      </c>
      <c r="N344" s="34" t="str">
        <f>IFERROR(__xludf.DUMMYFUNCTION("""COMPUTED_VALUE"""),"")</f>
        <v/>
      </c>
    </row>
    <row r="345">
      <c r="A345" s="34" t="str">
        <f>IFERROR(__xludf.DUMMYFUNCTION("""COMPUTED_VALUE"""),"")</f>
        <v/>
      </c>
      <c r="M345" s="34" t="s">
        <v>260</v>
      </c>
      <c r="N345" s="34" t="str">
        <f>IFERROR(__xludf.DUMMYFUNCTION("""COMPUTED_VALUE"""),"")</f>
        <v/>
      </c>
    </row>
    <row r="346">
      <c r="A346" s="34" t="str">
        <f>IFERROR(__xludf.DUMMYFUNCTION("""COMPUTED_VALUE"""),"")</f>
        <v/>
      </c>
      <c r="M346" s="34" t="s">
        <v>260</v>
      </c>
      <c r="N346" s="34" t="str">
        <f>IFERROR(__xludf.DUMMYFUNCTION("""COMPUTED_VALUE"""),"")</f>
        <v/>
      </c>
    </row>
    <row r="347">
      <c r="A347" s="34" t="str">
        <f>IFERROR(__xludf.DUMMYFUNCTION("""COMPUTED_VALUE"""),"")</f>
        <v/>
      </c>
      <c r="M347" s="34" t="s">
        <v>260</v>
      </c>
      <c r="N347" s="34" t="str">
        <f>IFERROR(__xludf.DUMMYFUNCTION("""COMPUTED_VALUE"""),"")</f>
        <v/>
      </c>
    </row>
    <row r="348">
      <c r="A348" s="34" t="str">
        <f>IFERROR(__xludf.DUMMYFUNCTION("""COMPUTED_VALUE"""),"")</f>
        <v/>
      </c>
      <c r="M348" s="34" t="s">
        <v>260</v>
      </c>
      <c r="N348" s="34" t="str">
        <f>IFERROR(__xludf.DUMMYFUNCTION("""COMPUTED_VALUE"""),"")</f>
        <v/>
      </c>
    </row>
    <row r="349">
      <c r="A349" s="34" t="str">
        <f>IFERROR(__xludf.DUMMYFUNCTION("""COMPUTED_VALUE"""),"")</f>
        <v/>
      </c>
      <c r="M349" s="34" t="s">
        <v>260</v>
      </c>
      <c r="N349" s="34" t="str">
        <f>IFERROR(__xludf.DUMMYFUNCTION("""COMPUTED_VALUE"""),"")</f>
        <v/>
      </c>
    </row>
    <row r="350">
      <c r="A350" s="34" t="str">
        <f>IFERROR(__xludf.DUMMYFUNCTION("""COMPUTED_VALUE"""),"")</f>
        <v/>
      </c>
      <c r="M350" s="34" t="s">
        <v>260</v>
      </c>
      <c r="N350" s="34" t="str">
        <f>IFERROR(__xludf.DUMMYFUNCTION("""COMPUTED_VALUE"""),"")</f>
        <v/>
      </c>
    </row>
    <row r="351">
      <c r="A351" s="34" t="str">
        <f>IFERROR(__xludf.DUMMYFUNCTION("""COMPUTED_VALUE"""),"")</f>
        <v/>
      </c>
      <c r="M351" s="34" t="s">
        <v>260</v>
      </c>
      <c r="N351" s="34" t="str">
        <f>IFERROR(__xludf.DUMMYFUNCTION("""COMPUTED_VALUE"""),"")</f>
        <v/>
      </c>
    </row>
    <row r="352">
      <c r="A352" s="34" t="str">
        <f>IFERROR(__xludf.DUMMYFUNCTION("""COMPUTED_VALUE"""),"")</f>
        <v/>
      </c>
      <c r="M352" s="34" t="s">
        <v>260</v>
      </c>
      <c r="N352" s="34" t="str">
        <f>IFERROR(__xludf.DUMMYFUNCTION("""COMPUTED_VALUE"""),"")</f>
        <v/>
      </c>
    </row>
    <row r="353">
      <c r="A353" s="34" t="str">
        <f>IFERROR(__xludf.DUMMYFUNCTION("""COMPUTED_VALUE"""),"")</f>
        <v/>
      </c>
      <c r="M353" s="34" t="s">
        <v>260</v>
      </c>
      <c r="N353" s="34" t="str">
        <f>IFERROR(__xludf.DUMMYFUNCTION("""COMPUTED_VALUE"""),"")</f>
        <v/>
      </c>
    </row>
    <row r="354">
      <c r="A354" s="34" t="str">
        <f>IFERROR(__xludf.DUMMYFUNCTION("""COMPUTED_VALUE"""),"")</f>
        <v/>
      </c>
      <c r="M354" s="34" t="s">
        <v>260</v>
      </c>
      <c r="N354" s="34" t="str">
        <f>IFERROR(__xludf.DUMMYFUNCTION("""COMPUTED_VALUE"""),"")</f>
        <v/>
      </c>
    </row>
    <row r="355">
      <c r="A355" s="34" t="str">
        <f>IFERROR(__xludf.DUMMYFUNCTION("""COMPUTED_VALUE"""),"")</f>
        <v/>
      </c>
      <c r="M355" s="34" t="s">
        <v>260</v>
      </c>
      <c r="N355" s="34" t="str">
        <f>IFERROR(__xludf.DUMMYFUNCTION("""COMPUTED_VALUE"""),"")</f>
        <v/>
      </c>
    </row>
    <row r="356">
      <c r="A356" s="34" t="str">
        <f>IFERROR(__xludf.DUMMYFUNCTION("""COMPUTED_VALUE"""),"")</f>
        <v/>
      </c>
      <c r="M356" s="34" t="s">
        <v>260</v>
      </c>
      <c r="N356" s="34" t="str">
        <f>IFERROR(__xludf.DUMMYFUNCTION("""COMPUTED_VALUE"""),"")</f>
        <v/>
      </c>
    </row>
    <row r="357">
      <c r="A357" s="34" t="str">
        <f>IFERROR(__xludf.DUMMYFUNCTION("""COMPUTED_VALUE"""),"")</f>
        <v/>
      </c>
      <c r="M357" s="34" t="s">
        <v>260</v>
      </c>
      <c r="N357" s="34" t="str">
        <f>IFERROR(__xludf.DUMMYFUNCTION("""COMPUTED_VALUE"""),"")</f>
        <v/>
      </c>
    </row>
    <row r="358">
      <c r="A358" s="34" t="str">
        <f>IFERROR(__xludf.DUMMYFUNCTION("""COMPUTED_VALUE"""),"")</f>
        <v/>
      </c>
      <c r="M358" s="34" t="s">
        <v>260</v>
      </c>
      <c r="N358" s="34" t="str">
        <f>IFERROR(__xludf.DUMMYFUNCTION("""COMPUTED_VALUE"""),"")</f>
        <v/>
      </c>
    </row>
    <row r="359">
      <c r="A359" s="34" t="str">
        <f>IFERROR(__xludf.DUMMYFUNCTION("""COMPUTED_VALUE"""),"")</f>
        <v/>
      </c>
      <c r="M359" s="34" t="s">
        <v>260</v>
      </c>
      <c r="N359" s="34" t="str">
        <f>IFERROR(__xludf.DUMMYFUNCTION("""COMPUTED_VALUE"""),"")</f>
        <v/>
      </c>
    </row>
    <row r="360">
      <c r="A360" s="34" t="str">
        <f>IFERROR(__xludf.DUMMYFUNCTION("""COMPUTED_VALUE"""),"")</f>
        <v/>
      </c>
      <c r="M360" s="34" t="s">
        <v>260</v>
      </c>
      <c r="N360" s="34" t="str">
        <f>IFERROR(__xludf.DUMMYFUNCTION("""COMPUTED_VALUE"""),"")</f>
        <v/>
      </c>
    </row>
    <row r="361">
      <c r="A361" s="34" t="str">
        <f>IFERROR(__xludf.DUMMYFUNCTION("""COMPUTED_VALUE"""),"")</f>
        <v/>
      </c>
      <c r="M361" s="34" t="s">
        <v>260</v>
      </c>
      <c r="N361" s="34" t="str">
        <f>IFERROR(__xludf.DUMMYFUNCTION("""COMPUTED_VALUE"""),"")</f>
        <v/>
      </c>
    </row>
    <row r="362">
      <c r="A362" s="34" t="str">
        <f>IFERROR(__xludf.DUMMYFUNCTION("""COMPUTED_VALUE"""),"")</f>
        <v/>
      </c>
      <c r="M362" s="34" t="s">
        <v>260</v>
      </c>
      <c r="N362" s="34" t="str">
        <f>IFERROR(__xludf.DUMMYFUNCTION("""COMPUTED_VALUE"""),"")</f>
        <v/>
      </c>
    </row>
    <row r="363">
      <c r="A363" s="34" t="str">
        <f>IFERROR(__xludf.DUMMYFUNCTION("""COMPUTED_VALUE"""),"")</f>
        <v/>
      </c>
      <c r="M363" s="34" t="s">
        <v>260</v>
      </c>
      <c r="N363" s="34" t="str">
        <f>IFERROR(__xludf.DUMMYFUNCTION("""COMPUTED_VALUE"""),"")</f>
        <v/>
      </c>
    </row>
    <row r="364">
      <c r="A364" s="34" t="str">
        <f>IFERROR(__xludf.DUMMYFUNCTION("""COMPUTED_VALUE"""),"")</f>
        <v/>
      </c>
      <c r="M364" s="34" t="s">
        <v>260</v>
      </c>
      <c r="N364" s="34" t="str">
        <f>IFERROR(__xludf.DUMMYFUNCTION("""COMPUTED_VALUE"""),"")</f>
        <v/>
      </c>
    </row>
    <row r="365">
      <c r="A365" s="34" t="str">
        <f>IFERROR(__xludf.DUMMYFUNCTION("""COMPUTED_VALUE"""),"")</f>
        <v/>
      </c>
      <c r="M365" s="34" t="s">
        <v>260</v>
      </c>
      <c r="N365" s="34" t="str">
        <f>IFERROR(__xludf.DUMMYFUNCTION("""COMPUTED_VALUE"""),"")</f>
        <v/>
      </c>
    </row>
    <row r="366">
      <c r="A366" s="34" t="str">
        <f>IFERROR(__xludf.DUMMYFUNCTION("""COMPUTED_VALUE"""),"")</f>
        <v/>
      </c>
      <c r="M366" s="34" t="s">
        <v>260</v>
      </c>
      <c r="N366" s="34" t="str">
        <f>IFERROR(__xludf.DUMMYFUNCTION("""COMPUTED_VALUE"""),"")</f>
        <v/>
      </c>
    </row>
    <row r="367">
      <c r="A367" s="34" t="str">
        <f>IFERROR(__xludf.DUMMYFUNCTION("""COMPUTED_VALUE"""),"")</f>
        <v/>
      </c>
      <c r="M367" s="34" t="s">
        <v>260</v>
      </c>
      <c r="N367" s="34" t="str">
        <f>IFERROR(__xludf.DUMMYFUNCTION("""COMPUTED_VALUE"""),"")</f>
        <v/>
      </c>
    </row>
    <row r="368">
      <c r="A368" s="34" t="str">
        <f>IFERROR(__xludf.DUMMYFUNCTION("""COMPUTED_VALUE"""),"")</f>
        <v/>
      </c>
      <c r="M368" s="34" t="s">
        <v>260</v>
      </c>
      <c r="N368" s="34" t="str">
        <f>IFERROR(__xludf.DUMMYFUNCTION("""COMPUTED_VALUE"""),"")</f>
        <v/>
      </c>
    </row>
    <row r="369">
      <c r="A369" s="34" t="str">
        <f>IFERROR(__xludf.DUMMYFUNCTION("""COMPUTED_VALUE"""),"")</f>
        <v/>
      </c>
      <c r="M369" s="34" t="s">
        <v>260</v>
      </c>
      <c r="N369" s="34" t="str">
        <f>IFERROR(__xludf.DUMMYFUNCTION("""COMPUTED_VALUE"""),"")</f>
        <v/>
      </c>
    </row>
    <row r="370">
      <c r="A370" s="34" t="str">
        <f>IFERROR(__xludf.DUMMYFUNCTION("""COMPUTED_VALUE"""),"")</f>
        <v/>
      </c>
      <c r="M370" s="34" t="s">
        <v>260</v>
      </c>
      <c r="N370" s="34" t="str">
        <f>IFERROR(__xludf.DUMMYFUNCTION("""COMPUTED_VALUE"""),"")</f>
        <v/>
      </c>
    </row>
    <row r="371">
      <c r="A371" s="34" t="str">
        <f>IFERROR(__xludf.DUMMYFUNCTION("""COMPUTED_VALUE"""),"")</f>
        <v/>
      </c>
      <c r="M371" s="34" t="s">
        <v>260</v>
      </c>
      <c r="N371" s="34" t="str">
        <f>IFERROR(__xludf.DUMMYFUNCTION("""COMPUTED_VALUE"""),"")</f>
        <v/>
      </c>
    </row>
    <row r="372">
      <c r="A372" s="34" t="str">
        <f>IFERROR(__xludf.DUMMYFUNCTION("""COMPUTED_VALUE"""),"")</f>
        <v/>
      </c>
      <c r="M372" s="34" t="s">
        <v>260</v>
      </c>
      <c r="N372" s="34" t="str">
        <f>IFERROR(__xludf.DUMMYFUNCTION("""COMPUTED_VALUE"""),"")</f>
        <v/>
      </c>
    </row>
    <row r="373">
      <c r="A373" s="34" t="str">
        <f>IFERROR(__xludf.DUMMYFUNCTION("""COMPUTED_VALUE"""),"")</f>
        <v/>
      </c>
      <c r="M373" s="34" t="s">
        <v>260</v>
      </c>
      <c r="N373" s="34" t="str">
        <f>IFERROR(__xludf.DUMMYFUNCTION("""COMPUTED_VALUE"""),"")</f>
        <v/>
      </c>
    </row>
    <row r="374">
      <c r="A374" s="34" t="str">
        <f>IFERROR(__xludf.DUMMYFUNCTION("""COMPUTED_VALUE"""),"")</f>
        <v/>
      </c>
      <c r="M374" s="34" t="s">
        <v>260</v>
      </c>
      <c r="N374" s="34" t="str">
        <f>IFERROR(__xludf.DUMMYFUNCTION("""COMPUTED_VALUE"""),"")</f>
        <v/>
      </c>
    </row>
    <row r="375">
      <c r="A375" s="34" t="str">
        <f>IFERROR(__xludf.DUMMYFUNCTION("""COMPUTED_VALUE"""),"")</f>
        <v/>
      </c>
      <c r="M375" s="34" t="s">
        <v>260</v>
      </c>
      <c r="N375" s="34" t="str">
        <f>IFERROR(__xludf.DUMMYFUNCTION("""COMPUTED_VALUE"""),"")</f>
        <v/>
      </c>
    </row>
    <row r="376">
      <c r="A376" s="34" t="str">
        <f>IFERROR(__xludf.DUMMYFUNCTION("""COMPUTED_VALUE"""),"")</f>
        <v/>
      </c>
      <c r="M376" s="34" t="s">
        <v>260</v>
      </c>
      <c r="N376" s="34" t="str">
        <f>IFERROR(__xludf.DUMMYFUNCTION("""COMPUTED_VALUE"""),"")</f>
        <v/>
      </c>
    </row>
    <row r="377">
      <c r="A377" s="34" t="str">
        <f>IFERROR(__xludf.DUMMYFUNCTION("""COMPUTED_VALUE"""),"")</f>
        <v/>
      </c>
      <c r="M377" s="34" t="s">
        <v>260</v>
      </c>
      <c r="N377" s="34" t="str">
        <f>IFERROR(__xludf.DUMMYFUNCTION("""COMPUTED_VALUE"""),"")</f>
        <v/>
      </c>
    </row>
    <row r="378">
      <c r="A378" s="34" t="str">
        <f>IFERROR(__xludf.DUMMYFUNCTION("""COMPUTED_VALUE"""),"")</f>
        <v/>
      </c>
      <c r="M378" s="34" t="s">
        <v>260</v>
      </c>
      <c r="N378" s="34" t="str">
        <f>IFERROR(__xludf.DUMMYFUNCTION("""COMPUTED_VALUE"""),"")</f>
        <v/>
      </c>
    </row>
    <row r="379">
      <c r="A379" s="34" t="str">
        <f>IFERROR(__xludf.DUMMYFUNCTION("""COMPUTED_VALUE"""),"")</f>
        <v/>
      </c>
      <c r="M379" s="34" t="s">
        <v>260</v>
      </c>
      <c r="N379" s="34" t="str">
        <f>IFERROR(__xludf.DUMMYFUNCTION("""COMPUTED_VALUE"""),"")</f>
        <v/>
      </c>
    </row>
    <row r="380">
      <c r="A380" s="34" t="str">
        <f>IFERROR(__xludf.DUMMYFUNCTION("""COMPUTED_VALUE"""),"")</f>
        <v/>
      </c>
      <c r="M380" s="34" t="s">
        <v>260</v>
      </c>
      <c r="N380" s="34" t="str">
        <f>IFERROR(__xludf.DUMMYFUNCTION("""COMPUTED_VALUE"""),"")</f>
        <v/>
      </c>
    </row>
    <row r="381">
      <c r="A381" s="34" t="str">
        <f>IFERROR(__xludf.DUMMYFUNCTION("""COMPUTED_VALUE"""),"")</f>
        <v/>
      </c>
      <c r="M381" s="34" t="s">
        <v>260</v>
      </c>
      <c r="N381" s="34" t="str">
        <f>IFERROR(__xludf.DUMMYFUNCTION("""COMPUTED_VALUE"""),"")</f>
        <v/>
      </c>
    </row>
    <row r="382">
      <c r="A382" s="34" t="str">
        <f>IFERROR(__xludf.DUMMYFUNCTION("""COMPUTED_VALUE"""),"")</f>
        <v/>
      </c>
      <c r="M382" s="34" t="s">
        <v>260</v>
      </c>
      <c r="N382" s="34" t="str">
        <f>IFERROR(__xludf.DUMMYFUNCTION("""COMPUTED_VALUE"""),"")</f>
        <v/>
      </c>
    </row>
    <row r="383">
      <c r="A383" s="34" t="str">
        <f>IFERROR(__xludf.DUMMYFUNCTION("""COMPUTED_VALUE"""),"")</f>
        <v/>
      </c>
      <c r="M383" s="34" t="s">
        <v>260</v>
      </c>
      <c r="N383" s="34" t="str">
        <f>IFERROR(__xludf.DUMMYFUNCTION("""COMPUTED_VALUE"""),"")</f>
        <v/>
      </c>
    </row>
    <row r="384">
      <c r="A384" s="34" t="str">
        <f>IFERROR(__xludf.DUMMYFUNCTION("""COMPUTED_VALUE"""),"")</f>
        <v/>
      </c>
      <c r="M384" s="34" t="s">
        <v>260</v>
      </c>
      <c r="N384" s="34" t="str">
        <f>IFERROR(__xludf.DUMMYFUNCTION("""COMPUTED_VALUE"""),"")</f>
        <v/>
      </c>
    </row>
    <row r="385">
      <c r="A385" s="34" t="str">
        <f>IFERROR(__xludf.DUMMYFUNCTION("""COMPUTED_VALUE"""),"")</f>
        <v/>
      </c>
      <c r="M385" s="34" t="s">
        <v>260</v>
      </c>
      <c r="N385" s="34" t="str">
        <f>IFERROR(__xludf.DUMMYFUNCTION("""COMPUTED_VALUE"""),"")</f>
        <v/>
      </c>
    </row>
    <row r="386">
      <c r="A386" s="34" t="str">
        <f>IFERROR(__xludf.DUMMYFUNCTION("""COMPUTED_VALUE"""),"")</f>
        <v/>
      </c>
      <c r="M386" s="34" t="s">
        <v>260</v>
      </c>
      <c r="N386" s="34" t="str">
        <f>IFERROR(__xludf.DUMMYFUNCTION("""COMPUTED_VALUE"""),"")</f>
        <v/>
      </c>
    </row>
    <row r="387">
      <c r="A387" s="34" t="str">
        <f>IFERROR(__xludf.DUMMYFUNCTION("""COMPUTED_VALUE"""),"")</f>
        <v/>
      </c>
      <c r="M387" s="34" t="s">
        <v>260</v>
      </c>
      <c r="N387" s="34" t="str">
        <f>IFERROR(__xludf.DUMMYFUNCTION("""COMPUTED_VALUE"""),"")</f>
        <v/>
      </c>
    </row>
    <row r="388">
      <c r="A388" s="34" t="str">
        <f>IFERROR(__xludf.DUMMYFUNCTION("""COMPUTED_VALUE"""),"")</f>
        <v/>
      </c>
      <c r="M388" s="34" t="s">
        <v>260</v>
      </c>
      <c r="N388" s="34" t="str">
        <f>IFERROR(__xludf.DUMMYFUNCTION("""COMPUTED_VALUE"""),"")</f>
        <v/>
      </c>
    </row>
    <row r="389">
      <c r="A389" s="34" t="str">
        <f>IFERROR(__xludf.DUMMYFUNCTION("""COMPUTED_VALUE"""),"")</f>
        <v/>
      </c>
      <c r="M389" s="34" t="s">
        <v>260</v>
      </c>
      <c r="N389" s="34" t="str">
        <f>IFERROR(__xludf.DUMMYFUNCTION("""COMPUTED_VALUE"""),"")</f>
        <v/>
      </c>
    </row>
    <row r="390">
      <c r="A390" s="34" t="str">
        <f>IFERROR(__xludf.DUMMYFUNCTION("""COMPUTED_VALUE"""),"")</f>
        <v/>
      </c>
      <c r="M390" s="34" t="s">
        <v>260</v>
      </c>
      <c r="N390" s="34" t="str">
        <f>IFERROR(__xludf.DUMMYFUNCTION("""COMPUTED_VALUE"""),"")</f>
        <v/>
      </c>
    </row>
    <row r="391">
      <c r="A391" s="34" t="str">
        <f>IFERROR(__xludf.DUMMYFUNCTION("""COMPUTED_VALUE"""),"")</f>
        <v/>
      </c>
      <c r="M391" s="34" t="s">
        <v>260</v>
      </c>
      <c r="N391" s="34" t="str">
        <f>IFERROR(__xludf.DUMMYFUNCTION("""COMPUTED_VALUE"""),"")</f>
        <v/>
      </c>
    </row>
    <row r="392">
      <c r="A392" s="34" t="str">
        <f>IFERROR(__xludf.DUMMYFUNCTION("""COMPUTED_VALUE"""),"")</f>
        <v/>
      </c>
      <c r="M392" s="34" t="s">
        <v>260</v>
      </c>
      <c r="N392" s="34" t="str">
        <f>IFERROR(__xludf.DUMMYFUNCTION("""COMPUTED_VALUE"""),"")</f>
        <v/>
      </c>
    </row>
    <row r="393">
      <c r="A393" s="34" t="str">
        <f>IFERROR(__xludf.DUMMYFUNCTION("""COMPUTED_VALUE"""),"")</f>
        <v/>
      </c>
      <c r="M393" s="34" t="s">
        <v>260</v>
      </c>
      <c r="N393" s="34" t="str">
        <f>IFERROR(__xludf.DUMMYFUNCTION("""COMPUTED_VALUE"""),"")</f>
        <v/>
      </c>
    </row>
    <row r="394">
      <c r="A394" s="34" t="str">
        <f>IFERROR(__xludf.DUMMYFUNCTION("""COMPUTED_VALUE"""),"")</f>
        <v/>
      </c>
      <c r="M394" s="34" t="s">
        <v>260</v>
      </c>
      <c r="N394" s="34" t="str">
        <f>IFERROR(__xludf.DUMMYFUNCTION("""COMPUTED_VALUE"""),"")</f>
        <v/>
      </c>
    </row>
    <row r="395">
      <c r="A395" s="34" t="str">
        <f>IFERROR(__xludf.DUMMYFUNCTION("""COMPUTED_VALUE"""),"")</f>
        <v/>
      </c>
      <c r="M395" s="34" t="s">
        <v>260</v>
      </c>
      <c r="N395" s="34" t="str">
        <f>IFERROR(__xludf.DUMMYFUNCTION("""COMPUTED_VALUE"""),"")</f>
        <v/>
      </c>
    </row>
    <row r="396">
      <c r="A396" s="34" t="str">
        <f>IFERROR(__xludf.DUMMYFUNCTION("""COMPUTED_VALUE"""),"")</f>
        <v/>
      </c>
      <c r="M396" s="34" t="s">
        <v>260</v>
      </c>
      <c r="N396" s="34" t="str">
        <f>IFERROR(__xludf.DUMMYFUNCTION("""COMPUTED_VALUE"""),"")</f>
        <v/>
      </c>
    </row>
    <row r="397">
      <c r="A397" s="34" t="str">
        <f>IFERROR(__xludf.DUMMYFUNCTION("""COMPUTED_VALUE"""),"")</f>
        <v/>
      </c>
      <c r="M397" s="34" t="s">
        <v>260</v>
      </c>
      <c r="N397" s="34" t="str">
        <f>IFERROR(__xludf.DUMMYFUNCTION("""COMPUTED_VALUE"""),"")</f>
        <v/>
      </c>
    </row>
    <row r="398">
      <c r="A398" s="34" t="str">
        <f>IFERROR(__xludf.DUMMYFUNCTION("""COMPUTED_VALUE"""),"")</f>
        <v/>
      </c>
      <c r="M398" s="34" t="s">
        <v>260</v>
      </c>
      <c r="N398" s="34" t="str">
        <f>IFERROR(__xludf.DUMMYFUNCTION("""COMPUTED_VALUE"""),"")</f>
        <v/>
      </c>
    </row>
    <row r="399">
      <c r="A399" s="34" t="str">
        <f>IFERROR(__xludf.DUMMYFUNCTION("""COMPUTED_VALUE"""),"")</f>
        <v/>
      </c>
      <c r="M399" s="34" t="s">
        <v>260</v>
      </c>
      <c r="N399" s="34" t="str">
        <f>IFERROR(__xludf.DUMMYFUNCTION("""COMPUTED_VALUE"""),"")</f>
        <v/>
      </c>
    </row>
    <row r="400">
      <c r="A400" s="34" t="str">
        <f>IFERROR(__xludf.DUMMYFUNCTION("""COMPUTED_VALUE"""),"")</f>
        <v/>
      </c>
      <c r="M400" s="34" t="s">
        <v>260</v>
      </c>
      <c r="N400" s="34" t="str">
        <f>IFERROR(__xludf.DUMMYFUNCTION("""COMPUTED_VALUE"""),"")</f>
        <v/>
      </c>
    </row>
    <row r="401">
      <c r="A401" s="34" t="str">
        <f>IFERROR(__xludf.DUMMYFUNCTION("""COMPUTED_VALUE"""),"")</f>
        <v/>
      </c>
      <c r="M401" s="34" t="s">
        <v>260</v>
      </c>
      <c r="N401" s="34" t="str">
        <f>IFERROR(__xludf.DUMMYFUNCTION("""COMPUTED_VALUE"""),"")</f>
        <v/>
      </c>
    </row>
    <row r="402">
      <c r="A402" s="34" t="str">
        <f>IFERROR(__xludf.DUMMYFUNCTION("""COMPUTED_VALUE"""),"")</f>
        <v/>
      </c>
      <c r="M402" s="34" t="s">
        <v>260</v>
      </c>
      <c r="N402" s="34" t="str">
        <f>IFERROR(__xludf.DUMMYFUNCTION("""COMPUTED_VALUE"""),"")</f>
        <v/>
      </c>
    </row>
    <row r="403">
      <c r="A403" s="34" t="str">
        <f>IFERROR(__xludf.DUMMYFUNCTION("""COMPUTED_VALUE"""),"")</f>
        <v/>
      </c>
      <c r="M403" s="34" t="s">
        <v>260</v>
      </c>
      <c r="N403" s="34" t="str">
        <f>IFERROR(__xludf.DUMMYFUNCTION("""COMPUTED_VALUE"""),"")</f>
        <v/>
      </c>
    </row>
    <row r="404">
      <c r="A404" s="34" t="str">
        <f>IFERROR(__xludf.DUMMYFUNCTION("""COMPUTED_VALUE"""),"")</f>
        <v/>
      </c>
      <c r="M404" s="34" t="s">
        <v>260</v>
      </c>
      <c r="N404" s="34" t="str">
        <f>IFERROR(__xludf.DUMMYFUNCTION("""COMPUTED_VALUE"""),"")</f>
        <v/>
      </c>
    </row>
    <row r="405">
      <c r="A405" s="34" t="str">
        <f>IFERROR(__xludf.DUMMYFUNCTION("""COMPUTED_VALUE"""),"")</f>
        <v/>
      </c>
      <c r="M405" s="34" t="s">
        <v>260</v>
      </c>
      <c r="N405" s="34" t="str">
        <f>IFERROR(__xludf.DUMMYFUNCTION("""COMPUTED_VALUE"""),"")</f>
        <v/>
      </c>
    </row>
    <row r="406">
      <c r="A406" s="34" t="str">
        <f>IFERROR(__xludf.DUMMYFUNCTION("""COMPUTED_VALUE"""),"")</f>
        <v/>
      </c>
      <c r="M406" s="34" t="s">
        <v>260</v>
      </c>
      <c r="N406" s="34" t="str">
        <f>IFERROR(__xludf.DUMMYFUNCTION("""COMPUTED_VALUE"""),"")</f>
        <v/>
      </c>
    </row>
    <row r="407">
      <c r="A407" s="34" t="str">
        <f>IFERROR(__xludf.DUMMYFUNCTION("""COMPUTED_VALUE"""),"")</f>
        <v/>
      </c>
      <c r="M407" s="34" t="s">
        <v>260</v>
      </c>
      <c r="N407" s="34" t="str">
        <f>IFERROR(__xludf.DUMMYFUNCTION("""COMPUTED_VALUE"""),"")</f>
        <v/>
      </c>
    </row>
    <row r="408">
      <c r="A408" s="34" t="str">
        <f>IFERROR(__xludf.DUMMYFUNCTION("""COMPUTED_VALUE"""),"")</f>
        <v/>
      </c>
      <c r="M408" s="34" t="s">
        <v>260</v>
      </c>
      <c r="N408" s="34" t="str">
        <f>IFERROR(__xludf.DUMMYFUNCTION("""COMPUTED_VALUE"""),"")</f>
        <v/>
      </c>
    </row>
    <row r="409">
      <c r="A409" s="34" t="str">
        <f>IFERROR(__xludf.DUMMYFUNCTION("""COMPUTED_VALUE"""),"")</f>
        <v/>
      </c>
      <c r="M409" s="34" t="s">
        <v>260</v>
      </c>
      <c r="N409" s="34" t="str">
        <f>IFERROR(__xludf.DUMMYFUNCTION("""COMPUTED_VALUE"""),"")</f>
        <v/>
      </c>
    </row>
    <row r="410">
      <c r="A410" s="34" t="str">
        <f>IFERROR(__xludf.DUMMYFUNCTION("""COMPUTED_VALUE"""),"")</f>
        <v/>
      </c>
      <c r="M410" s="34" t="s">
        <v>260</v>
      </c>
      <c r="N410" s="34" t="str">
        <f>IFERROR(__xludf.DUMMYFUNCTION("""COMPUTED_VALUE"""),"")</f>
        <v/>
      </c>
    </row>
    <row r="411">
      <c r="A411" s="34" t="str">
        <f>IFERROR(__xludf.DUMMYFUNCTION("""COMPUTED_VALUE"""),"")</f>
        <v/>
      </c>
      <c r="M411" s="34" t="s">
        <v>260</v>
      </c>
      <c r="N411" s="34" t="str">
        <f>IFERROR(__xludf.DUMMYFUNCTION("""COMPUTED_VALUE"""),"")</f>
        <v/>
      </c>
    </row>
    <row r="412">
      <c r="A412" s="34" t="str">
        <f>IFERROR(__xludf.DUMMYFUNCTION("""COMPUTED_VALUE"""),"")</f>
        <v/>
      </c>
      <c r="M412" s="34" t="s">
        <v>260</v>
      </c>
      <c r="N412" s="34" t="str">
        <f>IFERROR(__xludf.DUMMYFUNCTION("""COMPUTED_VALUE"""),"")</f>
        <v/>
      </c>
    </row>
    <row r="413">
      <c r="A413" s="34" t="str">
        <f>IFERROR(__xludf.DUMMYFUNCTION("""COMPUTED_VALUE"""),"")</f>
        <v/>
      </c>
      <c r="M413" s="34" t="s">
        <v>260</v>
      </c>
      <c r="N413" s="34" t="str">
        <f>IFERROR(__xludf.DUMMYFUNCTION("""COMPUTED_VALUE"""),"")</f>
        <v/>
      </c>
    </row>
    <row r="414">
      <c r="A414" s="34" t="str">
        <f>IFERROR(__xludf.DUMMYFUNCTION("""COMPUTED_VALUE"""),"")</f>
        <v/>
      </c>
      <c r="M414" s="34" t="s">
        <v>260</v>
      </c>
      <c r="N414" s="34" t="str">
        <f>IFERROR(__xludf.DUMMYFUNCTION("""COMPUTED_VALUE"""),"")</f>
        <v/>
      </c>
    </row>
    <row r="415">
      <c r="A415" s="34" t="str">
        <f>IFERROR(__xludf.DUMMYFUNCTION("""COMPUTED_VALUE"""),"")</f>
        <v/>
      </c>
      <c r="M415" s="34" t="s">
        <v>260</v>
      </c>
      <c r="N415" s="34" t="str">
        <f>IFERROR(__xludf.DUMMYFUNCTION("""COMPUTED_VALUE"""),"")</f>
        <v/>
      </c>
    </row>
    <row r="416">
      <c r="A416" s="34" t="str">
        <f>IFERROR(__xludf.DUMMYFUNCTION("""COMPUTED_VALUE"""),"")</f>
        <v/>
      </c>
      <c r="M416" s="34" t="s">
        <v>260</v>
      </c>
      <c r="N416" s="34" t="str">
        <f>IFERROR(__xludf.DUMMYFUNCTION("""COMPUTED_VALUE"""),"")</f>
        <v/>
      </c>
    </row>
    <row r="417">
      <c r="A417" s="34" t="str">
        <f>IFERROR(__xludf.DUMMYFUNCTION("""COMPUTED_VALUE"""),"")</f>
        <v/>
      </c>
      <c r="M417" s="34" t="s">
        <v>260</v>
      </c>
      <c r="N417" s="34" t="str">
        <f>IFERROR(__xludf.DUMMYFUNCTION("""COMPUTED_VALUE"""),"")</f>
        <v/>
      </c>
    </row>
    <row r="418">
      <c r="A418" s="34" t="str">
        <f>IFERROR(__xludf.DUMMYFUNCTION("""COMPUTED_VALUE"""),"")</f>
        <v/>
      </c>
      <c r="M418" s="34" t="s">
        <v>260</v>
      </c>
      <c r="N418" s="34" t="str">
        <f>IFERROR(__xludf.DUMMYFUNCTION("""COMPUTED_VALUE"""),"")</f>
        <v/>
      </c>
    </row>
    <row r="419">
      <c r="A419" s="34" t="str">
        <f>IFERROR(__xludf.DUMMYFUNCTION("""COMPUTED_VALUE"""),"")</f>
        <v/>
      </c>
      <c r="M419" s="34" t="s">
        <v>260</v>
      </c>
      <c r="N419" s="34" t="str">
        <f>IFERROR(__xludf.DUMMYFUNCTION("""COMPUTED_VALUE"""),"")</f>
        <v/>
      </c>
    </row>
    <row r="420">
      <c r="A420" s="34" t="str">
        <f>IFERROR(__xludf.DUMMYFUNCTION("""COMPUTED_VALUE"""),"")</f>
        <v/>
      </c>
      <c r="M420" s="34" t="s">
        <v>260</v>
      </c>
      <c r="N420" s="34" t="str">
        <f>IFERROR(__xludf.DUMMYFUNCTION("""COMPUTED_VALUE"""),"")</f>
        <v/>
      </c>
    </row>
    <row r="421">
      <c r="A421" s="34" t="str">
        <f>IFERROR(__xludf.DUMMYFUNCTION("""COMPUTED_VALUE"""),"")</f>
        <v/>
      </c>
      <c r="M421" s="34" t="s">
        <v>260</v>
      </c>
      <c r="N421" s="34" t="str">
        <f>IFERROR(__xludf.DUMMYFUNCTION("""COMPUTED_VALUE"""),"")</f>
        <v/>
      </c>
    </row>
    <row r="422">
      <c r="A422" s="34" t="str">
        <f>IFERROR(__xludf.DUMMYFUNCTION("""COMPUTED_VALUE"""),"")</f>
        <v/>
      </c>
      <c r="M422" s="34" t="s">
        <v>260</v>
      </c>
      <c r="N422" s="34" t="str">
        <f>IFERROR(__xludf.DUMMYFUNCTION("""COMPUTED_VALUE"""),"")</f>
        <v/>
      </c>
    </row>
    <row r="423">
      <c r="A423" s="34" t="str">
        <f>IFERROR(__xludf.DUMMYFUNCTION("""COMPUTED_VALUE"""),"")</f>
        <v/>
      </c>
      <c r="M423" s="34" t="s">
        <v>260</v>
      </c>
      <c r="N423" s="34" t="str">
        <f>IFERROR(__xludf.DUMMYFUNCTION("""COMPUTED_VALUE"""),"")</f>
        <v/>
      </c>
    </row>
    <row r="424">
      <c r="A424" s="34" t="str">
        <f>IFERROR(__xludf.DUMMYFUNCTION("""COMPUTED_VALUE"""),"")</f>
        <v/>
      </c>
      <c r="M424" s="34" t="s">
        <v>260</v>
      </c>
      <c r="N424" s="34" t="str">
        <f>IFERROR(__xludf.DUMMYFUNCTION("""COMPUTED_VALUE"""),"")</f>
        <v/>
      </c>
    </row>
    <row r="425">
      <c r="A425" s="34" t="str">
        <f>IFERROR(__xludf.DUMMYFUNCTION("""COMPUTED_VALUE"""),"")</f>
        <v/>
      </c>
      <c r="M425" s="34" t="s">
        <v>260</v>
      </c>
      <c r="N425" s="34" t="str">
        <f>IFERROR(__xludf.DUMMYFUNCTION("""COMPUTED_VALUE"""),"")</f>
        <v/>
      </c>
    </row>
    <row r="426">
      <c r="A426" s="34" t="str">
        <f>IFERROR(__xludf.DUMMYFUNCTION("""COMPUTED_VALUE"""),"")</f>
        <v/>
      </c>
      <c r="M426" s="34" t="s">
        <v>260</v>
      </c>
      <c r="N426" s="34" t="str">
        <f>IFERROR(__xludf.DUMMYFUNCTION("""COMPUTED_VALUE"""),"")</f>
        <v/>
      </c>
    </row>
    <row r="427">
      <c r="A427" s="34" t="str">
        <f>IFERROR(__xludf.DUMMYFUNCTION("""COMPUTED_VALUE"""),"")</f>
        <v/>
      </c>
      <c r="M427" s="34" t="s">
        <v>260</v>
      </c>
      <c r="N427" s="34" t="str">
        <f>IFERROR(__xludf.DUMMYFUNCTION("""COMPUTED_VALUE"""),"")</f>
        <v/>
      </c>
    </row>
    <row r="428">
      <c r="A428" s="34" t="str">
        <f>IFERROR(__xludf.DUMMYFUNCTION("""COMPUTED_VALUE"""),"")</f>
        <v/>
      </c>
      <c r="M428" s="34" t="s">
        <v>260</v>
      </c>
      <c r="N428" s="34" t="str">
        <f>IFERROR(__xludf.DUMMYFUNCTION("""COMPUTED_VALUE"""),"")</f>
        <v/>
      </c>
    </row>
    <row r="429">
      <c r="A429" s="34" t="str">
        <f>IFERROR(__xludf.DUMMYFUNCTION("""COMPUTED_VALUE"""),"")</f>
        <v/>
      </c>
      <c r="M429" s="34" t="s">
        <v>260</v>
      </c>
      <c r="N429" s="34" t="str">
        <f>IFERROR(__xludf.DUMMYFUNCTION("""COMPUTED_VALUE"""),"")</f>
        <v/>
      </c>
    </row>
    <row r="430">
      <c r="A430" s="34" t="str">
        <f>IFERROR(__xludf.DUMMYFUNCTION("""COMPUTED_VALUE"""),"")</f>
        <v/>
      </c>
      <c r="M430" s="34" t="s">
        <v>260</v>
      </c>
      <c r="N430" s="34" t="str">
        <f>IFERROR(__xludf.DUMMYFUNCTION("""COMPUTED_VALUE"""),"")</f>
        <v/>
      </c>
    </row>
    <row r="431">
      <c r="A431" s="34" t="str">
        <f>IFERROR(__xludf.DUMMYFUNCTION("""COMPUTED_VALUE"""),"")</f>
        <v/>
      </c>
      <c r="M431" s="34" t="s">
        <v>260</v>
      </c>
      <c r="N431" s="34" t="str">
        <f>IFERROR(__xludf.DUMMYFUNCTION("""COMPUTED_VALUE"""),"")</f>
        <v/>
      </c>
    </row>
    <row r="432">
      <c r="A432" s="34" t="str">
        <f>IFERROR(__xludf.DUMMYFUNCTION("""COMPUTED_VALUE"""),"")</f>
        <v/>
      </c>
      <c r="M432" s="34" t="s">
        <v>260</v>
      </c>
      <c r="N432" s="34" t="str">
        <f>IFERROR(__xludf.DUMMYFUNCTION("""COMPUTED_VALUE"""),"")</f>
        <v/>
      </c>
    </row>
    <row r="433">
      <c r="A433" s="34" t="str">
        <f>IFERROR(__xludf.DUMMYFUNCTION("""COMPUTED_VALUE"""),"")</f>
        <v/>
      </c>
      <c r="M433" s="34" t="s">
        <v>260</v>
      </c>
      <c r="N433" s="34" t="str">
        <f>IFERROR(__xludf.DUMMYFUNCTION("""COMPUTED_VALUE"""),"")</f>
        <v/>
      </c>
    </row>
    <row r="434">
      <c r="A434" s="34" t="str">
        <f>IFERROR(__xludf.DUMMYFUNCTION("""COMPUTED_VALUE"""),"")</f>
        <v/>
      </c>
      <c r="M434" s="34" t="s">
        <v>260</v>
      </c>
      <c r="N434" s="34" t="str">
        <f>IFERROR(__xludf.DUMMYFUNCTION("""COMPUTED_VALUE"""),"")</f>
        <v/>
      </c>
    </row>
    <row r="435">
      <c r="A435" s="34" t="str">
        <f>IFERROR(__xludf.DUMMYFUNCTION("""COMPUTED_VALUE"""),"")</f>
        <v/>
      </c>
      <c r="M435" s="34" t="s">
        <v>260</v>
      </c>
      <c r="N435" s="34" t="str">
        <f>IFERROR(__xludf.DUMMYFUNCTION("""COMPUTED_VALUE"""),"")</f>
        <v/>
      </c>
    </row>
    <row r="436">
      <c r="A436" s="34" t="str">
        <f>IFERROR(__xludf.DUMMYFUNCTION("""COMPUTED_VALUE"""),"")</f>
        <v/>
      </c>
      <c r="M436" s="34" t="s">
        <v>260</v>
      </c>
      <c r="N436" s="34" t="str">
        <f>IFERROR(__xludf.DUMMYFUNCTION("""COMPUTED_VALUE"""),"")</f>
        <v/>
      </c>
    </row>
    <row r="437">
      <c r="A437" s="34" t="str">
        <f>IFERROR(__xludf.DUMMYFUNCTION("""COMPUTED_VALUE"""),"")</f>
        <v/>
      </c>
      <c r="M437" s="34" t="s">
        <v>260</v>
      </c>
      <c r="N437" s="34" t="str">
        <f>IFERROR(__xludf.DUMMYFUNCTION("""COMPUTED_VALUE"""),"")</f>
        <v/>
      </c>
    </row>
    <row r="438">
      <c r="A438" s="34" t="str">
        <f>IFERROR(__xludf.DUMMYFUNCTION("""COMPUTED_VALUE"""),"")</f>
        <v/>
      </c>
      <c r="M438" s="34" t="s">
        <v>260</v>
      </c>
      <c r="N438" s="34" t="str">
        <f>IFERROR(__xludf.DUMMYFUNCTION("""COMPUTED_VALUE"""),"")</f>
        <v/>
      </c>
    </row>
    <row r="439">
      <c r="A439" s="34" t="str">
        <f>IFERROR(__xludf.DUMMYFUNCTION("""COMPUTED_VALUE"""),"")</f>
        <v/>
      </c>
      <c r="M439" s="34" t="s">
        <v>260</v>
      </c>
      <c r="N439" s="34" t="str">
        <f>IFERROR(__xludf.DUMMYFUNCTION("""COMPUTED_VALUE"""),"")</f>
        <v/>
      </c>
    </row>
    <row r="440">
      <c r="A440" s="34" t="str">
        <f>IFERROR(__xludf.DUMMYFUNCTION("""COMPUTED_VALUE"""),"")</f>
        <v/>
      </c>
      <c r="M440" s="34" t="s">
        <v>260</v>
      </c>
      <c r="N440" s="34" t="str">
        <f>IFERROR(__xludf.DUMMYFUNCTION("""COMPUTED_VALUE"""),"")</f>
        <v/>
      </c>
    </row>
    <row r="441">
      <c r="A441" s="34" t="str">
        <f>IFERROR(__xludf.DUMMYFUNCTION("""COMPUTED_VALUE"""),"")</f>
        <v/>
      </c>
      <c r="M441" s="34" t="s">
        <v>260</v>
      </c>
      <c r="N441" s="34" t="str">
        <f>IFERROR(__xludf.DUMMYFUNCTION("""COMPUTED_VALUE"""),"")</f>
        <v/>
      </c>
    </row>
    <row r="442">
      <c r="A442" s="34" t="str">
        <f>IFERROR(__xludf.DUMMYFUNCTION("""COMPUTED_VALUE"""),"")</f>
        <v/>
      </c>
      <c r="M442" s="34" t="s">
        <v>260</v>
      </c>
      <c r="N442" s="34" t="str">
        <f>IFERROR(__xludf.DUMMYFUNCTION("""COMPUTED_VALUE"""),"")</f>
        <v/>
      </c>
    </row>
    <row r="443">
      <c r="A443" s="34" t="str">
        <f>IFERROR(__xludf.DUMMYFUNCTION("""COMPUTED_VALUE"""),"")</f>
        <v/>
      </c>
      <c r="M443" s="34" t="s">
        <v>260</v>
      </c>
      <c r="N443" s="34" t="str">
        <f>IFERROR(__xludf.DUMMYFUNCTION("""COMPUTED_VALUE"""),"")</f>
        <v/>
      </c>
    </row>
    <row r="444">
      <c r="A444" s="34" t="str">
        <f>IFERROR(__xludf.DUMMYFUNCTION("""COMPUTED_VALUE"""),"")</f>
        <v/>
      </c>
      <c r="M444" s="34" t="s">
        <v>260</v>
      </c>
      <c r="N444" s="34" t="str">
        <f>IFERROR(__xludf.DUMMYFUNCTION("""COMPUTED_VALUE"""),"")</f>
        <v/>
      </c>
    </row>
    <row r="445">
      <c r="A445" s="34" t="str">
        <f>IFERROR(__xludf.DUMMYFUNCTION("""COMPUTED_VALUE"""),"")</f>
        <v/>
      </c>
      <c r="M445" s="34" t="s">
        <v>260</v>
      </c>
      <c r="N445" s="34" t="str">
        <f>IFERROR(__xludf.DUMMYFUNCTION("""COMPUTED_VALUE"""),"")</f>
        <v/>
      </c>
    </row>
    <row r="446">
      <c r="A446" s="34" t="str">
        <f>IFERROR(__xludf.DUMMYFUNCTION("""COMPUTED_VALUE"""),"")</f>
        <v/>
      </c>
      <c r="M446" s="34" t="s">
        <v>260</v>
      </c>
      <c r="N446" s="34" t="str">
        <f>IFERROR(__xludf.DUMMYFUNCTION("""COMPUTED_VALUE"""),"")</f>
        <v/>
      </c>
    </row>
    <row r="447">
      <c r="A447" s="34" t="str">
        <f>IFERROR(__xludf.DUMMYFUNCTION("""COMPUTED_VALUE"""),"")</f>
        <v/>
      </c>
      <c r="M447" s="34" t="s">
        <v>260</v>
      </c>
      <c r="N447" s="34" t="str">
        <f>IFERROR(__xludf.DUMMYFUNCTION("""COMPUTED_VALUE"""),"")</f>
        <v/>
      </c>
    </row>
    <row r="448">
      <c r="A448" s="34" t="str">
        <f>IFERROR(__xludf.DUMMYFUNCTION("""COMPUTED_VALUE"""),"")</f>
        <v/>
      </c>
      <c r="M448" s="34" t="s">
        <v>260</v>
      </c>
      <c r="N448" s="34" t="str">
        <f>IFERROR(__xludf.DUMMYFUNCTION("""COMPUTED_VALUE"""),"")</f>
        <v/>
      </c>
    </row>
    <row r="449">
      <c r="A449" s="34" t="str">
        <f>IFERROR(__xludf.DUMMYFUNCTION("""COMPUTED_VALUE"""),"")</f>
        <v/>
      </c>
      <c r="M449" s="34" t="s">
        <v>260</v>
      </c>
      <c r="N449" s="34" t="str">
        <f>IFERROR(__xludf.DUMMYFUNCTION("""COMPUTED_VALUE"""),"")</f>
        <v/>
      </c>
    </row>
    <row r="450">
      <c r="A450" s="34" t="str">
        <f>IFERROR(__xludf.DUMMYFUNCTION("""COMPUTED_VALUE"""),"")</f>
        <v/>
      </c>
      <c r="M450" s="34" t="s">
        <v>260</v>
      </c>
      <c r="N450" s="34" t="str">
        <f>IFERROR(__xludf.DUMMYFUNCTION("""COMPUTED_VALUE"""),"")</f>
        <v/>
      </c>
    </row>
    <row r="451">
      <c r="A451" s="34" t="str">
        <f>IFERROR(__xludf.DUMMYFUNCTION("""COMPUTED_VALUE"""),"")</f>
        <v/>
      </c>
      <c r="M451" s="34" t="s">
        <v>260</v>
      </c>
      <c r="N451" s="34" t="str">
        <f>IFERROR(__xludf.DUMMYFUNCTION("""COMPUTED_VALUE"""),"")</f>
        <v/>
      </c>
    </row>
    <row r="452">
      <c r="A452" s="34" t="str">
        <f>IFERROR(__xludf.DUMMYFUNCTION("""COMPUTED_VALUE"""),"")</f>
        <v/>
      </c>
      <c r="M452" s="34" t="s">
        <v>260</v>
      </c>
      <c r="N452" s="34" t="str">
        <f>IFERROR(__xludf.DUMMYFUNCTION("""COMPUTED_VALUE"""),"")</f>
        <v/>
      </c>
    </row>
    <row r="453">
      <c r="A453" s="34" t="str">
        <f>IFERROR(__xludf.DUMMYFUNCTION("""COMPUTED_VALUE"""),"")</f>
        <v/>
      </c>
      <c r="M453" s="34" t="s">
        <v>260</v>
      </c>
      <c r="N453" s="34" t="str">
        <f>IFERROR(__xludf.DUMMYFUNCTION("""COMPUTED_VALUE"""),"")</f>
        <v/>
      </c>
    </row>
    <row r="454">
      <c r="A454" s="34" t="str">
        <f>IFERROR(__xludf.DUMMYFUNCTION("""COMPUTED_VALUE"""),"")</f>
        <v/>
      </c>
      <c r="M454" s="34" t="s">
        <v>260</v>
      </c>
      <c r="N454" s="34" t="str">
        <f>IFERROR(__xludf.DUMMYFUNCTION("""COMPUTED_VALUE"""),"")</f>
        <v/>
      </c>
    </row>
    <row r="455">
      <c r="A455" s="34" t="str">
        <f>IFERROR(__xludf.DUMMYFUNCTION("""COMPUTED_VALUE"""),"")</f>
        <v/>
      </c>
      <c r="M455" s="34" t="s">
        <v>260</v>
      </c>
      <c r="N455" s="34" t="str">
        <f>IFERROR(__xludf.DUMMYFUNCTION("""COMPUTED_VALUE"""),"")</f>
        <v/>
      </c>
    </row>
    <row r="456">
      <c r="A456" s="34" t="str">
        <f>IFERROR(__xludf.DUMMYFUNCTION("""COMPUTED_VALUE"""),"")</f>
        <v/>
      </c>
      <c r="M456" s="34" t="s">
        <v>260</v>
      </c>
      <c r="N456" s="34" t="str">
        <f>IFERROR(__xludf.DUMMYFUNCTION("""COMPUTED_VALUE"""),"")</f>
        <v/>
      </c>
    </row>
    <row r="457">
      <c r="A457" s="34" t="str">
        <f>IFERROR(__xludf.DUMMYFUNCTION("""COMPUTED_VALUE"""),"")</f>
        <v/>
      </c>
      <c r="M457" s="34" t="s">
        <v>260</v>
      </c>
      <c r="N457" s="34" t="str">
        <f>IFERROR(__xludf.DUMMYFUNCTION("""COMPUTED_VALUE"""),"")</f>
        <v/>
      </c>
    </row>
    <row r="458">
      <c r="A458" s="34" t="str">
        <f>IFERROR(__xludf.DUMMYFUNCTION("""COMPUTED_VALUE"""),"")</f>
        <v/>
      </c>
      <c r="M458" s="34" t="s">
        <v>260</v>
      </c>
      <c r="N458" s="34" t="str">
        <f>IFERROR(__xludf.DUMMYFUNCTION("""COMPUTED_VALUE"""),"")</f>
        <v/>
      </c>
    </row>
    <row r="459">
      <c r="A459" s="34" t="str">
        <f>IFERROR(__xludf.DUMMYFUNCTION("""COMPUTED_VALUE"""),"")</f>
        <v/>
      </c>
      <c r="M459" s="34" t="s">
        <v>260</v>
      </c>
      <c r="N459" s="34" t="str">
        <f>IFERROR(__xludf.DUMMYFUNCTION("""COMPUTED_VALUE"""),"")</f>
        <v/>
      </c>
    </row>
    <row r="460">
      <c r="A460" s="34" t="str">
        <f>IFERROR(__xludf.DUMMYFUNCTION("""COMPUTED_VALUE"""),"")</f>
        <v/>
      </c>
      <c r="M460" s="34" t="s">
        <v>260</v>
      </c>
      <c r="N460" s="34" t="str">
        <f>IFERROR(__xludf.DUMMYFUNCTION("""COMPUTED_VALUE"""),"")</f>
        <v/>
      </c>
    </row>
    <row r="461">
      <c r="A461" s="34" t="str">
        <f>IFERROR(__xludf.DUMMYFUNCTION("""COMPUTED_VALUE"""),"")</f>
        <v/>
      </c>
      <c r="M461" s="34" t="s">
        <v>260</v>
      </c>
      <c r="N461" s="34" t="str">
        <f>IFERROR(__xludf.DUMMYFUNCTION("""COMPUTED_VALUE"""),"")</f>
        <v/>
      </c>
    </row>
    <row r="462">
      <c r="A462" s="34" t="str">
        <f>IFERROR(__xludf.DUMMYFUNCTION("""COMPUTED_VALUE"""),"")</f>
        <v/>
      </c>
      <c r="M462" s="34" t="s">
        <v>260</v>
      </c>
      <c r="N462" s="34" t="str">
        <f>IFERROR(__xludf.DUMMYFUNCTION("""COMPUTED_VALUE"""),"")</f>
        <v/>
      </c>
    </row>
    <row r="463">
      <c r="A463" s="34" t="str">
        <f>IFERROR(__xludf.DUMMYFUNCTION("""COMPUTED_VALUE"""),"")</f>
        <v/>
      </c>
      <c r="M463" s="34" t="s">
        <v>260</v>
      </c>
      <c r="N463" s="34" t="str">
        <f>IFERROR(__xludf.DUMMYFUNCTION("""COMPUTED_VALUE"""),"")</f>
        <v/>
      </c>
    </row>
    <row r="464">
      <c r="A464" s="34" t="str">
        <f>IFERROR(__xludf.DUMMYFUNCTION("""COMPUTED_VALUE"""),"")</f>
        <v/>
      </c>
      <c r="M464" s="34" t="s">
        <v>260</v>
      </c>
      <c r="N464" s="34" t="str">
        <f>IFERROR(__xludf.DUMMYFUNCTION("""COMPUTED_VALUE"""),"")</f>
        <v/>
      </c>
    </row>
    <row r="465">
      <c r="A465" s="34" t="str">
        <f>IFERROR(__xludf.DUMMYFUNCTION("""COMPUTED_VALUE"""),"")</f>
        <v/>
      </c>
      <c r="M465" s="34" t="s">
        <v>260</v>
      </c>
      <c r="N465" s="34" t="str">
        <f>IFERROR(__xludf.DUMMYFUNCTION("""COMPUTED_VALUE"""),"")</f>
        <v/>
      </c>
    </row>
    <row r="466">
      <c r="A466" s="34" t="str">
        <f>IFERROR(__xludf.DUMMYFUNCTION("""COMPUTED_VALUE"""),"")</f>
        <v/>
      </c>
      <c r="M466" s="34" t="s">
        <v>260</v>
      </c>
      <c r="N466" s="34" t="str">
        <f>IFERROR(__xludf.DUMMYFUNCTION("""COMPUTED_VALUE"""),"")</f>
        <v/>
      </c>
    </row>
    <row r="467">
      <c r="A467" s="34" t="str">
        <f>IFERROR(__xludf.DUMMYFUNCTION("""COMPUTED_VALUE"""),"")</f>
        <v/>
      </c>
      <c r="M467" s="34" t="s">
        <v>260</v>
      </c>
      <c r="N467" s="34" t="str">
        <f>IFERROR(__xludf.DUMMYFUNCTION("""COMPUTED_VALUE"""),"")</f>
        <v/>
      </c>
    </row>
    <row r="468">
      <c r="A468" s="34" t="str">
        <f>IFERROR(__xludf.DUMMYFUNCTION("""COMPUTED_VALUE"""),"")</f>
        <v/>
      </c>
      <c r="M468" s="34" t="s">
        <v>260</v>
      </c>
      <c r="N468" s="34" t="str">
        <f>IFERROR(__xludf.DUMMYFUNCTION("""COMPUTED_VALUE"""),"")</f>
        <v/>
      </c>
    </row>
    <row r="469">
      <c r="A469" s="34" t="str">
        <f>IFERROR(__xludf.DUMMYFUNCTION("""COMPUTED_VALUE"""),"")</f>
        <v/>
      </c>
      <c r="M469" s="34" t="s">
        <v>260</v>
      </c>
      <c r="N469" s="34" t="str">
        <f>IFERROR(__xludf.DUMMYFUNCTION("""COMPUTED_VALUE"""),"")</f>
        <v/>
      </c>
    </row>
    <row r="470">
      <c r="A470" s="34" t="str">
        <f>IFERROR(__xludf.DUMMYFUNCTION("""COMPUTED_VALUE"""),"")</f>
        <v/>
      </c>
      <c r="M470" s="34" t="s">
        <v>260</v>
      </c>
      <c r="N470" s="34" t="str">
        <f>IFERROR(__xludf.DUMMYFUNCTION("""COMPUTED_VALUE"""),"")</f>
        <v/>
      </c>
    </row>
    <row r="471">
      <c r="A471" s="34" t="str">
        <f>IFERROR(__xludf.DUMMYFUNCTION("""COMPUTED_VALUE"""),"")</f>
        <v/>
      </c>
      <c r="M471" s="34" t="s">
        <v>260</v>
      </c>
      <c r="N471" s="34" t="str">
        <f>IFERROR(__xludf.DUMMYFUNCTION("""COMPUTED_VALUE"""),"")</f>
        <v/>
      </c>
    </row>
    <row r="472">
      <c r="A472" s="34" t="str">
        <f>IFERROR(__xludf.DUMMYFUNCTION("""COMPUTED_VALUE"""),"")</f>
        <v/>
      </c>
      <c r="M472" s="34" t="s">
        <v>260</v>
      </c>
      <c r="N472" s="34" t="str">
        <f>IFERROR(__xludf.DUMMYFUNCTION("""COMPUTED_VALUE"""),"")</f>
        <v/>
      </c>
    </row>
    <row r="473">
      <c r="A473" s="34" t="str">
        <f>IFERROR(__xludf.DUMMYFUNCTION("""COMPUTED_VALUE"""),"")</f>
        <v/>
      </c>
      <c r="M473" s="34" t="s">
        <v>260</v>
      </c>
      <c r="N473" s="34" t="str">
        <f>IFERROR(__xludf.DUMMYFUNCTION("""COMPUTED_VALUE"""),"")</f>
        <v/>
      </c>
    </row>
    <row r="474">
      <c r="A474" s="34" t="str">
        <f>IFERROR(__xludf.DUMMYFUNCTION("""COMPUTED_VALUE"""),"")</f>
        <v/>
      </c>
      <c r="M474" s="34" t="s">
        <v>260</v>
      </c>
      <c r="N474" s="34" t="str">
        <f>IFERROR(__xludf.DUMMYFUNCTION("""COMPUTED_VALUE"""),"")</f>
        <v/>
      </c>
    </row>
    <row r="475">
      <c r="A475" s="34" t="str">
        <f>IFERROR(__xludf.DUMMYFUNCTION("""COMPUTED_VALUE"""),"")</f>
        <v/>
      </c>
      <c r="M475" s="34" t="s">
        <v>260</v>
      </c>
      <c r="N475" s="34" t="str">
        <f>IFERROR(__xludf.DUMMYFUNCTION("""COMPUTED_VALUE"""),"")</f>
        <v/>
      </c>
    </row>
    <row r="476">
      <c r="A476" s="34" t="str">
        <f>IFERROR(__xludf.DUMMYFUNCTION("""COMPUTED_VALUE"""),"")</f>
        <v/>
      </c>
      <c r="M476" s="34" t="s">
        <v>260</v>
      </c>
      <c r="N476" s="34" t="str">
        <f>IFERROR(__xludf.DUMMYFUNCTION("""COMPUTED_VALUE"""),"")</f>
        <v/>
      </c>
    </row>
    <row r="477">
      <c r="A477" s="34" t="str">
        <f>IFERROR(__xludf.DUMMYFUNCTION("""COMPUTED_VALUE"""),"")</f>
        <v/>
      </c>
      <c r="M477" s="34" t="s">
        <v>260</v>
      </c>
      <c r="N477" s="34" t="str">
        <f>IFERROR(__xludf.DUMMYFUNCTION("""COMPUTED_VALUE"""),"")</f>
        <v/>
      </c>
    </row>
    <row r="478">
      <c r="A478" s="34" t="str">
        <f>IFERROR(__xludf.DUMMYFUNCTION("""COMPUTED_VALUE"""),"")</f>
        <v/>
      </c>
      <c r="M478" s="34" t="s">
        <v>260</v>
      </c>
      <c r="N478" s="34" t="str">
        <f>IFERROR(__xludf.DUMMYFUNCTION("""COMPUTED_VALUE"""),"")</f>
        <v/>
      </c>
    </row>
    <row r="479">
      <c r="A479" s="34" t="str">
        <f>IFERROR(__xludf.DUMMYFUNCTION("""COMPUTED_VALUE"""),"")</f>
        <v/>
      </c>
      <c r="M479" s="34" t="s">
        <v>260</v>
      </c>
      <c r="N479" s="34" t="str">
        <f>IFERROR(__xludf.DUMMYFUNCTION("""COMPUTED_VALUE"""),"")</f>
        <v/>
      </c>
    </row>
    <row r="480">
      <c r="A480" s="34" t="str">
        <f>IFERROR(__xludf.DUMMYFUNCTION("""COMPUTED_VALUE"""),"")</f>
        <v/>
      </c>
      <c r="M480" s="34" t="s">
        <v>260</v>
      </c>
      <c r="N480" s="34" t="str">
        <f>IFERROR(__xludf.DUMMYFUNCTION("""COMPUTED_VALUE"""),"")</f>
        <v/>
      </c>
    </row>
    <row r="481">
      <c r="A481" s="34" t="str">
        <f>IFERROR(__xludf.DUMMYFUNCTION("""COMPUTED_VALUE"""),"")</f>
        <v/>
      </c>
      <c r="M481" s="34" t="s">
        <v>260</v>
      </c>
      <c r="N481" s="34" t="str">
        <f>IFERROR(__xludf.DUMMYFUNCTION("""COMPUTED_VALUE"""),"")</f>
        <v/>
      </c>
    </row>
    <row r="482">
      <c r="A482" s="34" t="str">
        <f>IFERROR(__xludf.DUMMYFUNCTION("""COMPUTED_VALUE"""),"")</f>
        <v/>
      </c>
      <c r="M482" s="34" t="s">
        <v>260</v>
      </c>
      <c r="N482" s="34" t="str">
        <f>IFERROR(__xludf.DUMMYFUNCTION("""COMPUTED_VALUE"""),"")</f>
        <v/>
      </c>
    </row>
    <row r="483">
      <c r="A483" s="34" t="str">
        <f>IFERROR(__xludf.DUMMYFUNCTION("""COMPUTED_VALUE"""),"")</f>
        <v/>
      </c>
      <c r="M483" s="34" t="s">
        <v>260</v>
      </c>
      <c r="N483" s="34" t="str">
        <f>IFERROR(__xludf.DUMMYFUNCTION("""COMPUTED_VALUE"""),"")</f>
        <v/>
      </c>
    </row>
    <row r="484">
      <c r="A484" s="34" t="str">
        <f>IFERROR(__xludf.DUMMYFUNCTION("""COMPUTED_VALUE"""),"")</f>
        <v/>
      </c>
      <c r="M484" s="34" t="s">
        <v>260</v>
      </c>
      <c r="N484" s="34" t="str">
        <f>IFERROR(__xludf.DUMMYFUNCTION("""COMPUTED_VALUE"""),"")</f>
        <v/>
      </c>
    </row>
    <row r="485">
      <c r="A485" s="34" t="str">
        <f>IFERROR(__xludf.DUMMYFUNCTION("""COMPUTED_VALUE"""),"")</f>
        <v/>
      </c>
      <c r="M485" s="34" t="s">
        <v>260</v>
      </c>
      <c r="N485" s="34" t="str">
        <f>IFERROR(__xludf.DUMMYFUNCTION("""COMPUTED_VALUE"""),"")</f>
        <v/>
      </c>
    </row>
    <row r="486">
      <c r="A486" s="34" t="str">
        <f>IFERROR(__xludf.DUMMYFUNCTION("""COMPUTED_VALUE"""),"")</f>
        <v/>
      </c>
      <c r="M486" s="34" t="s">
        <v>260</v>
      </c>
      <c r="N486" s="34" t="str">
        <f>IFERROR(__xludf.DUMMYFUNCTION("""COMPUTED_VALUE"""),"")</f>
        <v/>
      </c>
    </row>
    <row r="487">
      <c r="A487" s="34" t="str">
        <f>IFERROR(__xludf.DUMMYFUNCTION("""COMPUTED_VALUE"""),"")</f>
        <v/>
      </c>
      <c r="M487" s="34" t="s">
        <v>260</v>
      </c>
      <c r="N487" s="34" t="str">
        <f>IFERROR(__xludf.DUMMYFUNCTION("""COMPUTED_VALUE"""),"")</f>
        <v/>
      </c>
    </row>
    <row r="488">
      <c r="A488" s="34" t="str">
        <f>IFERROR(__xludf.DUMMYFUNCTION("""COMPUTED_VALUE"""),"")</f>
        <v/>
      </c>
      <c r="M488" s="34" t="s">
        <v>260</v>
      </c>
      <c r="N488" s="34" t="str">
        <f>IFERROR(__xludf.DUMMYFUNCTION("""COMPUTED_VALUE"""),"")</f>
        <v/>
      </c>
    </row>
    <row r="489">
      <c r="A489" s="34" t="str">
        <f>IFERROR(__xludf.DUMMYFUNCTION("""COMPUTED_VALUE"""),"")</f>
        <v/>
      </c>
      <c r="M489" s="34" t="s">
        <v>260</v>
      </c>
      <c r="N489" s="34" t="str">
        <f>IFERROR(__xludf.DUMMYFUNCTION("""COMPUTED_VALUE"""),"")</f>
        <v/>
      </c>
    </row>
    <row r="490">
      <c r="A490" s="34" t="str">
        <f>IFERROR(__xludf.DUMMYFUNCTION("""COMPUTED_VALUE"""),"")</f>
        <v/>
      </c>
      <c r="M490" s="34" t="s">
        <v>260</v>
      </c>
      <c r="N490" s="34" t="str">
        <f>IFERROR(__xludf.DUMMYFUNCTION("""COMPUTED_VALUE"""),"")</f>
        <v/>
      </c>
    </row>
    <row r="491">
      <c r="A491" s="34" t="str">
        <f>IFERROR(__xludf.DUMMYFUNCTION("""COMPUTED_VALUE"""),"")</f>
        <v/>
      </c>
      <c r="M491" s="34" t="s">
        <v>260</v>
      </c>
      <c r="N491" s="34" t="str">
        <f>IFERROR(__xludf.DUMMYFUNCTION("""COMPUTED_VALUE"""),"")</f>
        <v/>
      </c>
    </row>
    <row r="492">
      <c r="A492" s="34" t="str">
        <f>IFERROR(__xludf.DUMMYFUNCTION("""COMPUTED_VALUE"""),"")</f>
        <v/>
      </c>
      <c r="M492" s="34" t="s">
        <v>260</v>
      </c>
      <c r="N492" s="34" t="str">
        <f>IFERROR(__xludf.DUMMYFUNCTION("""COMPUTED_VALUE"""),"")</f>
        <v/>
      </c>
    </row>
    <row r="493">
      <c r="A493" s="34" t="str">
        <f>IFERROR(__xludf.DUMMYFUNCTION("""COMPUTED_VALUE"""),"")</f>
        <v/>
      </c>
      <c r="M493" s="34" t="s">
        <v>260</v>
      </c>
      <c r="N493" s="34" t="str">
        <f>IFERROR(__xludf.DUMMYFUNCTION("""COMPUTED_VALUE"""),"")</f>
        <v/>
      </c>
    </row>
    <row r="494">
      <c r="A494" s="34" t="str">
        <f>IFERROR(__xludf.DUMMYFUNCTION("""COMPUTED_VALUE"""),"")</f>
        <v/>
      </c>
      <c r="M494" s="34" t="s">
        <v>260</v>
      </c>
      <c r="N494" s="34" t="str">
        <f>IFERROR(__xludf.DUMMYFUNCTION("""COMPUTED_VALUE"""),"")</f>
        <v/>
      </c>
    </row>
    <row r="495">
      <c r="A495" s="34" t="str">
        <f>IFERROR(__xludf.DUMMYFUNCTION("""COMPUTED_VALUE"""),"")</f>
        <v/>
      </c>
      <c r="M495" s="34" t="s">
        <v>260</v>
      </c>
      <c r="N495" s="34" t="str">
        <f>IFERROR(__xludf.DUMMYFUNCTION("""COMPUTED_VALUE"""),"")</f>
        <v/>
      </c>
    </row>
    <row r="496">
      <c r="A496" s="34" t="str">
        <f>IFERROR(__xludf.DUMMYFUNCTION("""COMPUTED_VALUE"""),"")</f>
        <v/>
      </c>
      <c r="M496" s="34" t="s">
        <v>260</v>
      </c>
      <c r="N496" s="34" t="str">
        <f>IFERROR(__xludf.DUMMYFUNCTION("""COMPUTED_VALUE"""),"")</f>
        <v/>
      </c>
    </row>
    <row r="497">
      <c r="A497" s="34" t="str">
        <f>IFERROR(__xludf.DUMMYFUNCTION("""COMPUTED_VALUE"""),"")</f>
        <v/>
      </c>
      <c r="M497" s="34" t="s">
        <v>260</v>
      </c>
      <c r="N497" s="34" t="str">
        <f>IFERROR(__xludf.DUMMYFUNCTION("""COMPUTED_VALUE"""),"")</f>
        <v/>
      </c>
    </row>
    <row r="498">
      <c r="A498" s="34" t="str">
        <f>IFERROR(__xludf.DUMMYFUNCTION("""COMPUTED_VALUE"""),"")</f>
        <v/>
      </c>
      <c r="M498" s="34" t="s">
        <v>260</v>
      </c>
      <c r="N498" s="34" t="str">
        <f>IFERROR(__xludf.DUMMYFUNCTION("""COMPUTED_VALUE"""),"")</f>
        <v/>
      </c>
    </row>
    <row r="499">
      <c r="A499" s="34" t="str">
        <f>IFERROR(__xludf.DUMMYFUNCTION("""COMPUTED_VALUE"""),"")</f>
        <v/>
      </c>
      <c r="M499" s="34" t="s">
        <v>260</v>
      </c>
      <c r="N499" s="34" t="str">
        <f>IFERROR(__xludf.DUMMYFUNCTION("""COMPUTED_VALUE"""),"")</f>
        <v/>
      </c>
    </row>
    <row r="500">
      <c r="A500" s="34" t="str">
        <f>IFERROR(__xludf.DUMMYFUNCTION("""COMPUTED_VALUE"""),"")</f>
        <v/>
      </c>
      <c r="M500" s="34" t="s">
        <v>260</v>
      </c>
      <c r="N500" s="34" t="str">
        <f>IFERROR(__xludf.DUMMYFUNCTION("""COMPUTED_VALUE"""),"")</f>
        <v/>
      </c>
    </row>
    <row r="501">
      <c r="A501" s="34" t="str">
        <f>IFERROR(__xludf.DUMMYFUNCTION("""COMPUTED_VALUE"""),"")</f>
        <v/>
      </c>
      <c r="M501" s="34" t="s">
        <v>260</v>
      </c>
      <c r="N501" s="34" t="str">
        <f>IFERROR(__xludf.DUMMYFUNCTION("""COMPUTED_VALUE"""),"")</f>
        <v/>
      </c>
    </row>
    <row r="502">
      <c r="A502" s="34" t="str">
        <f>IFERROR(__xludf.DUMMYFUNCTION("""COMPUTED_VALUE"""),"")</f>
        <v/>
      </c>
      <c r="M502" s="34" t="s">
        <v>260</v>
      </c>
      <c r="N502" s="34" t="str">
        <f>IFERROR(__xludf.DUMMYFUNCTION("""COMPUTED_VALUE"""),"")</f>
        <v/>
      </c>
    </row>
    <row r="503">
      <c r="A503" s="34" t="str">
        <f>IFERROR(__xludf.DUMMYFUNCTION("""COMPUTED_VALUE"""),"")</f>
        <v/>
      </c>
      <c r="M503" s="34" t="s">
        <v>260</v>
      </c>
      <c r="N503" s="34" t="str">
        <f>IFERROR(__xludf.DUMMYFUNCTION("""COMPUTED_VALUE"""),"")</f>
        <v/>
      </c>
    </row>
    <row r="504">
      <c r="A504" s="34" t="str">
        <f>IFERROR(__xludf.DUMMYFUNCTION("""COMPUTED_VALUE"""),"")</f>
        <v/>
      </c>
      <c r="M504" s="34" t="s">
        <v>260</v>
      </c>
      <c r="N504" s="34" t="str">
        <f>IFERROR(__xludf.DUMMYFUNCTION("""COMPUTED_VALUE"""),"")</f>
        <v/>
      </c>
    </row>
    <row r="505">
      <c r="A505" s="34" t="str">
        <f>IFERROR(__xludf.DUMMYFUNCTION("""COMPUTED_VALUE"""),"")</f>
        <v/>
      </c>
      <c r="M505" s="34" t="s">
        <v>260</v>
      </c>
      <c r="N505" s="34" t="str">
        <f>IFERROR(__xludf.DUMMYFUNCTION("""COMPUTED_VALUE"""),"")</f>
        <v/>
      </c>
    </row>
    <row r="506">
      <c r="A506" s="34" t="str">
        <f>IFERROR(__xludf.DUMMYFUNCTION("""COMPUTED_VALUE"""),"")</f>
        <v/>
      </c>
      <c r="M506" s="34" t="s">
        <v>260</v>
      </c>
      <c r="N506" s="34" t="str">
        <f>IFERROR(__xludf.DUMMYFUNCTION("""COMPUTED_VALUE"""),"")</f>
        <v/>
      </c>
    </row>
    <row r="507">
      <c r="A507" s="34" t="str">
        <f>IFERROR(__xludf.DUMMYFUNCTION("""COMPUTED_VALUE"""),"")</f>
        <v/>
      </c>
      <c r="M507" s="34" t="s">
        <v>260</v>
      </c>
      <c r="N507" s="34" t="str">
        <f>IFERROR(__xludf.DUMMYFUNCTION("""COMPUTED_VALUE"""),"")</f>
        <v/>
      </c>
    </row>
    <row r="508">
      <c r="A508" s="34" t="str">
        <f>IFERROR(__xludf.DUMMYFUNCTION("""COMPUTED_VALUE"""),"")</f>
        <v/>
      </c>
      <c r="M508" s="34" t="s">
        <v>260</v>
      </c>
      <c r="N508" s="34" t="str">
        <f>IFERROR(__xludf.DUMMYFUNCTION("""COMPUTED_VALUE"""),"")</f>
        <v/>
      </c>
    </row>
    <row r="509">
      <c r="A509" s="34" t="str">
        <f>IFERROR(__xludf.DUMMYFUNCTION("""COMPUTED_VALUE"""),"")</f>
        <v/>
      </c>
      <c r="M509" s="34" t="s">
        <v>260</v>
      </c>
      <c r="N509" s="34" t="str">
        <f>IFERROR(__xludf.DUMMYFUNCTION("""COMPUTED_VALUE"""),"")</f>
        <v/>
      </c>
    </row>
    <row r="510">
      <c r="A510" s="34" t="str">
        <f>IFERROR(__xludf.DUMMYFUNCTION("""COMPUTED_VALUE"""),"")</f>
        <v/>
      </c>
      <c r="M510" s="34" t="s">
        <v>260</v>
      </c>
      <c r="N510" s="34" t="str">
        <f>IFERROR(__xludf.DUMMYFUNCTION("""COMPUTED_VALUE"""),"")</f>
        <v/>
      </c>
    </row>
    <row r="511">
      <c r="A511" s="34" t="str">
        <f>IFERROR(__xludf.DUMMYFUNCTION("""COMPUTED_VALUE"""),"")</f>
        <v/>
      </c>
      <c r="M511" s="34" t="s">
        <v>260</v>
      </c>
      <c r="N511" s="34" t="str">
        <f>IFERROR(__xludf.DUMMYFUNCTION("""COMPUTED_VALUE"""),"")</f>
        <v/>
      </c>
    </row>
    <row r="512">
      <c r="A512" s="34" t="str">
        <f>IFERROR(__xludf.DUMMYFUNCTION("""COMPUTED_VALUE"""),"")</f>
        <v/>
      </c>
      <c r="M512" s="34" t="s">
        <v>260</v>
      </c>
      <c r="N512" s="34" t="str">
        <f>IFERROR(__xludf.DUMMYFUNCTION("""COMPUTED_VALUE"""),"")</f>
        <v/>
      </c>
    </row>
    <row r="513">
      <c r="A513" s="34" t="str">
        <f>IFERROR(__xludf.DUMMYFUNCTION("""COMPUTED_VALUE"""),"")</f>
        <v/>
      </c>
      <c r="M513" s="34" t="s">
        <v>260</v>
      </c>
      <c r="N513" s="34" t="str">
        <f>IFERROR(__xludf.DUMMYFUNCTION("""COMPUTED_VALUE"""),"")</f>
        <v/>
      </c>
    </row>
    <row r="514">
      <c r="A514" s="34" t="str">
        <f>IFERROR(__xludf.DUMMYFUNCTION("""COMPUTED_VALUE"""),"")</f>
        <v/>
      </c>
      <c r="M514" s="34" t="s">
        <v>260</v>
      </c>
      <c r="N514" s="34" t="str">
        <f>IFERROR(__xludf.DUMMYFUNCTION("""COMPUTED_VALUE"""),"")</f>
        <v/>
      </c>
    </row>
    <row r="515">
      <c r="A515" s="34" t="str">
        <f>IFERROR(__xludf.DUMMYFUNCTION("""COMPUTED_VALUE"""),"")</f>
        <v/>
      </c>
      <c r="M515" s="34" t="s">
        <v>260</v>
      </c>
      <c r="N515" s="34" t="str">
        <f>IFERROR(__xludf.DUMMYFUNCTION("""COMPUTED_VALUE"""),"")</f>
        <v/>
      </c>
    </row>
    <row r="516">
      <c r="A516" s="34" t="str">
        <f>IFERROR(__xludf.DUMMYFUNCTION("""COMPUTED_VALUE"""),"")</f>
        <v/>
      </c>
      <c r="M516" s="34" t="s">
        <v>260</v>
      </c>
      <c r="N516" s="34" t="str">
        <f>IFERROR(__xludf.DUMMYFUNCTION("""COMPUTED_VALUE"""),"")</f>
        <v/>
      </c>
    </row>
    <row r="517">
      <c r="A517" s="34" t="str">
        <f>IFERROR(__xludf.DUMMYFUNCTION("""COMPUTED_VALUE"""),"")</f>
        <v/>
      </c>
      <c r="M517" s="34" t="s">
        <v>260</v>
      </c>
      <c r="N517" s="34" t="str">
        <f>IFERROR(__xludf.DUMMYFUNCTION("""COMPUTED_VALUE"""),"")</f>
        <v/>
      </c>
    </row>
    <row r="518">
      <c r="A518" s="34" t="str">
        <f>IFERROR(__xludf.DUMMYFUNCTION("""COMPUTED_VALUE"""),"")</f>
        <v/>
      </c>
      <c r="M518" s="34" t="s">
        <v>260</v>
      </c>
      <c r="N518" s="34" t="str">
        <f>IFERROR(__xludf.DUMMYFUNCTION("""COMPUTED_VALUE"""),"")</f>
        <v/>
      </c>
    </row>
    <row r="519">
      <c r="A519" s="34" t="str">
        <f>IFERROR(__xludf.DUMMYFUNCTION("""COMPUTED_VALUE"""),"")</f>
        <v/>
      </c>
      <c r="M519" s="34" t="s">
        <v>260</v>
      </c>
      <c r="N519" s="34" t="str">
        <f>IFERROR(__xludf.DUMMYFUNCTION("""COMPUTED_VALUE"""),"")</f>
        <v/>
      </c>
    </row>
    <row r="520">
      <c r="A520" s="34" t="str">
        <f>IFERROR(__xludf.DUMMYFUNCTION("""COMPUTED_VALUE"""),"")</f>
        <v/>
      </c>
      <c r="M520" s="34" t="s">
        <v>260</v>
      </c>
      <c r="N520" s="34" t="str">
        <f>IFERROR(__xludf.DUMMYFUNCTION("""COMPUTED_VALUE"""),"")</f>
        <v/>
      </c>
    </row>
    <row r="521">
      <c r="A521" s="34" t="str">
        <f>IFERROR(__xludf.DUMMYFUNCTION("""COMPUTED_VALUE"""),"")</f>
        <v/>
      </c>
      <c r="M521" s="34" t="s">
        <v>260</v>
      </c>
      <c r="N521" s="34" t="str">
        <f>IFERROR(__xludf.DUMMYFUNCTION("""COMPUTED_VALUE"""),"")</f>
        <v/>
      </c>
    </row>
    <row r="522">
      <c r="A522" s="34" t="str">
        <f>IFERROR(__xludf.DUMMYFUNCTION("""COMPUTED_VALUE"""),"")</f>
        <v/>
      </c>
      <c r="M522" s="34" t="s">
        <v>260</v>
      </c>
      <c r="N522" s="34" t="str">
        <f>IFERROR(__xludf.DUMMYFUNCTION("""COMPUTED_VALUE"""),"")</f>
        <v/>
      </c>
    </row>
    <row r="523">
      <c r="A523" s="34" t="str">
        <f>IFERROR(__xludf.DUMMYFUNCTION("""COMPUTED_VALUE"""),"")</f>
        <v/>
      </c>
      <c r="M523" s="34" t="s">
        <v>260</v>
      </c>
      <c r="N523" s="34" t="str">
        <f>IFERROR(__xludf.DUMMYFUNCTION("""COMPUTED_VALUE"""),"")</f>
        <v/>
      </c>
    </row>
    <row r="524">
      <c r="A524" s="34" t="str">
        <f>IFERROR(__xludf.DUMMYFUNCTION("""COMPUTED_VALUE"""),"")</f>
        <v/>
      </c>
      <c r="M524" s="34" t="s">
        <v>260</v>
      </c>
      <c r="N524" s="34" t="str">
        <f>IFERROR(__xludf.DUMMYFUNCTION("""COMPUTED_VALUE"""),"")</f>
        <v/>
      </c>
    </row>
    <row r="525">
      <c r="A525" s="34" t="str">
        <f>IFERROR(__xludf.DUMMYFUNCTION("""COMPUTED_VALUE"""),"")</f>
        <v/>
      </c>
      <c r="M525" s="34" t="s">
        <v>260</v>
      </c>
      <c r="N525" s="34" t="str">
        <f>IFERROR(__xludf.DUMMYFUNCTION("""COMPUTED_VALUE"""),"")</f>
        <v/>
      </c>
    </row>
    <row r="526">
      <c r="A526" s="34" t="str">
        <f>IFERROR(__xludf.DUMMYFUNCTION("""COMPUTED_VALUE"""),"")</f>
        <v/>
      </c>
      <c r="M526" s="34" t="s">
        <v>260</v>
      </c>
      <c r="N526" s="34" t="str">
        <f>IFERROR(__xludf.DUMMYFUNCTION("""COMPUTED_VALUE"""),"")</f>
        <v/>
      </c>
    </row>
    <row r="527">
      <c r="A527" s="34" t="str">
        <f>IFERROR(__xludf.DUMMYFUNCTION("""COMPUTED_VALUE"""),"")</f>
        <v/>
      </c>
      <c r="M527" s="34" t="s">
        <v>260</v>
      </c>
      <c r="N527" s="34" t="str">
        <f>IFERROR(__xludf.DUMMYFUNCTION("""COMPUTED_VALUE"""),"")</f>
        <v/>
      </c>
    </row>
    <row r="528">
      <c r="A528" s="34" t="str">
        <f>IFERROR(__xludf.DUMMYFUNCTION("""COMPUTED_VALUE"""),"")</f>
        <v/>
      </c>
      <c r="M528" s="34" t="s">
        <v>260</v>
      </c>
      <c r="N528" s="34" t="str">
        <f>IFERROR(__xludf.DUMMYFUNCTION("""COMPUTED_VALUE"""),"")</f>
        <v/>
      </c>
    </row>
    <row r="529">
      <c r="A529" s="34" t="str">
        <f>IFERROR(__xludf.DUMMYFUNCTION("""COMPUTED_VALUE"""),"")</f>
        <v/>
      </c>
      <c r="M529" s="34" t="s">
        <v>260</v>
      </c>
      <c r="N529" s="34" t="str">
        <f>IFERROR(__xludf.DUMMYFUNCTION("""COMPUTED_VALUE"""),"")</f>
        <v/>
      </c>
    </row>
    <row r="530">
      <c r="A530" s="34" t="str">
        <f>IFERROR(__xludf.DUMMYFUNCTION("""COMPUTED_VALUE"""),"")</f>
        <v/>
      </c>
      <c r="M530" s="34" t="s">
        <v>260</v>
      </c>
      <c r="N530" s="34" t="str">
        <f>IFERROR(__xludf.DUMMYFUNCTION("""COMPUTED_VALUE"""),"")</f>
        <v/>
      </c>
    </row>
    <row r="531">
      <c r="A531" s="34" t="str">
        <f>IFERROR(__xludf.DUMMYFUNCTION("""COMPUTED_VALUE"""),"")</f>
        <v/>
      </c>
      <c r="M531" s="34" t="s">
        <v>260</v>
      </c>
      <c r="N531" s="34" t="str">
        <f>IFERROR(__xludf.DUMMYFUNCTION("""COMPUTED_VALUE"""),"")</f>
        <v/>
      </c>
    </row>
    <row r="532">
      <c r="A532" s="34" t="str">
        <f>IFERROR(__xludf.DUMMYFUNCTION("""COMPUTED_VALUE"""),"")</f>
        <v/>
      </c>
      <c r="M532" s="34" t="s">
        <v>260</v>
      </c>
      <c r="N532" s="34" t="str">
        <f>IFERROR(__xludf.DUMMYFUNCTION("""COMPUTED_VALUE"""),"")</f>
        <v/>
      </c>
    </row>
    <row r="533">
      <c r="A533" s="34" t="str">
        <f>IFERROR(__xludf.DUMMYFUNCTION("""COMPUTED_VALUE"""),"")</f>
        <v/>
      </c>
      <c r="M533" s="34" t="s">
        <v>260</v>
      </c>
      <c r="N533" s="34" t="str">
        <f>IFERROR(__xludf.DUMMYFUNCTION("""COMPUTED_VALUE"""),"")</f>
        <v/>
      </c>
    </row>
    <row r="534">
      <c r="A534" s="34" t="str">
        <f>IFERROR(__xludf.DUMMYFUNCTION("""COMPUTED_VALUE"""),"")</f>
        <v/>
      </c>
      <c r="M534" s="34" t="s">
        <v>260</v>
      </c>
      <c r="N534" s="34" t="str">
        <f>IFERROR(__xludf.DUMMYFUNCTION("""COMPUTED_VALUE"""),"")</f>
        <v/>
      </c>
    </row>
    <row r="535">
      <c r="A535" s="34" t="str">
        <f>IFERROR(__xludf.DUMMYFUNCTION("""COMPUTED_VALUE"""),"")</f>
        <v/>
      </c>
      <c r="M535" s="34" t="s">
        <v>260</v>
      </c>
      <c r="N535" s="34" t="str">
        <f>IFERROR(__xludf.DUMMYFUNCTION("""COMPUTED_VALUE"""),"")</f>
        <v/>
      </c>
    </row>
    <row r="536">
      <c r="A536" s="34" t="str">
        <f>IFERROR(__xludf.DUMMYFUNCTION("""COMPUTED_VALUE"""),"")</f>
        <v/>
      </c>
      <c r="M536" s="34" t="s">
        <v>260</v>
      </c>
      <c r="N536" s="34" t="str">
        <f>IFERROR(__xludf.DUMMYFUNCTION("""COMPUTED_VALUE"""),"")</f>
        <v/>
      </c>
    </row>
    <row r="537">
      <c r="A537" s="34" t="str">
        <f>IFERROR(__xludf.DUMMYFUNCTION("""COMPUTED_VALUE"""),"")</f>
        <v/>
      </c>
      <c r="M537" s="34" t="s">
        <v>260</v>
      </c>
      <c r="N537" s="34" t="str">
        <f>IFERROR(__xludf.DUMMYFUNCTION("""COMPUTED_VALUE"""),"")</f>
        <v/>
      </c>
    </row>
    <row r="538">
      <c r="A538" s="34" t="str">
        <f>IFERROR(__xludf.DUMMYFUNCTION("""COMPUTED_VALUE"""),"")</f>
        <v/>
      </c>
      <c r="M538" s="34" t="s">
        <v>260</v>
      </c>
      <c r="N538" s="34" t="str">
        <f>IFERROR(__xludf.DUMMYFUNCTION("""COMPUTED_VALUE"""),"")</f>
        <v/>
      </c>
    </row>
    <row r="539">
      <c r="A539" s="34" t="str">
        <f>IFERROR(__xludf.DUMMYFUNCTION("""COMPUTED_VALUE"""),"")</f>
        <v/>
      </c>
      <c r="M539" s="34" t="s">
        <v>260</v>
      </c>
      <c r="N539" s="34" t="str">
        <f>IFERROR(__xludf.DUMMYFUNCTION("""COMPUTED_VALUE"""),"")</f>
        <v/>
      </c>
    </row>
    <row r="540">
      <c r="A540" s="34" t="str">
        <f>IFERROR(__xludf.DUMMYFUNCTION("""COMPUTED_VALUE"""),"")</f>
        <v/>
      </c>
      <c r="M540" s="34" t="s">
        <v>260</v>
      </c>
      <c r="N540" s="34" t="str">
        <f>IFERROR(__xludf.DUMMYFUNCTION("""COMPUTED_VALUE"""),"")</f>
        <v/>
      </c>
    </row>
    <row r="541">
      <c r="A541" s="34" t="str">
        <f>IFERROR(__xludf.DUMMYFUNCTION("""COMPUTED_VALUE"""),"")</f>
        <v/>
      </c>
      <c r="M541" s="34" t="s">
        <v>260</v>
      </c>
      <c r="N541" s="34" t="str">
        <f>IFERROR(__xludf.DUMMYFUNCTION("""COMPUTED_VALUE"""),"")</f>
        <v/>
      </c>
    </row>
    <row r="542">
      <c r="A542" s="34" t="str">
        <f>IFERROR(__xludf.DUMMYFUNCTION("""COMPUTED_VALUE"""),"")</f>
        <v/>
      </c>
      <c r="M542" s="34" t="s">
        <v>260</v>
      </c>
      <c r="N542" s="34" t="str">
        <f>IFERROR(__xludf.DUMMYFUNCTION("""COMPUTED_VALUE"""),"")</f>
        <v/>
      </c>
    </row>
    <row r="543">
      <c r="A543" s="34" t="str">
        <f>IFERROR(__xludf.DUMMYFUNCTION("""COMPUTED_VALUE"""),"")</f>
        <v/>
      </c>
      <c r="M543" s="34" t="s">
        <v>260</v>
      </c>
      <c r="N543" s="34" t="str">
        <f>IFERROR(__xludf.DUMMYFUNCTION("""COMPUTED_VALUE"""),"")</f>
        <v/>
      </c>
    </row>
    <row r="544">
      <c r="A544" s="34" t="str">
        <f>IFERROR(__xludf.DUMMYFUNCTION("""COMPUTED_VALUE"""),"")</f>
        <v/>
      </c>
      <c r="M544" s="34" t="s">
        <v>260</v>
      </c>
      <c r="N544" s="34" t="str">
        <f>IFERROR(__xludf.DUMMYFUNCTION("""COMPUTED_VALUE"""),"")</f>
        <v/>
      </c>
    </row>
    <row r="545">
      <c r="A545" s="34" t="str">
        <f>IFERROR(__xludf.DUMMYFUNCTION("""COMPUTED_VALUE"""),"")</f>
        <v/>
      </c>
      <c r="M545" s="34" t="s">
        <v>260</v>
      </c>
      <c r="N545" s="34" t="str">
        <f>IFERROR(__xludf.DUMMYFUNCTION("""COMPUTED_VALUE"""),"")</f>
        <v/>
      </c>
    </row>
    <row r="546">
      <c r="A546" s="34" t="str">
        <f>IFERROR(__xludf.DUMMYFUNCTION("""COMPUTED_VALUE"""),"")</f>
        <v/>
      </c>
      <c r="M546" s="34" t="s">
        <v>260</v>
      </c>
      <c r="N546" s="34" t="str">
        <f>IFERROR(__xludf.DUMMYFUNCTION("""COMPUTED_VALUE"""),"")</f>
        <v/>
      </c>
    </row>
    <row r="547">
      <c r="A547" s="34" t="str">
        <f>IFERROR(__xludf.DUMMYFUNCTION("""COMPUTED_VALUE"""),"")</f>
        <v/>
      </c>
      <c r="M547" s="34" t="s">
        <v>260</v>
      </c>
      <c r="N547" s="34" t="str">
        <f>IFERROR(__xludf.DUMMYFUNCTION("""COMPUTED_VALUE"""),"")</f>
        <v/>
      </c>
    </row>
    <row r="548">
      <c r="A548" s="34" t="str">
        <f>IFERROR(__xludf.DUMMYFUNCTION("""COMPUTED_VALUE"""),"")</f>
        <v/>
      </c>
      <c r="M548" s="34" t="s">
        <v>260</v>
      </c>
      <c r="N548" s="34" t="str">
        <f>IFERROR(__xludf.DUMMYFUNCTION("""COMPUTED_VALUE"""),"")</f>
        <v/>
      </c>
    </row>
    <row r="549">
      <c r="A549" s="34" t="str">
        <f>IFERROR(__xludf.DUMMYFUNCTION("""COMPUTED_VALUE"""),"")</f>
        <v/>
      </c>
      <c r="M549" s="34" t="s">
        <v>260</v>
      </c>
      <c r="N549" s="34" t="str">
        <f>IFERROR(__xludf.DUMMYFUNCTION("""COMPUTED_VALUE"""),"")</f>
        <v/>
      </c>
    </row>
    <row r="550">
      <c r="A550" s="34" t="str">
        <f>IFERROR(__xludf.DUMMYFUNCTION("""COMPUTED_VALUE"""),"")</f>
        <v/>
      </c>
      <c r="M550" s="34" t="s">
        <v>260</v>
      </c>
      <c r="N550" s="34" t="str">
        <f>IFERROR(__xludf.DUMMYFUNCTION("""COMPUTED_VALUE"""),"")</f>
        <v/>
      </c>
    </row>
    <row r="551">
      <c r="A551" s="34" t="str">
        <f>IFERROR(__xludf.DUMMYFUNCTION("""COMPUTED_VALUE"""),"")</f>
        <v/>
      </c>
      <c r="M551" s="34" t="s">
        <v>260</v>
      </c>
      <c r="N551" s="34" t="str">
        <f>IFERROR(__xludf.DUMMYFUNCTION("""COMPUTED_VALUE"""),"")</f>
        <v/>
      </c>
    </row>
    <row r="552">
      <c r="A552" s="34" t="str">
        <f>IFERROR(__xludf.DUMMYFUNCTION("""COMPUTED_VALUE"""),"")</f>
        <v/>
      </c>
      <c r="M552" s="34" t="s">
        <v>260</v>
      </c>
      <c r="N552" s="34" t="str">
        <f>IFERROR(__xludf.DUMMYFUNCTION("""COMPUTED_VALUE"""),"")</f>
        <v/>
      </c>
    </row>
    <row r="553">
      <c r="A553" s="34" t="str">
        <f>IFERROR(__xludf.DUMMYFUNCTION("""COMPUTED_VALUE"""),"")</f>
        <v/>
      </c>
      <c r="M553" s="34" t="s">
        <v>260</v>
      </c>
      <c r="N553" s="34" t="str">
        <f>IFERROR(__xludf.DUMMYFUNCTION("""COMPUTED_VALUE"""),"")</f>
        <v/>
      </c>
    </row>
    <row r="554">
      <c r="A554" s="34" t="str">
        <f>IFERROR(__xludf.DUMMYFUNCTION("""COMPUTED_VALUE"""),"")</f>
        <v/>
      </c>
      <c r="M554" s="34" t="s">
        <v>260</v>
      </c>
      <c r="N554" s="34" t="str">
        <f>IFERROR(__xludf.DUMMYFUNCTION("""COMPUTED_VALUE"""),"")</f>
        <v/>
      </c>
    </row>
    <row r="555">
      <c r="A555" s="34" t="str">
        <f>IFERROR(__xludf.DUMMYFUNCTION("""COMPUTED_VALUE"""),"")</f>
        <v/>
      </c>
      <c r="M555" s="34" t="s">
        <v>260</v>
      </c>
      <c r="N555" s="34" t="str">
        <f>IFERROR(__xludf.DUMMYFUNCTION("""COMPUTED_VALUE"""),"")</f>
        <v/>
      </c>
    </row>
    <row r="556">
      <c r="A556" s="34" t="str">
        <f>IFERROR(__xludf.DUMMYFUNCTION("""COMPUTED_VALUE"""),"")</f>
        <v/>
      </c>
      <c r="M556" s="34" t="s">
        <v>260</v>
      </c>
      <c r="N556" s="34" t="str">
        <f>IFERROR(__xludf.DUMMYFUNCTION("""COMPUTED_VALUE"""),"")</f>
        <v/>
      </c>
    </row>
    <row r="557">
      <c r="A557" s="34" t="str">
        <f>IFERROR(__xludf.DUMMYFUNCTION("""COMPUTED_VALUE"""),"")</f>
        <v/>
      </c>
      <c r="M557" s="34" t="s">
        <v>260</v>
      </c>
      <c r="N557" s="34" t="str">
        <f>IFERROR(__xludf.DUMMYFUNCTION("""COMPUTED_VALUE"""),"")</f>
        <v/>
      </c>
    </row>
    <row r="558">
      <c r="A558" s="34" t="str">
        <f>IFERROR(__xludf.DUMMYFUNCTION("""COMPUTED_VALUE"""),"")</f>
        <v/>
      </c>
      <c r="M558" s="34" t="s">
        <v>260</v>
      </c>
      <c r="N558" s="34" t="str">
        <f>IFERROR(__xludf.DUMMYFUNCTION("""COMPUTED_VALUE"""),"")</f>
        <v/>
      </c>
    </row>
    <row r="559">
      <c r="A559" s="34" t="str">
        <f>IFERROR(__xludf.DUMMYFUNCTION("""COMPUTED_VALUE"""),"")</f>
        <v/>
      </c>
      <c r="M559" s="34" t="s">
        <v>260</v>
      </c>
      <c r="N559" s="34" t="str">
        <f>IFERROR(__xludf.DUMMYFUNCTION("""COMPUTED_VALUE"""),"")</f>
        <v/>
      </c>
    </row>
    <row r="560">
      <c r="A560" s="34" t="str">
        <f>IFERROR(__xludf.DUMMYFUNCTION("""COMPUTED_VALUE"""),"")</f>
        <v/>
      </c>
      <c r="M560" s="34" t="s">
        <v>260</v>
      </c>
      <c r="N560" s="34" t="str">
        <f>IFERROR(__xludf.DUMMYFUNCTION("""COMPUTED_VALUE"""),"")</f>
        <v/>
      </c>
    </row>
    <row r="561">
      <c r="A561" s="34" t="str">
        <f>IFERROR(__xludf.DUMMYFUNCTION("""COMPUTED_VALUE"""),"")</f>
        <v/>
      </c>
      <c r="M561" s="34" t="s">
        <v>260</v>
      </c>
      <c r="N561" s="34" t="str">
        <f>IFERROR(__xludf.DUMMYFUNCTION("""COMPUTED_VALUE"""),"")</f>
        <v/>
      </c>
    </row>
    <row r="562">
      <c r="A562" s="34" t="str">
        <f>IFERROR(__xludf.DUMMYFUNCTION("""COMPUTED_VALUE"""),"")</f>
        <v/>
      </c>
      <c r="M562" s="34" t="s">
        <v>260</v>
      </c>
      <c r="N562" s="34" t="str">
        <f>IFERROR(__xludf.DUMMYFUNCTION("""COMPUTED_VALUE"""),"")</f>
        <v/>
      </c>
    </row>
    <row r="563">
      <c r="A563" s="34" t="str">
        <f>IFERROR(__xludf.DUMMYFUNCTION("""COMPUTED_VALUE"""),"")</f>
        <v/>
      </c>
      <c r="M563" s="34" t="s">
        <v>260</v>
      </c>
      <c r="N563" s="34" t="str">
        <f>IFERROR(__xludf.DUMMYFUNCTION("""COMPUTED_VALUE"""),"")</f>
        <v/>
      </c>
    </row>
    <row r="564">
      <c r="A564" s="34" t="str">
        <f>IFERROR(__xludf.DUMMYFUNCTION("""COMPUTED_VALUE"""),"")</f>
        <v/>
      </c>
      <c r="M564" s="34" t="s">
        <v>260</v>
      </c>
      <c r="N564" s="34" t="str">
        <f>IFERROR(__xludf.DUMMYFUNCTION("""COMPUTED_VALUE"""),"")</f>
        <v/>
      </c>
    </row>
    <row r="565">
      <c r="A565" s="34" t="str">
        <f>IFERROR(__xludf.DUMMYFUNCTION("""COMPUTED_VALUE"""),"")</f>
        <v/>
      </c>
      <c r="M565" s="34" t="s">
        <v>260</v>
      </c>
      <c r="N565" s="34" t="str">
        <f>IFERROR(__xludf.DUMMYFUNCTION("""COMPUTED_VALUE"""),"")</f>
        <v/>
      </c>
    </row>
    <row r="566">
      <c r="A566" s="34" t="str">
        <f>IFERROR(__xludf.DUMMYFUNCTION("""COMPUTED_VALUE"""),"")</f>
        <v/>
      </c>
      <c r="M566" s="34" t="s">
        <v>260</v>
      </c>
      <c r="N566" s="34" t="str">
        <f>IFERROR(__xludf.DUMMYFUNCTION("""COMPUTED_VALUE"""),"")</f>
        <v/>
      </c>
    </row>
    <row r="567">
      <c r="A567" s="34" t="str">
        <f>IFERROR(__xludf.DUMMYFUNCTION("""COMPUTED_VALUE"""),"")</f>
        <v/>
      </c>
      <c r="M567" s="34" t="s">
        <v>260</v>
      </c>
      <c r="N567" s="34" t="str">
        <f>IFERROR(__xludf.DUMMYFUNCTION("""COMPUTED_VALUE"""),"")</f>
        <v/>
      </c>
    </row>
    <row r="568">
      <c r="A568" s="34" t="str">
        <f>IFERROR(__xludf.DUMMYFUNCTION("""COMPUTED_VALUE"""),"")</f>
        <v/>
      </c>
      <c r="M568" s="34" t="s">
        <v>260</v>
      </c>
      <c r="N568" s="34" t="str">
        <f>IFERROR(__xludf.DUMMYFUNCTION("""COMPUTED_VALUE"""),"")</f>
        <v/>
      </c>
    </row>
    <row r="569">
      <c r="A569" s="34" t="str">
        <f>IFERROR(__xludf.DUMMYFUNCTION("""COMPUTED_VALUE"""),"")</f>
        <v/>
      </c>
      <c r="M569" s="34" t="s">
        <v>260</v>
      </c>
      <c r="N569" s="34" t="str">
        <f>IFERROR(__xludf.DUMMYFUNCTION("""COMPUTED_VALUE"""),"")</f>
        <v/>
      </c>
    </row>
    <row r="570">
      <c r="A570" s="34" t="str">
        <f>IFERROR(__xludf.DUMMYFUNCTION("""COMPUTED_VALUE"""),"")</f>
        <v/>
      </c>
      <c r="M570" s="34" t="s">
        <v>260</v>
      </c>
      <c r="N570" s="34" t="str">
        <f>IFERROR(__xludf.DUMMYFUNCTION("""COMPUTED_VALUE"""),"")</f>
        <v/>
      </c>
    </row>
    <row r="571">
      <c r="A571" s="34" t="str">
        <f>IFERROR(__xludf.DUMMYFUNCTION("""COMPUTED_VALUE"""),"")</f>
        <v/>
      </c>
      <c r="M571" s="34" t="s">
        <v>260</v>
      </c>
      <c r="N571" s="34" t="str">
        <f>IFERROR(__xludf.DUMMYFUNCTION("""COMPUTED_VALUE"""),"")</f>
        <v/>
      </c>
    </row>
    <row r="572">
      <c r="A572" s="34" t="str">
        <f>IFERROR(__xludf.DUMMYFUNCTION("""COMPUTED_VALUE"""),"")</f>
        <v/>
      </c>
      <c r="M572" s="34" t="s">
        <v>260</v>
      </c>
      <c r="N572" s="34" t="str">
        <f>IFERROR(__xludf.DUMMYFUNCTION("""COMPUTED_VALUE"""),"")</f>
        <v/>
      </c>
    </row>
    <row r="573">
      <c r="A573" s="34" t="str">
        <f>IFERROR(__xludf.DUMMYFUNCTION("""COMPUTED_VALUE"""),"")</f>
        <v/>
      </c>
      <c r="M573" s="34" t="s">
        <v>260</v>
      </c>
      <c r="N573" s="34" t="str">
        <f>IFERROR(__xludf.DUMMYFUNCTION("""COMPUTED_VALUE"""),"")</f>
        <v/>
      </c>
    </row>
    <row r="574">
      <c r="A574" s="34" t="str">
        <f>IFERROR(__xludf.DUMMYFUNCTION("""COMPUTED_VALUE"""),"")</f>
        <v/>
      </c>
      <c r="M574" s="34" t="s">
        <v>260</v>
      </c>
      <c r="N574" s="34" t="str">
        <f>IFERROR(__xludf.DUMMYFUNCTION("""COMPUTED_VALUE"""),"")</f>
        <v/>
      </c>
    </row>
    <row r="575">
      <c r="A575" s="34" t="str">
        <f>IFERROR(__xludf.DUMMYFUNCTION("""COMPUTED_VALUE"""),"")</f>
        <v/>
      </c>
      <c r="M575" s="34" t="s">
        <v>260</v>
      </c>
      <c r="N575" s="34" t="str">
        <f>IFERROR(__xludf.DUMMYFUNCTION("""COMPUTED_VALUE"""),"")</f>
        <v/>
      </c>
    </row>
    <row r="576">
      <c r="A576" s="34" t="str">
        <f>IFERROR(__xludf.DUMMYFUNCTION("""COMPUTED_VALUE"""),"")</f>
        <v/>
      </c>
      <c r="M576" s="34" t="s">
        <v>260</v>
      </c>
      <c r="N576" s="34" t="str">
        <f>IFERROR(__xludf.DUMMYFUNCTION("""COMPUTED_VALUE"""),"")</f>
        <v/>
      </c>
    </row>
    <row r="577">
      <c r="A577" s="34" t="str">
        <f>IFERROR(__xludf.DUMMYFUNCTION("""COMPUTED_VALUE"""),"")</f>
        <v/>
      </c>
      <c r="M577" s="34" t="s">
        <v>260</v>
      </c>
      <c r="N577" s="34" t="str">
        <f>IFERROR(__xludf.DUMMYFUNCTION("""COMPUTED_VALUE"""),"")</f>
        <v/>
      </c>
    </row>
    <row r="578">
      <c r="A578" s="34" t="str">
        <f>IFERROR(__xludf.DUMMYFUNCTION("""COMPUTED_VALUE"""),"")</f>
        <v/>
      </c>
      <c r="M578" s="34" t="s">
        <v>260</v>
      </c>
      <c r="N578" s="34" t="str">
        <f>IFERROR(__xludf.DUMMYFUNCTION("""COMPUTED_VALUE"""),"")</f>
        <v/>
      </c>
    </row>
    <row r="579">
      <c r="A579" s="34" t="str">
        <f>IFERROR(__xludf.DUMMYFUNCTION("""COMPUTED_VALUE"""),"")</f>
        <v/>
      </c>
      <c r="M579" s="34" t="s">
        <v>260</v>
      </c>
      <c r="N579" s="34" t="str">
        <f>IFERROR(__xludf.DUMMYFUNCTION("""COMPUTED_VALUE"""),"")</f>
        <v/>
      </c>
    </row>
    <row r="580">
      <c r="A580" s="34" t="str">
        <f>IFERROR(__xludf.DUMMYFUNCTION("""COMPUTED_VALUE"""),"")</f>
        <v/>
      </c>
      <c r="M580" s="34" t="s">
        <v>260</v>
      </c>
      <c r="N580" s="34" t="str">
        <f>IFERROR(__xludf.DUMMYFUNCTION("""COMPUTED_VALUE"""),"")</f>
        <v/>
      </c>
    </row>
    <row r="581">
      <c r="A581" s="34" t="str">
        <f>IFERROR(__xludf.DUMMYFUNCTION("""COMPUTED_VALUE"""),"")</f>
        <v/>
      </c>
      <c r="M581" s="34" t="s">
        <v>260</v>
      </c>
      <c r="N581" s="34" t="str">
        <f>IFERROR(__xludf.DUMMYFUNCTION("""COMPUTED_VALUE"""),"")</f>
        <v/>
      </c>
    </row>
    <row r="582">
      <c r="A582" s="34" t="str">
        <f>IFERROR(__xludf.DUMMYFUNCTION("""COMPUTED_VALUE"""),"")</f>
        <v/>
      </c>
      <c r="M582" s="34" t="s">
        <v>260</v>
      </c>
      <c r="N582" s="34" t="str">
        <f>IFERROR(__xludf.DUMMYFUNCTION("""COMPUTED_VALUE"""),"")</f>
        <v/>
      </c>
    </row>
    <row r="583">
      <c r="A583" s="34" t="str">
        <f>IFERROR(__xludf.DUMMYFUNCTION("""COMPUTED_VALUE"""),"")</f>
        <v/>
      </c>
      <c r="M583" s="34" t="s">
        <v>260</v>
      </c>
      <c r="N583" s="34" t="str">
        <f>IFERROR(__xludf.DUMMYFUNCTION("""COMPUTED_VALUE"""),"")</f>
        <v/>
      </c>
    </row>
    <row r="584">
      <c r="A584" s="34" t="str">
        <f>IFERROR(__xludf.DUMMYFUNCTION("""COMPUTED_VALUE"""),"")</f>
        <v/>
      </c>
      <c r="M584" s="34" t="s">
        <v>260</v>
      </c>
      <c r="N584" s="34" t="str">
        <f>IFERROR(__xludf.DUMMYFUNCTION("""COMPUTED_VALUE"""),"")</f>
        <v/>
      </c>
    </row>
    <row r="585">
      <c r="A585" s="34" t="str">
        <f>IFERROR(__xludf.DUMMYFUNCTION("""COMPUTED_VALUE"""),"")</f>
        <v/>
      </c>
      <c r="M585" s="34" t="s">
        <v>260</v>
      </c>
      <c r="N585" s="34" t="str">
        <f>IFERROR(__xludf.DUMMYFUNCTION("""COMPUTED_VALUE"""),"")</f>
        <v/>
      </c>
    </row>
    <row r="586">
      <c r="A586" s="34" t="str">
        <f>IFERROR(__xludf.DUMMYFUNCTION("""COMPUTED_VALUE"""),"")</f>
        <v/>
      </c>
      <c r="M586" s="34" t="s">
        <v>260</v>
      </c>
      <c r="N586" s="34" t="str">
        <f>IFERROR(__xludf.DUMMYFUNCTION("""COMPUTED_VALUE"""),"")</f>
        <v/>
      </c>
    </row>
    <row r="587">
      <c r="A587" s="34" t="str">
        <f>IFERROR(__xludf.DUMMYFUNCTION("""COMPUTED_VALUE"""),"")</f>
        <v/>
      </c>
      <c r="M587" s="34" t="s">
        <v>260</v>
      </c>
      <c r="N587" s="34" t="str">
        <f>IFERROR(__xludf.DUMMYFUNCTION("""COMPUTED_VALUE"""),"")</f>
        <v/>
      </c>
    </row>
    <row r="588">
      <c r="A588" s="34" t="str">
        <f>IFERROR(__xludf.DUMMYFUNCTION("""COMPUTED_VALUE"""),"")</f>
        <v/>
      </c>
      <c r="M588" s="34" t="s">
        <v>260</v>
      </c>
      <c r="N588" s="34" t="str">
        <f>IFERROR(__xludf.DUMMYFUNCTION("""COMPUTED_VALUE"""),"")</f>
        <v/>
      </c>
    </row>
    <row r="589">
      <c r="A589" s="34" t="str">
        <f>IFERROR(__xludf.DUMMYFUNCTION("""COMPUTED_VALUE"""),"")</f>
        <v/>
      </c>
      <c r="M589" s="34" t="s">
        <v>260</v>
      </c>
      <c r="N589" s="34" t="str">
        <f>IFERROR(__xludf.DUMMYFUNCTION("""COMPUTED_VALUE"""),"")</f>
        <v/>
      </c>
    </row>
    <row r="590">
      <c r="A590" s="34" t="str">
        <f>IFERROR(__xludf.DUMMYFUNCTION("""COMPUTED_VALUE"""),"")</f>
        <v/>
      </c>
      <c r="M590" s="34" t="s">
        <v>260</v>
      </c>
      <c r="N590" s="34" t="str">
        <f>IFERROR(__xludf.DUMMYFUNCTION("""COMPUTED_VALUE"""),"")</f>
        <v/>
      </c>
    </row>
    <row r="591">
      <c r="A591" s="34" t="str">
        <f>IFERROR(__xludf.DUMMYFUNCTION("""COMPUTED_VALUE"""),"")</f>
        <v/>
      </c>
      <c r="M591" s="34" t="s">
        <v>260</v>
      </c>
      <c r="N591" s="34" t="str">
        <f>IFERROR(__xludf.DUMMYFUNCTION("""COMPUTED_VALUE"""),"")</f>
        <v/>
      </c>
    </row>
    <row r="592">
      <c r="A592" s="34" t="str">
        <f>IFERROR(__xludf.DUMMYFUNCTION("""COMPUTED_VALUE"""),"")</f>
        <v/>
      </c>
      <c r="M592" s="34" t="s">
        <v>260</v>
      </c>
      <c r="N592" s="34" t="str">
        <f>IFERROR(__xludf.DUMMYFUNCTION("""COMPUTED_VALUE"""),"")</f>
        <v/>
      </c>
    </row>
    <row r="593">
      <c r="A593" s="34" t="str">
        <f>IFERROR(__xludf.DUMMYFUNCTION("""COMPUTED_VALUE"""),"")</f>
        <v/>
      </c>
      <c r="M593" s="34" t="s">
        <v>260</v>
      </c>
      <c r="N593" s="34" t="str">
        <f>IFERROR(__xludf.DUMMYFUNCTION("""COMPUTED_VALUE"""),"")</f>
        <v/>
      </c>
    </row>
    <row r="594">
      <c r="A594" s="34" t="str">
        <f>IFERROR(__xludf.DUMMYFUNCTION("""COMPUTED_VALUE"""),"")</f>
        <v/>
      </c>
      <c r="M594" s="34" t="s">
        <v>260</v>
      </c>
      <c r="N594" s="34" t="str">
        <f>IFERROR(__xludf.DUMMYFUNCTION("""COMPUTED_VALUE"""),"")</f>
        <v/>
      </c>
    </row>
    <row r="595">
      <c r="A595" s="34" t="str">
        <f>IFERROR(__xludf.DUMMYFUNCTION("""COMPUTED_VALUE"""),"")</f>
        <v/>
      </c>
      <c r="M595" s="34" t="s">
        <v>260</v>
      </c>
      <c r="N595" s="34" t="str">
        <f>IFERROR(__xludf.DUMMYFUNCTION("""COMPUTED_VALUE"""),"")</f>
        <v/>
      </c>
    </row>
    <row r="596">
      <c r="A596" s="34" t="str">
        <f>IFERROR(__xludf.DUMMYFUNCTION("""COMPUTED_VALUE"""),"")</f>
        <v/>
      </c>
      <c r="M596" s="34" t="s">
        <v>260</v>
      </c>
      <c r="N596" s="34" t="str">
        <f>IFERROR(__xludf.DUMMYFUNCTION("""COMPUTED_VALUE"""),"")</f>
        <v/>
      </c>
    </row>
    <row r="597">
      <c r="A597" s="34" t="str">
        <f>IFERROR(__xludf.DUMMYFUNCTION("""COMPUTED_VALUE"""),"")</f>
        <v/>
      </c>
      <c r="M597" s="34" t="s">
        <v>260</v>
      </c>
      <c r="N597" s="34" t="str">
        <f>IFERROR(__xludf.DUMMYFUNCTION("""COMPUTED_VALUE"""),"")</f>
        <v/>
      </c>
    </row>
    <row r="598">
      <c r="A598" s="34" t="str">
        <f>IFERROR(__xludf.DUMMYFUNCTION("""COMPUTED_VALUE"""),"")</f>
        <v/>
      </c>
      <c r="M598" s="34" t="s">
        <v>260</v>
      </c>
      <c r="N598" s="34" t="str">
        <f>IFERROR(__xludf.DUMMYFUNCTION("""COMPUTED_VALUE"""),"")</f>
        <v/>
      </c>
    </row>
    <row r="599">
      <c r="A599" s="34" t="str">
        <f>IFERROR(__xludf.DUMMYFUNCTION("""COMPUTED_VALUE"""),"")</f>
        <v/>
      </c>
      <c r="M599" s="34" t="s">
        <v>260</v>
      </c>
      <c r="N599" s="34" t="str">
        <f>IFERROR(__xludf.DUMMYFUNCTION("""COMPUTED_VALUE"""),"")</f>
        <v/>
      </c>
    </row>
    <row r="600">
      <c r="A600" s="34" t="str">
        <f>IFERROR(__xludf.DUMMYFUNCTION("""COMPUTED_VALUE"""),"")</f>
        <v/>
      </c>
      <c r="M600" s="34" t="s">
        <v>260</v>
      </c>
      <c r="N600" s="34" t="str">
        <f>IFERROR(__xludf.DUMMYFUNCTION("""COMPUTED_VALUE"""),"")</f>
        <v/>
      </c>
    </row>
    <row r="601">
      <c r="A601" s="34" t="str">
        <f>IFERROR(__xludf.DUMMYFUNCTION("""COMPUTED_VALUE"""),"")</f>
        <v/>
      </c>
      <c r="M601" s="34" t="s">
        <v>260</v>
      </c>
      <c r="N601" s="34" t="str">
        <f>IFERROR(__xludf.DUMMYFUNCTION("""COMPUTED_VALUE"""),"")</f>
        <v/>
      </c>
    </row>
    <row r="602">
      <c r="A602" s="34" t="str">
        <f>IFERROR(__xludf.DUMMYFUNCTION("""COMPUTED_VALUE"""),"")</f>
        <v/>
      </c>
      <c r="M602" s="34" t="s">
        <v>260</v>
      </c>
      <c r="N602" s="34" t="str">
        <f>IFERROR(__xludf.DUMMYFUNCTION("""COMPUTED_VALUE"""),"")</f>
        <v/>
      </c>
    </row>
    <row r="603">
      <c r="A603" s="34" t="str">
        <f>IFERROR(__xludf.DUMMYFUNCTION("""COMPUTED_VALUE"""),"")</f>
        <v/>
      </c>
      <c r="M603" s="34" t="s">
        <v>260</v>
      </c>
      <c r="N603" s="34" t="str">
        <f>IFERROR(__xludf.DUMMYFUNCTION("""COMPUTED_VALUE"""),"")</f>
        <v/>
      </c>
    </row>
    <row r="604">
      <c r="A604" s="34" t="str">
        <f>IFERROR(__xludf.DUMMYFUNCTION("""COMPUTED_VALUE"""),"")</f>
        <v/>
      </c>
      <c r="M604" s="34" t="s">
        <v>260</v>
      </c>
      <c r="N604" s="34" t="str">
        <f>IFERROR(__xludf.DUMMYFUNCTION("""COMPUTED_VALUE"""),"")</f>
        <v/>
      </c>
    </row>
    <row r="605">
      <c r="A605" s="34" t="str">
        <f>IFERROR(__xludf.DUMMYFUNCTION("""COMPUTED_VALUE"""),"")</f>
        <v/>
      </c>
      <c r="M605" s="34" t="s">
        <v>260</v>
      </c>
      <c r="N605" s="34" t="str">
        <f>IFERROR(__xludf.DUMMYFUNCTION("""COMPUTED_VALUE"""),"")</f>
        <v/>
      </c>
    </row>
    <row r="606">
      <c r="A606" s="34" t="str">
        <f>IFERROR(__xludf.DUMMYFUNCTION("""COMPUTED_VALUE"""),"")</f>
        <v/>
      </c>
      <c r="M606" s="34" t="s">
        <v>260</v>
      </c>
      <c r="N606" s="34" t="str">
        <f>IFERROR(__xludf.DUMMYFUNCTION("""COMPUTED_VALUE"""),"")</f>
        <v/>
      </c>
    </row>
    <row r="607">
      <c r="A607" s="34" t="str">
        <f>IFERROR(__xludf.DUMMYFUNCTION("""COMPUTED_VALUE"""),"")</f>
        <v/>
      </c>
      <c r="M607" s="34" t="s">
        <v>260</v>
      </c>
      <c r="N607" s="34" t="str">
        <f>IFERROR(__xludf.DUMMYFUNCTION("""COMPUTED_VALUE"""),"")</f>
        <v/>
      </c>
    </row>
    <row r="608">
      <c r="A608" s="34" t="str">
        <f>IFERROR(__xludf.DUMMYFUNCTION("""COMPUTED_VALUE"""),"")</f>
        <v/>
      </c>
      <c r="M608" s="34" t="s">
        <v>260</v>
      </c>
      <c r="N608" s="34" t="str">
        <f>IFERROR(__xludf.DUMMYFUNCTION("""COMPUTED_VALUE"""),"")</f>
        <v/>
      </c>
    </row>
    <row r="609">
      <c r="A609" s="34" t="str">
        <f>IFERROR(__xludf.DUMMYFUNCTION("""COMPUTED_VALUE"""),"")</f>
        <v/>
      </c>
      <c r="M609" s="34" t="s">
        <v>260</v>
      </c>
      <c r="N609" s="34" t="str">
        <f>IFERROR(__xludf.DUMMYFUNCTION("""COMPUTED_VALUE"""),"")</f>
        <v/>
      </c>
    </row>
    <row r="610">
      <c r="A610" s="34" t="str">
        <f>IFERROR(__xludf.DUMMYFUNCTION("""COMPUTED_VALUE"""),"")</f>
        <v/>
      </c>
      <c r="M610" s="34" t="s">
        <v>260</v>
      </c>
      <c r="N610" s="34" t="str">
        <f>IFERROR(__xludf.DUMMYFUNCTION("""COMPUTED_VALUE"""),"")</f>
        <v/>
      </c>
    </row>
    <row r="611">
      <c r="A611" s="34" t="str">
        <f>IFERROR(__xludf.DUMMYFUNCTION("""COMPUTED_VALUE"""),"")</f>
        <v/>
      </c>
      <c r="M611" s="34" t="s">
        <v>260</v>
      </c>
      <c r="N611" s="34" t="str">
        <f>IFERROR(__xludf.DUMMYFUNCTION("""COMPUTED_VALUE"""),"")</f>
        <v/>
      </c>
    </row>
    <row r="612">
      <c r="A612" s="34" t="str">
        <f>IFERROR(__xludf.DUMMYFUNCTION("""COMPUTED_VALUE"""),"")</f>
        <v/>
      </c>
      <c r="M612" s="34" t="s">
        <v>260</v>
      </c>
      <c r="N612" s="34" t="str">
        <f>IFERROR(__xludf.DUMMYFUNCTION("""COMPUTED_VALUE"""),"")</f>
        <v/>
      </c>
    </row>
    <row r="613">
      <c r="A613" s="34" t="str">
        <f>IFERROR(__xludf.DUMMYFUNCTION("""COMPUTED_VALUE"""),"")</f>
        <v/>
      </c>
      <c r="M613" s="34" t="s">
        <v>260</v>
      </c>
      <c r="N613" s="34" t="str">
        <f>IFERROR(__xludf.DUMMYFUNCTION("""COMPUTED_VALUE"""),"")</f>
        <v/>
      </c>
    </row>
    <row r="614">
      <c r="A614" s="34" t="str">
        <f>IFERROR(__xludf.DUMMYFUNCTION("""COMPUTED_VALUE"""),"")</f>
        <v/>
      </c>
      <c r="M614" s="34" t="s">
        <v>260</v>
      </c>
      <c r="N614" s="34" t="str">
        <f>IFERROR(__xludf.DUMMYFUNCTION("""COMPUTED_VALUE"""),"")</f>
        <v/>
      </c>
    </row>
    <row r="615">
      <c r="A615" s="34" t="str">
        <f>IFERROR(__xludf.DUMMYFUNCTION("""COMPUTED_VALUE"""),"")</f>
        <v/>
      </c>
      <c r="M615" s="34" t="s">
        <v>260</v>
      </c>
      <c r="N615" s="34" t="str">
        <f>IFERROR(__xludf.DUMMYFUNCTION("""COMPUTED_VALUE"""),"")</f>
        <v/>
      </c>
    </row>
    <row r="616">
      <c r="A616" s="34" t="str">
        <f>IFERROR(__xludf.DUMMYFUNCTION("""COMPUTED_VALUE"""),"")</f>
        <v/>
      </c>
      <c r="M616" s="34" t="s">
        <v>260</v>
      </c>
      <c r="N616" s="34" t="str">
        <f>IFERROR(__xludf.DUMMYFUNCTION("""COMPUTED_VALUE"""),"")</f>
        <v/>
      </c>
    </row>
    <row r="617">
      <c r="A617" s="34" t="str">
        <f>IFERROR(__xludf.DUMMYFUNCTION("""COMPUTED_VALUE"""),"")</f>
        <v/>
      </c>
      <c r="M617" s="34" t="s">
        <v>260</v>
      </c>
      <c r="N617" s="34" t="str">
        <f>IFERROR(__xludf.DUMMYFUNCTION("""COMPUTED_VALUE"""),"")</f>
        <v/>
      </c>
    </row>
    <row r="618">
      <c r="A618" s="34" t="str">
        <f>IFERROR(__xludf.DUMMYFUNCTION("""COMPUTED_VALUE"""),"")</f>
        <v/>
      </c>
      <c r="M618" s="34" t="s">
        <v>260</v>
      </c>
      <c r="N618" s="34" t="str">
        <f>IFERROR(__xludf.DUMMYFUNCTION("""COMPUTED_VALUE"""),"")</f>
        <v/>
      </c>
    </row>
    <row r="619">
      <c r="A619" s="34" t="str">
        <f>IFERROR(__xludf.DUMMYFUNCTION("""COMPUTED_VALUE"""),"")</f>
        <v/>
      </c>
      <c r="M619" s="34" t="s">
        <v>260</v>
      </c>
      <c r="N619" s="34" t="str">
        <f>IFERROR(__xludf.DUMMYFUNCTION("""COMPUTED_VALUE"""),"")</f>
        <v/>
      </c>
    </row>
    <row r="620">
      <c r="A620" s="34" t="str">
        <f>IFERROR(__xludf.DUMMYFUNCTION("""COMPUTED_VALUE"""),"")</f>
        <v/>
      </c>
      <c r="M620" s="34" t="s">
        <v>260</v>
      </c>
      <c r="N620" s="34" t="str">
        <f>IFERROR(__xludf.DUMMYFUNCTION("""COMPUTED_VALUE"""),"")</f>
        <v/>
      </c>
    </row>
    <row r="621">
      <c r="A621" s="34" t="str">
        <f>IFERROR(__xludf.DUMMYFUNCTION("""COMPUTED_VALUE"""),"")</f>
        <v/>
      </c>
      <c r="M621" s="34" t="s">
        <v>260</v>
      </c>
      <c r="N621" s="34" t="str">
        <f>IFERROR(__xludf.DUMMYFUNCTION("""COMPUTED_VALUE"""),"")</f>
        <v/>
      </c>
    </row>
    <row r="622">
      <c r="A622" s="34" t="str">
        <f>IFERROR(__xludf.DUMMYFUNCTION("""COMPUTED_VALUE"""),"")</f>
        <v/>
      </c>
      <c r="M622" s="34" t="s">
        <v>260</v>
      </c>
      <c r="N622" s="34" t="str">
        <f>IFERROR(__xludf.DUMMYFUNCTION("""COMPUTED_VALUE"""),"")</f>
        <v/>
      </c>
    </row>
    <row r="623">
      <c r="A623" s="34" t="str">
        <f>IFERROR(__xludf.DUMMYFUNCTION("""COMPUTED_VALUE"""),"")</f>
        <v/>
      </c>
      <c r="M623" s="34" t="s">
        <v>260</v>
      </c>
      <c r="N623" s="34" t="str">
        <f>IFERROR(__xludf.DUMMYFUNCTION("""COMPUTED_VALUE"""),"")</f>
        <v/>
      </c>
    </row>
    <row r="624">
      <c r="A624" s="34" t="str">
        <f>IFERROR(__xludf.DUMMYFUNCTION("""COMPUTED_VALUE"""),"")</f>
        <v/>
      </c>
      <c r="M624" s="34" t="s">
        <v>260</v>
      </c>
      <c r="N624" s="34" t="str">
        <f>IFERROR(__xludf.DUMMYFUNCTION("""COMPUTED_VALUE"""),"")</f>
        <v/>
      </c>
    </row>
    <row r="625">
      <c r="A625" s="34" t="str">
        <f>IFERROR(__xludf.DUMMYFUNCTION("""COMPUTED_VALUE"""),"")</f>
        <v/>
      </c>
      <c r="M625" s="34" t="s">
        <v>260</v>
      </c>
      <c r="N625" s="34" t="str">
        <f>IFERROR(__xludf.DUMMYFUNCTION("""COMPUTED_VALUE"""),"")</f>
        <v/>
      </c>
    </row>
    <row r="626">
      <c r="A626" s="34" t="str">
        <f>IFERROR(__xludf.DUMMYFUNCTION("""COMPUTED_VALUE"""),"")</f>
        <v/>
      </c>
      <c r="M626" s="34" t="s">
        <v>260</v>
      </c>
      <c r="N626" s="34" t="str">
        <f>IFERROR(__xludf.DUMMYFUNCTION("""COMPUTED_VALUE"""),"")</f>
        <v/>
      </c>
    </row>
    <row r="627">
      <c r="A627" s="34" t="str">
        <f>IFERROR(__xludf.DUMMYFUNCTION("""COMPUTED_VALUE"""),"")</f>
        <v/>
      </c>
      <c r="M627" s="34" t="s">
        <v>260</v>
      </c>
      <c r="N627" s="34" t="str">
        <f>IFERROR(__xludf.DUMMYFUNCTION("""COMPUTED_VALUE"""),"")</f>
        <v/>
      </c>
    </row>
    <row r="628">
      <c r="A628" s="34" t="str">
        <f>IFERROR(__xludf.DUMMYFUNCTION("""COMPUTED_VALUE"""),"")</f>
        <v/>
      </c>
      <c r="M628" s="34" t="s">
        <v>260</v>
      </c>
      <c r="N628" s="34" t="str">
        <f>IFERROR(__xludf.DUMMYFUNCTION("""COMPUTED_VALUE"""),"")</f>
        <v/>
      </c>
    </row>
    <row r="629">
      <c r="A629" s="34" t="str">
        <f>IFERROR(__xludf.DUMMYFUNCTION("""COMPUTED_VALUE"""),"")</f>
        <v/>
      </c>
      <c r="M629" s="34" t="s">
        <v>260</v>
      </c>
      <c r="N629" s="34" t="str">
        <f>IFERROR(__xludf.DUMMYFUNCTION("""COMPUTED_VALUE"""),"")</f>
        <v/>
      </c>
    </row>
    <row r="630">
      <c r="A630" s="34" t="str">
        <f>IFERROR(__xludf.DUMMYFUNCTION("""COMPUTED_VALUE"""),"")</f>
        <v/>
      </c>
      <c r="M630" s="34" t="s">
        <v>260</v>
      </c>
      <c r="N630" s="34" t="str">
        <f>IFERROR(__xludf.DUMMYFUNCTION("""COMPUTED_VALUE"""),"")</f>
        <v/>
      </c>
    </row>
    <row r="631">
      <c r="A631" s="34" t="str">
        <f>IFERROR(__xludf.DUMMYFUNCTION("""COMPUTED_VALUE"""),"")</f>
        <v/>
      </c>
      <c r="M631" s="34" t="s">
        <v>260</v>
      </c>
      <c r="N631" s="34" t="str">
        <f>IFERROR(__xludf.DUMMYFUNCTION("""COMPUTED_VALUE"""),"")</f>
        <v/>
      </c>
    </row>
    <row r="632">
      <c r="A632" s="34" t="str">
        <f>IFERROR(__xludf.DUMMYFUNCTION("""COMPUTED_VALUE"""),"")</f>
        <v/>
      </c>
      <c r="M632" s="34" t="s">
        <v>260</v>
      </c>
      <c r="N632" s="34" t="str">
        <f>IFERROR(__xludf.DUMMYFUNCTION("""COMPUTED_VALUE"""),"")</f>
        <v/>
      </c>
    </row>
    <row r="633">
      <c r="A633" s="34" t="str">
        <f>IFERROR(__xludf.DUMMYFUNCTION("""COMPUTED_VALUE"""),"")</f>
        <v/>
      </c>
      <c r="M633" s="34" t="s">
        <v>260</v>
      </c>
      <c r="N633" s="34" t="str">
        <f>IFERROR(__xludf.DUMMYFUNCTION("""COMPUTED_VALUE"""),"")</f>
        <v/>
      </c>
    </row>
    <row r="634">
      <c r="A634" s="34" t="str">
        <f>IFERROR(__xludf.DUMMYFUNCTION("""COMPUTED_VALUE"""),"")</f>
        <v/>
      </c>
      <c r="M634" s="34" t="s">
        <v>260</v>
      </c>
      <c r="N634" s="34" t="str">
        <f>IFERROR(__xludf.DUMMYFUNCTION("""COMPUTED_VALUE"""),"")</f>
        <v/>
      </c>
    </row>
    <row r="635">
      <c r="A635" s="34" t="str">
        <f>IFERROR(__xludf.DUMMYFUNCTION("""COMPUTED_VALUE"""),"")</f>
        <v/>
      </c>
      <c r="M635" s="34" t="s">
        <v>260</v>
      </c>
      <c r="N635" s="34" t="str">
        <f>IFERROR(__xludf.DUMMYFUNCTION("""COMPUTED_VALUE"""),"")</f>
        <v/>
      </c>
    </row>
    <row r="636">
      <c r="A636" s="34" t="str">
        <f>IFERROR(__xludf.DUMMYFUNCTION("""COMPUTED_VALUE"""),"")</f>
        <v/>
      </c>
      <c r="M636" s="34" t="s">
        <v>260</v>
      </c>
      <c r="N636" s="34" t="str">
        <f>IFERROR(__xludf.DUMMYFUNCTION("""COMPUTED_VALUE"""),"")</f>
        <v/>
      </c>
    </row>
    <row r="637">
      <c r="A637" s="34" t="str">
        <f>IFERROR(__xludf.DUMMYFUNCTION("""COMPUTED_VALUE"""),"")</f>
        <v/>
      </c>
      <c r="M637" s="34" t="s">
        <v>260</v>
      </c>
      <c r="N637" s="34" t="str">
        <f>IFERROR(__xludf.DUMMYFUNCTION("""COMPUTED_VALUE"""),"")</f>
        <v/>
      </c>
    </row>
    <row r="638">
      <c r="A638" s="34" t="str">
        <f>IFERROR(__xludf.DUMMYFUNCTION("""COMPUTED_VALUE"""),"")</f>
        <v/>
      </c>
      <c r="M638" s="34" t="s">
        <v>260</v>
      </c>
      <c r="N638" s="34" t="str">
        <f>IFERROR(__xludf.DUMMYFUNCTION("""COMPUTED_VALUE"""),"")</f>
        <v/>
      </c>
    </row>
    <row r="639">
      <c r="A639" s="34" t="str">
        <f>IFERROR(__xludf.DUMMYFUNCTION("""COMPUTED_VALUE"""),"")</f>
        <v/>
      </c>
      <c r="M639" s="34" t="s">
        <v>260</v>
      </c>
      <c r="N639" s="34" t="str">
        <f>IFERROR(__xludf.DUMMYFUNCTION("""COMPUTED_VALUE"""),"")</f>
        <v/>
      </c>
    </row>
    <row r="640">
      <c r="A640" s="34" t="str">
        <f>IFERROR(__xludf.DUMMYFUNCTION("""COMPUTED_VALUE"""),"")</f>
        <v/>
      </c>
      <c r="M640" s="34" t="s">
        <v>260</v>
      </c>
      <c r="N640" s="34" t="str">
        <f>IFERROR(__xludf.DUMMYFUNCTION("""COMPUTED_VALUE"""),"")</f>
        <v/>
      </c>
    </row>
    <row r="641">
      <c r="A641" s="34" t="str">
        <f>IFERROR(__xludf.DUMMYFUNCTION("""COMPUTED_VALUE"""),"")</f>
        <v/>
      </c>
      <c r="M641" s="34" t="s">
        <v>260</v>
      </c>
      <c r="N641" s="34" t="str">
        <f>IFERROR(__xludf.DUMMYFUNCTION("""COMPUTED_VALUE"""),"")</f>
        <v/>
      </c>
    </row>
    <row r="642">
      <c r="A642" s="34" t="str">
        <f>IFERROR(__xludf.DUMMYFUNCTION("""COMPUTED_VALUE"""),"")</f>
        <v/>
      </c>
      <c r="M642" s="34" t="s">
        <v>260</v>
      </c>
      <c r="N642" s="34" t="str">
        <f>IFERROR(__xludf.DUMMYFUNCTION("""COMPUTED_VALUE"""),"")</f>
        <v/>
      </c>
    </row>
    <row r="643">
      <c r="A643" s="34" t="str">
        <f>IFERROR(__xludf.DUMMYFUNCTION("""COMPUTED_VALUE"""),"")</f>
        <v/>
      </c>
      <c r="M643" s="34" t="s">
        <v>260</v>
      </c>
      <c r="N643" s="34" t="str">
        <f>IFERROR(__xludf.DUMMYFUNCTION("""COMPUTED_VALUE"""),"")</f>
        <v/>
      </c>
    </row>
    <row r="644">
      <c r="A644" s="34" t="str">
        <f>IFERROR(__xludf.DUMMYFUNCTION("""COMPUTED_VALUE"""),"")</f>
        <v/>
      </c>
      <c r="M644" s="34" t="s">
        <v>260</v>
      </c>
      <c r="N644" s="34" t="str">
        <f>IFERROR(__xludf.DUMMYFUNCTION("""COMPUTED_VALUE"""),"")</f>
        <v/>
      </c>
    </row>
    <row r="645">
      <c r="A645" s="34" t="str">
        <f>IFERROR(__xludf.DUMMYFUNCTION("""COMPUTED_VALUE"""),"")</f>
        <v/>
      </c>
      <c r="M645" s="34" t="s">
        <v>260</v>
      </c>
      <c r="N645" s="34" t="str">
        <f>IFERROR(__xludf.DUMMYFUNCTION("""COMPUTED_VALUE"""),"")</f>
        <v/>
      </c>
    </row>
    <row r="646">
      <c r="A646" s="34" t="str">
        <f>IFERROR(__xludf.DUMMYFUNCTION("""COMPUTED_VALUE"""),"")</f>
        <v/>
      </c>
      <c r="M646" s="34" t="s">
        <v>260</v>
      </c>
      <c r="N646" s="34" t="str">
        <f>IFERROR(__xludf.DUMMYFUNCTION("""COMPUTED_VALUE"""),"")</f>
        <v/>
      </c>
    </row>
    <row r="647">
      <c r="A647" s="34" t="str">
        <f>IFERROR(__xludf.DUMMYFUNCTION("""COMPUTED_VALUE"""),"")</f>
        <v/>
      </c>
      <c r="M647" s="34" t="s">
        <v>260</v>
      </c>
      <c r="N647" s="34" t="str">
        <f>IFERROR(__xludf.DUMMYFUNCTION("""COMPUTED_VALUE"""),"")</f>
        <v/>
      </c>
    </row>
    <row r="648">
      <c r="A648" s="34" t="str">
        <f>IFERROR(__xludf.DUMMYFUNCTION("""COMPUTED_VALUE"""),"")</f>
        <v/>
      </c>
      <c r="M648" s="34" t="s">
        <v>260</v>
      </c>
      <c r="N648" s="34" t="str">
        <f>IFERROR(__xludf.DUMMYFUNCTION("""COMPUTED_VALUE"""),"")</f>
        <v/>
      </c>
    </row>
    <row r="649">
      <c r="A649" s="34" t="str">
        <f>IFERROR(__xludf.DUMMYFUNCTION("""COMPUTED_VALUE"""),"")</f>
        <v/>
      </c>
      <c r="M649" s="34" t="s">
        <v>260</v>
      </c>
      <c r="N649" s="34" t="str">
        <f>IFERROR(__xludf.DUMMYFUNCTION("""COMPUTED_VALUE"""),"")</f>
        <v/>
      </c>
    </row>
    <row r="650">
      <c r="A650" s="34" t="str">
        <f>IFERROR(__xludf.DUMMYFUNCTION("""COMPUTED_VALUE"""),"")</f>
        <v/>
      </c>
      <c r="M650" s="34" t="s">
        <v>260</v>
      </c>
      <c r="N650" s="34" t="str">
        <f>IFERROR(__xludf.DUMMYFUNCTION("""COMPUTED_VALUE"""),"")</f>
        <v/>
      </c>
    </row>
    <row r="651">
      <c r="A651" s="34" t="str">
        <f>IFERROR(__xludf.DUMMYFUNCTION("""COMPUTED_VALUE"""),"")</f>
        <v/>
      </c>
      <c r="M651" s="34" t="s">
        <v>260</v>
      </c>
      <c r="N651" s="34" t="str">
        <f>IFERROR(__xludf.DUMMYFUNCTION("""COMPUTED_VALUE"""),"")</f>
        <v/>
      </c>
    </row>
    <row r="652">
      <c r="A652" s="34" t="str">
        <f>IFERROR(__xludf.DUMMYFUNCTION("""COMPUTED_VALUE"""),"")</f>
        <v/>
      </c>
      <c r="M652" s="34" t="s">
        <v>260</v>
      </c>
      <c r="N652" s="34" t="str">
        <f>IFERROR(__xludf.DUMMYFUNCTION("""COMPUTED_VALUE"""),"")</f>
        <v/>
      </c>
    </row>
    <row r="653">
      <c r="A653" s="34" t="str">
        <f>IFERROR(__xludf.DUMMYFUNCTION("""COMPUTED_VALUE"""),"")</f>
        <v/>
      </c>
      <c r="M653" s="34" t="s">
        <v>260</v>
      </c>
      <c r="N653" s="34" t="str">
        <f>IFERROR(__xludf.DUMMYFUNCTION("""COMPUTED_VALUE"""),"")</f>
        <v/>
      </c>
    </row>
    <row r="654">
      <c r="A654" s="34" t="str">
        <f>IFERROR(__xludf.DUMMYFUNCTION("""COMPUTED_VALUE"""),"")</f>
        <v/>
      </c>
      <c r="M654" s="34" t="s">
        <v>260</v>
      </c>
      <c r="N654" s="34" t="str">
        <f>IFERROR(__xludf.DUMMYFUNCTION("""COMPUTED_VALUE"""),"")</f>
        <v/>
      </c>
    </row>
    <row r="655">
      <c r="A655" s="34" t="str">
        <f>IFERROR(__xludf.DUMMYFUNCTION("""COMPUTED_VALUE"""),"")</f>
        <v/>
      </c>
      <c r="M655" s="34" t="s">
        <v>260</v>
      </c>
      <c r="N655" s="34" t="str">
        <f>IFERROR(__xludf.DUMMYFUNCTION("""COMPUTED_VALUE"""),"")</f>
        <v/>
      </c>
    </row>
    <row r="656">
      <c r="A656" s="34" t="str">
        <f>IFERROR(__xludf.DUMMYFUNCTION("""COMPUTED_VALUE"""),"")</f>
        <v/>
      </c>
      <c r="M656" s="34" t="s">
        <v>260</v>
      </c>
      <c r="N656" s="34" t="str">
        <f>IFERROR(__xludf.DUMMYFUNCTION("""COMPUTED_VALUE"""),"")</f>
        <v/>
      </c>
    </row>
    <row r="657">
      <c r="A657" s="34" t="str">
        <f>IFERROR(__xludf.DUMMYFUNCTION("""COMPUTED_VALUE"""),"")</f>
        <v/>
      </c>
      <c r="M657" s="34" t="s">
        <v>260</v>
      </c>
      <c r="N657" s="34" t="str">
        <f>IFERROR(__xludf.DUMMYFUNCTION("""COMPUTED_VALUE"""),"")</f>
        <v/>
      </c>
    </row>
    <row r="658">
      <c r="A658" s="34" t="str">
        <f>IFERROR(__xludf.DUMMYFUNCTION("""COMPUTED_VALUE"""),"")</f>
        <v/>
      </c>
      <c r="M658" s="34" t="s">
        <v>260</v>
      </c>
      <c r="N658" s="34" t="str">
        <f>IFERROR(__xludf.DUMMYFUNCTION("""COMPUTED_VALUE"""),"")</f>
        <v/>
      </c>
    </row>
    <row r="659">
      <c r="A659" s="34" t="str">
        <f>IFERROR(__xludf.DUMMYFUNCTION("""COMPUTED_VALUE"""),"")</f>
        <v/>
      </c>
      <c r="M659" s="34" t="s">
        <v>260</v>
      </c>
      <c r="N659" s="34" t="str">
        <f>IFERROR(__xludf.DUMMYFUNCTION("""COMPUTED_VALUE"""),"")</f>
        <v/>
      </c>
    </row>
    <row r="660">
      <c r="A660" s="34" t="str">
        <f>IFERROR(__xludf.DUMMYFUNCTION("""COMPUTED_VALUE"""),"")</f>
        <v/>
      </c>
      <c r="M660" s="34" t="s">
        <v>260</v>
      </c>
      <c r="N660" s="34" t="str">
        <f>IFERROR(__xludf.DUMMYFUNCTION("""COMPUTED_VALUE"""),"")</f>
        <v/>
      </c>
    </row>
    <row r="661">
      <c r="A661" s="34" t="str">
        <f>IFERROR(__xludf.DUMMYFUNCTION("""COMPUTED_VALUE"""),"")</f>
        <v/>
      </c>
      <c r="M661" s="34" t="s">
        <v>260</v>
      </c>
      <c r="N661" s="34" t="str">
        <f>IFERROR(__xludf.DUMMYFUNCTION("""COMPUTED_VALUE"""),"")</f>
        <v/>
      </c>
    </row>
    <row r="662">
      <c r="A662" s="34" t="str">
        <f>IFERROR(__xludf.DUMMYFUNCTION("""COMPUTED_VALUE"""),"")</f>
        <v/>
      </c>
      <c r="M662" s="34" t="s">
        <v>260</v>
      </c>
      <c r="N662" s="34" t="str">
        <f>IFERROR(__xludf.DUMMYFUNCTION("""COMPUTED_VALUE"""),"")</f>
        <v/>
      </c>
    </row>
    <row r="663">
      <c r="A663" s="34" t="str">
        <f>IFERROR(__xludf.DUMMYFUNCTION("""COMPUTED_VALUE"""),"")</f>
        <v/>
      </c>
      <c r="M663" s="34" t="s">
        <v>260</v>
      </c>
      <c r="N663" s="34" t="str">
        <f>IFERROR(__xludf.DUMMYFUNCTION("""COMPUTED_VALUE"""),"")</f>
        <v/>
      </c>
    </row>
    <row r="664">
      <c r="A664" s="34" t="str">
        <f>IFERROR(__xludf.DUMMYFUNCTION("""COMPUTED_VALUE"""),"")</f>
        <v/>
      </c>
      <c r="M664" s="34" t="s">
        <v>260</v>
      </c>
      <c r="N664" s="34" t="str">
        <f>IFERROR(__xludf.DUMMYFUNCTION("""COMPUTED_VALUE"""),"")</f>
        <v/>
      </c>
    </row>
    <row r="665">
      <c r="A665" s="34" t="str">
        <f>IFERROR(__xludf.DUMMYFUNCTION("""COMPUTED_VALUE"""),"")</f>
        <v/>
      </c>
      <c r="M665" s="34" t="s">
        <v>260</v>
      </c>
      <c r="N665" s="34" t="str">
        <f>IFERROR(__xludf.DUMMYFUNCTION("""COMPUTED_VALUE"""),"")</f>
        <v/>
      </c>
    </row>
    <row r="666">
      <c r="A666" s="34" t="str">
        <f>IFERROR(__xludf.DUMMYFUNCTION("""COMPUTED_VALUE"""),"")</f>
        <v/>
      </c>
      <c r="M666" s="34" t="s">
        <v>260</v>
      </c>
      <c r="N666" s="34" t="str">
        <f>IFERROR(__xludf.DUMMYFUNCTION("""COMPUTED_VALUE"""),"")</f>
        <v/>
      </c>
    </row>
    <row r="667">
      <c r="A667" s="34" t="str">
        <f>IFERROR(__xludf.DUMMYFUNCTION("""COMPUTED_VALUE"""),"")</f>
        <v/>
      </c>
      <c r="M667" s="34" t="s">
        <v>260</v>
      </c>
      <c r="N667" s="34" t="str">
        <f>IFERROR(__xludf.DUMMYFUNCTION("""COMPUTED_VALUE"""),"")</f>
        <v/>
      </c>
    </row>
    <row r="668">
      <c r="A668" s="34" t="str">
        <f>IFERROR(__xludf.DUMMYFUNCTION("""COMPUTED_VALUE"""),"")</f>
        <v/>
      </c>
      <c r="M668" s="34" t="s">
        <v>260</v>
      </c>
      <c r="N668" s="34" t="str">
        <f>IFERROR(__xludf.DUMMYFUNCTION("""COMPUTED_VALUE"""),"")</f>
        <v/>
      </c>
    </row>
    <row r="669">
      <c r="A669" s="34" t="str">
        <f>IFERROR(__xludf.DUMMYFUNCTION("""COMPUTED_VALUE"""),"")</f>
        <v/>
      </c>
      <c r="M669" s="34" t="s">
        <v>260</v>
      </c>
      <c r="N669" s="34" t="str">
        <f>IFERROR(__xludf.DUMMYFUNCTION("""COMPUTED_VALUE"""),"")</f>
        <v/>
      </c>
    </row>
    <row r="670">
      <c r="A670" s="34" t="str">
        <f>IFERROR(__xludf.DUMMYFUNCTION("""COMPUTED_VALUE"""),"")</f>
        <v/>
      </c>
      <c r="M670" s="34" t="s">
        <v>260</v>
      </c>
      <c r="N670" s="34" t="str">
        <f>IFERROR(__xludf.DUMMYFUNCTION("""COMPUTED_VALUE"""),"")</f>
        <v/>
      </c>
    </row>
    <row r="671">
      <c r="A671" s="34" t="str">
        <f>IFERROR(__xludf.DUMMYFUNCTION("""COMPUTED_VALUE"""),"")</f>
        <v/>
      </c>
      <c r="M671" s="34" t="s">
        <v>260</v>
      </c>
      <c r="N671" s="34" t="str">
        <f>IFERROR(__xludf.DUMMYFUNCTION("""COMPUTED_VALUE"""),"")</f>
        <v/>
      </c>
    </row>
    <row r="672">
      <c r="A672" s="34" t="str">
        <f>IFERROR(__xludf.DUMMYFUNCTION("""COMPUTED_VALUE"""),"")</f>
        <v/>
      </c>
      <c r="M672" s="34" t="s">
        <v>260</v>
      </c>
      <c r="N672" s="34" t="str">
        <f>IFERROR(__xludf.DUMMYFUNCTION("""COMPUTED_VALUE"""),"")</f>
        <v/>
      </c>
    </row>
    <row r="673">
      <c r="A673" s="34" t="str">
        <f>IFERROR(__xludf.DUMMYFUNCTION("""COMPUTED_VALUE"""),"")</f>
        <v/>
      </c>
      <c r="M673" s="34" t="s">
        <v>260</v>
      </c>
      <c r="N673" s="34" t="str">
        <f>IFERROR(__xludf.DUMMYFUNCTION("""COMPUTED_VALUE"""),"")</f>
        <v/>
      </c>
    </row>
    <row r="674">
      <c r="A674" s="34" t="str">
        <f>IFERROR(__xludf.DUMMYFUNCTION("""COMPUTED_VALUE"""),"")</f>
        <v/>
      </c>
      <c r="M674" s="34" t="s">
        <v>260</v>
      </c>
      <c r="N674" s="34" t="str">
        <f>IFERROR(__xludf.DUMMYFUNCTION("""COMPUTED_VALUE"""),"")</f>
        <v/>
      </c>
    </row>
    <row r="675">
      <c r="A675" s="34" t="str">
        <f>IFERROR(__xludf.DUMMYFUNCTION("""COMPUTED_VALUE"""),"")</f>
        <v/>
      </c>
      <c r="M675" s="34" t="s">
        <v>260</v>
      </c>
      <c r="N675" s="34" t="str">
        <f>IFERROR(__xludf.DUMMYFUNCTION("""COMPUTED_VALUE"""),"")</f>
        <v/>
      </c>
    </row>
    <row r="676">
      <c r="A676" s="34" t="str">
        <f>IFERROR(__xludf.DUMMYFUNCTION("""COMPUTED_VALUE"""),"")</f>
        <v/>
      </c>
      <c r="M676" s="34" t="s">
        <v>260</v>
      </c>
      <c r="N676" s="34" t="str">
        <f>IFERROR(__xludf.DUMMYFUNCTION("""COMPUTED_VALUE"""),"")</f>
        <v/>
      </c>
    </row>
    <row r="677">
      <c r="A677" s="34" t="str">
        <f>IFERROR(__xludf.DUMMYFUNCTION("""COMPUTED_VALUE"""),"")</f>
        <v/>
      </c>
      <c r="M677" s="34" t="s">
        <v>260</v>
      </c>
      <c r="N677" s="34" t="str">
        <f>IFERROR(__xludf.DUMMYFUNCTION("""COMPUTED_VALUE"""),"")</f>
        <v/>
      </c>
    </row>
    <row r="678">
      <c r="A678" s="34" t="str">
        <f>IFERROR(__xludf.DUMMYFUNCTION("""COMPUTED_VALUE"""),"")</f>
        <v/>
      </c>
      <c r="M678" s="34" t="s">
        <v>260</v>
      </c>
      <c r="N678" s="34" t="str">
        <f>IFERROR(__xludf.DUMMYFUNCTION("""COMPUTED_VALUE"""),"")</f>
        <v/>
      </c>
    </row>
    <row r="679">
      <c r="A679" s="34" t="str">
        <f>IFERROR(__xludf.DUMMYFUNCTION("""COMPUTED_VALUE"""),"")</f>
        <v/>
      </c>
      <c r="M679" s="34" t="s">
        <v>260</v>
      </c>
      <c r="N679" s="34" t="str">
        <f>IFERROR(__xludf.DUMMYFUNCTION("""COMPUTED_VALUE"""),"")</f>
        <v/>
      </c>
    </row>
    <row r="680">
      <c r="A680" s="34" t="str">
        <f>IFERROR(__xludf.DUMMYFUNCTION("""COMPUTED_VALUE"""),"")</f>
        <v/>
      </c>
      <c r="M680" s="34" t="s">
        <v>260</v>
      </c>
      <c r="N680" s="34" t="str">
        <f>IFERROR(__xludf.DUMMYFUNCTION("""COMPUTED_VALUE"""),"")</f>
        <v/>
      </c>
    </row>
    <row r="681">
      <c r="A681" s="34" t="str">
        <f>IFERROR(__xludf.DUMMYFUNCTION("""COMPUTED_VALUE"""),"")</f>
        <v/>
      </c>
      <c r="M681" s="34" t="s">
        <v>260</v>
      </c>
      <c r="N681" s="34" t="str">
        <f>IFERROR(__xludf.DUMMYFUNCTION("""COMPUTED_VALUE"""),"")</f>
        <v/>
      </c>
    </row>
    <row r="682">
      <c r="A682" s="34" t="str">
        <f>IFERROR(__xludf.DUMMYFUNCTION("""COMPUTED_VALUE"""),"")</f>
        <v/>
      </c>
      <c r="M682" s="34" t="s">
        <v>260</v>
      </c>
      <c r="N682" s="34" t="str">
        <f>IFERROR(__xludf.DUMMYFUNCTION("""COMPUTED_VALUE"""),"")</f>
        <v/>
      </c>
    </row>
    <row r="683">
      <c r="A683" s="34" t="str">
        <f>IFERROR(__xludf.DUMMYFUNCTION("""COMPUTED_VALUE"""),"")</f>
        <v/>
      </c>
      <c r="M683" s="34" t="s">
        <v>260</v>
      </c>
      <c r="N683" s="34" t="str">
        <f>IFERROR(__xludf.DUMMYFUNCTION("""COMPUTED_VALUE"""),"")</f>
        <v/>
      </c>
    </row>
    <row r="684">
      <c r="A684" s="34" t="str">
        <f>IFERROR(__xludf.DUMMYFUNCTION("""COMPUTED_VALUE"""),"")</f>
        <v/>
      </c>
      <c r="M684" s="34" t="s">
        <v>260</v>
      </c>
      <c r="N684" s="34" t="str">
        <f>IFERROR(__xludf.DUMMYFUNCTION("""COMPUTED_VALUE"""),"")</f>
        <v/>
      </c>
    </row>
    <row r="685">
      <c r="A685" s="34" t="str">
        <f>IFERROR(__xludf.DUMMYFUNCTION("""COMPUTED_VALUE"""),"")</f>
        <v/>
      </c>
      <c r="M685" s="34" t="s">
        <v>260</v>
      </c>
      <c r="N685" s="34" t="str">
        <f>IFERROR(__xludf.DUMMYFUNCTION("""COMPUTED_VALUE"""),"")</f>
        <v/>
      </c>
    </row>
    <row r="686">
      <c r="A686" s="34" t="str">
        <f>IFERROR(__xludf.DUMMYFUNCTION("""COMPUTED_VALUE"""),"")</f>
        <v/>
      </c>
      <c r="M686" s="34" t="s">
        <v>260</v>
      </c>
      <c r="N686" s="34" t="str">
        <f>IFERROR(__xludf.DUMMYFUNCTION("""COMPUTED_VALUE"""),"")</f>
        <v/>
      </c>
    </row>
    <row r="687">
      <c r="A687" s="34" t="str">
        <f>IFERROR(__xludf.DUMMYFUNCTION("""COMPUTED_VALUE"""),"")</f>
        <v/>
      </c>
      <c r="M687" s="34" t="s">
        <v>260</v>
      </c>
      <c r="N687" s="34" t="str">
        <f>IFERROR(__xludf.DUMMYFUNCTION("""COMPUTED_VALUE"""),"")</f>
        <v/>
      </c>
    </row>
    <row r="688">
      <c r="A688" s="34" t="str">
        <f>IFERROR(__xludf.DUMMYFUNCTION("""COMPUTED_VALUE"""),"")</f>
        <v/>
      </c>
      <c r="M688" s="34" t="s">
        <v>260</v>
      </c>
      <c r="N688" s="34" t="str">
        <f>IFERROR(__xludf.DUMMYFUNCTION("""COMPUTED_VALUE"""),"")</f>
        <v/>
      </c>
    </row>
    <row r="689">
      <c r="A689" s="34" t="str">
        <f>IFERROR(__xludf.DUMMYFUNCTION("""COMPUTED_VALUE"""),"")</f>
        <v/>
      </c>
      <c r="M689" s="34" t="s">
        <v>260</v>
      </c>
      <c r="N689" s="34" t="str">
        <f>IFERROR(__xludf.DUMMYFUNCTION("""COMPUTED_VALUE"""),"")</f>
        <v/>
      </c>
    </row>
    <row r="690">
      <c r="A690" s="34" t="str">
        <f>IFERROR(__xludf.DUMMYFUNCTION("""COMPUTED_VALUE"""),"")</f>
        <v/>
      </c>
      <c r="M690" s="34" t="s">
        <v>260</v>
      </c>
      <c r="N690" s="34" t="str">
        <f>IFERROR(__xludf.DUMMYFUNCTION("""COMPUTED_VALUE"""),"")</f>
        <v/>
      </c>
    </row>
    <row r="691">
      <c r="A691" s="34" t="str">
        <f>IFERROR(__xludf.DUMMYFUNCTION("""COMPUTED_VALUE"""),"")</f>
        <v/>
      </c>
      <c r="M691" s="34" t="s">
        <v>260</v>
      </c>
      <c r="N691" s="34" t="str">
        <f>IFERROR(__xludf.DUMMYFUNCTION("""COMPUTED_VALUE"""),"")</f>
        <v/>
      </c>
    </row>
    <row r="692">
      <c r="A692" s="34" t="str">
        <f>IFERROR(__xludf.DUMMYFUNCTION("""COMPUTED_VALUE"""),"")</f>
        <v/>
      </c>
      <c r="M692" s="34" t="s">
        <v>260</v>
      </c>
      <c r="N692" s="34" t="str">
        <f>IFERROR(__xludf.DUMMYFUNCTION("""COMPUTED_VALUE"""),"")</f>
        <v/>
      </c>
    </row>
    <row r="693">
      <c r="A693" s="34" t="str">
        <f>IFERROR(__xludf.DUMMYFUNCTION("""COMPUTED_VALUE"""),"")</f>
        <v/>
      </c>
      <c r="M693" s="34" t="s">
        <v>260</v>
      </c>
      <c r="N693" s="34" t="str">
        <f>IFERROR(__xludf.DUMMYFUNCTION("""COMPUTED_VALUE"""),"")</f>
        <v/>
      </c>
    </row>
    <row r="694">
      <c r="A694" s="34" t="str">
        <f>IFERROR(__xludf.DUMMYFUNCTION("""COMPUTED_VALUE"""),"")</f>
        <v/>
      </c>
      <c r="M694" s="34" t="s">
        <v>260</v>
      </c>
      <c r="N694" s="34" t="str">
        <f>IFERROR(__xludf.DUMMYFUNCTION("""COMPUTED_VALUE"""),"")</f>
        <v/>
      </c>
    </row>
    <row r="695">
      <c r="A695" s="34" t="str">
        <f>IFERROR(__xludf.DUMMYFUNCTION("""COMPUTED_VALUE"""),"")</f>
        <v/>
      </c>
      <c r="M695" s="34" t="s">
        <v>260</v>
      </c>
      <c r="N695" s="34" t="str">
        <f>IFERROR(__xludf.DUMMYFUNCTION("""COMPUTED_VALUE"""),"")</f>
        <v/>
      </c>
    </row>
    <row r="696">
      <c r="A696" s="34" t="str">
        <f>IFERROR(__xludf.DUMMYFUNCTION("""COMPUTED_VALUE"""),"")</f>
        <v/>
      </c>
      <c r="M696" s="34" t="s">
        <v>260</v>
      </c>
      <c r="N696" s="34" t="str">
        <f>IFERROR(__xludf.DUMMYFUNCTION("""COMPUTED_VALUE"""),"")</f>
        <v/>
      </c>
    </row>
    <row r="697">
      <c r="A697" s="34" t="str">
        <f>IFERROR(__xludf.DUMMYFUNCTION("""COMPUTED_VALUE"""),"")</f>
        <v/>
      </c>
      <c r="M697" s="34" t="s">
        <v>260</v>
      </c>
      <c r="N697" s="34" t="str">
        <f>IFERROR(__xludf.DUMMYFUNCTION("""COMPUTED_VALUE"""),"")</f>
        <v/>
      </c>
    </row>
    <row r="698">
      <c r="A698" s="34" t="str">
        <f>IFERROR(__xludf.DUMMYFUNCTION("""COMPUTED_VALUE"""),"")</f>
        <v/>
      </c>
      <c r="M698" s="34" t="s">
        <v>260</v>
      </c>
      <c r="N698" s="34" t="str">
        <f>IFERROR(__xludf.DUMMYFUNCTION("""COMPUTED_VALUE"""),"")</f>
        <v/>
      </c>
    </row>
    <row r="699">
      <c r="A699" s="34" t="str">
        <f>IFERROR(__xludf.DUMMYFUNCTION("""COMPUTED_VALUE"""),"")</f>
        <v/>
      </c>
      <c r="M699" s="34" t="s">
        <v>260</v>
      </c>
      <c r="N699" s="34" t="str">
        <f>IFERROR(__xludf.DUMMYFUNCTION("""COMPUTED_VALUE"""),"")</f>
        <v/>
      </c>
    </row>
    <row r="700">
      <c r="A700" s="34" t="str">
        <f>IFERROR(__xludf.DUMMYFUNCTION("""COMPUTED_VALUE"""),"")</f>
        <v/>
      </c>
      <c r="M700" s="34" t="s">
        <v>260</v>
      </c>
      <c r="N700" s="34" t="str">
        <f>IFERROR(__xludf.DUMMYFUNCTION("""COMPUTED_VALUE"""),"")</f>
        <v/>
      </c>
    </row>
    <row r="701">
      <c r="A701" s="34" t="str">
        <f>IFERROR(__xludf.DUMMYFUNCTION("""COMPUTED_VALUE"""),"")</f>
        <v/>
      </c>
      <c r="M701" s="34" t="s">
        <v>260</v>
      </c>
      <c r="N701" s="34" t="str">
        <f>IFERROR(__xludf.DUMMYFUNCTION("""COMPUTED_VALUE"""),"")</f>
        <v/>
      </c>
    </row>
    <row r="702">
      <c r="A702" s="34" t="str">
        <f>IFERROR(__xludf.DUMMYFUNCTION("""COMPUTED_VALUE"""),"")</f>
        <v/>
      </c>
      <c r="M702" s="34" t="s">
        <v>260</v>
      </c>
      <c r="N702" s="34" t="str">
        <f>IFERROR(__xludf.DUMMYFUNCTION("""COMPUTED_VALUE"""),"")</f>
        <v/>
      </c>
    </row>
    <row r="703">
      <c r="A703" s="34" t="str">
        <f>IFERROR(__xludf.DUMMYFUNCTION("""COMPUTED_VALUE"""),"")</f>
        <v/>
      </c>
      <c r="M703" s="34" t="s">
        <v>260</v>
      </c>
      <c r="N703" s="34" t="str">
        <f>IFERROR(__xludf.DUMMYFUNCTION("""COMPUTED_VALUE"""),"")</f>
        <v/>
      </c>
    </row>
    <row r="704">
      <c r="A704" s="34" t="str">
        <f>IFERROR(__xludf.DUMMYFUNCTION("""COMPUTED_VALUE"""),"")</f>
        <v/>
      </c>
      <c r="M704" s="34" t="s">
        <v>260</v>
      </c>
      <c r="N704" s="34" t="str">
        <f>IFERROR(__xludf.DUMMYFUNCTION("""COMPUTED_VALUE"""),"")</f>
        <v/>
      </c>
    </row>
    <row r="705">
      <c r="A705" s="34" t="str">
        <f>IFERROR(__xludf.DUMMYFUNCTION("""COMPUTED_VALUE"""),"")</f>
        <v/>
      </c>
      <c r="M705" s="34" t="s">
        <v>260</v>
      </c>
      <c r="N705" s="34" t="str">
        <f>IFERROR(__xludf.DUMMYFUNCTION("""COMPUTED_VALUE"""),"")</f>
        <v/>
      </c>
    </row>
    <row r="706">
      <c r="A706" s="34" t="str">
        <f>IFERROR(__xludf.DUMMYFUNCTION("""COMPUTED_VALUE"""),"")</f>
        <v/>
      </c>
      <c r="M706" s="34" t="s">
        <v>260</v>
      </c>
      <c r="N706" s="34" t="str">
        <f>IFERROR(__xludf.DUMMYFUNCTION("""COMPUTED_VALUE"""),"")</f>
        <v/>
      </c>
    </row>
    <row r="707">
      <c r="A707" s="34" t="str">
        <f>IFERROR(__xludf.DUMMYFUNCTION("""COMPUTED_VALUE"""),"")</f>
        <v/>
      </c>
      <c r="M707" s="34" t="s">
        <v>260</v>
      </c>
      <c r="N707" s="34" t="str">
        <f>IFERROR(__xludf.DUMMYFUNCTION("""COMPUTED_VALUE"""),"")</f>
        <v/>
      </c>
    </row>
    <row r="708">
      <c r="A708" s="34" t="str">
        <f>IFERROR(__xludf.DUMMYFUNCTION("""COMPUTED_VALUE"""),"")</f>
        <v/>
      </c>
      <c r="M708" s="34" t="s">
        <v>260</v>
      </c>
      <c r="N708" s="34" t="str">
        <f>IFERROR(__xludf.DUMMYFUNCTION("""COMPUTED_VALUE"""),"")</f>
        <v/>
      </c>
    </row>
    <row r="709">
      <c r="A709" s="34" t="str">
        <f>IFERROR(__xludf.DUMMYFUNCTION("""COMPUTED_VALUE"""),"")</f>
        <v/>
      </c>
      <c r="M709" s="34" t="s">
        <v>260</v>
      </c>
      <c r="N709" s="34" t="str">
        <f>IFERROR(__xludf.DUMMYFUNCTION("""COMPUTED_VALUE"""),"")</f>
        <v/>
      </c>
    </row>
    <row r="710">
      <c r="A710" s="34" t="str">
        <f>IFERROR(__xludf.DUMMYFUNCTION("""COMPUTED_VALUE"""),"")</f>
        <v/>
      </c>
      <c r="M710" s="34" t="s">
        <v>260</v>
      </c>
      <c r="N710" s="34" t="str">
        <f>IFERROR(__xludf.DUMMYFUNCTION("""COMPUTED_VALUE"""),"")</f>
        <v/>
      </c>
    </row>
    <row r="711">
      <c r="A711" s="34" t="str">
        <f>IFERROR(__xludf.DUMMYFUNCTION("""COMPUTED_VALUE"""),"")</f>
        <v/>
      </c>
      <c r="M711" s="34" t="s">
        <v>260</v>
      </c>
      <c r="N711" s="34" t="str">
        <f>IFERROR(__xludf.DUMMYFUNCTION("""COMPUTED_VALUE"""),"")</f>
        <v/>
      </c>
    </row>
    <row r="712">
      <c r="A712" s="34" t="str">
        <f>IFERROR(__xludf.DUMMYFUNCTION("""COMPUTED_VALUE"""),"")</f>
        <v/>
      </c>
      <c r="M712" s="34" t="s">
        <v>260</v>
      </c>
      <c r="N712" s="34" t="str">
        <f>IFERROR(__xludf.DUMMYFUNCTION("""COMPUTED_VALUE"""),"")</f>
        <v/>
      </c>
    </row>
    <row r="713">
      <c r="A713" s="34" t="str">
        <f>IFERROR(__xludf.DUMMYFUNCTION("""COMPUTED_VALUE"""),"")</f>
        <v/>
      </c>
      <c r="M713" s="34" t="s">
        <v>260</v>
      </c>
      <c r="N713" s="34" t="str">
        <f>IFERROR(__xludf.DUMMYFUNCTION("""COMPUTED_VALUE"""),"")</f>
        <v/>
      </c>
    </row>
    <row r="714">
      <c r="A714" s="34" t="str">
        <f>IFERROR(__xludf.DUMMYFUNCTION("""COMPUTED_VALUE"""),"")</f>
        <v/>
      </c>
      <c r="M714" s="34" t="s">
        <v>260</v>
      </c>
      <c r="N714" s="34" t="str">
        <f>IFERROR(__xludf.DUMMYFUNCTION("""COMPUTED_VALUE"""),"")</f>
        <v/>
      </c>
    </row>
    <row r="715">
      <c r="A715" s="34" t="str">
        <f>IFERROR(__xludf.DUMMYFUNCTION("""COMPUTED_VALUE"""),"")</f>
        <v/>
      </c>
      <c r="M715" s="34" t="s">
        <v>260</v>
      </c>
      <c r="N715" s="34" t="str">
        <f>IFERROR(__xludf.DUMMYFUNCTION("""COMPUTED_VALUE"""),"")</f>
        <v/>
      </c>
    </row>
    <row r="716">
      <c r="A716" s="34" t="str">
        <f>IFERROR(__xludf.DUMMYFUNCTION("""COMPUTED_VALUE"""),"")</f>
        <v/>
      </c>
      <c r="M716" s="34" t="s">
        <v>260</v>
      </c>
      <c r="N716" s="34" t="str">
        <f>IFERROR(__xludf.DUMMYFUNCTION("""COMPUTED_VALUE"""),"")</f>
        <v/>
      </c>
    </row>
    <row r="717">
      <c r="A717" s="34" t="str">
        <f>IFERROR(__xludf.DUMMYFUNCTION("""COMPUTED_VALUE"""),"")</f>
        <v/>
      </c>
      <c r="M717" s="34" t="s">
        <v>260</v>
      </c>
      <c r="N717" s="34" t="str">
        <f>IFERROR(__xludf.DUMMYFUNCTION("""COMPUTED_VALUE"""),"")</f>
        <v/>
      </c>
    </row>
    <row r="718">
      <c r="A718" s="34" t="str">
        <f>IFERROR(__xludf.DUMMYFUNCTION("""COMPUTED_VALUE"""),"")</f>
        <v/>
      </c>
      <c r="M718" s="34" t="s">
        <v>260</v>
      </c>
      <c r="N718" s="34" t="str">
        <f>IFERROR(__xludf.DUMMYFUNCTION("""COMPUTED_VALUE"""),"")</f>
        <v/>
      </c>
    </row>
    <row r="719">
      <c r="A719" s="34" t="str">
        <f>IFERROR(__xludf.DUMMYFUNCTION("""COMPUTED_VALUE"""),"")</f>
        <v/>
      </c>
      <c r="M719" s="34" t="s">
        <v>260</v>
      </c>
      <c r="N719" s="34" t="str">
        <f>IFERROR(__xludf.DUMMYFUNCTION("""COMPUTED_VALUE"""),"")</f>
        <v/>
      </c>
    </row>
    <row r="720">
      <c r="A720" s="34" t="str">
        <f>IFERROR(__xludf.DUMMYFUNCTION("""COMPUTED_VALUE"""),"")</f>
        <v/>
      </c>
      <c r="M720" s="34" t="s">
        <v>260</v>
      </c>
      <c r="N720" s="34" t="str">
        <f>IFERROR(__xludf.DUMMYFUNCTION("""COMPUTED_VALUE"""),"")</f>
        <v/>
      </c>
    </row>
    <row r="721">
      <c r="A721" s="34" t="str">
        <f>IFERROR(__xludf.DUMMYFUNCTION("""COMPUTED_VALUE"""),"")</f>
        <v/>
      </c>
      <c r="M721" s="34" t="s">
        <v>260</v>
      </c>
      <c r="N721" s="34" t="str">
        <f>IFERROR(__xludf.DUMMYFUNCTION("""COMPUTED_VALUE"""),"")</f>
        <v/>
      </c>
    </row>
    <row r="722">
      <c r="A722" s="34" t="str">
        <f>IFERROR(__xludf.DUMMYFUNCTION("""COMPUTED_VALUE"""),"")</f>
        <v/>
      </c>
      <c r="M722" s="34" t="s">
        <v>260</v>
      </c>
      <c r="N722" s="34" t="str">
        <f>IFERROR(__xludf.DUMMYFUNCTION("""COMPUTED_VALUE"""),"")</f>
        <v/>
      </c>
    </row>
    <row r="723">
      <c r="A723" s="34" t="str">
        <f>IFERROR(__xludf.DUMMYFUNCTION("""COMPUTED_VALUE"""),"")</f>
        <v/>
      </c>
      <c r="M723" s="34" t="s">
        <v>260</v>
      </c>
      <c r="N723" s="34" t="str">
        <f>IFERROR(__xludf.DUMMYFUNCTION("""COMPUTED_VALUE"""),"")</f>
        <v/>
      </c>
    </row>
    <row r="724">
      <c r="A724" s="34" t="str">
        <f>IFERROR(__xludf.DUMMYFUNCTION("""COMPUTED_VALUE"""),"")</f>
        <v/>
      </c>
      <c r="M724" s="34" t="s">
        <v>260</v>
      </c>
      <c r="N724" s="34" t="str">
        <f>IFERROR(__xludf.DUMMYFUNCTION("""COMPUTED_VALUE"""),"")</f>
        <v/>
      </c>
    </row>
    <row r="725">
      <c r="A725" s="34" t="str">
        <f>IFERROR(__xludf.DUMMYFUNCTION("""COMPUTED_VALUE"""),"")</f>
        <v/>
      </c>
      <c r="M725" s="34" t="s">
        <v>260</v>
      </c>
      <c r="N725" s="34" t="str">
        <f>IFERROR(__xludf.DUMMYFUNCTION("""COMPUTED_VALUE"""),"")</f>
        <v/>
      </c>
    </row>
    <row r="726">
      <c r="A726" s="34" t="str">
        <f>IFERROR(__xludf.DUMMYFUNCTION("""COMPUTED_VALUE"""),"")</f>
        <v/>
      </c>
      <c r="M726" s="34" t="s">
        <v>260</v>
      </c>
      <c r="N726" s="34" t="str">
        <f>IFERROR(__xludf.DUMMYFUNCTION("""COMPUTED_VALUE"""),"")</f>
        <v/>
      </c>
    </row>
    <row r="727">
      <c r="A727" s="34" t="str">
        <f>IFERROR(__xludf.DUMMYFUNCTION("""COMPUTED_VALUE"""),"")</f>
        <v/>
      </c>
      <c r="M727" s="34" t="s">
        <v>260</v>
      </c>
      <c r="N727" s="34" t="str">
        <f>IFERROR(__xludf.DUMMYFUNCTION("""COMPUTED_VALUE"""),"")</f>
        <v/>
      </c>
    </row>
    <row r="728">
      <c r="A728" s="34" t="str">
        <f>IFERROR(__xludf.DUMMYFUNCTION("""COMPUTED_VALUE"""),"")</f>
        <v/>
      </c>
      <c r="M728" s="34" t="s">
        <v>260</v>
      </c>
      <c r="N728" s="34" t="str">
        <f>IFERROR(__xludf.DUMMYFUNCTION("""COMPUTED_VALUE"""),"")</f>
        <v/>
      </c>
    </row>
    <row r="729">
      <c r="A729" s="34" t="str">
        <f>IFERROR(__xludf.DUMMYFUNCTION("""COMPUTED_VALUE"""),"")</f>
        <v/>
      </c>
      <c r="M729" s="34" t="s">
        <v>260</v>
      </c>
      <c r="N729" s="34" t="str">
        <f>IFERROR(__xludf.DUMMYFUNCTION("""COMPUTED_VALUE"""),"")</f>
        <v/>
      </c>
    </row>
    <row r="730">
      <c r="A730" s="34" t="str">
        <f>IFERROR(__xludf.DUMMYFUNCTION("""COMPUTED_VALUE"""),"")</f>
        <v/>
      </c>
      <c r="M730" s="34" t="s">
        <v>260</v>
      </c>
      <c r="N730" s="34" t="str">
        <f>IFERROR(__xludf.DUMMYFUNCTION("""COMPUTED_VALUE"""),"")</f>
        <v/>
      </c>
    </row>
    <row r="731">
      <c r="A731" s="34" t="str">
        <f>IFERROR(__xludf.DUMMYFUNCTION("""COMPUTED_VALUE"""),"")</f>
        <v/>
      </c>
      <c r="M731" s="34" t="s">
        <v>260</v>
      </c>
      <c r="N731" s="34" t="str">
        <f>IFERROR(__xludf.DUMMYFUNCTION("""COMPUTED_VALUE"""),"")</f>
        <v/>
      </c>
    </row>
    <row r="732">
      <c r="A732" s="34" t="str">
        <f>IFERROR(__xludf.DUMMYFUNCTION("""COMPUTED_VALUE"""),"")</f>
        <v/>
      </c>
      <c r="M732" s="34" t="s">
        <v>260</v>
      </c>
      <c r="N732" s="34" t="str">
        <f>IFERROR(__xludf.DUMMYFUNCTION("""COMPUTED_VALUE"""),"")</f>
        <v/>
      </c>
    </row>
    <row r="733">
      <c r="A733" s="34" t="str">
        <f>IFERROR(__xludf.DUMMYFUNCTION("""COMPUTED_VALUE"""),"")</f>
        <v/>
      </c>
      <c r="M733" s="34" t="s">
        <v>260</v>
      </c>
      <c r="N733" s="34" t="str">
        <f>IFERROR(__xludf.DUMMYFUNCTION("""COMPUTED_VALUE"""),"")</f>
        <v/>
      </c>
    </row>
    <row r="734">
      <c r="A734" s="34" t="str">
        <f>IFERROR(__xludf.DUMMYFUNCTION("""COMPUTED_VALUE"""),"")</f>
        <v/>
      </c>
      <c r="M734" s="34" t="s">
        <v>260</v>
      </c>
      <c r="N734" s="34" t="str">
        <f>IFERROR(__xludf.DUMMYFUNCTION("""COMPUTED_VALUE"""),"")</f>
        <v/>
      </c>
    </row>
    <row r="735">
      <c r="A735" s="34" t="str">
        <f>IFERROR(__xludf.DUMMYFUNCTION("""COMPUTED_VALUE"""),"")</f>
        <v/>
      </c>
      <c r="M735" s="34" t="s">
        <v>260</v>
      </c>
      <c r="N735" s="34" t="str">
        <f>IFERROR(__xludf.DUMMYFUNCTION("""COMPUTED_VALUE"""),"")</f>
        <v/>
      </c>
    </row>
    <row r="736">
      <c r="A736" s="34" t="str">
        <f>IFERROR(__xludf.DUMMYFUNCTION("""COMPUTED_VALUE"""),"")</f>
        <v/>
      </c>
      <c r="M736" s="34" t="s">
        <v>260</v>
      </c>
      <c r="N736" s="34" t="str">
        <f>IFERROR(__xludf.DUMMYFUNCTION("""COMPUTED_VALUE"""),"")</f>
        <v/>
      </c>
    </row>
    <row r="737">
      <c r="A737" s="34" t="str">
        <f>IFERROR(__xludf.DUMMYFUNCTION("""COMPUTED_VALUE"""),"")</f>
        <v/>
      </c>
      <c r="M737" s="34" t="s">
        <v>260</v>
      </c>
      <c r="N737" s="34" t="str">
        <f>IFERROR(__xludf.DUMMYFUNCTION("""COMPUTED_VALUE"""),"")</f>
        <v/>
      </c>
    </row>
    <row r="738">
      <c r="A738" s="34" t="str">
        <f>IFERROR(__xludf.DUMMYFUNCTION("""COMPUTED_VALUE"""),"")</f>
        <v/>
      </c>
      <c r="M738" s="34" t="s">
        <v>260</v>
      </c>
      <c r="N738" s="34" t="str">
        <f>IFERROR(__xludf.DUMMYFUNCTION("""COMPUTED_VALUE"""),"")</f>
        <v/>
      </c>
    </row>
    <row r="739">
      <c r="A739" s="34" t="str">
        <f>IFERROR(__xludf.DUMMYFUNCTION("""COMPUTED_VALUE"""),"")</f>
        <v/>
      </c>
      <c r="M739" s="34" t="s">
        <v>260</v>
      </c>
      <c r="N739" s="34" t="str">
        <f>IFERROR(__xludf.DUMMYFUNCTION("""COMPUTED_VALUE"""),"")</f>
        <v/>
      </c>
    </row>
    <row r="740">
      <c r="A740" s="34" t="str">
        <f>IFERROR(__xludf.DUMMYFUNCTION("""COMPUTED_VALUE"""),"")</f>
        <v/>
      </c>
      <c r="M740" s="34" t="s">
        <v>260</v>
      </c>
      <c r="N740" s="34" t="str">
        <f>IFERROR(__xludf.DUMMYFUNCTION("""COMPUTED_VALUE"""),"")</f>
        <v/>
      </c>
    </row>
    <row r="741">
      <c r="A741" s="34" t="str">
        <f>IFERROR(__xludf.DUMMYFUNCTION("""COMPUTED_VALUE"""),"")</f>
        <v/>
      </c>
      <c r="M741" s="34" t="s">
        <v>260</v>
      </c>
      <c r="N741" s="34" t="str">
        <f>IFERROR(__xludf.DUMMYFUNCTION("""COMPUTED_VALUE"""),"")</f>
        <v/>
      </c>
    </row>
    <row r="742">
      <c r="A742" s="34" t="str">
        <f>IFERROR(__xludf.DUMMYFUNCTION("""COMPUTED_VALUE"""),"")</f>
        <v/>
      </c>
      <c r="M742" s="34" t="s">
        <v>260</v>
      </c>
      <c r="N742" s="34" t="str">
        <f>IFERROR(__xludf.DUMMYFUNCTION("""COMPUTED_VALUE"""),"")</f>
        <v/>
      </c>
    </row>
    <row r="743">
      <c r="A743" s="34" t="str">
        <f>IFERROR(__xludf.DUMMYFUNCTION("""COMPUTED_VALUE"""),"")</f>
        <v/>
      </c>
      <c r="M743" s="34" t="s">
        <v>260</v>
      </c>
      <c r="N743" s="34" t="str">
        <f>IFERROR(__xludf.DUMMYFUNCTION("""COMPUTED_VALUE"""),"")</f>
        <v/>
      </c>
    </row>
    <row r="744">
      <c r="A744" s="34" t="str">
        <f>IFERROR(__xludf.DUMMYFUNCTION("""COMPUTED_VALUE"""),"")</f>
        <v/>
      </c>
      <c r="M744" s="34" t="s">
        <v>260</v>
      </c>
      <c r="N744" s="34" t="str">
        <f>IFERROR(__xludf.DUMMYFUNCTION("""COMPUTED_VALUE"""),"")</f>
        <v/>
      </c>
    </row>
    <row r="745">
      <c r="A745" s="34" t="str">
        <f>IFERROR(__xludf.DUMMYFUNCTION("""COMPUTED_VALUE"""),"")</f>
        <v/>
      </c>
      <c r="M745" s="34" t="s">
        <v>260</v>
      </c>
      <c r="N745" s="34" t="str">
        <f>IFERROR(__xludf.DUMMYFUNCTION("""COMPUTED_VALUE"""),"")</f>
        <v/>
      </c>
    </row>
    <row r="746">
      <c r="A746" s="34" t="str">
        <f>IFERROR(__xludf.DUMMYFUNCTION("""COMPUTED_VALUE"""),"")</f>
        <v/>
      </c>
      <c r="M746" s="34" t="s">
        <v>260</v>
      </c>
      <c r="N746" s="34" t="str">
        <f>IFERROR(__xludf.DUMMYFUNCTION("""COMPUTED_VALUE"""),"")</f>
        <v/>
      </c>
    </row>
    <row r="747">
      <c r="A747" s="34" t="str">
        <f>IFERROR(__xludf.DUMMYFUNCTION("""COMPUTED_VALUE"""),"")</f>
        <v/>
      </c>
      <c r="M747" s="34" t="s">
        <v>260</v>
      </c>
      <c r="N747" s="34" t="str">
        <f>IFERROR(__xludf.DUMMYFUNCTION("""COMPUTED_VALUE"""),"")</f>
        <v/>
      </c>
    </row>
    <row r="748">
      <c r="A748" s="34" t="str">
        <f>IFERROR(__xludf.DUMMYFUNCTION("""COMPUTED_VALUE"""),"")</f>
        <v/>
      </c>
      <c r="M748" s="34" t="s">
        <v>260</v>
      </c>
      <c r="N748" s="34" t="str">
        <f>IFERROR(__xludf.DUMMYFUNCTION("""COMPUTED_VALUE"""),"")</f>
        <v/>
      </c>
    </row>
    <row r="749">
      <c r="A749" s="34" t="str">
        <f>IFERROR(__xludf.DUMMYFUNCTION("""COMPUTED_VALUE"""),"")</f>
        <v/>
      </c>
      <c r="M749" s="34" t="s">
        <v>260</v>
      </c>
      <c r="N749" s="34" t="str">
        <f>IFERROR(__xludf.DUMMYFUNCTION("""COMPUTED_VALUE"""),"")</f>
        <v/>
      </c>
    </row>
    <row r="750">
      <c r="A750" s="34" t="str">
        <f>IFERROR(__xludf.DUMMYFUNCTION("""COMPUTED_VALUE"""),"")</f>
        <v/>
      </c>
      <c r="M750" s="34" t="s">
        <v>260</v>
      </c>
      <c r="N750" s="34" t="str">
        <f>IFERROR(__xludf.DUMMYFUNCTION("""COMPUTED_VALUE"""),"")</f>
        <v/>
      </c>
    </row>
    <row r="751">
      <c r="A751" s="34" t="str">
        <f>IFERROR(__xludf.DUMMYFUNCTION("""COMPUTED_VALUE"""),"")</f>
        <v/>
      </c>
      <c r="M751" s="34" t="s">
        <v>260</v>
      </c>
      <c r="N751" s="34" t="str">
        <f>IFERROR(__xludf.DUMMYFUNCTION("""COMPUTED_VALUE"""),"")</f>
        <v/>
      </c>
    </row>
    <row r="752">
      <c r="A752" s="34" t="str">
        <f>IFERROR(__xludf.DUMMYFUNCTION("""COMPUTED_VALUE"""),"")</f>
        <v/>
      </c>
      <c r="M752" s="34" t="s">
        <v>260</v>
      </c>
      <c r="N752" s="34" t="str">
        <f>IFERROR(__xludf.DUMMYFUNCTION("""COMPUTED_VALUE"""),"")</f>
        <v/>
      </c>
    </row>
    <row r="753">
      <c r="A753" s="34" t="str">
        <f>IFERROR(__xludf.DUMMYFUNCTION("""COMPUTED_VALUE"""),"")</f>
        <v/>
      </c>
      <c r="M753" s="34" t="s">
        <v>260</v>
      </c>
      <c r="N753" s="34" t="str">
        <f>IFERROR(__xludf.DUMMYFUNCTION("""COMPUTED_VALUE"""),"")</f>
        <v/>
      </c>
    </row>
    <row r="754">
      <c r="A754" s="34" t="str">
        <f>IFERROR(__xludf.DUMMYFUNCTION("""COMPUTED_VALUE"""),"")</f>
        <v/>
      </c>
      <c r="M754" s="34" t="s">
        <v>260</v>
      </c>
      <c r="N754" s="34" t="str">
        <f>IFERROR(__xludf.DUMMYFUNCTION("""COMPUTED_VALUE"""),"")</f>
        <v/>
      </c>
    </row>
    <row r="755">
      <c r="A755" s="34" t="str">
        <f>IFERROR(__xludf.DUMMYFUNCTION("""COMPUTED_VALUE"""),"")</f>
        <v/>
      </c>
      <c r="M755" s="34" t="s">
        <v>260</v>
      </c>
      <c r="N755" s="34" t="str">
        <f>IFERROR(__xludf.DUMMYFUNCTION("""COMPUTED_VALUE"""),"")</f>
        <v/>
      </c>
    </row>
    <row r="756">
      <c r="A756" s="34" t="str">
        <f>IFERROR(__xludf.DUMMYFUNCTION("""COMPUTED_VALUE"""),"")</f>
        <v/>
      </c>
      <c r="M756" s="34" t="s">
        <v>260</v>
      </c>
      <c r="N756" s="34" t="str">
        <f>IFERROR(__xludf.DUMMYFUNCTION("""COMPUTED_VALUE"""),"")</f>
        <v/>
      </c>
    </row>
    <row r="757">
      <c r="A757" s="34" t="str">
        <f>IFERROR(__xludf.DUMMYFUNCTION("""COMPUTED_VALUE"""),"")</f>
        <v/>
      </c>
      <c r="M757" s="34" t="s">
        <v>260</v>
      </c>
      <c r="N757" s="34" t="str">
        <f>IFERROR(__xludf.DUMMYFUNCTION("""COMPUTED_VALUE"""),"")</f>
        <v/>
      </c>
    </row>
    <row r="758">
      <c r="A758" s="34" t="str">
        <f>IFERROR(__xludf.DUMMYFUNCTION("""COMPUTED_VALUE"""),"")</f>
        <v/>
      </c>
      <c r="M758" s="34" t="s">
        <v>260</v>
      </c>
      <c r="N758" s="34" t="str">
        <f>IFERROR(__xludf.DUMMYFUNCTION("""COMPUTED_VALUE"""),"")</f>
        <v/>
      </c>
    </row>
    <row r="759">
      <c r="A759" s="34" t="str">
        <f>IFERROR(__xludf.DUMMYFUNCTION("""COMPUTED_VALUE"""),"")</f>
        <v/>
      </c>
      <c r="M759" s="34" t="s">
        <v>260</v>
      </c>
      <c r="N759" s="34" t="str">
        <f>IFERROR(__xludf.DUMMYFUNCTION("""COMPUTED_VALUE"""),"")</f>
        <v/>
      </c>
    </row>
    <row r="760">
      <c r="A760" s="34" t="str">
        <f>IFERROR(__xludf.DUMMYFUNCTION("""COMPUTED_VALUE"""),"")</f>
        <v/>
      </c>
      <c r="M760" s="34" t="s">
        <v>260</v>
      </c>
      <c r="N760" s="34" t="str">
        <f>IFERROR(__xludf.DUMMYFUNCTION("""COMPUTED_VALUE"""),"")</f>
        <v/>
      </c>
    </row>
    <row r="761">
      <c r="A761" s="34" t="str">
        <f>IFERROR(__xludf.DUMMYFUNCTION("""COMPUTED_VALUE"""),"")</f>
        <v/>
      </c>
      <c r="M761" s="34" t="s">
        <v>260</v>
      </c>
      <c r="N761" s="34" t="str">
        <f>IFERROR(__xludf.DUMMYFUNCTION("""COMPUTED_VALUE"""),"")</f>
        <v/>
      </c>
    </row>
    <row r="762">
      <c r="A762" s="34" t="str">
        <f>IFERROR(__xludf.DUMMYFUNCTION("""COMPUTED_VALUE"""),"")</f>
        <v/>
      </c>
      <c r="M762" s="34" t="s">
        <v>260</v>
      </c>
      <c r="N762" s="34" t="str">
        <f>IFERROR(__xludf.DUMMYFUNCTION("""COMPUTED_VALUE"""),"")</f>
        <v/>
      </c>
    </row>
    <row r="763">
      <c r="A763" s="34" t="str">
        <f>IFERROR(__xludf.DUMMYFUNCTION("""COMPUTED_VALUE"""),"")</f>
        <v/>
      </c>
      <c r="M763" s="34" t="s">
        <v>260</v>
      </c>
      <c r="N763" s="34" t="str">
        <f>IFERROR(__xludf.DUMMYFUNCTION("""COMPUTED_VALUE"""),"")</f>
        <v/>
      </c>
    </row>
    <row r="764">
      <c r="A764" s="34" t="str">
        <f>IFERROR(__xludf.DUMMYFUNCTION("""COMPUTED_VALUE"""),"")</f>
        <v/>
      </c>
      <c r="M764" s="34" t="s">
        <v>260</v>
      </c>
      <c r="N764" s="34" t="str">
        <f>IFERROR(__xludf.DUMMYFUNCTION("""COMPUTED_VALUE"""),"")</f>
        <v/>
      </c>
    </row>
    <row r="765">
      <c r="A765" s="34" t="str">
        <f>IFERROR(__xludf.DUMMYFUNCTION("""COMPUTED_VALUE"""),"")</f>
        <v/>
      </c>
      <c r="M765" s="34" t="s">
        <v>260</v>
      </c>
      <c r="N765" s="34" t="str">
        <f>IFERROR(__xludf.DUMMYFUNCTION("""COMPUTED_VALUE"""),"")</f>
        <v/>
      </c>
    </row>
    <row r="766">
      <c r="A766" s="34" t="str">
        <f>IFERROR(__xludf.DUMMYFUNCTION("""COMPUTED_VALUE"""),"")</f>
        <v/>
      </c>
      <c r="M766" s="34" t="s">
        <v>260</v>
      </c>
      <c r="N766" s="34" t="str">
        <f>IFERROR(__xludf.DUMMYFUNCTION("""COMPUTED_VALUE"""),"")</f>
        <v/>
      </c>
    </row>
    <row r="767">
      <c r="A767" s="34" t="str">
        <f>IFERROR(__xludf.DUMMYFUNCTION("""COMPUTED_VALUE"""),"")</f>
        <v/>
      </c>
      <c r="M767" s="34" t="s">
        <v>260</v>
      </c>
      <c r="N767" s="34" t="str">
        <f>IFERROR(__xludf.DUMMYFUNCTION("""COMPUTED_VALUE"""),"")</f>
        <v/>
      </c>
    </row>
    <row r="768">
      <c r="A768" s="34" t="str">
        <f>IFERROR(__xludf.DUMMYFUNCTION("""COMPUTED_VALUE"""),"")</f>
        <v/>
      </c>
      <c r="M768" s="34" t="s">
        <v>260</v>
      </c>
      <c r="N768" s="34" t="str">
        <f>IFERROR(__xludf.DUMMYFUNCTION("""COMPUTED_VALUE"""),"")</f>
        <v/>
      </c>
    </row>
    <row r="769">
      <c r="A769" s="34" t="str">
        <f>IFERROR(__xludf.DUMMYFUNCTION("""COMPUTED_VALUE"""),"")</f>
        <v/>
      </c>
      <c r="M769" s="34" t="s">
        <v>260</v>
      </c>
      <c r="N769" s="34" t="str">
        <f>IFERROR(__xludf.DUMMYFUNCTION("""COMPUTED_VALUE"""),"")</f>
        <v/>
      </c>
    </row>
    <row r="770">
      <c r="A770" s="34" t="str">
        <f>IFERROR(__xludf.DUMMYFUNCTION("""COMPUTED_VALUE"""),"")</f>
        <v/>
      </c>
      <c r="M770" s="34" t="s">
        <v>260</v>
      </c>
      <c r="N770" s="34" t="str">
        <f>IFERROR(__xludf.DUMMYFUNCTION("""COMPUTED_VALUE"""),"")</f>
        <v/>
      </c>
    </row>
    <row r="771">
      <c r="A771" s="34" t="str">
        <f>IFERROR(__xludf.DUMMYFUNCTION("""COMPUTED_VALUE"""),"")</f>
        <v/>
      </c>
      <c r="M771" s="34" t="s">
        <v>260</v>
      </c>
      <c r="N771" s="34" t="str">
        <f>IFERROR(__xludf.DUMMYFUNCTION("""COMPUTED_VALUE"""),"")</f>
        <v/>
      </c>
    </row>
    <row r="772">
      <c r="A772" s="34" t="str">
        <f>IFERROR(__xludf.DUMMYFUNCTION("""COMPUTED_VALUE"""),"")</f>
        <v/>
      </c>
      <c r="M772" s="34" t="s">
        <v>260</v>
      </c>
      <c r="N772" s="34" t="str">
        <f>IFERROR(__xludf.DUMMYFUNCTION("""COMPUTED_VALUE"""),"")</f>
        <v/>
      </c>
    </row>
    <row r="773">
      <c r="A773" s="34" t="str">
        <f>IFERROR(__xludf.DUMMYFUNCTION("""COMPUTED_VALUE"""),"")</f>
        <v/>
      </c>
      <c r="M773" s="34" t="s">
        <v>260</v>
      </c>
      <c r="N773" s="34" t="str">
        <f>IFERROR(__xludf.DUMMYFUNCTION("""COMPUTED_VALUE"""),"")</f>
        <v/>
      </c>
    </row>
    <row r="774">
      <c r="A774" s="34" t="str">
        <f>IFERROR(__xludf.DUMMYFUNCTION("""COMPUTED_VALUE"""),"")</f>
        <v/>
      </c>
      <c r="M774" s="34" t="s">
        <v>260</v>
      </c>
      <c r="N774" s="34" t="str">
        <f>IFERROR(__xludf.DUMMYFUNCTION("""COMPUTED_VALUE"""),"")</f>
        <v/>
      </c>
    </row>
    <row r="775">
      <c r="A775" s="34" t="str">
        <f>IFERROR(__xludf.DUMMYFUNCTION("""COMPUTED_VALUE"""),"")</f>
        <v/>
      </c>
      <c r="M775" s="34" t="s">
        <v>260</v>
      </c>
      <c r="N775" s="34" t="str">
        <f>IFERROR(__xludf.DUMMYFUNCTION("""COMPUTED_VALUE"""),"")</f>
        <v/>
      </c>
    </row>
    <row r="776">
      <c r="A776" s="34" t="str">
        <f>IFERROR(__xludf.DUMMYFUNCTION("""COMPUTED_VALUE"""),"")</f>
        <v/>
      </c>
      <c r="M776" s="34" t="s">
        <v>260</v>
      </c>
      <c r="N776" s="34" t="str">
        <f>IFERROR(__xludf.DUMMYFUNCTION("""COMPUTED_VALUE"""),"")</f>
        <v/>
      </c>
    </row>
    <row r="777">
      <c r="A777" s="34" t="str">
        <f>IFERROR(__xludf.DUMMYFUNCTION("""COMPUTED_VALUE"""),"")</f>
        <v/>
      </c>
      <c r="M777" s="34" t="s">
        <v>260</v>
      </c>
      <c r="N777" s="34" t="str">
        <f>IFERROR(__xludf.DUMMYFUNCTION("""COMPUTED_VALUE"""),"")</f>
        <v/>
      </c>
    </row>
    <row r="778">
      <c r="A778" s="34" t="str">
        <f>IFERROR(__xludf.DUMMYFUNCTION("""COMPUTED_VALUE"""),"")</f>
        <v/>
      </c>
      <c r="M778" s="34" t="s">
        <v>260</v>
      </c>
      <c r="N778" s="34" t="str">
        <f>IFERROR(__xludf.DUMMYFUNCTION("""COMPUTED_VALUE"""),"")</f>
        <v/>
      </c>
    </row>
    <row r="779">
      <c r="A779" s="34" t="str">
        <f>IFERROR(__xludf.DUMMYFUNCTION("""COMPUTED_VALUE"""),"")</f>
        <v/>
      </c>
      <c r="M779" s="34" t="s">
        <v>260</v>
      </c>
      <c r="N779" s="34" t="str">
        <f>IFERROR(__xludf.DUMMYFUNCTION("""COMPUTED_VALUE"""),"")</f>
        <v/>
      </c>
    </row>
    <row r="780">
      <c r="A780" s="34" t="str">
        <f>IFERROR(__xludf.DUMMYFUNCTION("""COMPUTED_VALUE"""),"")</f>
        <v/>
      </c>
      <c r="M780" s="34" t="s">
        <v>260</v>
      </c>
      <c r="N780" s="34" t="str">
        <f>IFERROR(__xludf.DUMMYFUNCTION("""COMPUTED_VALUE"""),"")</f>
        <v/>
      </c>
    </row>
    <row r="781">
      <c r="A781" s="34" t="str">
        <f>IFERROR(__xludf.DUMMYFUNCTION("""COMPUTED_VALUE"""),"")</f>
        <v/>
      </c>
      <c r="M781" s="34" t="s">
        <v>260</v>
      </c>
      <c r="N781" s="34" t="str">
        <f>IFERROR(__xludf.DUMMYFUNCTION("""COMPUTED_VALUE"""),"")</f>
        <v/>
      </c>
    </row>
    <row r="782">
      <c r="A782" s="34" t="str">
        <f>IFERROR(__xludf.DUMMYFUNCTION("""COMPUTED_VALUE"""),"")</f>
        <v/>
      </c>
      <c r="M782" s="34" t="s">
        <v>260</v>
      </c>
      <c r="N782" s="34" t="str">
        <f>IFERROR(__xludf.DUMMYFUNCTION("""COMPUTED_VALUE"""),"")</f>
        <v/>
      </c>
    </row>
    <row r="783">
      <c r="A783" s="34" t="str">
        <f>IFERROR(__xludf.DUMMYFUNCTION("""COMPUTED_VALUE"""),"")</f>
        <v/>
      </c>
      <c r="M783" s="34" t="s">
        <v>260</v>
      </c>
      <c r="N783" s="34" t="str">
        <f>IFERROR(__xludf.DUMMYFUNCTION("""COMPUTED_VALUE"""),"")</f>
        <v/>
      </c>
    </row>
    <row r="784">
      <c r="A784" s="34" t="str">
        <f>IFERROR(__xludf.DUMMYFUNCTION("""COMPUTED_VALUE"""),"")</f>
        <v/>
      </c>
      <c r="M784" s="34" t="s">
        <v>260</v>
      </c>
      <c r="N784" s="34" t="str">
        <f>IFERROR(__xludf.DUMMYFUNCTION("""COMPUTED_VALUE"""),"")</f>
        <v/>
      </c>
    </row>
    <row r="785">
      <c r="A785" s="34" t="str">
        <f>IFERROR(__xludf.DUMMYFUNCTION("""COMPUTED_VALUE"""),"")</f>
        <v/>
      </c>
      <c r="M785" s="34" t="s">
        <v>260</v>
      </c>
      <c r="N785" s="34" t="str">
        <f>IFERROR(__xludf.DUMMYFUNCTION("""COMPUTED_VALUE"""),"")</f>
        <v/>
      </c>
    </row>
    <row r="786">
      <c r="A786" s="34" t="str">
        <f>IFERROR(__xludf.DUMMYFUNCTION("""COMPUTED_VALUE"""),"")</f>
        <v/>
      </c>
      <c r="M786" s="34" t="s">
        <v>260</v>
      </c>
      <c r="N786" s="34" t="str">
        <f>IFERROR(__xludf.DUMMYFUNCTION("""COMPUTED_VALUE"""),"")</f>
        <v/>
      </c>
    </row>
    <row r="787">
      <c r="A787" s="34" t="str">
        <f>IFERROR(__xludf.DUMMYFUNCTION("""COMPUTED_VALUE"""),"")</f>
        <v/>
      </c>
      <c r="M787" s="34" t="s">
        <v>260</v>
      </c>
      <c r="N787" s="34" t="str">
        <f>IFERROR(__xludf.DUMMYFUNCTION("""COMPUTED_VALUE"""),"")</f>
        <v/>
      </c>
    </row>
    <row r="788">
      <c r="A788" s="34" t="str">
        <f>IFERROR(__xludf.DUMMYFUNCTION("""COMPUTED_VALUE"""),"")</f>
        <v/>
      </c>
      <c r="M788" s="34" t="s">
        <v>260</v>
      </c>
      <c r="N788" s="34" t="str">
        <f>IFERROR(__xludf.DUMMYFUNCTION("""COMPUTED_VALUE"""),"")</f>
        <v/>
      </c>
    </row>
    <row r="789">
      <c r="A789" s="34" t="str">
        <f>IFERROR(__xludf.DUMMYFUNCTION("""COMPUTED_VALUE"""),"")</f>
        <v/>
      </c>
      <c r="M789" s="34" t="s">
        <v>260</v>
      </c>
      <c r="N789" s="34" t="str">
        <f>IFERROR(__xludf.DUMMYFUNCTION("""COMPUTED_VALUE"""),"")</f>
        <v/>
      </c>
    </row>
    <row r="790">
      <c r="A790" s="34" t="str">
        <f>IFERROR(__xludf.DUMMYFUNCTION("""COMPUTED_VALUE"""),"")</f>
        <v/>
      </c>
      <c r="M790" s="34" t="s">
        <v>260</v>
      </c>
      <c r="N790" s="34" t="str">
        <f>IFERROR(__xludf.DUMMYFUNCTION("""COMPUTED_VALUE"""),"")</f>
        <v/>
      </c>
    </row>
    <row r="791">
      <c r="A791" s="34" t="str">
        <f>IFERROR(__xludf.DUMMYFUNCTION("""COMPUTED_VALUE"""),"")</f>
        <v/>
      </c>
      <c r="M791" s="34" t="s">
        <v>260</v>
      </c>
      <c r="N791" s="34" t="str">
        <f>IFERROR(__xludf.DUMMYFUNCTION("""COMPUTED_VALUE"""),"")</f>
        <v/>
      </c>
    </row>
    <row r="792">
      <c r="A792" s="34" t="str">
        <f>IFERROR(__xludf.DUMMYFUNCTION("""COMPUTED_VALUE"""),"")</f>
        <v/>
      </c>
      <c r="M792" s="34" t="s">
        <v>260</v>
      </c>
      <c r="N792" s="34" t="str">
        <f>IFERROR(__xludf.DUMMYFUNCTION("""COMPUTED_VALUE"""),"")</f>
        <v/>
      </c>
    </row>
    <row r="793">
      <c r="A793" s="34" t="str">
        <f>IFERROR(__xludf.DUMMYFUNCTION("""COMPUTED_VALUE"""),"")</f>
        <v/>
      </c>
      <c r="M793" s="34" t="s">
        <v>260</v>
      </c>
      <c r="N793" s="34" t="str">
        <f>IFERROR(__xludf.DUMMYFUNCTION("""COMPUTED_VALUE"""),"")</f>
        <v/>
      </c>
    </row>
    <row r="794">
      <c r="A794" s="34" t="str">
        <f>IFERROR(__xludf.DUMMYFUNCTION("""COMPUTED_VALUE"""),"")</f>
        <v/>
      </c>
      <c r="M794" s="34" t="s">
        <v>260</v>
      </c>
      <c r="N794" s="34" t="str">
        <f>IFERROR(__xludf.DUMMYFUNCTION("""COMPUTED_VALUE"""),"")</f>
        <v/>
      </c>
    </row>
    <row r="795">
      <c r="A795" s="34" t="str">
        <f>IFERROR(__xludf.DUMMYFUNCTION("""COMPUTED_VALUE"""),"")</f>
        <v/>
      </c>
      <c r="M795" s="34" t="s">
        <v>260</v>
      </c>
      <c r="N795" s="34" t="str">
        <f>IFERROR(__xludf.DUMMYFUNCTION("""COMPUTED_VALUE"""),"")</f>
        <v/>
      </c>
    </row>
    <row r="796">
      <c r="A796" s="34" t="str">
        <f>IFERROR(__xludf.DUMMYFUNCTION("""COMPUTED_VALUE"""),"")</f>
        <v/>
      </c>
      <c r="M796" s="34" t="s">
        <v>260</v>
      </c>
      <c r="N796" s="34" t="str">
        <f>IFERROR(__xludf.DUMMYFUNCTION("""COMPUTED_VALUE"""),"")</f>
        <v/>
      </c>
    </row>
    <row r="797">
      <c r="A797" s="34" t="str">
        <f>IFERROR(__xludf.DUMMYFUNCTION("""COMPUTED_VALUE"""),"")</f>
        <v/>
      </c>
      <c r="M797" s="34" t="s">
        <v>260</v>
      </c>
      <c r="N797" s="34" t="str">
        <f>IFERROR(__xludf.DUMMYFUNCTION("""COMPUTED_VALUE"""),"")</f>
        <v/>
      </c>
    </row>
    <row r="798">
      <c r="A798" s="34" t="str">
        <f>IFERROR(__xludf.DUMMYFUNCTION("""COMPUTED_VALUE"""),"")</f>
        <v/>
      </c>
      <c r="M798" s="34" t="s">
        <v>260</v>
      </c>
      <c r="N798" s="34" t="str">
        <f>IFERROR(__xludf.DUMMYFUNCTION("""COMPUTED_VALUE"""),"")</f>
        <v/>
      </c>
    </row>
    <row r="799">
      <c r="A799" s="34" t="str">
        <f>IFERROR(__xludf.DUMMYFUNCTION("""COMPUTED_VALUE"""),"")</f>
        <v/>
      </c>
      <c r="M799" s="34" t="s">
        <v>260</v>
      </c>
      <c r="N799" s="34" t="str">
        <f>IFERROR(__xludf.DUMMYFUNCTION("""COMPUTED_VALUE"""),"")</f>
        <v/>
      </c>
    </row>
    <row r="800">
      <c r="A800" s="34" t="str">
        <f>IFERROR(__xludf.DUMMYFUNCTION("""COMPUTED_VALUE"""),"")</f>
        <v/>
      </c>
      <c r="M800" s="34" t="s">
        <v>260</v>
      </c>
      <c r="N800" s="34" t="str">
        <f>IFERROR(__xludf.DUMMYFUNCTION("""COMPUTED_VALUE"""),"")</f>
        <v/>
      </c>
    </row>
    <row r="801">
      <c r="A801" s="34" t="str">
        <f>IFERROR(__xludf.DUMMYFUNCTION("""COMPUTED_VALUE"""),"")</f>
        <v/>
      </c>
      <c r="M801" s="34" t="s">
        <v>260</v>
      </c>
      <c r="N801" s="34" t="str">
        <f>IFERROR(__xludf.DUMMYFUNCTION("""COMPUTED_VALUE"""),"")</f>
        <v/>
      </c>
    </row>
    <row r="802">
      <c r="A802" s="34" t="str">
        <f>IFERROR(__xludf.DUMMYFUNCTION("""COMPUTED_VALUE"""),"")</f>
        <v/>
      </c>
      <c r="M802" s="34" t="s">
        <v>260</v>
      </c>
      <c r="N802" s="34" t="str">
        <f>IFERROR(__xludf.DUMMYFUNCTION("""COMPUTED_VALUE"""),"")</f>
        <v/>
      </c>
    </row>
    <row r="803">
      <c r="A803" s="34" t="str">
        <f>IFERROR(__xludf.DUMMYFUNCTION("""COMPUTED_VALUE"""),"")</f>
        <v/>
      </c>
      <c r="M803" s="34" t="s">
        <v>260</v>
      </c>
      <c r="N803" s="34" t="str">
        <f>IFERROR(__xludf.DUMMYFUNCTION("""COMPUTED_VALUE"""),"")</f>
        <v/>
      </c>
    </row>
    <row r="804">
      <c r="A804" s="34" t="str">
        <f>IFERROR(__xludf.DUMMYFUNCTION("""COMPUTED_VALUE"""),"")</f>
        <v/>
      </c>
      <c r="M804" s="34" t="s">
        <v>260</v>
      </c>
      <c r="N804" s="34" t="str">
        <f>IFERROR(__xludf.DUMMYFUNCTION("""COMPUTED_VALUE"""),"")</f>
        <v/>
      </c>
    </row>
    <row r="805">
      <c r="A805" s="34" t="str">
        <f>IFERROR(__xludf.DUMMYFUNCTION("""COMPUTED_VALUE"""),"")</f>
        <v/>
      </c>
      <c r="M805" s="34" t="s">
        <v>260</v>
      </c>
      <c r="N805" s="34" t="str">
        <f>IFERROR(__xludf.DUMMYFUNCTION("""COMPUTED_VALUE"""),"")</f>
        <v/>
      </c>
    </row>
    <row r="806">
      <c r="A806" s="34" t="str">
        <f>IFERROR(__xludf.DUMMYFUNCTION("""COMPUTED_VALUE"""),"")</f>
        <v/>
      </c>
      <c r="M806" s="34" t="s">
        <v>260</v>
      </c>
      <c r="N806" s="34" t="str">
        <f>IFERROR(__xludf.DUMMYFUNCTION("""COMPUTED_VALUE"""),"")</f>
        <v/>
      </c>
    </row>
    <row r="807">
      <c r="A807" s="34" t="str">
        <f>IFERROR(__xludf.DUMMYFUNCTION("""COMPUTED_VALUE"""),"")</f>
        <v/>
      </c>
      <c r="M807" s="34" t="s">
        <v>260</v>
      </c>
      <c r="N807" s="34" t="str">
        <f>IFERROR(__xludf.DUMMYFUNCTION("""COMPUTED_VALUE"""),"")</f>
        <v/>
      </c>
    </row>
    <row r="808">
      <c r="A808" s="34" t="str">
        <f>IFERROR(__xludf.DUMMYFUNCTION("""COMPUTED_VALUE"""),"")</f>
        <v/>
      </c>
      <c r="M808" s="34" t="s">
        <v>260</v>
      </c>
      <c r="N808" s="34" t="str">
        <f>IFERROR(__xludf.DUMMYFUNCTION("""COMPUTED_VALUE"""),"")</f>
        <v/>
      </c>
    </row>
    <row r="809">
      <c r="A809" s="34" t="str">
        <f>IFERROR(__xludf.DUMMYFUNCTION("""COMPUTED_VALUE"""),"")</f>
        <v/>
      </c>
      <c r="M809" s="34" t="s">
        <v>260</v>
      </c>
      <c r="N809" s="34" t="str">
        <f>IFERROR(__xludf.DUMMYFUNCTION("""COMPUTED_VALUE"""),"")</f>
        <v/>
      </c>
    </row>
    <row r="810">
      <c r="A810" s="34" t="str">
        <f>IFERROR(__xludf.DUMMYFUNCTION("""COMPUTED_VALUE"""),"")</f>
        <v/>
      </c>
      <c r="M810" s="34" t="s">
        <v>260</v>
      </c>
      <c r="N810" s="34" t="str">
        <f>IFERROR(__xludf.DUMMYFUNCTION("""COMPUTED_VALUE"""),"")</f>
        <v/>
      </c>
    </row>
    <row r="811">
      <c r="A811" s="34" t="str">
        <f>IFERROR(__xludf.DUMMYFUNCTION("""COMPUTED_VALUE"""),"")</f>
        <v/>
      </c>
      <c r="M811" s="34" t="s">
        <v>260</v>
      </c>
      <c r="N811" s="34" t="str">
        <f>IFERROR(__xludf.DUMMYFUNCTION("""COMPUTED_VALUE"""),"")</f>
        <v/>
      </c>
    </row>
    <row r="812">
      <c r="A812" s="34" t="str">
        <f>IFERROR(__xludf.DUMMYFUNCTION("""COMPUTED_VALUE"""),"")</f>
        <v/>
      </c>
      <c r="M812" s="34" t="s">
        <v>260</v>
      </c>
      <c r="N812" s="34" t="str">
        <f>IFERROR(__xludf.DUMMYFUNCTION("""COMPUTED_VALUE"""),"")</f>
        <v/>
      </c>
    </row>
    <row r="813">
      <c r="A813" s="34" t="str">
        <f>IFERROR(__xludf.DUMMYFUNCTION("""COMPUTED_VALUE"""),"")</f>
        <v/>
      </c>
      <c r="M813" s="34" t="s">
        <v>260</v>
      </c>
      <c r="N813" s="34" t="str">
        <f>IFERROR(__xludf.DUMMYFUNCTION("""COMPUTED_VALUE"""),"")</f>
        <v/>
      </c>
    </row>
    <row r="814">
      <c r="A814" s="34" t="str">
        <f>IFERROR(__xludf.DUMMYFUNCTION("""COMPUTED_VALUE"""),"")</f>
        <v/>
      </c>
      <c r="M814" s="34" t="s">
        <v>260</v>
      </c>
      <c r="N814" s="34" t="str">
        <f>IFERROR(__xludf.DUMMYFUNCTION("""COMPUTED_VALUE"""),"")</f>
        <v/>
      </c>
    </row>
    <row r="815">
      <c r="A815" s="34" t="str">
        <f>IFERROR(__xludf.DUMMYFUNCTION("""COMPUTED_VALUE"""),"")</f>
        <v/>
      </c>
      <c r="M815" s="34" t="s">
        <v>260</v>
      </c>
      <c r="N815" s="34" t="str">
        <f>IFERROR(__xludf.DUMMYFUNCTION("""COMPUTED_VALUE"""),"")</f>
        <v/>
      </c>
    </row>
    <row r="816">
      <c r="A816" s="34" t="str">
        <f>IFERROR(__xludf.DUMMYFUNCTION("""COMPUTED_VALUE"""),"")</f>
        <v/>
      </c>
      <c r="M816" s="34" t="s">
        <v>260</v>
      </c>
      <c r="N816" s="34" t="str">
        <f>IFERROR(__xludf.DUMMYFUNCTION("""COMPUTED_VALUE"""),"")</f>
        <v/>
      </c>
    </row>
    <row r="817">
      <c r="A817" s="34" t="str">
        <f>IFERROR(__xludf.DUMMYFUNCTION("""COMPUTED_VALUE"""),"")</f>
        <v/>
      </c>
      <c r="M817" s="34" t="s">
        <v>260</v>
      </c>
      <c r="N817" s="34" t="str">
        <f>IFERROR(__xludf.DUMMYFUNCTION("""COMPUTED_VALUE"""),"")</f>
        <v/>
      </c>
    </row>
    <row r="818">
      <c r="A818" s="34" t="str">
        <f>IFERROR(__xludf.DUMMYFUNCTION("""COMPUTED_VALUE"""),"")</f>
        <v/>
      </c>
      <c r="M818" s="34" t="s">
        <v>260</v>
      </c>
      <c r="N818" s="34" t="str">
        <f>IFERROR(__xludf.DUMMYFUNCTION("""COMPUTED_VALUE"""),"")</f>
        <v/>
      </c>
    </row>
    <row r="819">
      <c r="A819" s="34" t="str">
        <f>IFERROR(__xludf.DUMMYFUNCTION("""COMPUTED_VALUE"""),"")</f>
        <v/>
      </c>
      <c r="M819" s="34" t="s">
        <v>260</v>
      </c>
      <c r="N819" s="34" t="str">
        <f>IFERROR(__xludf.DUMMYFUNCTION("""COMPUTED_VALUE"""),"")</f>
        <v/>
      </c>
    </row>
    <row r="820">
      <c r="A820" s="34" t="str">
        <f>IFERROR(__xludf.DUMMYFUNCTION("""COMPUTED_VALUE"""),"")</f>
        <v/>
      </c>
      <c r="M820" s="34" t="s">
        <v>260</v>
      </c>
      <c r="N820" s="34" t="str">
        <f>IFERROR(__xludf.DUMMYFUNCTION("""COMPUTED_VALUE"""),"")</f>
        <v/>
      </c>
    </row>
    <row r="821">
      <c r="A821" s="34" t="str">
        <f>IFERROR(__xludf.DUMMYFUNCTION("""COMPUTED_VALUE"""),"")</f>
        <v/>
      </c>
      <c r="M821" s="34" t="s">
        <v>260</v>
      </c>
      <c r="N821" s="34" t="str">
        <f>IFERROR(__xludf.DUMMYFUNCTION("""COMPUTED_VALUE"""),"")</f>
        <v/>
      </c>
    </row>
    <row r="822">
      <c r="A822" s="34" t="str">
        <f>IFERROR(__xludf.DUMMYFUNCTION("""COMPUTED_VALUE"""),"")</f>
        <v/>
      </c>
      <c r="M822" s="34" t="s">
        <v>260</v>
      </c>
      <c r="N822" s="34" t="str">
        <f>IFERROR(__xludf.DUMMYFUNCTION("""COMPUTED_VALUE"""),"")</f>
        <v/>
      </c>
    </row>
    <row r="823">
      <c r="A823" s="34" t="str">
        <f>IFERROR(__xludf.DUMMYFUNCTION("""COMPUTED_VALUE"""),"")</f>
        <v/>
      </c>
      <c r="M823" s="34" t="s">
        <v>260</v>
      </c>
      <c r="N823" s="34" t="str">
        <f>IFERROR(__xludf.DUMMYFUNCTION("""COMPUTED_VALUE"""),"")</f>
        <v/>
      </c>
    </row>
    <row r="824">
      <c r="A824" s="34" t="str">
        <f>IFERROR(__xludf.DUMMYFUNCTION("""COMPUTED_VALUE"""),"")</f>
        <v/>
      </c>
      <c r="M824" s="34" t="s">
        <v>260</v>
      </c>
      <c r="N824" s="34" t="str">
        <f>IFERROR(__xludf.DUMMYFUNCTION("""COMPUTED_VALUE"""),"")</f>
        <v/>
      </c>
    </row>
    <row r="825">
      <c r="A825" s="34" t="str">
        <f>IFERROR(__xludf.DUMMYFUNCTION("""COMPUTED_VALUE"""),"")</f>
        <v/>
      </c>
      <c r="M825" s="34" t="s">
        <v>260</v>
      </c>
      <c r="N825" s="34" t="str">
        <f>IFERROR(__xludf.DUMMYFUNCTION("""COMPUTED_VALUE"""),"")</f>
        <v/>
      </c>
    </row>
    <row r="826">
      <c r="A826" s="34" t="str">
        <f>IFERROR(__xludf.DUMMYFUNCTION("""COMPUTED_VALUE"""),"")</f>
        <v/>
      </c>
      <c r="M826" s="34" t="s">
        <v>260</v>
      </c>
      <c r="N826" s="34" t="str">
        <f>IFERROR(__xludf.DUMMYFUNCTION("""COMPUTED_VALUE"""),"")</f>
        <v/>
      </c>
    </row>
    <row r="827">
      <c r="A827" s="34" t="str">
        <f>IFERROR(__xludf.DUMMYFUNCTION("""COMPUTED_VALUE"""),"")</f>
        <v/>
      </c>
      <c r="M827" s="34" t="s">
        <v>260</v>
      </c>
      <c r="N827" s="34" t="str">
        <f>IFERROR(__xludf.DUMMYFUNCTION("""COMPUTED_VALUE"""),"")</f>
        <v/>
      </c>
    </row>
    <row r="828">
      <c r="A828" s="34" t="str">
        <f>IFERROR(__xludf.DUMMYFUNCTION("""COMPUTED_VALUE"""),"")</f>
        <v/>
      </c>
      <c r="M828" s="34" t="s">
        <v>260</v>
      </c>
      <c r="N828" s="34" t="str">
        <f>IFERROR(__xludf.DUMMYFUNCTION("""COMPUTED_VALUE"""),"")</f>
        <v/>
      </c>
    </row>
    <row r="829">
      <c r="A829" s="34" t="str">
        <f>IFERROR(__xludf.DUMMYFUNCTION("""COMPUTED_VALUE"""),"")</f>
        <v/>
      </c>
      <c r="M829" s="34" t="s">
        <v>260</v>
      </c>
      <c r="N829" s="34" t="str">
        <f>IFERROR(__xludf.DUMMYFUNCTION("""COMPUTED_VALUE"""),"")</f>
        <v/>
      </c>
    </row>
    <row r="830">
      <c r="A830" s="34" t="str">
        <f>IFERROR(__xludf.DUMMYFUNCTION("""COMPUTED_VALUE"""),"")</f>
        <v/>
      </c>
      <c r="M830" s="34" t="s">
        <v>260</v>
      </c>
      <c r="N830" s="34" t="str">
        <f>IFERROR(__xludf.DUMMYFUNCTION("""COMPUTED_VALUE"""),"")</f>
        <v/>
      </c>
    </row>
    <row r="831">
      <c r="A831" s="34" t="str">
        <f>IFERROR(__xludf.DUMMYFUNCTION("""COMPUTED_VALUE"""),"")</f>
        <v/>
      </c>
      <c r="M831" s="34" t="s">
        <v>260</v>
      </c>
      <c r="N831" s="34" t="str">
        <f>IFERROR(__xludf.DUMMYFUNCTION("""COMPUTED_VALUE"""),"")</f>
        <v/>
      </c>
    </row>
    <row r="832">
      <c r="A832" s="34" t="str">
        <f>IFERROR(__xludf.DUMMYFUNCTION("""COMPUTED_VALUE"""),"")</f>
        <v/>
      </c>
      <c r="M832" s="34" t="s">
        <v>260</v>
      </c>
      <c r="N832" s="34" t="str">
        <f>IFERROR(__xludf.DUMMYFUNCTION("""COMPUTED_VALUE"""),"")</f>
        <v/>
      </c>
    </row>
    <row r="833">
      <c r="A833" s="34" t="str">
        <f>IFERROR(__xludf.DUMMYFUNCTION("""COMPUTED_VALUE"""),"")</f>
        <v/>
      </c>
      <c r="M833" s="34" t="s">
        <v>260</v>
      </c>
      <c r="N833" s="34" t="str">
        <f>IFERROR(__xludf.DUMMYFUNCTION("""COMPUTED_VALUE"""),"")</f>
        <v/>
      </c>
    </row>
    <row r="834">
      <c r="A834" s="34" t="str">
        <f>IFERROR(__xludf.DUMMYFUNCTION("""COMPUTED_VALUE"""),"")</f>
        <v/>
      </c>
      <c r="M834" s="34" t="s">
        <v>260</v>
      </c>
      <c r="N834" s="34" t="str">
        <f>IFERROR(__xludf.DUMMYFUNCTION("""COMPUTED_VALUE"""),"")</f>
        <v/>
      </c>
    </row>
    <row r="835">
      <c r="A835" s="34" t="str">
        <f>IFERROR(__xludf.DUMMYFUNCTION("""COMPUTED_VALUE"""),"")</f>
        <v/>
      </c>
      <c r="M835" s="34" t="s">
        <v>260</v>
      </c>
      <c r="N835" s="34" t="str">
        <f>IFERROR(__xludf.DUMMYFUNCTION("""COMPUTED_VALUE"""),"")</f>
        <v/>
      </c>
    </row>
    <row r="836">
      <c r="A836" s="34" t="str">
        <f>IFERROR(__xludf.DUMMYFUNCTION("""COMPUTED_VALUE"""),"")</f>
        <v/>
      </c>
      <c r="M836" s="34" t="s">
        <v>260</v>
      </c>
      <c r="N836" s="34" t="str">
        <f>IFERROR(__xludf.DUMMYFUNCTION("""COMPUTED_VALUE"""),"")</f>
        <v/>
      </c>
    </row>
    <row r="837">
      <c r="A837" s="34" t="str">
        <f>IFERROR(__xludf.DUMMYFUNCTION("""COMPUTED_VALUE"""),"")</f>
        <v/>
      </c>
      <c r="M837" s="34" t="s">
        <v>260</v>
      </c>
      <c r="N837" s="34" t="str">
        <f>IFERROR(__xludf.DUMMYFUNCTION("""COMPUTED_VALUE"""),"")</f>
        <v/>
      </c>
    </row>
    <row r="838">
      <c r="A838" s="34" t="str">
        <f>IFERROR(__xludf.DUMMYFUNCTION("""COMPUTED_VALUE"""),"")</f>
        <v/>
      </c>
      <c r="M838" s="34" t="s">
        <v>260</v>
      </c>
      <c r="N838" s="34" t="str">
        <f>IFERROR(__xludf.DUMMYFUNCTION("""COMPUTED_VALUE"""),"")</f>
        <v/>
      </c>
    </row>
    <row r="839">
      <c r="A839" s="34" t="str">
        <f>IFERROR(__xludf.DUMMYFUNCTION("""COMPUTED_VALUE"""),"")</f>
        <v/>
      </c>
      <c r="M839" s="34" t="s">
        <v>260</v>
      </c>
      <c r="N839" s="34" t="str">
        <f>IFERROR(__xludf.DUMMYFUNCTION("""COMPUTED_VALUE"""),"")</f>
        <v/>
      </c>
    </row>
    <row r="840">
      <c r="A840" s="34" t="str">
        <f>IFERROR(__xludf.DUMMYFUNCTION("""COMPUTED_VALUE"""),"")</f>
        <v/>
      </c>
      <c r="M840" s="34" t="s">
        <v>260</v>
      </c>
      <c r="N840" s="34" t="str">
        <f>IFERROR(__xludf.DUMMYFUNCTION("""COMPUTED_VALUE"""),"")</f>
        <v/>
      </c>
    </row>
    <row r="841">
      <c r="A841" s="34" t="str">
        <f>IFERROR(__xludf.DUMMYFUNCTION("""COMPUTED_VALUE"""),"")</f>
        <v/>
      </c>
      <c r="M841" s="34" t="s">
        <v>260</v>
      </c>
      <c r="N841" s="34" t="str">
        <f>IFERROR(__xludf.DUMMYFUNCTION("""COMPUTED_VALUE"""),"")</f>
        <v/>
      </c>
    </row>
    <row r="842">
      <c r="A842" s="34" t="str">
        <f>IFERROR(__xludf.DUMMYFUNCTION("""COMPUTED_VALUE"""),"")</f>
        <v/>
      </c>
      <c r="M842" s="34" t="s">
        <v>260</v>
      </c>
      <c r="N842" s="34" t="str">
        <f>IFERROR(__xludf.DUMMYFUNCTION("""COMPUTED_VALUE"""),"")</f>
        <v/>
      </c>
    </row>
    <row r="843">
      <c r="A843" s="34" t="str">
        <f>IFERROR(__xludf.DUMMYFUNCTION("""COMPUTED_VALUE"""),"")</f>
        <v/>
      </c>
      <c r="M843" s="34" t="s">
        <v>260</v>
      </c>
      <c r="N843" s="34" t="str">
        <f>IFERROR(__xludf.DUMMYFUNCTION("""COMPUTED_VALUE"""),"")</f>
        <v/>
      </c>
    </row>
    <row r="844">
      <c r="A844" s="34" t="str">
        <f>IFERROR(__xludf.DUMMYFUNCTION("""COMPUTED_VALUE"""),"")</f>
        <v/>
      </c>
      <c r="M844" s="34" t="s">
        <v>260</v>
      </c>
      <c r="N844" s="34" t="str">
        <f>IFERROR(__xludf.DUMMYFUNCTION("""COMPUTED_VALUE"""),"")</f>
        <v/>
      </c>
    </row>
    <row r="845">
      <c r="A845" s="34" t="str">
        <f>IFERROR(__xludf.DUMMYFUNCTION("""COMPUTED_VALUE"""),"")</f>
        <v/>
      </c>
      <c r="M845" s="34" t="s">
        <v>260</v>
      </c>
      <c r="N845" s="34" t="str">
        <f>IFERROR(__xludf.DUMMYFUNCTION("""COMPUTED_VALUE"""),"")</f>
        <v/>
      </c>
    </row>
    <row r="846">
      <c r="A846" s="34" t="str">
        <f>IFERROR(__xludf.DUMMYFUNCTION("""COMPUTED_VALUE"""),"")</f>
        <v/>
      </c>
      <c r="M846" s="34" t="s">
        <v>260</v>
      </c>
      <c r="N846" s="34" t="str">
        <f>IFERROR(__xludf.DUMMYFUNCTION("""COMPUTED_VALUE"""),"")</f>
        <v/>
      </c>
    </row>
    <row r="847">
      <c r="A847" s="34" t="str">
        <f>IFERROR(__xludf.DUMMYFUNCTION("""COMPUTED_VALUE"""),"")</f>
        <v/>
      </c>
      <c r="M847" s="34" t="s">
        <v>260</v>
      </c>
      <c r="N847" s="34" t="str">
        <f>IFERROR(__xludf.DUMMYFUNCTION("""COMPUTED_VALUE"""),"")</f>
        <v/>
      </c>
    </row>
    <row r="848">
      <c r="A848" s="34" t="str">
        <f>IFERROR(__xludf.DUMMYFUNCTION("""COMPUTED_VALUE"""),"")</f>
        <v/>
      </c>
      <c r="M848" s="34" t="s">
        <v>260</v>
      </c>
      <c r="N848" s="34" t="str">
        <f>IFERROR(__xludf.DUMMYFUNCTION("""COMPUTED_VALUE"""),"")</f>
        <v/>
      </c>
    </row>
    <row r="849">
      <c r="A849" s="34" t="str">
        <f>IFERROR(__xludf.DUMMYFUNCTION("""COMPUTED_VALUE"""),"")</f>
        <v/>
      </c>
      <c r="M849" s="34" t="s">
        <v>260</v>
      </c>
      <c r="N849" s="34" t="str">
        <f>IFERROR(__xludf.DUMMYFUNCTION("""COMPUTED_VALUE"""),"")</f>
        <v/>
      </c>
    </row>
    <row r="850">
      <c r="A850" s="34" t="str">
        <f>IFERROR(__xludf.DUMMYFUNCTION("""COMPUTED_VALUE"""),"")</f>
        <v/>
      </c>
      <c r="M850" s="34" t="s">
        <v>260</v>
      </c>
      <c r="N850" s="34" t="str">
        <f>IFERROR(__xludf.DUMMYFUNCTION("""COMPUTED_VALUE"""),"")</f>
        <v/>
      </c>
    </row>
    <row r="851">
      <c r="A851" s="34" t="str">
        <f>IFERROR(__xludf.DUMMYFUNCTION("""COMPUTED_VALUE"""),"")</f>
        <v/>
      </c>
      <c r="M851" s="34" t="s">
        <v>260</v>
      </c>
      <c r="N851" s="34" t="str">
        <f>IFERROR(__xludf.DUMMYFUNCTION("""COMPUTED_VALUE"""),"")</f>
        <v/>
      </c>
    </row>
    <row r="852">
      <c r="A852" s="34" t="str">
        <f>IFERROR(__xludf.DUMMYFUNCTION("""COMPUTED_VALUE"""),"")</f>
        <v/>
      </c>
      <c r="M852" s="34" t="s">
        <v>260</v>
      </c>
      <c r="N852" s="34" t="str">
        <f>IFERROR(__xludf.DUMMYFUNCTION("""COMPUTED_VALUE"""),"")</f>
        <v/>
      </c>
    </row>
    <row r="853">
      <c r="A853" s="34" t="str">
        <f>IFERROR(__xludf.DUMMYFUNCTION("""COMPUTED_VALUE"""),"")</f>
        <v/>
      </c>
      <c r="M853" s="34" t="s">
        <v>260</v>
      </c>
      <c r="N853" s="34" t="str">
        <f>IFERROR(__xludf.DUMMYFUNCTION("""COMPUTED_VALUE"""),"")</f>
        <v/>
      </c>
    </row>
    <row r="854">
      <c r="A854" s="34" t="str">
        <f>IFERROR(__xludf.DUMMYFUNCTION("""COMPUTED_VALUE"""),"")</f>
        <v/>
      </c>
      <c r="M854" s="34" t="s">
        <v>260</v>
      </c>
      <c r="N854" s="34" t="str">
        <f>IFERROR(__xludf.DUMMYFUNCTION("""COMPUTED_VALUE"""),"")</f>
        <v/>
      </c>
    </row>
    <row r="855">
      <c r="A855" s="34" t="str">
        <f>IFERROR(__xludf.DUMMYFUNCTION("""COMPUTED_VALUE"""),"")</f>
        <v/>
      </c>
      <c r="M855" s="34" t="s">
        <v>260</v>
      </c>
      <c r="N855" s="34" t="str">
        <f>IFERROR(__xludf.DUMMYFUNCTION("""COMPUTED_VALUE"""),"")</f>
        <v/>
      </c>
    </row>
    <row r="856">
      <c r="A856" s="34" t="str">
        <f>IFERROR(__xludf.DUMMYFUNCTION("""COMPUTED_VALUE"""),"")</f>
        <v/>
      </c>
      <c r="M856" s="34" t="s">
        <v>260</v>
      </c>
      <c r="N856" s="34" t="str">
        <f>IFERROR(__xludf.DUMMYFUNCTION("""COMPUTED_VALUE"""),"")</f>
        <v/>
      </c>
    </row>
    <row r="857">
      <c r="A857" s="34" t="str">
        <f>IFERROR(__xludf.DUMMYFUNCTION("""COMPUTED_VALUE"""),"")</f>
        <v/>
      </c>
      <c r="M857" s="34" t="s">
        <v>260</v>
      </c>
      <c r="N857" s="34" t="str">
        <f>IFERROR(__xludf.DUMMYFUNCTION("""COMPUTED_VALUE"""),"")</f>
        <v/>
      </c>
    </row>
    <row r="858">
      <c r="A858" s="34" t="str">
        <f>IFERROR(__xludf.DUMMYFUNCTION("""COMPUTED_VALUE"""),"")</f>
        <v/>
      </c>
      <c r="M858" s="34" t="s">
        <v>260</v>
      </c>
      <c r="N858" s="34" t="str">
        <f>IFERROR(__xludf.DUMMYFUNCTION("""COMPUTED_VALUE"""),"")</f>
        <v/>
      </c>
    </row>
    <row r="859">
      <c r="A859" s="34" t="str">
        <f>IFERROR(__xludf.DUMMYFUNCTION("""COMPUTED_VALUE"""),"")</f>
        <v/>
      </c>
      <c r="M859" s="34" t="s">
        <v>260</v>
      </c>
      <c r="N859" s="34" t="str">
        <f>IFERROR(__xludf.DUMMYFUNCTION("""COMPUTED_VALUE"""),"")</f>
        <v/>
      </c>
    </row>
    <row r="860">
      <c r="A860" s="34" t="str">
        <f>IFERROR(__xludf.DUMMYFUNCTION("""COMPUTED_VALUE"""),"")</f>
        <v/>
      </c>
      <c r="M860" s="34" t="s">
        <v>260</v>
      </c>
      <c r="N860" s="34" t="str">
        <f>IFERROR(__xludf.DUMMYFUNCTION("""COMPUTED_VALUE"""),"")</f>
        <v/>
      </c>
    </row>
    <row r="861">
      <c r="A861" s="34" t="str">
        <f>IFERROR(__xludf.DUMMYFUNCTION("""COMPUTED_VALUE"""),"")</f>
        <v/>
      </c>
      <c r="M861" s="34" t="s">
        <v>260</v>
      </c>
      <c r="N861" s="34" t="str">
        <f>IFERROR(__xludf.DUMMYFUNCTION("""COMPUTED_VALUE"""),"")</f>
        <v/>
      </c>
    </row>
    <row r="862">
      <c r="A862" s="34" t="str">
        <f>IFERROR(__xludf.DUMMYFUNCTION("""COMPUTED_VALUE"""),"")</f>
        <v/>
      </c>
      <c r="M862" s="34" t="s">
        <v>260</v>
      </c>
      <c r="N862" s="34" t="str">
        <f>IFERROR(__xludf.DUMMYFUNCTION("""COMPUTED_VALUE"""),"")</f>
        <v/>
      </c>
    </row>
    <row r="863">
      <c r="A863" s="34" t="str">
        <f>IFERROR(__xludf.DUMMYFUNCTION("""COMPUTED_VALUE"""),"")</f>
        <v/>
      </c>
      <c r="M863" s="34" t="s">
        <v>260</v>
      </c>
      <c r="N863" s="34" t="str">
        <f>IFERROR(__xludf.DUMMYFUNCTION("""COMPUTED_VALUE"""),"")</f>
        <v/>
      </c>
    </row>
    <row r="864">
      <c r="A864" s="34" t="str">
        <f>IFERROR(__xludf.DUMMYFUNCTION("""COMPUTED_VALUE"""),"")</f>
        <v/>
      </c>
      <c r="M864" s="34" t="s">
        <v>260</v>
      </c>
      <c r="N864" s="34" t="str">
        <f>IFERROR(__xludf.DUMMYFUNCTION("""COMPUTED_VALUE"""),"")</f>
        <v/>
      </c>
    </row>
    <row r="865">
      <c r="A865" s="34" t="str">
        <f>IFERROR(__xludf.DUMMYFUNCTION("""COMPUTED_VALUE"""),"")</f>
        <v/>
      </c>
      <c r="M865" s="34" t="s">
        <v>260</v>
      </c>
      <c r="N865" s="34" t="str">
        <f>IFERROR(__xludf.DUMMYFUNCTION("""COMPUTED_VALUE"""),"")</f>
        <v/>
      </c>
    </row>
    <row r="866">
      <c r="A866" s="34" t="str">
        <f>IFERROR(__xludf.DUMMYFUNCTION("""COMPUTED_VALUE"""),"")</f>
        <v/>
      </c>
      <c r="M866" s="34" t="s">
        <v>260</v>
      </c>
      <c r="N866" s="34" t="str">
        <f>IFERROR(__xludf.DUMMYFUNCTION("""COMPUTED_VALUE"""),"")</f>
        <v/>
      </c>
    </row>
    <row r="867">
      <c r="A867" s="34" t="str">
        <f>IFERROR(__xludf.DUMMYFUNCTION("""COMPUTED_VALUE"""),"")</f>
        <v/>
      </c>
      <c r="M867" s="34" t="s">
        <v>260</v>
      </c>
      <c r="N867" s="34" t="str">
        <f>IFERROR(__xludf.DUMMYFUNCTION("""COMPUTED_VALUE"""),"")</f>
        <v/>
      </c>
    </row>
    <row r="868">
      <c r="A868" s="34" t="str">
        <f>IFERROR(__xludf.DUMMYFUNCTION("""COMPUTED_VALUE"""),"")</f>
        <v/>
      </c>
      <c r="M868" s="34" t="s">
        <v>260</v>
      </c>
      <c r="N868" s="34" t="str">
        <f>IFERROR(__xludf.DUMMYFUNCTION("""COMPUTED_VALUE"""),"")</f>
        <v/>
      </c>
    </row>
    <row r="869">
      <c r="A869" s="34" t="str">
        <f>IFERROR(__xludf.DUMMYFUNCTION("""COMPUTED_VALUE"""),"")</f>
        <v/>
      </c>
      <c r="M869" s="34" t="s">
        <v>260</v>
      </c>
      <c r="N869" s="34" t="str">
        <f>IFERROR(__xludf.DUMMYFUNCTION("""COMPUTED_VALUE"""),"")</f>
        <v/>
      </c>
    </row>
    <row r="870">
      <c r="A870" s="34" t="str">
        <f>IFERROR(__xludf.DUMMYFUNCTION("""COMPUTED_VALUE"""),"")</f>
        <v/>
      </c>
      <c r="M870" s="34" t="s">
        <v>260</v>
      </c>
      <c r="N870" s="34" t="str">
        <f>IFERROR(__xludf.DUMMYFUNCTION("""COMPUTED_VALUE"""),"")</f>
        <v/>
      </c>
    </row>
    <row r="871">
      <c r="A871" s="34" t="str">
        <f>IFERROR(__xludf.DUMMYFUNCTION("""COMPUTED_VALUE"""),"")</f>
        <v/>
      </c>
      <c r="M871" s="34" t="s">
        <v>260</v>
      </c>
      <c r="N871" s="34" t="str">
        <f>IFERROR(__xludf.DUMMYFUNCTION("""COMPUTED_VALUE"""),"")</f>
        <v/>
      </c>
    </row>
    <row r="872">
      <c r="A872" s="34" t="str">
        <f>IFERROR(__xludf.DUMMYFUNCTION("""COMPUTED_VALUE"""),"")</f>
        <v/>
      </c>
      <c r="M872" s="34" t="s">
        <v>260</v>
      </c>
      <c r="N872" s="34" t="str">
        <f>IFERROR(__xludf.DUMMYFUNCTION("""COMPUTED_VALUE"""),"")</f>
        <v/>
      </c>
    </row>
    <row r="873">
      <c r="A873" s="34" t="str">
        <f>IFERROR(__xludf.DUMMYFUNCTION("""COMPUTED_VALUE"""),"")</f>
        <v/>
      </c>
      <c r="M873" s="34" t="s">
        <v>260</v>
      </c>
      <c r="N873" s="34" t="str">
        <f>IFERROR(__xludf.DUMMYFUNCTION("""COMPUTED_VALUE"""),"")</f>
        <v/>
      </c>
    </row>
    <row r="874">
      <c r="A874" s="34" t="str">
        <f>IFERROR(__xludf.DUMMYFUNCTION("""COMPUTED_VALUE"""),"")</f>
        <v/>
      </c>
      <c r="M874" s="34" t="s">
        <v>260</v>
      </c>
      <c r="N874" s="34" t="str">
        <f>IFERROR(__xludf.DUMMYFUNCTION("""COMPUTED_VALUE"""),"")</f>
        <v/>
      </c>
    </row>
    <row r="875">
      <c r="A875" s="34" t="str">
        <f>IFERROR(__xludf.DUMMYFUNCTION("""COMPUTED_VALUE"""),"")</f>
        <v/>
      </c>
      <c r="M875" s="34" t="s">
        <v>260</v>
      </c>
      <c r="N875" s="34" t="str">
        <f>IFERROR(__xludf.DUMMYFUNCTION("""COMPUTED_VALUE"""),"")</f>
        <v/>
      </c>
    </row>
    <row r="876">
      <c r="A876" s="34" t="str">
        <f>IFERROR(__xludf.DUMMYFUNCTION("""COMPUTED_VALUE"""),"")</f>
        <v/>
      </c>
      <c r="M876" s="34" t="s">
        <v>260</v>
      </c>
      <c r="N876" s="34" t="str">
        <f>IFERROR(__xludf.DUMMYFUNCTION("""COMPUTED_VALUE"""),"")</f>
        <v/>
      </c>
    </row>
    <row r="877">
      <c r="A877" s="34" t="str">
        <f>IFERROR(__xludf.DUMMYFUNCTION("""COMPUTED_VALUE"""),"")</f>
        <v/>
      </c>
      <c r="M877" s="34" t="s">
        <v>260</v>
      </c>
      <c r="N877" s="34" t="str">
        <f>IFERROR(__xludf.DUMMYFUNCTION("""COMPUTED_VALUE"""),"")</f>
        <v/>
      </c>
    </row>
    <row r="878">
      <c r="A878" s="34" t="str">
        <f>IFERROR(__xludf.DUMMYFUNCTION("""COMPUTED_VALUE"""),"")</f>
        <v/>
      </c>
      <c r="M878" s="34" t="s">
        <v>260</v>
      </c>
      <c r="N878" s="34" t="str">
        <f>IFERROR(__xludf.DUMMYFUNCTION("""COMPUTED_VALUE"""),"")</f>
        <v/>
      </c>
    </row>
    <row r="879">
      <c r="A879" s="34" t="str">
        <f>IFERROR(__xludf.DUMMYFUNCTION("""COMPUTED_VALUE"""),"")</f>
        <v/>
      </c>
      <c r="M879" s="34" t="s">
        <v>260</v>
      </c>
      <c r="N879" s="34" t="str">
        <f>IFERROR(__xludf.DUMMYFUNCTION("""COMPUTED_VALUE"""),"")</f>
        <v/>
      </c>
    </row>
    <row r="880">
      <c r="A880" s="34" t="str">
        <f>IFERROR(__xludf.DUMMYFUNCTION("""COMPUTED_VALUE"""),"")</f>
        <v/>
      </c>
      <c r="M880" s="34" t="s">
        <v>260</v>
      </c>
      <c r="N880" s="34" t="str">
        <f>IFERROR(__xludf.DUMMYFUNCTION("""COMPUTED_VALUE"""),"")</f>
        <v/>
      </c>
    </row>
    <row r="881">
      <c r="A881" s="34" t="str">
        <f>IFERROR(__xludf.DUMMYFUNCTION("""COMPUTED_VALUE"""),"")</f>
        <v/>
      </c>
      <c r="M881" s="34" t="s">
        <v>260</v>
      </c>
      <c r="N881" s="34" t="str">
        <f>IFERROR(__xludf.DUMMYFUNCTION("""COMPUTED_VALUE"""),"")</f>
        <v/>
      </c>
    </row>
    <row r="882">
      <c r="A882" s="34" t="str">
        <f>IFERROR(__xludf.DUMMYFUNCTION("""COMPUTED_VALUE"""),"")</f>
        <v/>
      </c>
      <c r="M882" s="34" t="s">
        <v>260</v>
      </c>
      <c r="N882" s="34" t="str">
        <f>IFERROR(__xludf.DUMMYFUNCTION("""COMPUTED_VALUE"""),"")</f>
        <v/>
      </c>
    </row>
    <row r="883">
      <c r="A883" s="34" t="str">
        <f>IFERROR(__xludf.DUMMYFUNCTION("""COMPUTED_VALUE"""),"")</f>
        <v/>
      </c>
      <c r="M883" s="34" t="s">
        <v>260</v>
      </c>
      <c r="N883" s="34" t="str">
        <f>IFERROR(__xludf.DUMMYFUNCTION("""COMPUTED_VALUE"""),"")</f>
        <v/>
      </c>
    </row>
    <row r="884">
      <c r="A884" s="34" t="str">
        <f>IFERROR(__xludf.DUMMYFUNCTION("""COMPUTED_VALUE"""),"")</f>
        <v/>
      </c>
      <c r="M884" s="34" t="s">
        <v>260</v>
      </c>
      <c r="N884" s="34" t="str">
        <f>IFERROR(__xludf.DUMMYFUNCTION("""COMPUTED_VALUE"""),"")</f>
        <v/>
      </c>
    </row>
    <row r="885">
      <c r="A885" s="34" t="str">
        <f>IFERROR(__xludf.DUMMYFUNCTION("""COMPUTED_VALUE"""),"")</f>
        <v/>
      </c>
      <c r="M885" s="34" t="s">
        <v>260</v>
      </c>
      <c r="N885" s="34" t="str">
        <f>IFERROR(__xludf.DUMMYFUNCTION("""COMPUTED_VALUE"""),"")</f>
        <v/>
      </c>
    </row>
    <row r="886">
      <c r="A886" s="34" t="str">
        <f>IFERROR(__xludf.DUMMYFUNCTION("""COMPUTED_VALUE"""),"")</f>
        <v/>
      </c>
      <c r="M886" s="34" t="s">
        <v>260</v>
      </c>
      <c r="N886" s="34" t="str">
        <f>IFERROR(__xludf.DUMMYFUNCTION("""COMPUTED_VALUE"""),"")</f>
        <v/>
      </c>
    </row>
    <row r="887">
      <c r="A887" s="34" t="str">
        <f>IFERROR(__xludf.DUMMYFUNCTION("""COMPUTED_VALUE"""),"")</f>
        <v/>
      </c>
      <c r="M887" s="34" t="s">
        <v>260</v>
      </c>
      <c r="N887" s="34" t="str">
        <f>IFERROR(__xludf.DUMMYFUNCTION("""COMPUTED_VALUE"""),"")</f>
        <v/>
      </c>
    </row>
    <row r="888">
      <c r="A888" s="34" t="str">
        <f>IFERROR(__xludf.DUMMYFUNCTION("""COMPUTED_VALUE"""),"")</f>
        <v/>
      </c>
      <c r="M888" s="34" t="s">
        <v>260</v>
      </c>
      <c r="N888" s="34" t="str">
        <f>IFERROR(__xludf.DUMMYFUNCTION("""COMPUTED_VALUE"""),"")</f>
        <v/>
      </c>
    </row>
    <row r="889">
      <c r="A889" s="34" t="str">
        <f>IFERROR(__xludf.DUMMYFUNCTION("""COMPUTED_VALUE"""),"")</f>
        <v/>
      </c>
      <c r="M889" s="34" t="s">
        <v>260</v>
      </c>
      <c r="N889" s="34" t="str">
        <f>IFERROR(__xludf.DUMMYFUNCTION("""COMPUTED_VALUE"""),"")</f>
        <v/>
      </c>
    </row>
    <row r="890">
      <c r="A890" s="34" t="str">
        <f>IFERROR(__xludf.DUMMYFUNCTION("""COMPUTED_VALUE"""),"")</f>
        <v/>
      </c>
      <c r="M890" s="34" t="s">
        <v>260</v>
      </c>
      <c r="N890" s="34" t="str">
        <f>IFERROR(__xludf.DUMMYFUNCTION("""COMPUTED_VALUE"""),"")</f>
        <v/>
      </c>
    </row>
    <row r="891">
      <c r="A891" s="34" t="str">
        <f>IFERROR(__xludf.DUMMYFUNCTION("""COMPUTED_VALUE"""),"")</f>
        <v/>
      </c>
      <c r="M891" s="34" t="s">
        <v>260</v>
      </c>
      <c r="N891" s="34" t="str">
        <f>IFERROR(__xludf.DUMMYFUNCTION("""COMPUTED_VALUE"""),"")</f>
        <v/>
      </c>
    </row>
    <row r="892">
      <c r="A892" s="34" t="str">
        <f>IFERROR(__xludf.DUMMYFUNCTION("""COMPUTED_VALUE"""),"")</f>
        <v/>
      </c>
      <c r="M892" s="34" t="s">
        <v>260</v>
      </c>
      <c r="N892" s="34" t="str">
        <f>IFERROR(__xludf.DUMMYFUNCTION("""COMPUTED_VALUE"""),"")</f>
        <v/>
      </c>
    </row>
    <row r="893">
      <c r="A893" s="34" t="str">
        <f>IFERROR(__xludf.DUMMYFUNCTION("""COMPUTED_VALUE"""),"")</f>
        <v/>
      </c>
      <c r="M893" s="34" t="s">
        <v>260</v>
      </c>
      <c r="N893" s="34" t="str">
        <f>IFERROR(__xludf.DUMMYFUNCTION("""COMPUTED_VALUE"""),"")</f>
        <v/>
      </c>
    </row>
    <row r="894">
      <c r="A894" s="34" t="str">
        <f>IFERROR(__xludf.DUMMYFUNCTION("""COMPUTED_VALUE"""),"")</f>
        <v/>
      </c>
      <c r="M894" s="34" t="s">
        <v>260</v>
      </c>
      <c r="N894" s="34" t="str">
        <f>IFERROR(__xludf.DUMMYFUNCTION("""COMPUTED_VALUE"""),"")</f>
        <v/>
      </c>
    </row>
    <row r="895">
      <c r="A895" s="34" t="str">
        <f>IFERROR(__xludf.DUMMYFUNCTION("""COMPUTED_VALUE"""),"")</f>
        <v/>
      </c>
      <c r="M895" s="34" t="s">
        <v>260</v>
      </c>
      <c r="N895" s="34" t="str">
        <f>IFERROR(__xludf.DUMMYFUNCTION("""COMPUTED_VALUE"""),"")</f>
        <v/>
      </c>
    </row>
    <row r="896">
      <c r="A896" s="34" t="str">
        <f>IFERROR(__xludf.DUMMYFUNCTION("""COMPUTED_VALUE"""),"")</f>
        <v/>
      </c>
      <c r="M896" s="34" t="s">
        <v>260</v>
      </c>
      <c r="N896" s="34" t="str">
        <f>IFERROR(__xludf.DUMMYFUNCTION("""COMPUTED_VALUE"""),"")</f>
        <v/>
      </c>
    </row>
    <row r="897">
      <c r="A897" s="34" t="str">
        <f>IFERROR(__xludf.DUMMYFUNCTION("""COMPUTED_VALUE"""),"")</f>
        <v/>
      </c>
      <c r="M897" s="34" t="s">
        <v>260</v>
      </c>
      <c r="N897" s="34" t="str">
        <f>IFERROR(__xludf.DUMMYFUNCTION("""COMPUTED_VALUE"""),"")</f>
        <v/>
      </c>
    </row>
    <row r="898">
      <c r="A898" s="34" t="str">
        <f>IFERROR(__xludf.DUMMYFUNCTION("""COMPUTED_VALUE"""),"")</f>
        <v/>
      </c>
      <c r="M898" s="34" t="s">
        <v>260</v>
      </c>
      <c r="N898" s="34" t="str">
        <f>IFERROR(__xludf.DUMMYFUNCTION("""COMPUTED_VALUE"""),"")</f>
        <v/>
      </c>
    </row>
    <row r="899">
      <c r="A899" s="34" t="str">
        <f>IFERROR(__xludf.DUMMYFUNCTION("""COMPUTED_VALUE"""),"")</f>
        <v/>
      </c>
      <c r="M899" s="34" t="s">
        <v>260</v>
      </c>
      <c r="N899" s="34" t="str">
        <f>IFERROR(__xludf.DUMMYFUNCTION("""COMPUTED_VALUE"""),"")</f>
        <v/>
      </c>
    </row>
    <row r="900">
      <c r="A900" s="34" t="str">
        <f>IFERROR(__xludf.DUMMYFUNCTION("""COMPUTED_VALUE"""),"")</f>
        <v/>
      </c>
      <c r="M900" s="34" t="s">
        <v>260</v>
      </c>
      <c r="N900" s="34" t="str">
        <f>IFERROR(__xludf.DUMMYFUNCTION("""COMPUTED_VALUE"""),"")</f>
        <v/>
      </c>
    </row>
    <row r="901">
      <c r="A901" s="34" t="str">
        <f>IFERROR(__xludf.DUMMYFUNCTION("""COMPUTED_VALUE"""),"")</f>
        <v/>
      </c>
      <c r="M901" s="34" t="s">
        <v>260</v>
      </c>
      <c r="N901" s="34" t="str">
        <f>IFERROR(__xludf.DUMMYFUNCTION("""COMPUTED_VALUE"""),"")</f>
        <v/>
      </c>
    </row>
    <row r="902">
      <c r="A902" s="34" t="str">
        <f>IFERROR(__xludf.DUMMYFUNCTION("""COMPUTED_VALUE"""),"")</f>
        <v/>
      </c>
      <c r="M902" s="34" t="s">
        <v>260</v>
      </c>
      <c r="N902" s="34" t="str">
        <f>IFERROR(__xludf.DUMMYFUNCTION("""COMPUTED_VALUE"""),"")</f>
        <v/>
      </c>
    </row>
    <row r="903">
      <c r="A903" s="34" t="str">
        <f>IFERROR(__xludf.DUMMYFUNCTION("""COMPUTED_VALUE"""),"")</f>
        <v/>
      </c>
      <c r="M903" s="34" t="s">
        <v>260</v>
      </c>
      <c r="N903" s="34" t="str">
        <f>IFERROR(__xludf.DUMMYFUNCTION("""COMPUTED_VALUE"""),"")</f>
        <v/>
      </c>
    </row>
    <row r="904">
      <c r="A904" s="34" t="str">
        <f>IFERROR(__xludf.DUMMYFUNCTION("""COMPUTED_VALUE"""),"")</f>
        <v/>
      </c>
      <c r="M904" s="34" t="s">
        <v>260</v>
      </c>
      <c r="N904" s="34" t="str">
        <f>IFERROR(__xludf.DUMMYFUNCTION("""COMPUTED_VALUE"""),"")</f>
        <v/>
      </c>
    </row>
    <row r="905">
      <c r="A905" s="34" t="str">
        <f>IFERROR(__xludf.DUMMYFUNCTION("""COMPUTED_VALUE"""),"")</f>
        <v/>
      </c>
      <c r="M905" s="34" t="s">
        <v>260</v>
      </c>
      <c r="N905" s="34" t="str">
        <f>IFERROR(__xludf.DUMMYFUNCTION("""COMPUTED_VALUE"""),"")</f>
        <v/>
      </c>
    </row>
    <row r="906">
      <c r="A906" s="34" t="str">
        <f>IFERROR(__xludf.DUMMYFUNCTION("""COMPUTED_VALUE"""),"")</f>
        <v/>
      </c>
      <c r="M906" s="34" t="s">
        <v>260</v>
      </c>
      <c r="N906" s="34" t="str">
        <f>IFERROR(__xludf.DUMMYFUNCTION("""COMPUTED_VALUE"""),"")</f>
        <v/>
      </c>
    </row>
    <row r="907">
      <c r="A907" s="34" t="str">
        <f>IFERROR(__xludf.DUMMYFUNCTION("""COMPUTED_VALUE"""),"")</f>
        <v/>
      </c>
      <c r="M907" s="34" t="s">
        <v>260</v>
      </c>
      <c r="N907" s="34" t="str">
        <f>IFERROR(__xludf.DUMMYFUNCTION("""COMPUTED_VALUE"""),"")</f>
        <v/>
      </c>
    </row>
    <row r="908">
      <c r="A908" s="34" t="str">
        <f>IFERROR(__xludf.DUMMYFUNCTION("""COMPUTED_VALUE"""),"")</f>
        <v/>
      </c>
      <c r="M908" s="34" t="s">
        <v>260</v>
      </c>
      <c r="N908" s="34" t="str">
        <f>IFERROR(__xludf.DUMMYFUNCTION("""COMPUTED_VALUE"""),"")</f>
        <v/>
      </c>
    </row>
    <row r="909">
      <c r="A909" s="34" t="str">
        <f>IFERROR(__xludf.DUMMYFUNCTION("""COMPUTED_VALUE"""),"")</f>
        <v/>
      </c>
      <c r="M909" s="34" t="s">
        <v>260</v>
      </c>
      <c r="N909" s="34" t="str">
        <f>IFERROR(__xludf.DUMMYFUNCTION("""COMPUTED_VALUE"""),"")</f>
        <v/>
      </c>
    </row>
    <row r="910">
      <c r="A910" s="34" t="str">
        <f>IFERROR(__xludf.DUMMYFUNCTION("""COMPUTED_VALUE"""),"")</f>
        <v/>
      </c>
      <c r="M910" s="34" t="s">
        <v>260</v>
      </c>
      <c r="N910" s="34" t="str">
        <f>IFERROR(__xludf.DUMMYFUNCTION("""COMPUTED_VALUE"""),"")</f>
        <v/>
      </c>
    </row>
    <row r="911">
      <c r="A911" s="34" t="str">
        <f>IFERROR(__xludf.DUMMYFUNCTION("""COMPUTED_VALUE"""),"")</f>
        <v/>
      </c>
      <c r="M911" s="34" t="s">
        <v>260</v>
      </c>
      <c r="N911" s="34" t="str">
        <f>IFERROR(__xludf.DUMMYFUNCTION("""COMPUTED_VALUE"""),"")</f>
        <v/>
      </c>
    </row>
    <row r="912">
      <c r="A912" s="34" t="str">
        <f>IFERROR(__xludf.DUMMYFUNCTION("""COMPUTED_VALUE"""),"")</f>
        <v/>
      </c>
      <c r="M912" s="34" t="s">
        <v>260</v>
      </c>
      <c r="N912" s="34" t="str">
        <f>IFERROR(__xludf.DUMMYFUNCTION("""COMPUTED_VALUE"""),"")</f>
        <v/>
      </c>
    </row>
    <row r="913">
      <c r="A913" s="34" t="str">
        <f>IFERROR(__xludf.DUMMYFUNCTION("""COMPUTED_VALUE"""),"")</f>
        <v/>
      </c>
      <c r="M913" s="34" t="s">
        <v>260</v>
      </c>
      <c r="N913" s="34" t="str">
        <f>IFERROR(__xludf.DUMMYFUNCTION("""COMPUTED_VALUE"""),"")</f>
        <v/>
      </c>
    </row>
    <row r="914">
      <c r="A914" s="34" t="str">
        <f>IFERROR(__xludf.DUMMYFUNCTION("""COMPUTED_VALUE"""),"")</f>
        <v/>
      </c>
      <c r="M914" s="34" t="s">
        <v>260</v>
      </c>
      <c r="N914" s="34" t="str">
        <f>IFERROR(__xludf.DUMMYFUNCTION("""COMPUTED_VALUE"""),"")</f>
        <v/>
      </c>
    </row>
    <row r="915">
      <c r="A915" s="34" t="str">
        <f>IFERROR(__xludf.DUMMYFUNCTION("""COMPUTED_VALUE"""),"")</f>
        <v/>
      </c>
      <c r="M915" s="34" t="s">
        <v>260</v>
      </c>
      <c r="N915" s="34" t="str">
        <f>IFERROR(__xludf.DUMMYFUNCTION("""COMPUTED_VALUE"""),"")</f>
        <v/>
      </c>
    </row>
    <row r="916">
      <c r="A916" s="34" t="str">
        <f>IFERROR(__xludf.DUMMYFUNCTION("""COMPUTED_VALUE"""),"")</f>
        <v/>
      </c>
      <c r="M916" s="34" t="s">
        <v>260</v>
      </c>
      <c r="N916" s="34" t="str">
        <f>IFERROR(__xludf.DUMMYFUNCTION("""COMPUTED_VALUE"""),"")</f>
        <v/>
      </c>
    </row>
    <row r="917">
      <c r="A917" s="34" t="str">
        <f>IFERROR(__xludf.DUMMYFUNCTION("""COMPUTED_VALUE"""),"")</f>
        <v/>
      </c>
      <c r="M917" s="34" t="s">
        <v>260</v>
      </c>
      <c r="N917" s="34" t="str">
        <f>IFERROR(__xludf.DUMMYFUNCTION("""COMPUTED_VALUE"""),"")</f>
        <v/>
      </c>
    </row>
    <row r="918">
      <c r="A918" s="34" t="str">
        <f>IFERROR(__xludf.DUMMYFUNCTION("""COMPUTED_VALUE"""),"")</f>
        <v/>
      </c>
      <c r="M918" s="34" t="s">
        <v>260</v>
      </c>
      <c r="N918" s="34" t="str">
        <f>IFERROR(__xludf.DUMMYFUNCTION("""COMPUTED_VALUE"""),"")</f>
        <v/>
      </c>
    </row>
    <row r="919">
      <c r="A919" s="34" t="str">
        <f>IFERROR(__xludf.DUMMYFUNCTION("""COMPUTED_VALUE"""),"")</f>
        <v/>
      </c>
      <c r="M919" s="34" t="s">
        <v>260</v>
      </c>
      <c r="N919" s="34" t="str">
        <f>IFERROR(__xludf.DUMMYFUNCTION("""COMPUTED_VALUE"""),"")</f>
        <v/>
      </c>
    </row>
    <row r="920">
      <c r="A920" s="34" t="str">
        <f>IFERROR(__xludf.DUMMYFUNCTION("""COMPUTED_VALUE"""),"")</f>
        <v/>
      </c>
      <c r="M920" s="34" t="s">
        <v>260</v>
      </c>
      <c r="N920" s="34" t="str">
        <f>IFERROR(__xludf.DUMMYFUNCTION("""COMPUTED_VALUE"""),"")</f>
        <v/>
      </c>
    </row>
    <row r="921">
      <c r="A921" s="34" t="str">
        <f>IFERROR(__xludf.DUMMYFUNCTION("""COMPUTED_VALUE"""),"")</f>
        <v/>
      </c>
      <c r="M921" s="34" t="s">
        <v>260</v>
      </c>
      <c r="N921" s="34" t="str">
        <f>IFERROR(__xludf.DUMMYFUNCTION("""COMPUTED_VALUE"""),"")</f>
        <v/>
      </c>
    </row>
    <row r="922">
      <c r="A922" s="34" t="str">
        <f>IFERROR(__xludf.DUMMYFUNCTION("""COMPUTED_VALUE"""),"")</f>
        <v/>
      </c>
      <c r="M922" s="34" t="s">
        <v>260</v>
      </c>
      <c r="N922" s="34" t="str">
        <f>IFERROR(__xludf.DUMMYFUNCTION("""COMPUTED_VALUE"""),"")</f>
        <v/>
      </c>
    </row>
    <row r="923">
      <c r="A923" s="34" t="str">
        <f>IFERROR(__xludf.DUMMYFUNCTION("""COMPUTED_VALUE"""),"")</f>
        <v/>
      </c>
      <c r="M923" s="34" t="s">
        <v>260</v>
      </c>
      <c r="N923" s="34" t="str">
        <f>IFERROR(__xludf.DUMMYFUNCTION("""COMPUTED_VALUE"""),"")</f>
        <v/>
      </c>
    </row>
    <row r="924">
      <c r="A924" s="34" t="str">
        <f>IFERROR(__xludf.DUMMYFUNCTION("""COMPUTED_VALUE"""),"")</f>
        <v/>
      </c>
      <c r="M924" s="34" t="s">
        <v>260</v>
      </c>
      <c r="N924" s="34" t="str">
        <f>IFERROR(__xludf.DUMMYFUNCTION("""COMPUTED_VALUE"""),"")</f>
        <v/>
      </c>
    </row>
    <row r="925">
      <c r="A925" s="34" t="str">
        <f>IFERROR(__xludf.DUMMYFUNCTION("""COMPUTED_VALUE"""),"")</f>
        <v/>
      </c>
      <c r="M925" s="34" t="s">
        <v>260</v>
      </c>
      <c r="N925" s="34" t="str">
        <f>IFERROR(__xludf.DUMMYFUNCTION("""COMPUTED_VALUE"""),"")</f>
        <v/>
      </c>
    </row>
    <row r="926">
      <c r="A926" s="34" t="str">
        <f>IFERROR(__xludf.DUMMYFUNCTION("""COMPUTED_VALUE"""),"")</f>
        <v/>
      </c>
      <c r="M926" s="34" t="s">
        <v>260</v>
      </c>
      <c r="N926" s="34" t="str">
        <f>IFERROR(__xludf.DUMMYFUNCTION("""COMPUTED_VALUE"""),"")</f>
        <v/>
      </c>
    </row>
    <row r="927">
      <c r="A927" s="34" t="str">
        <f>IFERROR(__xludf.DUMMYFUNCTION("""COMPUTED_VALUE"""),"")</f>
        <v/>
      </c>
      <c r="M927" s="34" t="s">
        <v>260</v>
      </c>
      <c r="N927" s="34" t="str">
        <f>IFERROR(__xludf.DUMMYFUNCTION("""COMPUTED_VALUE"""),"")</f>
        <v/>
      </c>
    </row>
    <row r="928">
      <c r="A928" s="34" t="str">
        <f>IFERROR(__xludf.DUMMYFUNCTION("""COMPUTED_VALUE"""),"")</f>
        <v/>
      </c>
      <c r="M928" s="34" t="s">
        <v>260</v>
      </c>
      <c r="N928" s="34" t="str">
        <f>IFERROR(__xludf.DUMMYFUNCTION("""COMPUTED_VALUE"""),"")</f>
        <v/>
      </c>
    </row>
    <row r="929">
      <c r="A929" s="34" t="str">
        <f>IFERROR(__xludf.DUMMYFUNCTION("""COMPUTED_VALUE"""),"")</f>
        <v/>
      </c>
      <c r="M929" s="34" t="s">
        <v>260</v>
      </c>
      <c r="N929" s="34" t="str">
        <f>IFERROR(__xludf.DUMMYFUNCTION("""COMPUTED_VALUE"""),"")</f>
        <v/>
      </c>
    </row>
    <row r="930">
      <c r="A930" s="34" t="str">
        <f>IFERROR(__xludf.DUMMYFUNCTION("""COMPUTED_VALUE"""),"")</f>
        <v/>
      </c>
      <c r="M930" s="34" t="s">
        <v>260</v>
      </c>
      <c r="N930" s="34" t="str">
        <f>IFERROR(__xludf.DUMMYFUNCTION("""COMPUTED_VALUE"""),"")</f>
        <v/>
      </c>
    </row>
    <row r="931">
      <c r="A931" s="34" t="str">
        <f>IFERROR(__xludf.DUMMYFUNCTION("""COMPUTED_VALUE"""),"")</f>
        <v/>
      </c>
      <c r="M931" s="34" t="s">
        <v>260</v>
      </c>
      <c r="N931" s="34" t="str">
        <f>IFERROR(__xludf.DUMMYFUNCTION("""COMPUTED_VALUE"""),"")</f>
        <v/>
      </c>
    </row>
    <row r="932">
      <c r="A932" s="34" t="str">
        <f>IFERROR(__xludf.DUMMYFUNCTION("""COMPUTED_VALUE"""),"")</f>
        <v/>
      </c>
      <c r="M932" s="34" t="s">
        <v>260</v>
      </c>
      <c r="N932" s="34" t="str">
        <f>IFERROR(__xludf.DUMMYFUNCTION("""COMPUTED_VALUE"""),"")</f>
        <v/>
      </c>
    </row>
    <row r="933">
      <c r="A933" s="34" t="str">
        <f>IFERROR(__xludf.DUMMYFUNCTION("""COMPUTED_VALUE"""),"")</f>
        <v/>
      </c>
      <c r="M933" s="34" t="s">
        <v>260</v>
      </c>
      <c r="N933" s="34" t="str">
        <f>IFERROR(__xludf.DUMMYFUNCTION("""COMPUTED_VALUE"""),"")</f>
        <v/>
      </c>
    </row>
    <row r="934">
      <c r="A934" s="34" t="str">
        <f>IFERROR(__xludf.DUMMYFUNCTION("""COMPUTED_VALUE"""),"")</f>
        <v/>
      </c>
      <c r="M934" s="34" t="s">
        <v>260</v>
      </c>
      <c r="N934" s="34" t="str">
        <f>IFERROR(__xludf.DUMMYFUNCTION("""COMPUTED_VALUE"""),"")</f>
        <v/>
      </c>
    </row>
    <row r="935">
      <c r="A935" s="34" t="str">
        <f>IFERROR(__xludf.DUMMYFUNCTION("""COMPUTED_VALUE"""),"")</f>
        <v/>
      </c>
      <c r="M935" s="34" t="s">
        <v>260</v>
      </c>
      <c r="N935" s="34" t="str">
        <f>IFERROR(__xludf.DUMMYFUNCTION("""COMPUTED_VALUE"""),"")</f>
        <v/>
      </c>
    </row>
    <row r="936">
      <c r="A936" s="34" t="str">
        <f>IFERROR(__xludf.DUMMYFUNCTION("""COMPUTED_VALUE"""),"")</f>
        <v/>
      </c>
      <c r="M936" s="34" t="s">
        <v>260</v>
      </c>
      <c r="N936" s="34" t="str">
        <f>IFERROR(__xludf.DUMMYFUNCTION("""COMPUTED_VALUE"""),"")</f>
        <v/>
      </c>
    </row>
    <row r="937">
      <c r="A937" s="34" t="str">
        <f>IFERROR(__xludf.DUMMYFUNCTION("""COMPUTED_VALUE"""),"")</f>
        <v/>
      </c>
      <c r="M937" s="34" t="s">
        <v>260</v>
      </c>
      <c r="N937" s="34" t="str">
        <f>IFERROR(__xludf.DUMMYFUNCTION("""COMPUTED_VALUE"""),"")</f>
        <v/>
      </c>
    </row>
    <row r="938">
      <c r="A938" s="34" t="str">
        <f>IFERROR(__xludf.DUMMYFUNCTION("""COMPUTED_VALUE"""),"")</f>
        <v/>
      </c>
      <c r="M938" s="34" t="s">
        <v>260</v>
      </c>
      <c r="N938" s="34" t="str">
        <f>IFERROR(__xludf.DUMMYFUNCTION("""COMPUTED_VALUE"""),"")</f>
        <v/>
      </c>
    </row>
    <row r="939">
      <c r="A939" s="34" t="str">
        <f>IFERROR(__xludf.DUMMYFUNCTION("""COMPUTED_VALUE"""),"")</f>
        <v/>
      </c>
      <c r="M939" s="34" t="s">
        <v>260</v>
      </c>
      <c r="N939" s="34" t="str">
        <f>IFERROR(__xludf.DUMMYFUNCTION("""COMPUTED_VALUE"""),"")</f>
        <v/>
      </c>
    </row>
    <row r="940">
      <c r="A940" s="34" t="str">
        <f>IFERROR(__xludf.DUMMYFUNCTION("""COMPUTED_VALUE"""),"")</f>
        <v/>
      </c>
      <c r="M940" s="34" t="s">
        <v>260</v>
      </c>
      <c r="N940" s="34" t="str">
        <f>IFERROR(__xludf.DUMMYFUNCTION("""COMPUTED_VALUE"""),"")</f>
        <v/>
      </c>
    </row>
    <row r="941">
      <c r="A941" s="34" t="str">
        <f>IFERROR(__xludf.DUMMYFUNCTION("""COMPUTED_VALUE"""),"")</f>
        <v/>
      </c>
      <c r="M941" s="34" t="s">
        <v>260</v>
      </c>
      <c r="N941" s="34" t="str">
        <f>IFERROR(__xludf.DUMMYFUNCTION("""COMPUTED_VALUE"""),"")</f>
        <v/>
      </c>
    </row>
    <row r="942">
      <c r="A942" s="34" t="str">
        <f>IFERROR(__xludf.DUMMYFUNCTION("""COMPUTED_VALUE"""),"")</f>
        <v/>
      </c>
      <c r="M942" s="34" t="s">
        <v>260</v>
      </c>
      <c r="N942" s="34" t="str">
        <f>IFERROR(__xludf.DUMMYFUNCTION("""COMPUTED_VALUE"""),"")</f>
        <v/>
      </c>
    </row>
    <row r="943">
      <c r="A943" s="34" t="str">
        <f>IFERROR(__xludf.DUMMYFUNCTION("""COMPUTED_VALUE"""),"")</f>
        <v/>
      </c>
      <c r="M943" s="34" t="s">
        <v>260</v>
      </c>
      <c r="N943" s="34" t="str">
        <f>IFERROR(__xludf.DUMMYFUNCTION("""COMPUTED_VALUE"""),"")</f>
        <v/>
      </c>
    </row>
    <row r="944">
      <c r="A944" s="34" t="str">
        <f>IFERROR(__xludf.DUMMYFUNCTION("""COMPUTED_VALUE"""),"")</f>
        <v/>
      </c>
      <c r="M944" s="34" t="s">
        <v>260</v>
      </c>
      <c r="N944" s="34" t="str">
        <f>IFERROR(__xludf.DUMMYFUNCTION("""COMPUTED_VALUE"""),"")</f>
        <v/>
      </c>
    </row>
    <row r="945">
      <c r="A945" s="34" t="str">
        <f>IFERROR(__xludf.DUMMYFUNCTION("""COMPUTED_VALUE"""),"")</f>
        <v/>
      </c>
      <c r="M945" s="34" t="s">
        <v>260</v>
      </c>
      <c r="N945" s="34" t="str">
        <f>IFERROR(__xludf.DUMMYFUNCTION("""COMPUTED_VALUE"""),"")</f>
        <v/>
      </c>
    </row>
    <row r="946">
      <c r="A946" s="34" t="str">
        <f>IFERROR(__xludf.DUMMYFUNCTION("""COMPUTED_VALUE"""),"")</f>
        <v/>
      </c>
      <c r="M946" s="34" t="s">
        <v>260</v>
      </c>
      <c r="N946" s="34" t="str">
        <f>IFERROR(__xludf.DUMMYFUNCTION("""COMPUTED_VALUE"""),"")</f>
        <v/>
      </c>
    </row>
    <row r="947">
      <c r="A947" s="34" t="str">
        <f>IFERROR(__xludf.DUMMYFUNCTION("""COMPUTED_VALUE"""),"")</f>
        <v/>
      </c>
      <c r="M947" s="34" t="s">
        <v>260</v>
      </c>
      <c r="N947" s="34" t="str">
        <f>IFERROR(__xludf.DUMMYFUNCTION("""COMPUTED_VALUE"""),"")</f>
        <v/>
      </c>
    </row>
    <row r="948">
      <c r="A948" s="34" t="str">
        <f>IFERROR(__xludf.DUMMYFUNCTION("""COMPUTED_VALUE"""),"")</f>
        <v/>
      </c>
      <c r="M948" s="34" t="s">
        <v>260</v>
      </c>
      <c r="N948" s="34" t="str">
        <f>IFERROR(__xludf.DUMMYFUNCTION("""COMPUTED_VALUE"""),"")</f>
        <v/>
      </c>
    </row>
    <row r="949">
      <c r="A949" s="34" t="str">
        <f>IFERROR(__xludf.DUMMYFUNCTION("""COMPUTED_VALUE"""),"")</f>
        <v/>
      </c>
      <c r="M949" s="34" t="s">
        <v>260</v>
      </c>
      <c r="N949" s="34" t="str">
        <f>IFERROR(__xludf.DUMMYFUNCTION("""COMPUTED_VALUE"""),"")</f>
        <v/>
      </c>
    </row>
    <row r="950">
      <c r="A950" s="34" t="str">
        <f>IFERROR(__xludf.DUMMYFUNCTION("""COMPUTED_VALUE"""),"")</f>
        <v/>
      </c>
      <c r="M950" s="34" t="s">
        <v>260</v>
      </c>
      <c r="N950" s="34" t="str">
        <f>IFERROR(__xludf.DUMMYFUNCTION("""COMPUTED_VALUE"""),"")</f>
        <v/>
      </c>
    </row>
    <row r="951">
      <c r="A951" s="34" t="str">
        <f>IFERROR(__xludf.DUMMYFUNCTION("""COMPUTED_VALUE"""),"")</f>
        <v/>
      </c>
      <c r="M951" s="34" t="s">
        <v>260</v>
      </c>
      <c r="N951" s="34" t="str">
        <f>IFERROR(__xludf.DUMMYFUNCTION("""COMPUTED_VALUE"""),"")</f>
        <v/>
      </c>
    </row>
    <row r="952">
      <c r="A952" s="34" t="str">
        <f>IFERROR(__xludf.DUMMYFUNCTION("""COMPUTED_VALUE"""),"")</f>
        <v/>
      </c>
      <c r="M952" s="34" t="s">
        <v>260</v>
      </c>
      <c r="N952" s="34" t="str">
        <f>IFERROR(__xludf.DUMMYFUNCTION("""COMPUTED_VALUE"""),"")</f>
        <v/>
      </c>
    </row>
    <row r="953">
      <c r="A953" s="34" t="str">
        <f>IFERROR(__xludf.DUMMYFUNCTION("""COMPUTED_VALUE"""),"")</f>
        <v/>
      </c>
      <c r="M953" s="34" t="s">
        <v>260</v>
      </c>
      <c r="N953" s="34" t="str">
        <f>IFERROR(__xludf.DUMMYFUNCTION("""COMPUTED_VALUE"""),"")</f>
        <v/>
      </c>
    </row>
    <row r="954">
      <c r="A954" s="34" t="str">
        <f>IFERROR(__xludf.DUMMYFUNCTION("""COMPUTED_VALUE"""),"")</f>
        <v/>
      </c>
      <c r="M954" s="34" t="s">
        <v>260</v>
      </c>
      <c r="N954" s="34" t="str">
        <f>IFERROR(__xludf.DUMMYFUNCTION("""COMPUTED_VALUE"""),"")</f>
        <v/>
      </c>
    </row>
    <row r="955">
      <c r="A955" s="34" t="str">
        <f>IFERROR(__xludf.DUMMYFUNCTION("""COMPUTED_VALUE"""),"")</f>
        <v/>
      </c>
      <c r="M955" s="34" t="s">
        <v>260</v>
      </c>
      <c r="N955" s="34" t="str">
        <f>IFERROR(__xludf.DUMMYFUNCTION("""COMPUTED_VALUE"""),"")</f>
        <v/>
      </c>
    </row>
    <row r="956">
      <c r="A956" s="34" t="str">
        <f>IFERROR(__xludf.DUMMYFUNCTION("""COMPUTED_VALUE"""),"")</f>
        <v/>
      </c>
      <c r="M956" s="34" t="s">
        <v>260</v>
      </c>
      <c r="N956" s="34" t="str">
        <f>IFERROR(__xludf.DUMMYFUNCTION("""COMPUTED_VALUE"""),"")</f>
        <v/>
      </c>
    </row>
    <row r="957">
      <c r="A957" s="34" t="str">
        <f>IFERROR(__xludf.DUMMYFUNCTION("""COMPUTED_VALUE"""),"")</f>
        <v/>
      </c>
      <c r="M957" s="34" t="s">
        <v>260</v>
      </c>
      <c r="N957" s="34" t="str">
        <f>IFERROR(__xludf.DUMMYFUNCTION("""COMPUTED_VALUE"""),"")</f>
        <v/>
      </c>
    </row>
    <row r="958">
      <c r="A958" s="34" t="str">
        <f>IFERROR(__xludf.DUMMYFUNCTION("""COMPUTED_VALUE"""),"")</f>
        <v/>
      </c>
      <c r="M958" s="34" t="s">
        <v>260</v>
      </c>
      <c r="N958" s="34" t="str">
        <f>IFERROR(__xludf.DUMMYFUNCTION("""COMPUTED_VALUE"""),"")</f>
        <v/>
      </c>
    </row>
    <row r="959">
      <c r="A959" s="34" t="str">
        <f>IFERROR(__xludf.DUMMYFUNCTION("""COMPUTED_VALUE"""),"")</f>
        <v/>
      </c>
      <c r="M959" s="34" t="s">
        <v>260</v>
      </c>
      <c r="N959" s="34" t="str">
        <f>IFERROR(__xludf.DUMMYFUNCTION("""COMPUTED_VALUE"""),"")</f>
        <v/>
      </c>
    </row>
    <row r="960">
      <c r="A960" s="34" t="str">
        <f>IFERROR(__xludf.DUMMYFUNCTION("""COMPUTED_VALUE"""),"")</f>
        <v/>
      </c>
      <c r="M960" s="34" t="s">
        <v>260</v>
      </c>
      <c r="N960" s="34" t="str">
        <f>IFERROR(__xludf.DUMMYFUNCTION("""COMPUTED_VALUE"""),"")</f>
        <v/>
      </c>
    </row>
    <row r="961">
      <c r="A961" s="34" t="str">
        <f>IFERROR(__xludf.DUMMYFUNCTION("""COMPUTED_VALUE"""),"")</f>
        <v/>
      </c>
      <c r="M961" s="34" t="s">
        <v>260</v>
      </c>
      <c r="N961" s="34" t="str">
        <f>IFERROR(__xludf.DUMMYFUNCTION("""COMPUTED_VALUE"""),"")</f>
        <v/>
      </c>
    </row>
    <row r="962">
      <c r="A962" s="34" t="str">
        <f>IFERROR(__xludf.DUMMYFUNCTION("""COMPUTED_VALUE"""),"")</f>
        <v/>
      </c>
      <c r="M962" s="34" t="s">
        <v>260</v>
      </c>
      <c r="N962" s="34" t="str">
        <f>IFERROR(__xludf.DUMMYFUNCTION("""COMPUTED_VALUE"""),"")</f>
        <v/>
      </c>
    </row>
    <row r="963">
      <c r="A963" s="34" t="str">
        <f>IFERROR(__xludf.DUMMYFUNCTION("""COMPUTED_VALUE"""),"")</f>
        <v/>
      </c>
      <c r="M963" s="34" t="s">
        <v>260</v>
      </c>
      <c r="N963" s="34" t="str">
        <f>IFERROR(__xludf.DUMMYFUNCTION("""COMPUTED_VALUE"""),"")</f>
        <v/>
      </c>
    </row>
    <row r="964">
      <c r="A964" s="34" t="str">
        <f>IFERROR(__xludf.DUMMYFUNCTION("""COMPUTED_VALUE"""),"")</f>
        <v/>
      </c>
      <c r="M964" s="34" t="s">
        <v>260</v>
      </c>
      <c r="N964" s="34" t="str">
        <f>IFERROR(__xludf.DUMMYFUNCTION("""COMPUTED_VALUE"""),"")</f>
        <v/>
      </c>
    </row>
    <row r="965">
      <c r="A965" s="34" t="str">
        <f>IFERROR(__xludf.DUMMYFUNCTION("""COMPUTED_VALUE"""),"")</f>
        <v/>
      </c>
      <c r="M965" s="34" t="s">
        <v>260</v>
      </c>
      <c r="N965" s="34" t="str">
        <f>IFERROR(__xludf.DUMMYFUNCTION("""COMPUTED_VALUE"""),"")</f>
        <v/>
      </c>
    </row>
    <row r="966">
      <c r="A966" s="34" t="str">
        <f>IFERROR(__xludf.DUMMYFUNCTION("""COMPUTED_VALUE"""),"")</f>
        <v/>
      </c>
      <c r="M966" s="34" t="s">
        <v>260</v>
      </c>
      <c r="N966" s="34" t="str">
        <f>IFERROR(__xludf.DUMMYFUNCTION("""COMPUTED_VALUE"""),"")</f>
        <v/>
      </c>
    </row>
    <row r="967">
      <c r="A967" s="34" t="str">
        <f>IFERROR(__xludf.DUMMYFUNCTION("""COMPUTED_VALUE"""),"")</f>
        <v/>
      </c>
      <c r="M967" s="34" t="s">
        <v>260</v>
      </c>
      <c r="N967" s="34" t="str">
        <f>IFERROR(__xludf.DUMMYFUNCTION("""COMPUTED_VALUE"""),"")</f>
        <v/>
      </c>
    </row>
    <row r="968">
      <c r="A968" s="34" t="str">
        <f>IFERROR(__xludf.DUMMYFUNCTION("""COMPUTED_VALUE"""),"")</f>
        <v/>
      </c>
      <c r="M968" s="34" t="s">
        <v>260</v>
      </c>
      <c r="N968" s="34" t="str">
        <f>IFERROR(__xludf.DUMMYFUNCTION("""COMPUTED_VALUE"""),"")</f>
        <v/>
      </c>
    </row>
    <row r="969">
      <c r="A969" s="34" t="str">
        <f>IFERROR(__xludf.DUMMYFUNCTION("""COMPUTED_VALUE"""),"")</f>
        <v/>
      </c>
      <c r="M969" s="34" t="s">
        <v>260</v>
      </c>
      <c r="N969" s="34" t="str">
        <f>IFERROR(__xludf.DUMMYFUNCTION("""COMPUTED_VALUE"""),"")</f>
        <v/>
      </c>
    </row>
    <row r="970">
      <c r="A970" s="34" t="str">
        <f>IFERROR(__xludf.DUMMYFUNCTION("""COMPUTED_VALUE"""),"")</f>
        <v/>
      </c>
      <c r="M970" s="34" t="s">
        <v>260</v>
      </c>
      <c r="N970" s="34" t="str">
        <f>IFERROR(__xludf.DUMMYFUNCTION("""COMPUTED_VALUE"""),"")</f>
        <v/>
      </c>
    </row>
    <row r="971">
      <c r="A971" s="34" t="str">
        <f>IFERROR(__xludf.DUMMYFUNCTION("""COMPUTED_VALUE"""),"")</f>
        <v/>
      </c>
      <c r="M971" s="34" t="s">
        <v>260</v>
      </c>
      <c r="N971" s="34" t="str">
        <f>IFERROR(__xludf.DUMMYFUNCTION("""COMPUTED_VALUE"""),"")</f>
        <v/>
      </c>
    </row>
    <row r="972">
      <c r="A972" s="34" t="str">
        <f>IFERROR(__xludf.DUMMYFUNCTION("""COMPUTED_VALUE"""),"")</f>
        <v/>
      </c>
      <c r="M972" s="34" t="s">
        <v>260</v>
      </c>
      <c r="N972" s="34" t="str">
        <f>IFERROR(__xludf.DUMMYFUNCTION("""COMPUTED_VALUE"""),"")</f>
        <v/>
      </c>
    </row>
    <row r="973">
      <c r="A973" s="34" t="str">
        <f>IFERROR(__xludf.DUMMYFUNCTION("""COMPUTED_VALUE"""),"")</f>
        <v/>
      </c>
      <c r="M973" s="34" t="s">
        <v>260</v>
      </c>
      <c r="N973" s="34" t="str">
        <f>IFERROR(__xludf.DUMMYFUNCTION("""COMPUTED_VALUE"""),"")</f>
        <v/>
      </c>
    </row>
    <row r="974">
      <c r="A974" s="34" t="str">
        <f>IFERROR(__xludf.DUMMYFUNCTION("""COMPUTED_VALUE"""),"")</f>
        <v/>
      </c>
      <c r="M974" s="34" t="s">
        <v>260</v>
      </c>
      <c r="N974" s="34" t="str">
        <f>IFERROR(__xludf.DUMMYFUNCTION("""COMPUTED_VALUE"""),"")</f>
        <v/>
      </c>
    </row>
    <row r="975">
      <c r="A975" s="34" t="str">
        <f>IFERROR(__xludf.DUMMYFUNCTION("""COMPUTED_VALUE"""),"")</f>
        <v/>
      </c>
      <c r="M975" s="34" t="s">
        <v>260</v>
      </c>
      <c r="N975" s="34" t="str">
        <f>IFERROR(__xludf.DUMMYFUNCTION("""COMPUTED_VALUE"""),"")</f>
        <v/>
      </c>
    </row>
    <row r="976">
      <c r="A976" s="34" t="str">
        <f>IFERROR(__xludf.DUMMYFUNCTION("""COMPUTED_VALUE"""),"")</f>
        <v/>
      </c>
      <c r="M976" s="34" t="s">
        <v>260</v>
      </c>
      <c r="N976" s="34" t="str">
        <f>IFERROR(__xludf.DUMMYFUNCTION("""COMPUTED_VALUE"""),"")</f>
        <v/>
      </c>
    </row>
    <row r="977">
      <c r="A977" s="34" t="str">
        <f>IFERROR(__xludf.DUMMYFUNCTION("""COMPUTED_VALUE"""),"")</f>
        <v/>
      </c>
      <c r="M977" s="34" t="s">
        <v>260</v>
      </c>
      <c r="N977" s="34" t="str">
        <f>IFERROR(__xludf.DUMMYFUNCTION("""COMPUTED_VALUE"""),"")</f>
        <v/>
      </c>
    </row>
    <row r="978">
      <c r="A978" s="34" t="str">
        <f>IFERROR(__xludf.DUMMYFUNCTION("""COMPUTED_VALUE"""),"")</f>
        <v/>
      </c>
      <c r="M978" s="34" t="s">
        <v>260</v>
      </c>
      <c r="N978" s="34" t="str">
        <f>IFERROR(__xludf.DUMMYFUNCTION("""COMPUTED_VALUE"""),"")</f>
        <v/>
      </c>
    </row>
    <row r="979">
      <c r="A979" s="34" t="str">
        <f>IFERROR(__xludf.DUMMYFUNCTION("""COMPUTED_VALUE"""),"")</f>
        <v/>
      </c>
      <c r="M979" s="34" t="s">
        <v>260</v>
      </c>
      <c r="N979" s="34" t="str">
        <f>IFERROR(__xludf.DUMMYFUNCTION("""COMPUTED_VALUE"""),"")</f>
        <v/>
      </c>
    </row>
    <row r="980">
      <c r="A980" s="34" t="str">
        <f>IFERROR(__xludf.DUMMYFUNCTION("""COMPUTED_VALUE"""),"")</f>
        <v/>
      </c>
      <c r="M980" s="34" t="s">
        <v>260</v>
      </c>
      <c r="N980" s="34" t="str">
        <f>IFERROR(__xludf.DUMMYFUNCTION("""COMPUTED_VALUE"""),"")</f>
        <v/>
      </c>
    </row>
    <row r="981">
      <c r="A981" s="34" t="str">
        <f>IFERROR(__xludf.DUMMYFUNCTION("""COMPUTED_VALUE"""),"")</f>
        <v/>
      </c>
      <c r="M981" s="34" t="s">
        <v>260</v>
      </c>
      <c r="N981" s="34" t="str">
        <f>IFERROR(__xludf.DUMMYFUNCTION("""COMPUTED_VALUE"""),"")</f>
        <v/>
      </c>
    </row>
    <row r="982">
      <c r="A982" s="34" t="str">
        <f>IFERROR(__xludf.DUMMYFUNCTION("""COMPUTED_VALUE"""),"")</f>
        <v/>
      </c>
      <c r="M982" s="34" t="s">
        <v>260</v>
      </c>
      <c r="N982" s="34" t="str">
        <f>IFERROR(__xludf.DUMMYFUNCTION("""COMPUTED_VALUE"""),"")</f>
        <v/>
      </c>
    </row>
    <row r="983">
      <c r="A983" s="34" t="str">
        <f>IFERROR(__xludf.DUMMYFUNCTION("""COMPUTED_VALUE"""),"")</f>
        <v/>
      </c>
      <c r="M983" s="34" t="s">
        <v>260</v>
      </c>
      <c r="N983" s="34" t="str">
        <f>IFERROR(__xludf.DUMMYFUNCTION("""COMPUTED_VALUE"""),"")</f>
        <v/>
      </c>
    </row>
    <row r="984">
      <c r="A984" s="34" t="str">
        <f>IFERROR(__xludf.DUMMYFUNCTION("""COMPUTED_VALUE"""),"")</f>
        <v/>
      </c>
      <c r="M984" s="34" t="s">
        <v>260</v>
      </c>
      <c r="N984" s="34" t="str">
        <f>IFERROR(__xludf.DUMMYFUNCTION("""COMPUTED_VALUE"""),"")</f>
        <v/>
      </c>
    </row>
    <row r="985">
      <c r="A985" s="34" t="str">
        <f>IFERROR(__xludf.DUMMYFUNCTION("""COMPUTED_VALUE"""),"")</f>
        <v/>
      </c>
      <c r="M985" s="34" t="s">
        <v>260</v>
      </c>
      <c r="N985" s="34" t="str">
        <f>IFERROR(__xludf.DUMMYFUNCTION("""COMPUTED_VALUE"""),"")</f>
        <v/>
      </c>
    </row>
    <row r="986">
      <c r="A986" s="34" t="str">
        <f>IFERROR(__xludf.DUMMYFUNCTION("""COMPUTED_VALUE"""),"")</f>
        <v/>
      </c>
      <c r="M986" s="34" t="s">
        <v>260</v>
      </c>
      <c r="N986" s="34" t="str">
        <f>IFERROR(__xludf.DUMMYFUNCTION("""COMPUTED_VALUE"""),"")</f>
        <v/>
      </c>
    </row>
    <row r="987">
      <c r="A987" s="34" t="str">
        <f>IFERROR(__xludf.DUMMYFUNCTION("""COMPUTED_VALUE"""),"")</f>
        <v/>
      </c>
      <c r="M987" s="34" t="s">
        <v>260</v>
      </c>
      <c r="N987" s="34" t="str">
        <f>IFERROR(__xludf.DUMMYFUNCTION("""COMPUTED_VALUE"""),"")</f>
        <v/>
      </c>
    </row>
    <row r="988">
      <c r="A988" s="34" t="str">
        <f>IFERROR(__xludf.DUMMYFUNCTION("""COMPUTED_VALUE"""),"")</f>
        <v/>
      </c>
      <c r="M988" s="34" t="s">
        <v>260</v>
      </c>
      <c r="N988" s="34" t="str">
        <f>IFERROR(__xludf.DUMMYFUNCTION("""COMPUTED_VALUE"""),"")</f>
        <v/>
      </c>
    </row>
    <row r="989">
      <c r="A989" s="34" t="str">
        <f>IFERROR(__xludf.DUMMYFUNCTION("""COMPUTED_VALUE"""),"")</f>
        <v/>
      </c>
      <c r="M989" s="34" t="s">
        <v>260</v>
      </c>
      <c r="N989" s="34" t="str">
        <f>IFERROR(__xludf.DUMMYFUNCTION("""COMPUTED_VALUE"""),"")</f>
        <v/>
      </c>
    </row>
    <row r="990">
      <c r="A990" s="34" t="str">
        <f>IFERROR(__xludf.DUMMYFUNCTION("""COMPUTED_VALUE"""),"")</f>
        <v/>
      </c>
      <c r="M990" s="34" t="s">
        <v>260</v>
      </c>
      <c r="N990" s="34" t="str">
        <f>IFERROR(__xludf.DUMMYFUNCTION("""COMPUTED_VALUE"""),"")</f>
        <v/>
      </c>
    </row>
    <row r="991">
      <c r="A991" s="34" t="str">
        <f>IFERROR(__xludf.DUMMYFUNCTION("""COMPUTED_VALUE"""),"")</f>
        <v/>
      </c>
      <c r="M991" s="34" t="s">
        <v>260</v>
      </c>
      <c r="N991" s="34" t="str">
        <f>IFERROR(__xludf.DUMMYFUNCTION("""COMPUTED_VALUE"""),"")</f>
        <v/>
      </c>
    </row>
    <row r="992">
      <c r="A992" s="34" t="str">
        <f>IFERROR(__xludf.DUMMYFUNCTION("""COMPUTED_VALUE"""),"")</f>
        <v/>
      </c>
      <c r="M992" s="34" t="s">
        <v>260</v>
      </c>
      <c r="N992" s="34" t="str">
        <f>IFERROR(__xludf.DUMMYFUNCTION("""COMPUTED_VALUE"""),"")</f>
        <v/>
      </c>
    </row>
    <row r="993">
      <c r="A993" s="34" t="str">
        <f>IFERROR(__xludf.DUMMYFUNCTION("""COMPUTED_VALUE"""),"")</f>
        <v/>
      </c>
      <c r="M993" s="34" t="s">
        <v>260</v>
      </c>
      <c r="N993" s="34" t="str">
        <f>IFERROR(__xludf.DUMMYFUNCTION("""COMPUTED_VALUE"""),"")</f>
        <v/>
      </c>
    </row>
    <row r="994">
      <c r="A994" s="34" t="str">
        <f>IFERROR(__xludf.DUMMYFUNCTION("""COMPUTED_VALUE"""),"")</f>
        <v/>
      </c>
      <c r="M994" s="34" t="s">
        <v>260</v>
      </c>
      <c r="N994" s="34" t="str">
        <f>IFERROR(__xludf.DUMMYFUNCTION("""COMPUTED_VALUE"""),"")</f>
        <v/>
      </c>
    </row>
    <row r="995">
      <c r="A995" s="34" t="str">
        <f>IFERROR(__xludf.DUMMYFUNCTION("""COMPUTED_VALUE"""),"")</f>
        <v/>
      </c>
      <c r="M995" s="34" t="s">
        <v>260</v>
      </c>
      <c r="N995" s="34" t="str">
        <f>IFERROR(__xludf.DUMMYFUNCTION("""COMPUTED_VALUE"""),"")</f>
        <v/>
      </c>
    </row>
    <row r="996">
      <c r="A996" s="34" t="str">
        <f>IFERROR(__xludf.DUMMYFUNCTION("""COMPUTED_VALUE"""),"")</f>
        <v/>
      </c>
      <c r="M996" s="34" t="s">
        <v>260</v>
      </c>
      <c r="N996" s="34" t="str">
        <f>IFERROR(__xludf.DUMMYFUNCTION("""COMPUTED_VALUE"""),"")</f>
        <v/>
      </c>
    </row>
    <row r="997">
      <c r="A997" s="34" t="str">
        <f>IFERROR(__xludf.DUMMYFUNCTION("""COMPUTED_VALUE"""),"")</f>
        <v/>
      </c>
      <c r="M997" s="34" t="s">
        <v>260</v>
      </c>
      <c r="N997" s="34" t="str">
        <f>IFERROR(__xludf.DUMMYFUNCTION("""COMPUTED_VALUE"""),"")</f>
        <v/>
      </c>
    </row>
    <row r="998">
      <c r="A998" s="34" t="str">
        <f>IFERROR(__xludf.DUMMYFUNCTION("""COMPUTED_VALUE"""),"")</f>
        <v/>
      </c>
      <c r="M998" s="34" t="s">
        <v>260</v>
      </c>
      <c r="N998" s="34" t="str">
        <f>IFERROR(__xludf.DUMMYFUNCTION("""COMPUTED_VALUE"""),"")</f>
        <v/>
      </c>
    </row>
    <row r="999">
      <c r="A999" s="34" t="str">
        <f>IFERROR(__xludf.DUMMYFUNCTION("""COMPUTED_VALUE"""),"")</f>
        <v/>
      </c>
      <c r="M999" s="34" t="s">
        <v>260</v>
      </c>
      <c r="N999" s="34" t="str">
        <f>IFERROR(__xludf.DUMMYFUNCTION("""COMPUTED_VALUE"""),"")</f>
        <v/>
      </c>
    </row>
    <row r="1000">
      <c r="A1000" s="34" t="str">
        <f>IFERROR(__xludf.DUMMYFUNCTION("""COMPUTED_VALUE"""),"")</f>
        <v/>
      </c>
      <c r="M1000" s="34" t="s">
        <v>260</v>
      </c>
      <c r="N1000" s="34" t="str">
        <f>IFERROR(__xludf.DUMMYFUNCTION("""COMPUTED_VALUE"""),"")</f>
        <v/>
      </c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25"/>
    <col customWidth="1" min="4" max="4" width="48.0"/>
  </cols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  <c r="P1" s="36"/>
      <c r="Q1" s="36"/>
    </row>
    <row r="2">
      <c r="A2" s="37"/>
      <c r="B2" s="37"/>
      <c r="C2" s="38" t="s">
        <v>262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</row>
    <row r="3">
      <c r="A3" s="39">
        <v>1.0</v>
      </c>
      <c r="B3" s="39" t="s">
        <v>263</v>
      </c>
      <c r="C3" s="40" t="s">
        <v>18</v>
      </c>
      <c r="D3" s="40" t="s">
        <v>264</v>
      </c>
      <c r="E3" s="40" t="s">
        <v>20</v>
      </c>
      <c r="F3" s="41" t="s">
        <v>21</v>
      </c>
      <c r="G3" s="41">
        <v>21.0</v>
      </c>
      <c r="H3" s="41" t="s">
        <v>22</v>
      </c>
      <c r="I3" s="42">
        <v>1.0</v>
      </c>
      <c r="J3" s="43"/>
      <c r="K3" s="44">
        <v>12891.91</v>
      </c>
      <c r="L3" s="44">
        <v>12891.91</v>
      </c>
      <c r="M3" s="42">
        <v>0.0</v>
      </c>
      <c r="N3" s="44">
        <v>12891.91</v>
      </c>
      <c r="O3" s="45"/>
      <c r="P3" s="36"/>
      <c r="Q3" s="36"/>
    </row>
    <row r="4">
      <c r="A4" s="42" t="s">
        <v>23</v>
      </c>
      <c r="B4" s="41" t="s">
        <v>265</v>
      </c>
      <c r="C4" s="40" t="s">
        <v>18</v>
      </c>
      <c r="D4" s="40" t="s">
        <v>266</v>
      </c>
      <c r="E4" s="46"/>
      <c r="F4" s="41">
        <v>36.0</v>
      </c>
      <c r="G4" s="41" t="s">
        <v>21</v>
      </c>
      <c r="H4" s="41" t="s">
        <v>22</v>
      </c>
      <c r="I4" s="42">
        <v>1.0</v>
      </c>
      <c r="J4" s="43"/>
      <c r="K4" s="44">
        <v>6294.75</v>
      </c>
      <c r="L4" s="44">
        <v>6294.75</v>
      </c>
      <c r="M4" s="42">
        <v>0.0</v>
      </c>
      <c r="N4" s="44">
        <v>6294.75</v>
      </c>
      <c r="O4" s="40" t="s">
        <v>26</v>
      </c>
      <c r="P4" s="36"/>
      <c r="Q4" s="36"/>
    </row>
    <row r="5">
      <c r="A5" s="42">
        <v>1.1</v>
      </c>
      <c r="B5" s="41" t="s">
        <v>267</v>
      </c>
      <c r="C5" s="40" t="s">
        <v>18</v>
      </c>
      <c r="D5" s="40" t="s">
        <v>268</v>
      </c>
      <c r="E5" s="46"/>
      <c r="F5" s="41" t="s">
        <v>21</v>
      </c>
      <c r="G5" s="41">
        <v>21.0</v>
      </c>
      <c r="H5" s="41" t="s">
        <v>29</v>
      </c>
      <c r="I5" s="42">
        <v>1.0</v>
      </c>
      <c r="J5" s="43"/>
      <c r="K5" s="42">
        <v>0.0</v>
      </c>
      <c r="L5" s="42">
        <v>0.0</v>
      </c>
      <c r="M5" s="42">
        <v>0.0</v>
      </c>
      <c r="N5" s="42">
        <v>0.0</v>
      </c>
      <c r="O5" s="46"/>
      <c r="P5" s="36"/>
      <c r="Q5" s="36"/>
    </row>
    <row r="6">
      <c r="A6" s="42">
        <v>1.2</v>
      </c>
      <c r="B6" s="41" t="s">
        <v>269</v>
      </c>
      <c r="C6" s="40" t="s">
        <v>18</v>
      </c>
      <c r="D6" s="40" t="s">
        <v>270</v>
      </c>
      <c r="E6" s="46"/>
      <c r="F6" s="41" t="s">
        <v>21</v>
      </c>
      <c r="G6" s="41">
        <v>3.0</v>
      </c>
      <c r="H6" s="41" t="s">
        <v>22</v>
      </c>
      <c r="I6" s="42">
        <v>1.0</v>
      </c>
      <c r="J6" s="43"/>
      <c r="K6" s="42">
        <v>155.1</v>
      </c>
      <c r="L6" s="42">
        <v>155.1</v>
      </c>
      <c r="M6" s="42">
        <v>0.0</v>
      </c>
      <c r="N6" s="42">
        <v>155.1</v>
      </c>
      <c r="O6" s="46"/>
      <c r="P6" s="36"/>
      <c r="Q6" s="36"/>
    </row>
    <row r="7">
      <c r="A7" s="42">
        <v>1.3</v>
      </c>
      <c r="B7" s="41" t="s">
        <v>271</v>
      </c>
      <c r="C7" s="40" t="s">
        <v>18</v>
      </c>
      <c r="D7" s="40" t="s">
        <v>272</v>
      </c>
      <c r="E7" s="46"/>
      <c r="F7" s="41" t="s">
        <v>21</v>
      </c>
      <c r="G7" s="41">
        <v>21.0</v>
      </c>
      <c r="H7" s="41" t="s">
        <v>29</v>
      </c>
      <c r="I7" s="42">
        <v>1.0</v>
      </c>
      <c r="J7" s="43"/>
      <c r="K7" s="42">
        <v>0.0</v>
      </c>
      <c r="L7" s="42">
        <v>0.0</v>
      </c>
      <c r="M7" s="42">
        <v>0.0</v>
      </c>
      <c r="N7" s="42">
        <v>0.0</v>
      </c>
      <c r="O7" s="46"/>
      <c r="P7" s="36"/>
      <c r="Q7" s="36"/>
    </row>
    <row r="8">
      <c r="A8" s="42">
        <v>1.4</v>
      </c>
      <c r="B8" s="41" t="s">
        <v>273</v>
      </c>
      <c r="C8" s="40" t="s">
        <v>18</v>
      </c>
      <c r="D8" s="40" t="s">
        <v>274</v>
      </c>
      <c r="E8" s="46"/>
      <c r="F8" s="41" t="s">
        <v>21</v>
      </c>
      <c r="G8" s="41">
        <v>21.0</v>
      </c>
      <c r="H8" s="41" t="s">
        <v>29</v>
      </c>
      <c r="I8" s="42">
        <v>1.0</v>
      </c>
      <c r="J8" s="43"/>
      <c r="K8" s="42">
        <v>0.0</v>
      </c>
      <c r="L8" s="42">
        <v>0.0</v>
      </c>
      <c r="M8" s="42">
        <v>0.0</v>
      </c>
      <c r="N8" s="42">
        <v>0.0</v>
      </c>
      <c r="O8" s="46"/>
      <c r="P8" s="36"/>
      <c r="Q8" s="36"/>
    </row>
    <row r="9">
      <c r="A9" s="42">
        <v>1.5</v>
      </c>
      <c r="B9" s="41" t="s">
        <v>59</v>
      </c>
      <c r="C9" s="40" t="s">
        <v>29</v>
      </c>
      <c r="D9" s="40" t="s">
        <v>60</v>
      </c>
      <c r="E9" s="46"/>
      <c r="F9" s="41" t="s">
        <v>21</v>
      </c>
      <c r="G9" s="41">
        <v>2.0</v>
      </c>
      <c r="H9" s="41" t="s">
        <v>29</v>
      </c>
      <c r="I9" s="42">
        <v>1.0</v>
      </c>
      <c r="J9" s="43"/>
      <c r="K9" s="44">
        <v>0.0</v>
      </c>
      <c r="L9" s="44">
        <v>0.0</v>
      </c>
      <c r="M9" s="42">
        <v>0.0</v>
      </c>
      <c r="N9" s="44">
        <v>0.0</v>
      </c>
      <c r="O9" s="46"/>
      <c r="P9" s="36"/>
      <c r="Q9" s="36"/>
    </row>
    <row r="10">
      <c r="A10" s="42">
        <v>1.6</v>
      </c>
      <c r="B10" s="41" t="s">
        <v>275</v>
      </c>
      <c r="C10" s="40" t="s">
        <v>18</v>
      </c>
      <c r="D10" s="40" t="s">
        <v>276</v>
      </c>
      <c r="E10" s="46"/>
      <c r="F10" s="41" t="s">
        <v>21</v>
      </c>
      <c r="G10" s="41">
        <v>28.0</v>
      </c>
      <c r="H10" s="41" t="s">
        <v>22</v>
      </c>
      <c r="I10" s="42">
        <v>1.0</v>
      </c>
      <c r="J10" s="43"/>
      <c r="K10" s="44">
        <v>3600.0</v>
      </c>
      <c r="L10" s="44">
        <v>3600.0</v>
      </c>
      <c r="M10" s="42">
        <v>0.0</v>
      </c>
      <c r="N10" s="44">
        <v>3600.0</v>
      </c>
      <c r="O10" s="46"/>
      <c r="P10" s="36"/>
      <c r="Q10" s="36"/>
    </row>
    <row r="11">
      <c r="A11" s="42">
        <v>1.7</v>
      </c>
      <c r="B11" s="41" t="s">
        <v>277</v>
      </c>
      <c r="C11" s="40" t="s">
        <v>18</v>
      </c>
      <c r="D11" s="40" t="s">
        <v>278</v>
      </c>
      <c r="E11" s="46"/>
      <c r="F11" s="41" t="s">
        <v>21</v>
      </c>
      <c r="G11" s="41">
        <v>14.0</v>
      </c>
      <c r="H11" s="41" t="s">
        <v>22</v>
      </c>
      <c r="I11" s="42">
        <v>1.0</v>
      </c>
      <c r="J11" s="43"/>
      <c r="K11" s="42">
        <v>0.0</v>
      </c>
      <c r="L11" s="42">
        <v>0.0</v>
      </c>
      <c r="M11" s="42">
        <v>0.0</v>
      </c>
      <c r="N11" s="42">
        <v>0.0</v>
      </c>
      <c r="O11" s="46"/>
      <c r="P11" s="36"/>
      <c r="Q11" s="36"/>
    </row>
    <row r="12">
      <c r="A12" s="42">
        <v>1.8</v>
      </c>
      <c r="B12" s="41" t="s">
        <v>279</v>
      </c>
      <c r="C12" s="40" t="s">
        <v>18</v>
      </c>
      <c r="D12" s="40" t="s">
        <v>280</v>
      </c>
      <c r="E12" s="46"/>
      <c r="F12" s="41" t="s">
        <v>21</v>
      </c>
      <c r="G12" s="41">
        <v>28.0</v>
      </c>
      <c r="H12" s="41" t="s">
        <v>29</v>
      </c>
      <c r="I12" s="42">
        <v>1.0</v>
      </c>
      <c r="J12" s="43"/>
      <c r="K12" s="42">
        <v>0.0</v>
      </c>
      <c r="L12" s="42">
        <v>0.0</v>
      </c>
      <c r="M12" s="42">
        <v>0.0</v>
      </c>
      <c r="N12" s="42">
        <v>0.0</v>
      </c>
      <c r="O12" s="46"/>
      <c r="P12" s="36"/>
      <c r="Q12" s="36"/>
    </row>
    <row r="13">
      <c r="A13" s="42">
        <v>1.9</v>
      </c>
      <c r="B13" s="41" t="s">
        <v>281</v>
      </c>
      <c r="C13" s="40" t="s">
        <v>18</v>
      </c>
      <c r="D13" s="40" t="s">
        <v>282</v>
      </c>
      <c r="E13" s="46"/>
      <c r="F13" s="41" t="s">
        <v>21</v>
      </c>
      <c r="G13" s="41">
        <v>21.0</v>
      </c>
      <c r="H13" s="41" t="s">
        <v>22</v>
      </c>
      <c r="I13" s="42">
        <v>1.0</v>
      </c>
      <c r="J13" s="43"/>
      <c r="K13" s="44">
        <v>0.0</v>
      </c>
      <c r="L13" s="44">
        <v>0.0</v>
      </c>
      <c r="M13" s="42">
        <v>0.0</v>
      </c>
      <c r="N13" s="44">
        <v>0.0</v>
      </c>
      <c r="O13" s="46"/>
      <c r="P13" s="36"/>
      <c r="Q13" s="36"/>
    </row>
    <row r="14">
      <c r="A14" s="42">
        <v>1.1</v>
      </c>
      <c r="B14" s="41" t="s">
        <v>283</v>
      </c>
      <c r="C14" s="40" t="s">
        <v>18</v>
      </c>
      <c r="D14" s="40" t="s">
        <v>284</v>
      </c>
      <c r="E14" s="46"/>
      <c r="F14" s="41" t="s">
        <v>21</v>
      </c>
      <c r="G14" s="41">
        <v>28.0</v>
      </c>
      <c r="H14" s="41" t="s">
        <v>22</v>
      </c>
      <c r="I14" s="42">
        <v>2.0</v>
      </c>
      <c r="J14" s="43"/>
      <c r="K14" s="44">
        <v>1551.0</v>
      </c>
      <c r="L14" s="44">
        <v>3102.0</v>
      </c>
      <c r="M14" s="42">
        <v>0.0</v>
      </c>
      <c r="N14" s="44">
        <v>3102.0</v>
      </c>
      <c r="O14" s="46"/>
      <c r="P14" s="36"/>
      <c r="Q14" s="36"/>
    </row>
    <row r="15">
      <c r="A15" s="42">
        <v>1.11</v>
      </c>
      <c r="B15" s="41" t="s">
        <v>285</v>
      </c>
      <c r="C15" s="40" t="s">
        <v>18</v>
      </c>
      <c r="D15" s="40" t="s">
        <v>286</v>
      </c>
      <c r="E15" s="46"/>
      <c r="F15" s="41" t="s">
        <v>21</v>
      </c>
      <c r="G15" s="41">
        <v>14.0</v>
      </c>
      <c r="H15" s="41" t="s">
        <v>22</v>
      </c>
      <c r="I15" s="42">
        <v>2.0</v>
      </c>
      <c r="J15" s="43"/>
      <c r="K15" s="42">
        <v>0.0</v>
      </c>
      <c r="L15" s="42">
        <v>0.0</v>
      </c>
      <c r="M15" s="42">
        <v>0.0</v>
      </c>
      <c r="N15" s="44">
        <v>0.0</v>
      </c>
      <c r="O15" s="46"/>
      <c r="P15" s="36"/>
      <c r="Q15" s="36"/>
    </row>
    <row r="16">
      <c r="A16" s="47"/>
      <c r="B16" s="47"/>
      <c r="C16" s="47"/>
      <c r="D16" s="47"/>
      <c r="E16" s="47"/>
      <c r="F16" s="47"/>
      <c r="G16" s="47"/>
      <c r="H16" s="47"/>
      <c r="I16" s="47"/>
      <c r="J16" s="48"/>
      <c r="K16" s="49"/>
      <c r="L16" s="49"/>
      <c r="M16" s="50" t="s">
        <v>63</v>
      </c>
      <c r="N16" s="51">
        <v>26043.76</v>
      </c>
      <c r="O16" s="52"/>
      <c r="P16" s="36"/>
      <c r="Q16" s="36"/>
    </row>
    <row r="17">
      <c r="A17" s="37"/>
      <c r="B17" s="37"/>
      <c r="C17" s="38" t="s">
        <v>287</v>
      </c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</row>
    <row r="18">
      <c r="A18" s="39">
        <v>2.0</v>
      </c>
      <c r="B18" s="39" t="s">
        <v>263</v>
      </c>
      <c r="C18" s="40" t="s">
        <v>18</v>
      </c>
      <c r="D18" s="40" t="s">
        <v>264</v>
      </c>
      <c r="E18" s="40" t="s">
        <v>20</v>
      </c>
      <c r="F18" s="41" t="s">
        <v>21</v>
      </c>
      <c r="G18" s="41">
        <v>21.0</v>
      </c>
      <c r="H18" s="41" t="s">
        <v>22</v>
      </c>
      <c r="I18" s="42">
        <v>1.0</v>
      </c>
      <c r="J18" s="43"/>
      <c r="K18" s="44">
        <v>12891.91</v>
      </c>
      <c r="L18" s="44">
        <v>12891.91</v>
      </c>
      <c r="M18" s="42">
        <v>0.0</v>
      </c>
      <c r="N18" s="44">
        <v>12891.91</v>
      </c>
      <c r="O18" s="46"/>
      <c r="P18" s="36"/>
      <c r="Q18" s="36"/>
    </row>
    <row r="19">
      <c r="A19" s="42" t="s">
        <v>66</v>
      </c>
      <c r="B19" s="41" t="s">
        <v>265</v>
      </c>
      <c r="C19" s="40" t="s">
        <v>18</v>
      </c>
      <c r="D19" s="40" t="s">
        <v>266</v>
      </c>
      <c r="E19" s="46"/>
      <c r="F19" s="41">
        <v>36.0</v>
      </c>
      <c r="G19" s="41" t="s">
        <v>21</v>
      </c>
      <c r="H19" s="41" t="s">
        <v>22</v>
      </c>
      <c r="I19" s="42">
        <v>1.0</v>
      </c>
      <c r="J19" s="43"/>
      <c r="K19" s="44">
        <v>6294.75</v>
      </c>
      <c r="L19" s="44">
        <v>6294.75</v>
      </c>
      <c r="M19" s="42">
        <v>0.0</v>
      </c>
      <c r="N19" s="44">
        <v>6294.75</v>
      </c>
      <c r="O19" s="40" t="s">
        <v>26</v>
      </c>
      <c r="P19" s="36"/>
      <c r="Q19" s="36"/>
    </row>
    <row r="20">
      <c r="A20" s="42">
        <v>2.1</v>
      </c>
      <c r="B20" s="41" t="s">
        <v>267</v>
      </c>
      <c r="C20" s="40" t="s">
        <v>18</v>
      </c>
      <c r="D20" s="40" t="s">
        <v>268</v>
      </c>
      <c r="E20" s="46"/>
      <c r="F20" s="41" t="s">
        <v>21</v>
      </c>
      <c r="G20" s="41">
        <v>21.0</v>
      </c>
      <c r="H20" s="41" t="s">
        <v>29</v>
      </c>
      <c r="I20" s="42">
        <v>1.0</v>
      </c>
      <c r="J20" s="43"/>
      <c r="K20" s="42">
        <v>0.0</v>
      </c>
      <c r="L20" s="42">
        <v>0.0</v>
      </c>
      <c r="M20" s="42">
        <v>0.0</v>
      </c>
      <c r="N20" s="42">
        <v>0.0</v>
      </c>
      <c r="O20" s="46"/>
      <c r="P20" s="36"/>
      <c r="Q20" s="36"/>
    </row>
    <row r="21">
      <c r="A21" s="42">
        <v>2.2</v>
      </c>
      <c r="B21" s="41" t="s">
        <v>269</v>
      </c>
      <c r="C21" s="40" t="s">
        <v>18</v>
      </c>
      <c r="D21" s="40" t="s">
        <v>270</v>
      </c>
      <c r="E21" s="46"/>
      <c r="F21" s="41" t="s">
        <v>21</v>
      </c>
      <c r="G21" s="41">
        <v>3.0</v>
      </c>
      <c r="H21" s="41" t="s">
        <v>22</v>
      </c>
      <c r="I21" s="42">
        <v>1.0</v>
      </c>
      <c r="J21" s="43"/>
      <c r="K21" s="42">
        <v>155.1</v>
      </c>
      <c r="L21" s="42">
        <v>155.1</v>
      </c>
      <c r="M21" s="42">
        <v>0.0</v>
      </c>
      <c r="N21" s="42">
        <v>155.1</v>
      </c>
      <c r="O21" s="46"/>
      <c r="P21" s="36"/>
      <c r="Q21" s="36"/>
    </row>
    <row r="22">
      <c r="A22" s="42">
        <v>2.3</v>
      </c>
      <c r="B22" s="41" t="s">
        <v>271</v>
      </c>
      <c r="C22" s="40" t="s">
        <v>18</v>
      </c>
      <c r="D22" s="40" t="s">
        <v>272</v>
      </c>
      <c r="E22" s="46"/>
      <c r="F22" s="41" t="s">
        <v>21</v>
      </c>
      <c r="G22" s="41">
        <v>21.0</v>
      </c>
      <c r="H22" s="41" t="s">
        <v>29</v>
      </c>
      <c r="I22" s="42">
        <v>1.0</v>
      </c>
      <c r="J22" s="43"/>
      <c r="K22" s="42">
        <v>0.0</v>
      </c>
      <c r="L22" s="42">
        <v>0.0</v>
      </c>
      <c r="M22" s="42">
        <v>0.0</v>
      </c>
      <c r="N22" s="42">
        <v>0.0</v>
      </c>
      <c r="O22" s="46"/>
      <c r="P22" s="36"/>
      <c r="Q22" s="36"/>
    </row>
    <row r="23">
      <c r="A23" s="42">
        <v>2.4</v>
      </c>
      <c r="B23" s="41" t="s">
        <v>273</v>
      </c>
      <c r="C23" s="40" t="s">
        <v>18</v>
      </c>
      <c r="D23" s="40" t="s">
        <v>274</v>
      </c>
      <c r="E23" s="46"/>
      <c r="F23" s="41" t="s">
        <v>21</v>
      </c>
      <c r="G23" s="41">
        <v>21.0</v>
      </c>
      <c r="H23" s="41" t="s">
        <v>29</v>
      </c>
      <c r="I23" s="42">
        <v>1.0</v>
      </c>
      <c r="J23" s="43"/>
      <c r="K23" s="42">
        <v>0.0</v>
      </c>
      <c r="L23" s="42">
        <v>0.0</v>
      </c>
      <c r="M23" s="42">
        <v>0.0</v>
      </c>
      <c r="N23" s="42">
        <v>0.0</v>
      </c>
      <c r="O23" s="46"/>
      <c r="P23" s="36"/>
      <c r="Q23" s="36"/>
    </row>
    <row r="24">
      <c r="A24" s="42">
        <v>2.5</v>
      </c>
      <c r="B24" s="41" t="s">
        <v>59</v>
      </c>
      <c r="C24" s="40" t="s">
        <v>29</v>
      </c>
      <c r="D24" s="40" t="s">
        <v>60</v>
      </c>
      <c r="E24" s="46"/>
      <c r="F24" s="41" t="s">
        <v>21</v>
      </c>
      <c r="G24" s="41">
        <v>2.0</v>
      </c>
      <c r="H24" s="41" t="s">
        <v>29</v>
      </c>
      <c r="I24" s="42">
        <v>1.0</v>
      </c>
      <c r="J24" s="43"/>
      <c r="K24" s="44">
        <v>0.0</v>
      </c>
      <c r="L24" s="44">
        <v>0.0</v>
      </c>
      <c r="M24" s="42">
        <v>0.0</v>
      </c>
      <c r="N24" s="44">
        <v>0.0</v>
      </c>
      <c r="O24" s="46"/>
      <c r="P24" s="36"/>
      <c r="Q24" s="36"/>
    </row>
    <row r="25">
      <c r="A25" s="42">
        <v>2.6</v>
      </c>
      <c r="B25" s="41" t="s">
        <v>279</v>
      </c>
      <c r="C25" s="40" t="s">
        <v>18</v>
      </c>
      <c r="D25" s="40" t="s">
        <v>280</v>
      </c>
      <c r="E25" s="46"/>
      <c r="F25" s="41" t="s">
        <v>21</v>
      </c>
      <c r="G25" s="41">
        <v>28.0</v>
      </c>
      <c r="H25" s="41" t="s">
        <v>29</v>
      </c>
      <c r="I25" s="42">
        <v>1.0</v>
      </c>
      <c r="J25" s="43"/>
      <c r="K25" s="42">
        <v>0.0</v>
      </c>
      <c r="L25" s="42">
        <v>0.0</v>
      </c>
      <c r="M25" s="42">
        <v>0.0</v>
      </c>
      <c r="N25" s="42">
        <v>0.0</v>
      </c>
      <c r="O25" s="46"/>
      <c r="P25" s="36"/>
      <c r="Q25" s="36"/>
    </row>
    <row r="26">
      <c r="A26" s="42">
        <v>2.7</v>
      </c>
      <c r="B26" s="41" t="s">
        <v>275</v>
      </c>
      <c r="C26" s="40" t="s">
        <v>18</v>
      </c>
      <c r="D26" s="40" t="s">
        <v>276</v>
      </c>
      <c r="E26" s="46"/>
      <c r="F26" s="41" t="s">
        <v>21</v>
      </c>
      <c r="G26" s="41">
        <v>28.0</v>
      </c>
      <c r="H26" s="41" t="s">
        <v>22</v>
      </c>
      <c r="I26" s="42">
        <v>1.0</v>
      </c>
      <c r="J26" s="43"/>
      <c r="K26" s="44">
        <v>3600.0</v>
      </c>
      <c r="L26" s="44">
        <v>3600.0</v>
      </c>
      <c r="M26" s="42">
        <v>0.0</v>
      </c>
      <c r="N26" s="44">
        <v>3600.0</v>
      </c>
      <c r="O26" s="46"/>
      <c r="P26" s="36"/>
      <c r="Q26" s="36"/>
    </row>
    <row r="27">
      <c r="A27" s="42">
        <v>2.8</v>
      </c>
      <c r="B27" s="41" t="s">
        <v>288</v>
      </c>
      <c r="C27" s="40" t="s">
        <v>18</v>
      </c>
      <c r="D27" s="40" t="s">
        <v>289</v>
      </c>
      <c r="E27" s="46"/>
      <c r="F27" s="41" t="s">
        <v>21</v>
      </c>
      <c r="G27" s="41">
        <v>14.0</v>
      </c>
      <c r="H27" s="41" t="s">
        <v>22</v>
      </c>
      <c r="I27" s="42">
        <v>1.0</v>
      </c>
      <c r="J27" s="43"/>
      <c r="K27" s="44">
        <v>0.0</v>
      </c>
      <c r="L27" s="44">
        <v>0.0</v>
      </c>
      <c r="M27" s="42">
        <v>0.0</v>
      </c>
      <c r="N27" s="44">
        <v>0.0</v>
      </c>
      <c r="O27" s="46"/>
      <c r="P27" s="36"/>
      <c r="Q27" s="36"/>
    </row>
    <row r="28">
      <c r="A28" s="42">
        <v>2.9</v>
      </c>
      <c r="B28" s="41" t="s">
        <v>281</v>
      </c>
      <c r="C28" s="40" t="s">
        <v>18</v>
      </c>
      <c r="D28" s="40" t="s">
        <v>282</v>
      </c>
      <c r="E28" s="46"/>
      <c r="F28" s="41" t="s">
        <v>21</v>
      </c>
      <c r="G28" s="41">
        <v>21.0</v>
      </c>
      <c r="H28" s="41" t="s">
        <v>22</v>
      </c>
      <c r="I28" s="42">
        <v>1.0</v>
      </c>
      <c r="J28" s="43"/>
      <c r="K28" s="42">
        <v>0.0</v>
      </c>
      <c r="L28" s="42">
        <v>0.0</v>
      </c>
      <c r="M28" s="42">
        <v>0.0</v>
      </c>
      <c r="N28" s="42">
        <v>0.0</v>
      </c>
      <c r="O28" s="46"/>
      <c r="P28" s="36"/>
      <c r="Q28" s="36"/>
    </row>
    <row r="29">
      <c r="A29" s="42">
        <v>2.1</v>
      </c>
      <c r="B29" s="41" t="s">
        <v>283</v>
      </c>
      <c r="C29" s="40" t="s">
        <v>18</v>
      </c>
      <c r="D29" s="40" t="s">
        <v>284</v>
      </c>
      <c r="E29" s="46"/>
      <c r="F29" s="41" t="s">
        <v>21</v>
      </c>
      <c r="G29" s="41">
        <v>28.0</v>
      </c>
      <c r="H29" s="41" t="s">
        <v>22</v>
      </c>
      <c r="I29" s="42">
        <v>2.0</v>
      </c>
      <c r="J29" s="43"/>
      <c r="K29" s="44">
        <v>1551.0</v>
      </c>
      <c r="L29" s="44">
        <v>3102.0</v>
      </c>
      <c r="M29" s="42">
        <v>0.0</v>
      </c>
      <c r="N29" s="44">
        <v>3102.0</v>
      </c>
      <c r="O29" s="46"/>
      <c r="P29" s="36"/>
      <c r="Q29" s="36"/>
    </row>
    <row r="30">
      <c r="A30" s="42">
        <v>2.11</v>
      </c>
      <c r="B30" s="41" t="s">
        <v>285</v>
      </c>
      <c r="C30" s="40" t="s">
        <v>18</v>
      </c>
      <c r="D30" s="40" t="s">
        <v>286</v>
      </c>
      <c r="E30" s="45"/>
      <c r="F30" s="41" t="s">
        <v>21</v>
      </c>
      <c r="G30" s="41">
        <v>15.0</v>
      </c>
      <c r="H30" s="41" t="s">
        <v>22</v>
      </c>
      <c r="I30" s="42">
        <v>2.0</v>
      </c>
      <c r="J30" s="53"/>
      <c r="K30" s="42">
        <v>0.0</v>
      </c>
      <c r="L30" s="42">
        <v>0.0</v>
      </c>
      <c r="M30" s="42">
        <v>0.0</v>
      </c>
      <c r="N30" s="42">
        <v>0.0</v>
      </c>
      <c r="O30" s="45"/>
      <c r="P30" s="54"/>
      <c r="Q30" s="54"/>
    </row>
    <row r="31">
      <c r="A31" s="47"/>
      <c r="B31" s="47"/>
      <c r="C31" s="47"/>
      <c r="D31" s="47"/>
      <c r="E31" s="47"/>
      <c r="F31" s="47"/>
      <c r="G31" s="47"/>
      <c r="H31" s="47"/>
      <c r="I31" s="47"/>
      <c r="J31" s="48"/>
      <c r="K31" s="47"/>
      <c r="L31" s="47"/>
      <c r="M31" s="50" t="s">
        <v>63</v>
      </c>
      <c r="N31" s="51">
        <v>26043.76</v>
      </c>
      <c r="O31" s="52"/>
      <c r="P31" s="36"/>
      <c r="Q31" s="36"/>
    </row>
    <row r="32">
      <c r="A32" s="37"/>
      <c r="B32" s="37"/>
      <c r="C32" s="38" t="s">
        <v>290</v>
      </c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</row>
    <row r="33">
      <c r="A33" s="39">
        <v>3.0</v>
      </c>
      <c r="B33" s="39" t="s">
        <v>291</v>
      </c>
      <c r="C33" s="40" t="s">
        <v>18</v>
      </c>
      <c r="D33" s="40" t="s">
        <v>292</v>
      </c>
      <c r="E33" s="40" t="s">
        <v>20</v>
      </c>
      <c r="F33" s="41" t="s">
        <v>21</v>
      </c>
      <c r="G33" s="41">
        <v>21.0</v>
      </c>
      <c r="H33" s="41" t="s">
        <v>22</v>
      </c>
      <c r="I33" s="42">
        <v>1.0</v>
      </c>
      <c r="J33" s="53"/>
      <c r="K33" s="44">
        <v>23635.17</v>
      </c>
      <c r="L33" s="44">
        <v>23635.17</v>
      </c>
      <c r="M33" s="42">
        <v>0.0</v>
      </c>
      <c r="N33" s="44">
        <v>23635.17</v>
      </c>
      <c r="O33" s="46"/>
      <c r="P33" s="36"/>
      <c r="Q33" s="36"/>
    </row>
    <row r="34">
      <c r="A34" s="42" t="s">
        <v>83</v>
      </c>
      <c r="B34" s="41" t="s">
        <v>293</v>
      </c>
      <c r="C34" s="40" t="s">
        <v>18</v>
      </c>
      <c r="D34" s="40" t="s">
        <v>294</v>
      </c>
      <c r="E34" s="46"/>
      <c r="F34" s="41">
        <v>36.0</v>
      </c>
      <c r="G34" s="41" t="s">
        <v>21</v>
      </c>
      <c r="H34" s="41" t="s">
        <v>22</v>
      </c>
      <c r="I34" s="42">
        <v>1.0</v>
      </c>
      <c r="J34" s="53"/>
      <c r="K34" s="44">
        <v>11991.39</v>
      </c>
      <c r="L34" s="44">
        <v>11991.39</v>
      </c>
      <c r="M34" s="42">
        <v>0.0</v>
      </c>
      <c r="N34" s="44">
        <v>11991.39</v>
      </c>
      <c r="O34" s="40" t="s">
        <v>26</v>
      </c>
      <c r="P34" s="36"/>
      <c r="Q34" s="36"/>
    </row>
    <row r="35">
      <c r="A35" s="42">
        <v>3.1</v>
      </c>
      <c r="B35" s="41" t="s">
        <v>295</v>
      </c>
      <c r="C35" s="40" t="s">
        <v>18</v>
      </c>
      <c r="D35" s="40" t="s">
        <v>296</v>
      </c>
      <c r="E35" s="46"/>
      <c r="F35" s="41" t="s">
        <v>21</v>
      </c>
      <c r="G35" s="41">
        <v>21.0</v>
      </c>
      <c r="H35" s="41" t="s">
        <v>29</v>
      </c>
      <c r="I35" s="42">
        <v>1.0</v>
      </c>
      <c r="J35" s="53"/>
      <c r="K35" s="42">
        <v>0.0</v>
      </c>
      <c r="L35" s="44">
        <v>0.0</v>
      </c>
      <c r="M35" s="42">
        <v>0.0</v>
      </c>
      <c r="N35" s="44">
        <v>0.0</v>
      </c>
      <c r="O35" s="46"/>
      <c r="P35" s="36"/>
      <c r="Q35" s="36"/>
    </row>
    <row r="36">
      <c r="A36" s="42">
        <v>3.2</v>
      </c>
      <c r="B36" s="41" t="s">
        <v>297</v>
      </c>
      <c r="C36" s="40" t="s">
        <v>18</v>
      </c>
      <c r="D36" s="40" t="s">
        <v>298</v>
      </c>
      <c r="E36" s="46"/>
      <c r="F36" s="41" t="s">
        <v>21</v>
      </c>
      <c r="G36" s="41">
        <v>21.0</v>
      </c>
      <c r="H36" s="41" t="s">
        <v>29</v>
      </c>
      <c r="I36" s="42">
        <v>1.0</v>
      </c>
      <c r="J36" s="53"/>
      <c r="K36" s="42">
        <v>0.0</v>
      </c>
      <c r="L36" s="42">
        <v>0.0</v>
      </c>
      <c r="M36" s="42">
        <v>0.0</v>
      </c>
      <c r="N36" s="42">
        <v>0.0</v>
      </c>
      <c r="O36" s="46"/>
      <c r="P36" s="36"/>
      <c r="Q36" s="36"/>
    </row>
    <row r="37">
      <c r="A37" s="42">
        <v>3.3</v>
      </c>
      <c r="B37" s="41" t="s">
        <v>271</v>
      </c>
      <c r="C37" s="40" t="s">
        <v>18</v>
      </c>
      <c r="D37" s="40" t="s">
        <v>272</v>
      </c>
      <c r="E37" s="46"/>
      <c r="F37" s="41" t="s">
        <v>21</v>
      </c>
      <c r="G37" s="41">
        <v>21.0</v>
      </c>
      <c r="H37" s="41" t="s">
        <v>29</v>
      </c>
      <c r="I37" s="42">
        <v>1.0</v>
      </c>
      <c r="J37" s="53"/>
      <c r="K37" s="42">
        <v>0.0</v>
      </c>
      <c r="L37" s="42">
        <v>0.0</v>
      </c>
      <c r="M37" s="42">
        <v>0.0</v>
      </c>
      <c r="N37" s="42">
        <v>0.0</v>
      </c>
      <c r="O37" s="46"/>
      <c r="P37" s="36"/>
      <c r="Q37" s="36"/>
    </row>
    <row r="38">
      <c r="A38" s="42">
        <v>3.4</v>
      </c>
      <c r="B38" s="41" t="s">
        <v>299</v>
      </c>
      <c r="C38" s="40" t="s">
        <v>18</v>
      </c>
      <c r="D38" s="40" t="s">
        <v>300</v>
      </c>
      <c r="E38" s="46"/>
      <c r="F38" s="41" t="s">
        <v>21</v>
      </c>
      <c r="G38" s="41">
        <v>21.0</v>
      </c>
      <c r="H38" s="41" t="s">
        <v>29</v>
      </c>
      <c r="I38" s="42">
        <v>1.0</v>
      </c>
      <c r="J38" s="53"/>
      <c r="K38" s="42">
        <v>0.0</v>
      </c>
      <c r="L38" s="42">
        <v>0.0</v>
      </c>
      <c r="M38" s="42">
        <v>0.0</v>
      </c>
      <c r="N38" s="42">
        <v>0.0</v>
      </c>
      <c r="O38" s="46"/>
      <c r="P38" s="36"/>
      <c r="Q38" s="36"/>
    </row>
    <row r="39">
      <c r="A39" s="42">
        <v>3.5</v>
      </c>
      <c r="B39" s="41" t="s">
        <v>301</v>
      </c>
      <c r="C39" s="40" t="s">
        <v>18</v>
      </c>
      <c r="D39" s="40" t="s">
        <v>302</v>
      </c>
      <c r="E39" s="46"/>
      <c r="F39" s="41" t="s">
        <v>21</v>
      </c>
      <c r="G39" s="41">
        <v>21.0</v>
      </c>
      <c r="H39" s="41" t="s">
        <v>29</v>
      </c>
      <c r="I39" s="42">
        <v>1.0</v>
      </c>
      <c r="J39" s="53"/>
      <c r="K39" s="42">
        <v>0.0</v>
      </c>
      <c r="L39" s="42">
        <v>0.0</v>
      </c>
      <c r="M39" s="42">
        <v>0.0</v>
      </c>
      <c r="N39" s="42">
        <v>0.0</v>
      </c>
      <c r="O39" s="46"/>
      <c r="P39" s="36"/>
      <c r="Q39" s="36"/>
    </row>
    <row r="40">
      <c r="A40" s="42">
        <v>3.6</v>
      </c>
      <c r="B40" s="41" t="s">
        <v>273</v>
      </c>
      <c r="C40" s="40" t="s">
        <v>18</v>
      </c>
      <c r="D40" s="40" t="s">
        <v>274</v>
      </c>
      <c r="E40" s="46"/>
      <c r="F40" s="41" t="s">
        <v>21</v>
      </c>
      <c r="G40" s="41">
        <v>21.0</v>
      </c>
      <c r="H40" s="41" t="s">
        <v>29</v>
      </c>
      <c r="I40" s="42">
        <v>1.0</v>
      </c>
      <c r="J40" s="53"/>
      <c r="K40" s="42">
        <v>0.0</v>
      </c>
      <c r="L40" s="44">
        <v>0.0</v>
      </c>
      <c r="M40" s="42">
        <v>0.0</v>
      </c>
      <c r="N40" s="44">
        <v>0.0</v>
      </c>
      <c r="O40" s="46"/>
      <c r="P40" s="36"/>
      <c r="Q40" s="36"/>
    </row>
    <row r="41">
      <c r="A41" s="42">
        <v>3.7</v>
      </c>
      <c r="B41" s="41" t="s">
        <v>303</v>
      </c>
      <c r="C41" s="40" t="s">
        <v>18</v>
      </c>
      <c r="D41" s="40" t="s">
        <v>304</v>
      </c>
      <c r="E41" s="46"/>
      <c r="F41" s="41" t="s">
        <v>21</v>
      </c>
      <c r="G41" s="41">
        <v>21.0</v>
      </c>
      <c r="H41" s="41" t="s">
        <v>29</v>
      </c>
      <c r="I41" s="42">
        <v>1.0</v>
      </c>
      <c r="J41" s="53"/>
      <c r="K41" s="42">
        <v>0.0</v>
      </c>
      <c r="L41" s="42">
        <v>0.0</v>
      </c>
      <c r="M41" s="42">
        <v>0.0</v>
      </c>
      <c r="N41" s="42">
        <v>0.0</v>
      </c>
      <c r="O41" s="46"/>
      <c r="P41" s="36"/>
      <c r="Q41" s="36"/>
    </row>
    <row r="42">
      <c r="A42" s="42">
        <v>3.8</v>
      </c>
      <c r="B42" s="41" t="s">
        <v>59</v>
      </c>
      <c r="C42" s="40" t="s">
        <v>29</v>
      </c>
      <c r="D42" s="40" t="s">
        <v>60</v>
      </c>
      <c r="E42" s="46"/>
      <c r="F42" s="41" t="s">
        <v>21</v>
      </c>
      <c r="G42" s="41">
        <v>2.0</v>
      </c>
      <c r="H42" s="41" t="s">
        <v>29</v>
      </c>
      <c r="I42" s="42">
        <v>1.0</v>
      </c>
      <c r="J42" s="53"/>
      <c r="K42" s="42">
        <v>0.0</v>
      </c>
      <c r="L42" s="44">
        <v>0.0</v>
      </c>
      <c r="M42" s="42">
        <v>0.0</v>
      </c>
      <c r="N42" s="44">
        <v>0.0</v>
      </c>
      <c r="O42" s="46"/>
      <c r="P42" s="36"/>
      <c r="Q42" s="36"/>
    </row>
    <row r="43">
      <c r="A43" s="42">
        <v>3.9</v>
      </c>
      <c r="B43" s="41" t="s">
        <v>279</v>
      </c>
      <c r="C43" s="40" t="s">
        <v>18</v>
      </c>
      <c r="D43" s="40" t="s">
        <v>280</v>
      </c>
      <c r="E43" s="46"/>
      <c r="F43" s="41" t="s">
        <v>21</v>
      </c>
      <c r="G43" s="41">
        <v>28.0</v>
      </c>
      <c r="H43" s="41" t="s">
        <v>29</v>
      </c>
      <c r="I43" s="42">
        <v>1.0</v>
      </c>
      <c r="J43" s="53"/>
      <c r="K43" s="42">
        <v>0.0</v>
      </c>
      <c r="L43" s="42">
        <v>0.0</v>
      </c>
      <c r="M43" s="42">
        <v>0.0</v>
      </c>
      <c r="N43" s="42">
        <v>0.0</v>
      </c>
      <c r="O43" s="46"/>
      <c r="P43" s="36"/>
      <c r="Q43" s="36"/>
    </row>
    <row r="44">
      <c r="A44" s="42">
        <v>3.1</v>
      </c>
      <c r="B44" s="41" t="s">
        <v>275</v>
      </c>
      <c r="C44" s="40" t="s">
        <v>18</v>
      </c>
      <c r="D44" s="40" t="s">
        <v>276</v>
      </c>
      <c r="E44" s="46"/>
      <c r="F44" s="41" t="s">
        <v>21</v>
      </c>
      <c r="G44" s="41">
        <v>28.0</v>
      </c>
      <c r="H44" s="41" t="s">
        <v>22</v>
      </c>
      <c r="I44" s="42">
        <v>1.0</v>
      </c>
      <c r="J44" s="53"/>
      <c r="K44" s="44">
        <v>3600.0</v>
      </c>
      <c r="L44" s="44">
        <v>3600.0</v>
      </c>
      <c r="M44" s="42">
        <v>0.0</v>
      </c>
      <c r="N44" s="44">
        <v>3600.0</v>
      </c>
      <c r="O44" s="46"/>
      <c r="P44" s="36"/>
      <c r="Q44" s="36"/>
    </row>
    <row r="45">
      <c r="A45" s="42">
        <v>3.11</v>
      </c>
      <c r="B45" s="41" t="s">
        <v>281</v>
      </c>
      <c r="C45" s="40" t="s">
        <v>18</v>
      </c>
      <c r="D45" s="40" t="s">
        <v>282</v>
      </c>
      <c r="E45" s="46"/>
      <c r="F45" s="41" t="s">
        <v>21</v>
      </c>
      <c r="G45" s="41">
        <v>21.0</v>
      </c>
      <c r="H45" s="41" t="s">
        <v>22</v>
      </c>
      <c r="I45" s="42">
        <v>1.0</v>
      </c>
      <c r="J45" s="53"/>
      <c r="K45" s="42">
        <v>0.0</v>
      </c>
      <c r="L45" s="42">
        <v>0.0</v>
      </c>
      <c r="M45" s="42">
        <v>0.0</v>
      </c>
      <c r="N45" s="42">
        <v>0.0</v>
      </c>
      <c r="O45" s="46"/>
      <c r="P45" s="36"/>
      <c r="Q45" s="36"/>
    </row>
    <row r="46">
      <c r="A46" s="42">
        <v>3.12</v>
      </c>
      <c r="B46" s="41" t="s">
        <v>305</v>
      </c>
      <c r="C46" s="40" t="s">
        <v>18</v>
      </c>
      <c r="D46" s="40" t="s">
        <v>306</v>
      </c>
      <c r="E46" s="46"/>
      <c r="F46" s="41" t="s">
        <v>21</v>
      </c>
      <c r="G46" s="41">
        <v>28.0</v>
      </c>
      <c r="H46" s="41" t="s">
        <v>22</v>
      </c>
      <c r="I46" s="42">
        <v>2.0</v>
      </c>
      <c r="J46" s="53"/>
      <c r="K46" s="44">
        <v>2585.0</v>
      </c>
      <c r="L46" s="44">
        <v>5170.0</v>
      </c>
      <c r="M46" s="42">
        <v>0.0</v>
      </c>
      <c r="N46" s="44">
        <v>5170.0</v>
      </c>
      <c r="O46" s="46"/>
      <c r="P46" s="36"/>
      <c r="Q46" s="36"/>
    </row>
    <row r="47">
      <c r="A47" s="42">
        <v>3.13</v>
      </c>
      <c r="B47" s="41" t="s">
        <v>285</v>
      </c>
      <c r="C47" s="40" t="s">
        <v>18</v>
      </c>
      <c r="D47" s="40" t="s">
        <v>286</v>
      </c>
      <c r="E47" s="46"/>
      <c r="F47" s="41" t="s">
        <v>21</v>
      </c>
      <c r="G47" s="41">
        <v>14.0</v>
      </c>
      <c r="H47" s="41" t="s">
        <v>22</v>
      </c>
      <c r="I47" s="42">
        <v>2.0</v>
      </c>
      <c r="J47" s="43"/>
      <c r="K47" s="42">
        <v>0.0</v>
      </c>
      <c r="L47" s="42">
        <v>0.0</v>
      </c>
      <c r="M47" s="42">
        <v>0.0</v>
      </c>
      <c r="N47" s="44">
        <v>0.0</v>
      </c>
      <c r="O47" s="46"/>
      <c r="P47" s="36"/>
      <c r="Q47" s="36"/>
    </row>
    <row r="48">
      <c r="A48" s="42">
        <v>3.14</v>
      </c>
      <c r="B48" s="41" t="s">
        <v>277</v>
      </c>
      <c r="C48" s="40" t="s">
        <v>18</v>
      </c>
      <c r="D48" s="40" t="s">
        <v>278</v>
      </c>
      <c r="E48" s="45"/>
      <c r="F48" s="41" t="s">
        <v>21</v>
      </c>
      <c r="G48" s="41">
        <v>14.0</v>
      </c>
      <c r="H48" s="41" t="s">
        <v>22</v>
      </c>
      <c r="I48" s="42">
        <v>1.0</v>
      </c>
      <c r="J48" s="43"/>
      <c r="K48" s="44">
        <v>0.0</v>
      </c>
      <c r="L48" s="44">
        <v>0.0</v>
      </c>
      <c r="M48" s="42">
        <v>0.0</v>
      </c>
      <c r="N48" s="44">
        <v>0.0</v>
      </c>
      <c r="O48" s="46"/>
      <c r="P48" s="36"/>
      <c r="Q48" s="36"/>
    </row>
    <row r="49">
      <c r="A49" s="47"/>
      <c r="B49" s="47"/>
      <c r="C49" s="47"/>
      <c r="D49" s="47"/>
      <c r="E49" s="48"/>
      <c r="F49" s="47"/>
      <c r="G49" s="47"/>
      <c r="H49" s="47"/>
      <c r="I49" s="47"/>
      <c r="J49" s="48"/>
      <c r="K49" s="49"/>
      <c r="L49" s="49"/>
      <c r="M49" s="50" t="s">
        <v>63</v>
      </c>
      <c r="N49" s="51">
        <v>44396.56</v>
      </c>
      <c r="O49" s="55"/>
      <c r="P49" s="36"/>
      <c r="Q49" s="36"/>
    </row>
    <row r="50">
      <c r="A50" s="37"/>
      <c r="B50" s="37"/>
      <c r="C50" s="38" t="s">
        <v>307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</row>
    <row r="51">
      <c r="A51" s="39">
        <v>4.0</v>
      </c>
      <c r="B51" s="39" t="s">
        <v>308</v>
      </c>
      <c r="C51" s="40" t="s">
        <v>18</v>
      </c>
      <c r="D51" s="40" t="s">
        <v>309</v>
      </c>
      <c r="E51" s="40" t="s">
        <v>20</v>
      </c>
      <c r="F51" s="41" t="s">
        <v>21</v>
      </c>
      <c r="G51" s="41">
        <v>28.0</v>
      </c>
      <c r="H51" s="41" t="s">
        <v>22</v>
      </c>
      <c r="I51" s="42">
        <v>1.0</v>
      </c>
      <c r="J51" s="43"/>
      <c r="K51" s="44">
        <v>112804.23</v>
      </c>
      <c r="L51" s="44">
        <v>112804.23</v>
      </c>
      <c r="M51" s="42">
        <v>0.0</v>
      </c>
      <c r="N51" s="44">
        <v>112804.23</v>
      </c>
      <c r="O51" s="46"/>
      <c r="P51" s="36"/>
      <c r="Q51" s="36"/>
    </row>
    <row r="52">
      <c r="A52" s="42" t="s">
        <v>100</v>
      </c>
      <c r="B52" s="41" t="s">
        <v>310</v>
      </c>
      <c r="C52" s="40" t="s">
        <v>18</v>
      </c>
      <c r="D52" s="40" t="s">
        <v>311</v>
      </c>
      <c r="E52" s="46"/>
      <c r="F52" s="41">
        <v>36.0</v>
      </c>
      <c r="G52" s="41" t="s">
        <v>21</v>
      </c>
      <c r="H52" s="41" t="s">
        <v>22</v>
      </c>
      <c r="I52" s="42">
        <v>1.0</v>
      </c>
      <c r="J52" s="43"/>
      <c r="K52" s="44">
        <v>57234.39</v>
      </c>
      <c r="L52" s="44">
        <v>57234.39</v>
      </c>
      <c r="M52" s="42">
        <v>0.0</v>
      </c>
      <c r="N52" s="44">
        <v>57234.39</v>
      </c>
      <c r="O52" s="40" t="s">
        <v>26</v>
      </c>
      <c r="P52" s="36"/>
      <c r="Q52" s="36"/>
    </row>
    <row r="53">
      <c r="A53" s="42">
        <v>4.1</v>
      </c>
      <c r="B53" s="41" t="s">
        <v>312</v>
      </c>
      <c r="C53" s="40" t="s">
        <v>18</v>
      </c>
      <c r="D53" s="40" t="s">
        <v>313</v>
      </c>
      <c r="E53" s="46"/>
      <c r="F53" s="41" t="s">
        <v>21</v>
      </c>
      <c r="G53" s="41">
        <v>28.0</v>
      </c>
      <c r="H53" s="41" t="s">
        <v>29</v>
      </c>
      <c r="I53" s="42">
        <v>1.0</v>
      </c>
      <c r="J53" s="43"/>
      <c r="K53" s="42">
        <v>0.0</v>
      </c>
      <c r="L53" s="42">
        <v>0.0</v>
      </c>
      <c r="M53" s="42">
        <v>0.0</v>
      </c>
      <c r="N53" s="42">
        <v>0.0</v>
      </c>
      <c r="O53" s="46"/>
      <c r="P53" s="36"/>
      <c r="Q53" s="36"/>
    </row>
    <row r="54">
      <c r="A54" s="42">
        <v>4.2</v>
      </c>
      <c r="B54" s="41" t="s">
        <v>314</v>
      </c>
      <c r="C54" s="40" t="s">
        <v>18</v>
      </c>
      <c r="D54" s="40" t="s">
        <v>315</v>
      </c>
      <c r="E54" s="46"/>
      <c r="F54" s="41" t="s">
        <v>21</v>
      </c>
      <c r="G54" s="41">
        <v>28.0</v>
      </c>
      <c r="H54" s="41" t="s">
        <v>29</v>
      </c>
      <c r="I54" s="42">
        <v>1.0</v>
      </c>
      <c r="J54" s="43"/>
      <c r="K54" s="42">
        <v>0.0</v>
      </c>
      <c r="L54" s="42">
        <v>0.0</v>
      </c>
      <c r="M54" s="42">
        <v>0.0</v>
      </c>
      <c r="N54" s="42">
        <v>0.0</v>
      </c>
      <c r="O54" s="46"/>
      <c r="P54" s="36"/>
      <c r="Q54" s="36"/>
    </row>
    <row r="55">
      <c r="A55" s="42">
        <v>4.3</v>
      </c>
      <c r="B55" s="41" t="s">
        <v>316</v>
      </c>
      <c r="C55" s="40" t="s">
        <v>18</v>
      </c>
      <c r="D55" s="40" t="s">
        <v>317</v>
      </c>
      <c r="E55" s="46"/>
      <c r="F55" s="41" t="s">
        <v>21</v>
      </c>
      <c r="G55" s="41">
        <v>28.0</v>
      </c>
      <c r="H55" s="41" t="s">
        <v>29</v>
      </c>
      <c r="I55" s="42">
        <v>1.0</v>
      </c>
      <c r="J55" s="43"/>
      <c r="K55" s="42">
        <v>0.0</v>
      </c>
      <c r="L55" s="42">
        <v>0.0</v>
      </c>
      <c r="M55" s="42">
        <v>0.0</v>
      </c>
      <c r="N55" s="42">
        <v>0.0</v>
      </c>
      <c r="O55" s="46"/>
      <c r="P55" s="36"/>
      <c r="Q55" s="36"/>
    </row>
    <row r="56">
      <c r="A56" s="42">
        <v>4.4</v>
      </c>
      <c r="B56" s="41" t="s">
        <v>318</v>
      </c>
      <c r="C56" s="40" t="s">
        <v>18</v>
      </c>
      <c r="D56" s="40" t="s">
        <v>319</v>
      </c>
      <c r="E56" s="46"/>
      <c r="F56" s="41" t="s">
        <v>21</v>
      </c>
      <c r="G56" s="41">
        <v>42.0</v>
      </c>
      <c r="H56" s="41" t="s">
        <v>29</v>
      </c>
      <c r="I56" s="42">
        <v>1.0</v>
      </c>
      <c r="J56" s="43"/>
      <c r="K56" s="44">
        <v>0.0</v>
      </c>
      <c r="L56" s="44">
        <v>0.0</v>
      </c>
      <c r="M56" s="42">
        <v>0.0</v>
      </c>
      <c r="N56" s="44">
        <v>0.0</v>
      </c>
      <c r="O56" s="46"/>
      <c r="P56" s="36"/>
      <c r="Q56" s="36"/>
    </row>
    <row r="57">
      <c r="A57" s="42">
        <v>4.5</v>
      </c>
      <c r="B57" s="41" t="s">
        <v>59</v>
      </c>
      <c r="C57" s="40" t="s">
        <v>29</v>
      </c>
      <c r="D57" s="40" t="s">
        <v>60</v>
      </c>
      <c r="E57" s="46"/>
      <c r="F57" s="41" t="s">
        <v>21</v>
      </c>
      <c r="G57" s="41">
        <v>2.0</v>
      </c>
      <c r="H57" s="41" t="s">
        <v>29</v>
      </c>
      <c r="I57" s="42">
        <v>1.0</v>
      </c>
      <c r="J57" s="43"/>
      <c r="K57" s="42">
        <v>0.0</v>
      </c>
      <c r="L57" s="42">
        <v>0.0</v>
      </c>
      <c r="M57" s="42">
        <v>0.0</v>
      </c>
      <c r="N57" s="42">
        <v>0.0</v>
      </c>
      <c r="O57" s="46"/>
      <c r="P57" s="36"/>
      <c r="Q57" s="36"/>
    </row>
    <row r="58">
      <c r="A58" s="42">
        <v>4.6</v>
      </c>
      <c r="B58" s="41" t="s">
        <v>320</v>
      </c>
      <c r="C58" s="40" t="s">
        <v>18</v>
      </c>
      <c r="D58" s="40" t="s">
        <v>321</v>
      </c>
      <c r="E58" s="46"/>
      <c r="F58" s="41" t="s">
        <v>21</v>
      </c>
      <c r="G58" s="41">
        <v>28.0</v>
      </c>
      <c r="H58" s="41" t="s">
        <v>29</v>
      </c>
      <c r="I58" s="42">
        <v>1.0</v>
      </c>
      <c r="J58" s="43"/>
      <c r="K58" s="42">
        <v>0.0</v>
      </c>
      <c r="L58" s="42">
        <v>0.0</v>
      </c>
      <c r="M58" s="42">
        <v>0.0</v>
      </c>
      <c r="N58" s="42">
        <v>0.0</v>
      </c>
      <c r="O58" s="46"/>
      <c r="P58" s="36"/>
      <c r="Q58" s="36"/>
    </row>
    <row r="59">
      <c r="A59" s="42">
        <v>4.7</v>
      </c>
      <c r="B59" s="41" t="s">
        <v>322</v>
      </c>
      <c r="C59" s="40" t="s">
        <v>18</v>
      </c>
      <c r="D59" s="40" t="s">
        <v>323</v>
      </c>
      <c r="E59" s="46"/>
      <c r="F59" s="41" t="s">
        <v>21</v>
      </c>
      <c r="G59" s="41">
        <v>28.0</v>
      </c>
      <c r="H59" s="41" t="s">
        <v>22</v>
      </c>
      <c r="I59" s="42">
        <v>1.0</v>
      </c>
      <c r="J59" s="43"/>
      <c r="K59" s="44">
        <v>12000.0</v>
      </c>
      <c r="L59" s="44">
        <v>12000.0</v>
      </c>
      <c r="M59" s="42">
        <v>0.0</v>
      </c>
      <c r="N59" s="44">
        <v>12000.0</v>
      </c>
      <c r="O59" s="46"/>
      <c r="P59" s="36"/>
      <c r="Q59" s="36"/>
    </row>
    <row r="60">
      <c r="A60" s="42">
        <v>4.8</v>
      </c>
      <c r="B60" s="41" t="s">
        <v>277</v>
      </c>
      <c r="C60" s="40" t="s">
        <v>18</v>
      </c>
      <c r="D60" s="40" t="s">
        <v>278</v>
      </c>
      <c r="E60" s="46"/>
      <c r="F60" s="41" t="s">
        <v>21</v>
      </c>
      <c r="G60" s="41">
        <v>14.0</v>
      </c>
      <c r="H60" s="41" t="s">
        <v>22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  <c r="P60" s="36"/>
      <c r="Q60" s="36"/>
    </row>
    <row r="61">
      <c r="A61" s="42">
        <v>4.9</v>
      </c>
      <c r="B61" s="41" t="s">
        <v>324</v>
      </c>
      <c r="C61" s="40" t="s">
        <v>18</v>
      </c>
      <c r="D61" s="40" t="s">
        <v>282</v>
      </c>
      <c r="E61" s="46"/>
      <c r="F61" s="41" t="s">
        <v>21</v>
      </c>
      <c r="G61" s="41">
        <v>28.0</v>
      </c>
      <c r="H61" s="41" t="s">
        <v>22</v>
      </c>
      <c r="I61" s="42">
        <v>1.0</v>
      </c>
      <c r="J61" s="43"/>
      <c r="K61" s="42">
        <v>0.0</v>
      </c>
      <c r="L61" s="42">
        <v>0.0</v>
      </c>
      <c r="M61" s="42">
        <v>0.0</v>
      </c>
      <c r="N61" s="44">
        <v>0.0</v>
      </c>
      <c r="O61" s="46"/>
      <c r="P61" s="36"/>
      <c r="Q61" s="36"/>
    </row>
    <row r="62">
      <c r="A62" s="42">
        <v>4.1</v>
      </c>
      <c r="B62" s="41" t="s">
        <v>325</v>
      </c>
      <c r="C62" s="40" t="s">
        <v>18</v>
      </c>
      <c r="D62" s="40" t="s">
        <v>326</v>
      </c>
      <c r="E62" s="45"/>
      <c r="F62" s="41" t="s">
        <v>21</v>
      </c>
      <c r="G62" s="41">
        <v>42.0</v>
      </c>
      <c r="H62" s="41" t="s">
        <v>22</v>
      </c>
      <c r="I62" s="42">
        <v>2.0</v>
      </c>
      <c r="J62" s="43"/>
      <c r="K62" s="44">
        <v>0.0</v>
      </c>
      <c r="L62" s="44">
        <v>0.0</v>
      </c>
      <c r="M62" s="42">
        <v>0.0</v>
      </c>
      <c r="N62" s="44">
        <v>0.0</v>
      </c>
      <c r="O62" s="46"/>
      <c r="P62" s="36"/>
      <c r="Q62" s="36"/>
    </row>
    <row r="63">
      <c r="A63" s="42">
        <v>4.11</v>
      </c>
      <c r="B63" s="41" t="s">
        <v>285</v>
      </c>
      <c r="C63" s="40" t="s">
        <v>18</v>
      </c>
      <c r="D63" s="40" t="s">
        <v>286</v>
      </c>
      <c r="E63" s="46"/>
      <c r="F63" s="41" t="s">
        <v>21</v>
      </c>
      <c r="G63" s="41">
        <v>14.0</v>
      </c>
      <c r="H63" s="41" t="s">
        <v>22</v>
      </c>
      <c r="I63" s="42">
        <v>2.0</v>
      </c>
      <c r="J63" s="43"/>
      <c r="K63" s="44">
        <v>0.0</v>
      </c>
      <c r="L63" s="44">
        <v>0.0</v>
      </c>
      <c r="M63" s="42">
        <v>0.0</v>
      </c>
      <c r="N63" s="44">
        <v>0.0</v>
      </c>
      <c r="O63" s="45"/>
      <c r="P63" s="36"/>
      <c r="Q63" s="36"/>
    </row>
    <row r="64">
      <c r="A64" s="47"/>
      <c r="B64" s="47"/>
      <c r="C64" s="47"/>
      <c r="D64" s="47"/>
      <c r="E64" s="48"/>
      <c r="F64" s="47"/>
      <c r="G64" s="47"/>
      <c r="H64" s="47"/>
      <c r="I64" s="47"/>
      <c r="J64" s="48"/>
      <c r="K64" s="47"/>
      <c r="L64" s="47"/>
      <c r="M64" s="50" t="s">
        <v>63</v>
      </c>
      <c r="N64" s="51">
        <v>182038.62</v>
      </c>
      <c r="O64" s="52"/>
      <c r="P64" s="36"/>
      <c r="Q64" s="36"/>
    </row>
    <row r="65">
      <c r="A65" s="37"/>
      <c r="B65" s="37"/>
      <c r="C65" s="38" t="s">
        <v>327</v>
      </c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</row>
    <row r="66">
      <c r="A66" s="39">
        <v>5.0</v>
      </c>
      <c r="B66" s="39" t="s">
        <v>308</v>
      </c>
      <c r="C66" s="40" t="s">
        <v>18</v>
      </c>
      <c r="D66" s="40" t="s">
        <v>309</v>
      </c>
      <c r="E66" s="40" t="s">
        <v>20</v>
      </c>
      <c r="F66" s="41" t="s">
        <v>21</v>
      </c>
      <c r="G66" s="41">
        <v>28.0</v>
      </c>
      <c r="H66" s="41" t="s">
        <v>22</v>
      </c>
      <c r="I66" s="42">
        <v>1.0</v>
      </c>
      <c r="J66" s="43"/>
      <c r="K66" s="44">
        <v>112804.23</v>
      </c>
      <c r="L66" s="44">
        <v>112804.23</v>
      </c>
      <c r="M66" s="42">
        <v>0.0</v>
      </c>
      <c r="N66" s="44">
        <v>112804.23</v>
      </c>
      <c r="O66" s="46"/>
      <c r="P66" s="36"/>
      <c r="Q66" s="36"/>
    </row>
    <row r="67">
      <c r="A67" s="42" t="s">
        <v>117</v>
      </c>
      <c r="B67" s="41" t="s">
        <v>310</v>
      </c>
      <c r="C67" s="40" t="s">
        <v>18</v>
      </c>
      <c r="D67" s="40" t="s">
        <v>311</v>
      </c>
      <c r="E67" s="46"/>
      <c r="F67" s="41">
        <v>36.0</v>
      </c>
      <c r="G67" s="41" t="s">
        <v>21</v>
      </c>
      <c r="H67" s="41" t="s">
        <v>22</v>
      </c>
      <c r="I67" s="42">
        <v>1.0</v>
      </c>
      <c r="J67" s="43"/>
      <c r="K67" s="44">
        <v>57234.39</v>
      </c>
      <c r="L67" s="44">
        <v>57234.39</v>
      </c>
      <c r="M67" s="42">
        <v>0.0</v>
      </c>
      <c r="N67" s="44">
        <v>57234.39</v>
      </c>
      <c r="O67" s="40" t="s">
        <v>26</v>
      </c>
      <c r="P67" s="36"/>
      <c r="Q67" s="36"/>
    </row>
    <row r="68">
      <c r="A68" s="42">
        <v>5.1</v>
      </c>
      <c r="B68" s="41" t="s">
        <v>312</v>
      </c>
      <c r="C68" s="40" t="s">
        <v>18</v>
      </c>
      <c r="D68" s="40" t="s">
        <v>313</v>
      </c>
      <c r="E68" s="46"/>
      <c r="F68" s="41" t="s">
        <v>21</v>
      </c>
      <c r="G68" s="41">
        <v>28.0</v>
      </c>
      <c r="H68" s="41" t="s">
        <v>29</v>
      </c>
      <c r="I68" s="42">
        <v>1.0</v>
      </c>
      <c r="J68" s="43"/>
      <c r="K68" s="42">
        <v>0.0</v>
      </c>
      <c r="L68" s="42">
        <v>0.0</v>
      </c>
      <c r="M68" s="42">
        <v>0.0</v>
      </c>
      <c r="N68" s="42">
        <v>0.0</v>
      </c>
      <c r="O68" s="46"/>
      <c r="P68" s="36"/>
      <c r="Q68" s="36"/>
    </row>
    <row r="69">
      <c r="A69" s="42">
        <v>5.2</v>
      </c>
      <c r="B69" s="41" t="s">
        <v>314</v>
      </c>
      <c r="C69" s="40" t="s">
        <v>18</v>
      </c>
      <c r="D69" s="40" t="s">
        <v>315</v>
      </c>
      <c r="E69" s="46"/>
      <c r="F69" s="41" t="s">
        <v>21</v>
      </c>
      <c r="G69" s="41">
        <v>28.0</v>
      </c>
      <c r="H69" s="41" t="s">
        <v>29</v>
      </c>
      <c r="I69" s="42">
        <v>1.0</v>
      </c>
      <c r="J69" s="43"/>
      <c r="K69" s="42">
        <v>0.0</v>
      </c>
      <c r="L69" s="42">
        <v>0.0</v>
      </c>
      <c r="M69" s="42">
        <v>0.0</v>
      </c>
      <c r="N69" s="42">
        <v>0.0</v>
      </c>
      <c r="O69" s="46"/>
      <c r="P69" s="36"/>
      <c r="Q69" s="36"/>
    </row>
    <row r="70">
      <c r="A70" s="42">
        <v>5.3</v>
      </c>
      <c r="B70" s="41" t="s">
        <v>316</v>
      </c>
      <c r="C70" s="40" t="s">
        <v>18</v>
      </c>
      <c r="D70" s="40" t="s">
        <v>317</v>
      </c>
      <c r="E70" s="46"/>
      <c r="F70" s="41" t="s">
        <v>21</v>
      </c>
      <c r="G70" s="41">
        <v>28.0</v>
      </c>
      <c r="H70" s="41" t="s">
        <v>29</v>
      </c>
      <c r="I70" s="42">
        <v>1.0</v>
      </c>
      <c r="J70" s="43"/>
      <c r="K70" s="42">
        <v>0.0</v>
      </c>
      <c r="L70" s="42">
        <v>0.0</v>
      </c>
      <c r="M70" s="42">
        <v>0.0</v>
      </c>
      <c r="N70" s="42">
        <v>0.0</v>
      </c>
      <c r="O70" s="46"/>
      <c r="P70" s="36"/>
      <c r="Q70" s="36"/>
    </row>
    <row r="71">
      <c r="A71" s="42">
        <v>5.4</v>
      </c>
      <c r="B71" s="41" t="s">
        <v>318</v>
      </c>
      <c r="C71" s="40" t="s">
        <v>18</v>
      </c>
      <c r="D71" s="40" t="s">
        <v>319</v>
      </c>
      <c r="E71" s="46"/>
      <c r="F71" s="41" t="s">
        <v>21</v>
      </c>
      <c r="G71" s="41">
        <v>42.0</v>
      </c>
      <c r="H71" s="41" t="s">
        <v>29</v>
      </c>
      <c r="I71" s="42">
        <v>1.0</v>
      </c>
      <c r="J71" s="43"/>
      <c r="K71" s="42">
        <v>0.0</v>
      </c>
      <c r="L71" s="42">
        <v>0.0</v>
      </c>
      <c r="M71" s="42">
        <v>0.0</v>
      </c>
      <c r="N71" s="42">
        <v>0.0</v>
      </c>
      <c r="O71" s="46"/>
      <c r="P71" s="36"/>
      <c r="Q71" s="36"/>
    </row>
    <row r="72">
      <c r="A72" s="42">
        <v>5.5</v>
      </c>
      <c r="B72" s="41" t="s">
        <v>59</v>
      </c>
      <c r="C72" s="40" t="s">
        <v>29</v>
      </c>
      <c r="D72" s="40" t="s">
        <v>60</v>
      </c>
      <c r="E72" s="46"/>
      <c r="F72" s="41" t="s">
        <v>21</v>
      </c>
      <c r="G72" s="41">
        <v>2.0</v>
      </c>
      <c r="H72" s="41" t="s">
        <v>29</v>
      </c>
      <c r="I72" s="42">
        <v>1.0</v>
      </c>
      <c r="J72" s="43"/>
      <c r="K72" s="42">
        <v>0.0</v>
      </c>
      <c r="L72" s="42">
        <v>0.0</v>
      </c>
      <c r="M72" s="42">
        <v>0.0</v>
      </c>
      <c r="N72" s="42">
        <v>0.0</v>
      </c>
      <c r="O72" s="46"/>
      <c r="P72" s="36"/>
      <c r="Q72" s="36"/>
    </row>
    <row r="73">
      <c r="A73" s="42">
        <v>5.6</v>
      </c>
      <c r="B73" s="41" t="s">
        <v>320</v>
      </c>
      <c r="C73" s="40" t="s">
        <v>18</v>
      </c>
      <c r="D73" s="40" t="s">
        <v>321</v>
      </c>
      <c r="E73" s="46"/>
      <c r="F73" s="41" t="s">
        <v>21</v>
      </c>
      <c r="G73" s="41">
        <v>28.0</v>
      </c>
      <c r="H73" s="41" t="s">
        <v>29</v>
      </c>
      <c r="I73" s="42">
        <v>1.0</v>
      </c>
      <c r="J73" s="43"/>
      <c r="K73" s="44">
        <v>0.0</v>
      </c>
      <c r="L73" s="44">
        <v>0.0</v>
      </c>
      <c r="M73" s="42">
        <v>0.0</v>
      </c>
      <c r="N73" s="44">
        <v>0.0</v>
      </c>
      <c r="O73" s="46"/>
      <c r="P73" s="36"/>
      <c r="Q73" s="36"/>
    </row>
    <row r="74">
      <c r="A74" s="42">
        <v>5.7</v>
      </c>
      <c r="B74" s="41" t="s">
        <v>322</v>
      </c>
      <c r="C74" s="40" t="s">
        <v>18</v>
      </c>
      <c r="D74" s="40" t="s">
        <v>323</v>
      </c>
      <c r="E74" s="46"/>
      <c r="F74" s="41" t="s">
        <v>21</v>
      </c>
      <c r="G74" s="41">
        <v>28.0</v>
      </c>
      <c r="H74" s="41" t="s">
        <v>22</v>
      </c>
      <c r="I74" s="42">
        <v>1.0</v>
      </c>
      <c r="J74" s="43"/>
      <c r="K74" s="44">
        <v>12000.0</v>
      </c>
      <c r="L74" s="44">
        <v>12000.0</v>
      </c>
      <c r="M74" s="42">
        <v>0.0</v>
      </c>
      <c r="N74" s="44">
        <v>12000.0</v>
      </c>
      <c r="O74" s="46"/>
      <c r="P74" s="36"/>
      <c r="Q74" s="36"/>
    </row>
    <row r="75">
      <c r="A75" s="42">
        <v>5.8</v>
      </c>
      <c r="B75" s="41" t="s">
        <v>324</v>
      </c>
      <c r="C75" s="40" t="s">
        <v>18</v>
      </c>
      <c r="D75" s="40" t="s">
        <v>282</v>
      </c>
      <c r="E75" s="46"/>
      <c r="F75" s="41" t="s">
        <v>21</v>
      </c>
      <c r="G75" s="41">
        <v>28.0</v>
      </c>
      <c r="H75" s="41" t="s">
        <v>22</v>
      </c>
      <c r="I75" s="42">
        <v>1.0</v>
      </c>
      <c r="J75" s="43"/>
      <c r="K75" s="42">
        <v>0.0</v>
      </c>
      <c r="L75" s="42">
        <v>0.0</v>
      </c>
      <c r="M75" s="42">
        <v>0.0</v>
      </c>
      <c r="N75" s="42">
        <v>0.0</v>
      </c>
      <c r="O75" s="46"/>
      <c r="P75" s="36"/>
      <c r="Q75" s="36"/>
    </row>
    <row r="76">
      <c r="A76" s="42">
        <v>5.9</v>
      </c>
      <c r="B76" s="41" t="s">
        <v>288</v>
      </c>
      <c r="C76" s="40" t="s">
        <v>18</v>
      </c>
      <c r="D76" s="40" t="s">
        <v>289</v>
      </c>
      <c r="E76" s="46"/>
      <c r="F76" s="41" t="s">
        <v>21</v>
      </c>
      <c r="G76" s="41">
        <v>14.0</v>
      </c>
      <c r="H76" s="41" t="s">
        <v>22</v>
      </c>
      <c r="I76" s="42">
        <v>1.0</v>
      </c>
      <c r="J76" s="43"/>
      <c r="K76" s="44">
        <v>0.0</v>
      </c>
      <c r="L76" s="44">
        <v>0.0</v>
      </c>
      <c r="M76" s="42">
        <v>0.0</v>
      </c>
      <c r="N76" s="44">
        <v>0.0</v>
      </c>
      <c r="O76" s="46"/>
      <c r="P76" s="36"/>
      <c r="Q76" s="36"/>
    </row>
    <row r="77">
      <c r="A77" s="42">
        <v>5.1</v>
      </c>
      <c r="B77" s="41" t="s">
        <v>325</v>
      </c>
      <c r="C77" s="40" t="s">
        <v>18</v>
      </c>
      <c r="D77" s="40" t="s">
        <v>326</v>
      </c>
      <c r="E77" s="46"/>
      <c r="F77" s="41" t="s">
        <v>21</v>
      </c>
      <c r="G77" s="41">
        <v>42.0</v>
      </c>
      <c r="H77" s="41" t="s">
        <v>22</v>
      </c>
      <c r="I77" s="42">
        <v>2.0</v>
      </c>
      <c r="J77" s="43"/>
      <c r="K77" s="42">
        <v>0.0</v>
      </c>
      <c r="L77" s="42">
        <v>0.0</v>
      </c>
      <c r="M77" s="42">
        <v>0.0</v>
      </c>
      <c r="N77" s="42">
        <v>0.0</v>
      </c>
      <c r="O77" s="46"/>
      <c r="P77" s="36"/>
      <c r="Q77" s="36"/>
    </row>
    <row r="78">
      <c r="A78" s="42">
        <v>5.11</v>
      </c>
      <c r="B78" s="41" t="s">
        <v>285</v>
      </c>
      <c r="C78" s="40" t="s">
        <v>18</v>
      </c>
      <c r="D78" s="40" t="s">
        <v>286</v>
      </c>
      <c r="E78" s="46"/>
      <c r="F78" s="41" t="s">
        <v>21</v>
      </c>
      <c r="G78" s="41">
        <v>14.0</v>
      </c>
      <c r="H78" s="41" t="s">
        <v>22</v>
      </c>
      <c r="I78" s="42">
        <v>2.0</v>
      </c>
      <c r="J78" s="43"/>
      <c r="K78" s="42">
        <v>0.0</v>
      </c>
      <c r="L78" s="42">
        <v>0.0</v>
      </c>
      <c r="M78" s="42">
        <v>0.0</v>
      </c>
      <c r="N78" s="44">
        <v>0.0</v>
      </c>
      <c r="O78" s="46"/>
      <c r="P78" s="36"/>
      <c r="Q78" s="36"/>
    </row>
    <row r="79">
      <c r="A79" s="47"/>
      <c r="B79" s="47"/>
      <c r="C79" s="47"/>
      <c r="D79" s="47"/>
      <c r="E79" s="47"/>
      <c r="F79" s="47"/>
      <c r="G79" s="47"/>
      <c r="H79" s="47"/>
      <c r="I79" s="47"/>
      <c r="J79" s="48"/>
      <c r="K79" s="49"/>
      <c r="L79" s="49"/>
      <c r="M79" s="50" t="s">
        <v>63</v>
      </c>
      <c r="N79" s="51">
        <v>182038.62</v>
      </c>
      <c r="O79" s="52"/>
      <c r="P79" s="36"/>
      <c r="Q79" s="36"/>
    </row>
    <row r="80">
      <c r="A80" s="37"/>
      <c r="B80" s="37"/>
      <c r="C80" s="38" t="s">
        <v>290</v>
      </c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</row>
    <row r="81">
      <c r="A81" s="39">
        <v>6.0</v>
      </c>
      <c r="B81" s="39" t="s">
        <v>328</v>
      </c>
      <c r="C81" s="40" t="s">
        <v>18</v>
      </c>
      <c r="D81" s="40" t="s">
        <v>329</v>
      </c>
      <c r="E81" s="40" t="s">
        <v>20</v>
      </c>
      <c r="F81" s="41" t="s">
        <v>21</v>
      </c>
      <c r="G81" s="41">
        <v>28.0</v>
      </c>
      <c r="H81" s="41" t="s">
        <v>22</v>
      </c>
      <c r="I81" s="42">
        <v>1.0</v>
      </c>
      <c r="J81" s="43"/>
      <c r="K81" s="44">
        <v>161148.9</v>
      </c>
      <c r="L81" s="44">
        <v>161148.9</v>
      </c>
      <c r="M81" s="42">
        <v>0.0</v>
      </c>
      <c r="N81" s="44">
        <v>161148.9</v>
      </c>
      <c r="O81" s="46"/>
      <c r="P81" s="36"/>
      <c r="Q81" s="36"/>
    </row>
    <row r="82">
      <c r="A82" s="42" t="s">
        <v>136</v>
      </c>
      <c r="B82" s="41" t="s">
        <v>330</v>
      </c>
      <c r="C82" s="40" t="s">
        <v>18</v>
      </c>
      <c r="D82" s="40" t="s">
        <v>331</v>
      </c>
      <c r="E82" s="46"/>
      <c r="F82" s="41">
        <v>36.0</v>
      </c>
      <c r="G82" s="41" t="s">
        <v>21</v>
      </c>
      <c r="H82" s="41" t="s">
        <v>22</v>
      </c>
      <c r="I82" s="42">
        <v>1.0</v>
      </c>
      <c r="J82" s="43"/>
      <c r="K82" s="44">
        <v>81761.64</v>
      </c>
      <c r="L82" s="44">
        <v>81761.64</v>
      </c>
      <c r="M82" s="42">
        <v>0.0</v>
      </c>
      <c r="N82" s="44">
        <v>81761.64</v>
      </c>
      <c r="O82" s="40" t="s">
        <v>26</v>
      </c>
      <c r="P82" s="36"/>
      <c r="Q82" s="36"/>
    </row>
    <row r="83">
      <c r="A83" s="42">
        <v>6.1</v>
      </c>
      <c r="B83" s="41" t="s">
        <v>312</v>
      </c>
      <c r="C83" s="40" t="s">
        <v>18</v>
      </c>
      <c r="D83" s="40" t="s">
        <v>313</v>
      </c>
      <c r="E83" s="46"/>
      <c r="F83" s="41" t="s">
        <v>21</v>
      </c>
      <c r="G83" s="41">
        <v>28.0</v>
      </c>
      <c r="H83" s="41" t="s">
        <v>29</v>
      </c>
      <c r="I83" s="42">
        <v>1.0</v>
      </c>
      <c r="J83" s="43"/>
      <c r="K83" s="42">
        <v>0.0</v>
      </c>
      <c r="L83" s="42">
        <v>0.0</v>
      </c>
      <c r="M83" s="42">
        <v>0.0</v>
      </c>
      <c r="N83" s="42">
        <v>0.0</v>
      </c>
      <c r="O83" s="46"/>
      <c r="P83" s="36"/>
      <c r="Q83" s="36"/>
    </row>
    <row r="84">
      <c r="A84" s="42">
        <v>6.2</v>
      </c>
      <c r="B84" s="41" t="s">
        <v>314</v>
      </c>
      <c r="C84" s="40" t="s">
        <v>18</v>
      </c>
      <c r="D84" s="40" t="s">
        <v>315</v>
      </c>
      <c r="E84" s="46"/>
      <c r="F84" s="41" t="s">
        <v>21</v>
      </c>
      <c r="G84" s="41">
        <v>28.0</v>
      </c>
      <c r="H84" s="41" t="s">
        <v>29</v>
      </c>
      <c r="I84" s="42">
        <v>1.0</v>
      </c>
      <c r="J84" s="43"/>
      <c r="K84" s="42">
        <v>0.0</v>
      </c>
      <c r="L84" s="42">
        <v>0.0</v>
      </c>
      <c r="M84" s="42">
        <v>0.0</v>
      </c>
      <c r="N84" s="42">
        <v>0.0</v>
      </c>
      <c r="O84" s="46"/>
      <c r="P84" s="36"/>
      <c r="Q84" s="36"/>
    </row>
    <row r="85">
      <c r="A85" s="42">
        <v>6.3</v>
      </c>
      <c r="B85" s="41" t="s">
        <v>316</v>
      </c>
      <c r="C85" s="40" t="s">
        <v>18</v>
      </c>
      <c r="D85" s="40" t="s">
        <v>317</v>
      </c>
      <c r="E85" s="46"/>
      <c r="F85" s="41" t="s">
        <v>21</v>
      </c>
      <c r="G85" s="41">
        <v>28.0</v>
      </c>
      <c r="H85" s="41" t="s">
        <v>29</v>
      </c>
      <c r="I85" s="42">
        <v>1.0</v>
      </c>
      <c r="J85" s="43"/>
      <c r="K85" s="42">
        <v>0.0</v>
      </c>
      <c r="L85" s="42">
        <v>0.0</v>
      </c>
      <c r="M85" s="42">
        <v>0.0</v>
      </c>
      <c r="N85" s="42">
        <v>0.0</v>
      </c>
      <c r="O85" s="46"/>
      <c r="P85" s="36"/>
      <c r="Q85" s="36"/>
    </row>
    <row r="86">
      <c r="A86" s="42">
        <v>6.4</v>
      </c>
      <c r="B86" s="41" t="s">
        <v>318</v>
      </c>
      <c r="C86" s="40" t="s">
        <v>18</v>
      </c>
      <c r="D86" s="40" t="s">
        <v>319</v>
      </c>
      <c r="E86" s="46"/>
      <c r="F86" s="41" t="s">
        <v>21</v>
      </c>
      <c r="G86" s="41">
        <v>42.0</v>
      </c>
      <c r="H86" s="41" t="s">
        <v>29</v>
      </c>
      <c r="I86" s="42">
        <v>1.0</v>
      </c>
      <c r="J86" s="43"/>
      <c r="K86" s="42">
        <v>0.0</v>
      </c>
      <c r="L86" s="42">
        <v>0.0</v>
      </c>
      <c r="M86" s="42">
        <v>0.0</v>
      </c>
      <c r="N86" s="42">
        <v>0.0</v>
      </c>
      <c r="O86" s="46"/>
      <c r="P86" s="36"/>
      <c r="Q86" s="36"/>
    </row>
    <row r="87">
      <c r="A87" s="42">
        <v>6.5</v>
      </c>
      <c r="B87" s="41" t="s">
        <v>59</v>
      </c>
      <c r="C87" s="40" t="s">
        <v>29</v>
      </c>
      <c r="D87" s="40" t="s">
        <v>60</v>
      </c>
      <c r="E87" s="46"/>
      <c r="F87" s="41" t="s">
        <v>21</v>
      </c>
      <c r="G87" s="41">
        <v>2.0</v>
      </c>
      <c r="H87" s="41" t="s">
        <v>29</v>
      </c>
      <c r="I87" s="42">
        <v>1.0</v>
      </c>
      <c r="J87" s="43"/>
      <c r="K87" s="42">
        <v>0.0</v>
      </c>
      <c r="L87" s="42">
        <v>0.0</v>
      </c>
      <c r="M87" s="42">
        <v>0.0</v>
      </c>
      <c r="N87" s="42">
        <v>0.0</v>
      </c>
      <c r="O87" s="46"/>
      <c r="P87" s="36"/>
      <c r="Q87" s="36"/>
    </row>
    <row r="88">
      <c r="A88" s="42">
        <v>6.6</v>
      </c>
      <c r="B88" s="41" t="s">
        <v>320</v>
      </c>
      <c r="C88" s="40" t="s">
        <v>18</v>
      </c>
      <c r="D88" s="40" t="s">
        <v>321</v>
      </c>
      <c r="E88" s="46"/>
      <c r="F88" s="41" t="s">
        <v>21</v>
      </c>
      <c r="G88" s="41">
        <v>28.0</v>
      </c>
      <c r="H88" s="41" t="s">
        <v>29</v>
      </c>
      <c r="I88" s="42">
        <v>1.0</v>
      </c>
      <c r="J88" s="43"/>
      <c r="K88" s="42">
        <v>0.0</v>
      </c>
      <c r="L88" s="42">
        <v>0.0</v>
      </c>
      <c r="M88" s="42">
        <v>0.0</v>
      </c>
      <c r="N88" s="42">
        <v>0.0</v>
      </c>
      <c r="O88" s="46"/>
      <c r="P88" s="36"/>
      <c r="Q88" s="36"/>
    </row>
    <row r="89">
      <c r="A89" s="42">
        <v>6.7</v>
      </c>
      <c r="B89" s="41" t="s">
        <v>322</v>
      </c>
      <c r="C89" s="40" t="s">
        <v>18</v>
      </c>
      <c r="D89" s="40" t="s">
        <v>323</v>
      </c>
      <c r="E89" s="46"/>
      <c r="F89" s="41" t="s">
        <v>21</v>
      </c>
      <c r="G89" s="41">
        <v>28.0</v>
      </c>
      <c r="H89" s="41" t="s">
        <v>22</v>
      </c>
      <c r="I89" s="42">
        <v>1.0</v>
      </c>
      <c r="J89" s="43"/>
      <c r="K89" s="44">
        <v>12000.0</v>
      </c>
      <c r="L89" s="44">
        <v>12000.0</v>
      </c>
      <c r="M89" s="42">
        <v>0.0</v>
      </c>
      <c r="N89" s="44">
        <v>12000.0</v>
      </c>
      <c r="O89" s="46"/>
      <c r="P89" s="36"/>
      <c r="Q89" s="36"/>
    </row>
    <row r="90">
      <c r="A90" s="42">
        <v>6.8</v>
      </c>
      <c r="B90" s="41" t="s">
        <v>324</v>
      </c>
      <c r="C90" s="40" t="s">
        <v>18</v>
      </c>
      <c r="D90" s="40" t="s">
        <v>282</v>
      </c>
      <c r="E90" s="46"/>
      <c r="F90" s="41" t="s">
        <v>21</v>
      </c>
      <c r="G90" s="41">
        <v>28.0</v>
      </c>
      <c r="H90" s="41" t="s">
        <v>22</v>
      </c>
      <c r="I90" s="42">
        <v>1.0</v>
      </c>
      <c r="J90" s="43"/>
      <c r="K90" s="44">
        <v>0.0</v>
      </c>
      <c r="L90" s="44">
        <v>0.0</v>
      </c>
      <c r="M90" s="42">
        <v>0.0</v>
      </c>
      <c r="N90" s="44">
        <v>0.0</v>
      </c>
      <c r="O90" s="46"/>
      <c r="P90" s="36"/>
      <c r="Q90" s="36"/>
    </row>
    <row r="91">
      <c r="A91" s="42">
        <v>6.9</v>
      </c>
      <c r="B91" s="41" t="s">
        <v>325</v>
      </c>
      <c r="C91" s="40" t="s">
        <v>18</v>
      </c>
      <c r="D91" s="40" t="s">
        <v>326</v>
      </c>
      <c r="E91" s="46"/>
      <c r="F91" s="41" t="s">
        <v>21</v>
      </c>
      <c r="G91" s="41">
        <v>42.0</v>
      </c>
      <c r="H91" s="41" t="s">
        <v>22</v>
      </c>
      <c r="I91" s="42">
        <v>2.0</v>
      </c>
      <c r="J91" s="43"/>
      <c r="K91" s="42">
        <v>0.0</v>
      </c>
      <c r="L91" s="42">
        <v>0.0</v>
      </c>
      <c r="M91" s="42">
        <v>0.0</v>
      </c>
      <c r="N91" s="42">
        <v>0.0</v>
      </c>
      <c r="O91" s="46"/>
      <c r="P91" s="36"/>
      <c r="Q91" s="36"/>
    </row>
    <row r="92">
      <c r="A92" s="42">
        <v>6.1</v>
      </c>
      <c r="B92" s="41" t="s">
        <v>285</v>
      </c>
      <c r="C92" s="40" t="s">
        <v>18</v>
      </c>
      <c r="D92" s="40" t="s">
        <v>286</v>
      </c>
      <c r="E92" s="46"/>
      <c r="F92" s="41" t="s">
        <v>21</v>
      </c>
      <c r="G92" s="41">
        <v>14.0</v>
      </c>
      <c r="H92" s="41" t="s">
        <v>22</v>
      </c>
      <c r="I92" s="42">
        <v>2.0</v>
      </c>
      <c r="J92" s="43"/>
      <c r="K92" s="42">
        <v>0.0</v>
      </c>
      <c r="L92" s="42">
        <v>0.0</v>
      </c>
      <c r="M92" s="42">
        <v>0.0</v>
      </c>
      <c r="N92" s="42">
        <v>0.0</v>
      </c>
      <c r="O92" s="46"/>
      <c r="P92" s="36"/>
      <c r="Q92" s="36"/>
    </row>
    <row r="93">
      <c r="A93" s="42">
        <v>6.11</v>
      </c>
      <c r="B93" s="41" t="s">
        <v>277</v>
      </c>
      <c r="C93" s="40" t="s">
        <v>18</v>
      </c>
      <c r="D93" s="40" t="s">
        <v>278</v>
      </c>
      <c r="E93" s="46"/>
      <c r="F93" s="41" t="s">
        <v>21</v>
      </c>
      <c r="G93" s="41">
        <v>14.0</v>
      </c>
      <c r="H93" s="41" t="s">
        <v>22</v>
      </c>
      <c r="I93" s="42">
        <v>1.0</v>
      </c>
      <c r="J93" s="43"/>
      <c r="K93" s="44">
        <v>0.0</v>
      </c>
      <c r="L93" s="44">
        <v>0.0</v>
      </c>
      <c r="M93" s="42">
        <v>0.0</v>
      </c>
      <c r="N93" s="44">
        <v>0.0</v>
      </c>
      <c r="O93" s="46"/>
      <c r="P93" s="36"/>
      <c r="Q93" s="36"/>
    </row>
    <row r="94">
      <c r="A94" s="47"/>
      <c r="B94" s="47"/>
      <c r="C94" s="47"/>
      <c r="D94" s="47"/>
      <c r="E94" s="48"/>
      <c r="F94" s="47"/>
      <c r="G94" s="47"/>
      <c r="H94" s="47"/>
      <c r="I94" s="47"/>
      <c r="J94" s="48"/>
      <c r="K94" s="47"/>
      <c r="L94" s="47"/>
      <c r="M94" s="50" t="s">
        <v>63</v>
      </c>
      <c r="N94" s="51">
        <v>254910.54</v>
      </c>
      <c r="O94" s="52"/>
      <c r="P94" s="36"/>
      <c r="Q94" s="36"/>
    </row>
    <row r="95">
      <c r="A95" s="56"/>
      <c r="B95" s="56"/>
      <c r="C95" s="38" t="s">
        <v>332</v>
      </c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</row>
    <row r="96">
      <c r="A96" s="39">
        <v>7.0</v>
      </c>
      <c r="B96" s="39" t="s">
        <v>333</v>
      </c>
      <c r="C96" s="40" t="s">
        <v>18</v>
      </c>
      <c r="D96" s="40" t="s">
        <v>334</v>
      </c>
      <c r="E96" s="40" t="s">
        <v>20</v>
      </c>
      <c r="F96" s="41" t="s">
        <v>21</v>
      </c>
      <c r="G96" s="41">
        <v>21.0</v>
      </c>
      <c r="H96" s="41" t="s">
        <v>22</v>
      </c>
      <c r="I96" s="42">
        <v>1.0</v>
      </c>
      <c r="J96" s="43"/>
      <c r="K96" s="44">
        <v>32229.78</v>
      </c>
      <c r="L96" s="44">
        <v>32229.78</v>
      </c>
      <c r="M96" s="42">
        <v>0.0</v>
      </c>
      <c r="N96" s="44">
        <v>32229.78</v>
      </c>
      <c r="O96" s="46"/>
      <c r="P96" s="36"/>
      <c r="Q96" s="36"/>
    </row>
    <row r="97">
      <c r="A97" s="42" t="s">
        <v>141</v>
      </c>
      <c r="B97" s="41" t="s">
        <v>335</v>
      </c>
      <c r="C97" s="40" t="s">
        <v>18</v>
      </c>
      <c r="D97" s="40" t="s">
        <v>336</v>
      </c>
      <c r="E97" s="46"/>
      <c r="F97" s="41">
        <v>36.0</v>
      </c>
      <c r="G97" s="41" t="s">
        <v>21</v>
      </c>
      <c r="H97" s="41" t="s">
        <v>22</v>
      </c>
      <c r="I97" s="42">
        <v>1.0</v>
      </c>
      <c r="J97" s="43"/>
      <c r="K97" s="44">
        <v>16351.5</v>
      </c>
      <c r="L97" s="44">
        <v>16351.5</v>
      </c>
      <c r="M97" s="42">
        <v>0.0</v>
      </c>
      <c r="N97" s="44">
        <v>16351.5</v>
      </c>
      <c r="O97" s="40" t="s">
        <v>26</v>
      </c>
      <c r="P97" s="36"/>
      <c r="Q97" s="36"/>
    </row>
    <row r="98">
      <c r="A98" s="42">
        <v>7.1</v>
      </c>
      <c r="B98" s="41" t="s">
        <v>337</v>
      </c>
      <c r="C98" s="40" t="s">
        <v>18</v>
      </c>
      <c r="D98" s="40" t="s">
        <v>317</v>
      </c>
      <c r="E98" s="46"/>
      <c r="F98" s="41" t="s">
        <v>21</v>
      </c>
      <c r="G98" s="41">
        <v>21.0</v>
      </c>
      <c r="H98" s="41" t="s">
        <v>29</v>
      </c>
      <c r="I98" s="42">
        <v>1.0</v>
      </c>
      <c r="J98" s="43"/>
      <c r="K98" s="42">
        <v>0.0</v>
      </c>
      <c r="L98" s="42">
        <v>0.0</v>
      </c>
      <c r="M98" s="42">
        <v>0.0</v>
      </c>
      <c r="N98" s="42">
        <v>0.0</v>
      </c>
      <c r="O98" s="46"/>
      <c r="P98" s="36"/>
      <c r="Q98" s="36"/>
    </row>
    <row r="99">
      <c r="A99" s="42">
        <v>7.2</v>
      </c>
      <c r="B99" s="41" t="s">
        <v>271</v>
      </c>
      <c r="C99" s="40" t="s">
        <v>18</v>
      </c>
      <c r="D99" s="40" t="s">
        <v>272</v>
      </c>
      <c r="E99" s="46"/>
      <c r="F99" s="41" t="s">
        <v>21</v>
      </c>
      <c r="G99" s="41">
        <v>21.0</v>
      </c>
      <c r="H99" s="41" t="s">
        <v>29</v>
      </c>
      <c r="I99" s="42">
        <v>1.0</v>
      </c>
      <c r="J99" s="43"/>
      <c r="K99" s="42">
        <v>0.0</v>
      </c>
      <c r="L99" s="42">
        <v>0.0</v>
      </c>
      <c r="M99" s="42">
        <v>0.0</v>
      </c>
      <c r="N99" s="42">
        <v>0.0</v>
      </c>
      <c r="O99" s="46"/>
      <c r="P99" s="36"/>
      <c r="Q99" s="36"/>
    </row>
    <row r="100">
      <c r="A100" s="42">
        <v>7.3</v>
      </c>
      <c r="B100" s="41" t="s">
        <v>59</v>
      </c>
      <c r="C100" s="40" t="s">
        <v>29</v>
      </c>
      <c r="D100" s="40" t="s">
        <v>60</v>
      </c>
      <c r="E100" s="46"/>
      <c r="F100" s="41" t="s">
        <v>21</v>
      </c>
      <c r="G100" s="41">
        <v>2.0</v>
      </c>
      <c r="H100" s="41" t="s">
        <v>29</v>
      </c>
      <c r="I100" s="42">
        <v>1.0</v>
      </c>
      <c r="J100" s="43"/>
      <c r="K100" s="42">
        <v>0.0</v>
      </c>
      <c r="L100" s="42">
        <v>0.0</v>
      </c>
      <c r="M100" s="42">
        <v>0.0</v>
      </c>
      <c r="N100" s="42">
        <v>0.0</v>
      </c>
      <c r="O100" s="46"/>
      <c r="P100" s="36"/>
      <c r="Q100" s="36"/>
    </row>
    <row r="101">
      <c r="A101" s="42">
        <v>7.4</v>
      </c>
      <c r="B101" s="41" t="s">
        <v>338</v>
      </c>
      <c r="C101" s="40" t="s">
        <v>18</v>
      </c>
      <c r="D101" s="40" t="s">
        <v>339</v>
      </c>
      <c r="E101" s="46"/>
      <c r="F101" s="41" t="s">
        <v>21</v>
      </c>
      <c r="G101" s="41">
        <v>21.0</v>
      </c>
      <c r="H101" s="41" t="s">
        <v>29</v>
      </c>
      <c r="I101" s="42">
        <v>1.0</v>
      </c>
      <c r="J101" s="43"/>
      <c r="K101" s="42">
        <v>0.0</v>
      </c>
      <c r="L101" s="42">
        <v>0.0</v>
      </c>
      <c r="M101" s="42">
        <v>0.0</v>
      </c>
      <c r="N101" s="42">
        <v>0.0</v>
      </c>
      <c r="O101" s="46"/>
      <c r="P101" s="36"/>
      <c r="Q101" s="36"/>
    </row>
    <row r="102">
      <c r="A102" s="42">
        <v>7.5</v>
      </c>
      <c r="B102" s="41" t="s">
        <v>279</v>
      </c>
      <c r="C102" s="40" t="s">
        <v>18</v>
      </c>
      <c r="D102" s="40" t="s">
        <v>280</v>
      </c>
      <c r="E102" s="46"/>
      <c r="F102" s="41" t="s">
        <v>21</v>
      </c>
      <c r="G102" s="41">
        <v>28.0</v>
      </c>
      <c r="H102" s="41" t="s">
        <v>29</v>
      </c>
      <c r="I102" s="42">
        <v>1.0</v>
      </c>
      <c r="J102" s="43"/>
      <c r="K102" s="42">
        <v>0.0</v>
      </c>
      <c r="L102" s="42">
        <v>0.0</v>
      </c>
      <c r="M102" s="42">
        <v>0.0</v>
      </c>
      <c r="N102" s="42">
        <v>0.0</v>
      </c>
      <c r="O102" s="46"/>
      <c r="P102" s="36"/>
      <c r="Q102" s="36"/>
    </row>
    <row r="103">
      <c r="A103" s="42">
        <v>7.6</v>
      </c>
      <c r="B103" s="41" t="s">
        <v>322</v>
      </c>
      <c r="C103" s="40" t="s">
        <v>18</v>
      </c>
      <c r="D103" s="40" t="s">
        <v>323</v>
      </c>
      <c r="E103" s="46"/>
      <c r="F103" s="41" t="s">
        <v>21</v>
      </c>
      <c r="G103" s="41">
        <v>28.0</v>
      </c>
      <c r="H103" s="41" t="s">
        <v>22</v>
      </c>
      <c r="I103" s="42">
        <v>1.0</v>
      </c>
      <c r="J103" s="43"/>
      <c r="K103" s="44">
        <v>12000.0</v>
      </c>
      <c r="L103" s="44">
        <v>12000.0</v>
      </c>
      <c r="M103" s="42">
        <v>0.0</v>
      </c>
      <c r="N103" s="44">
        <v>12000.0</v>
      </c>
      <c r="O103" s="46"/>
      <c r="P103" s="36"/>
      <c r="Q103" s="36"/>
    </row>
    <row r="104">
      <c r="A104" s="42">
        <v>7.7</v>
      </c>
      <c r="B104" s="41" t="s">
        <v>277</v>
      </c>
      <c r="C104" s="40" t="s">
        <v>18</v>
      </c>
      <c r="D104" s="40" t="s">
        <v>278</v>
      </c>
      <c r="E104" s="46"/>
      <c r="F104" s="41" t="s">
        <v>21</v>
      </c>
      <c r="G104" s="41">
        <v>14.0</v>
      </c>
      <c r="H104" s="41" t="s">
        <v>22</v>
      </c>
      <c r="I104" s="42">
        <v>1.0</v>
      </c>
      <c r="J104" s="43"/>
      <c r="K104" s="44">
        <v>0.0</v>
      </c>
      <c r="L104" s="44">
        <v>0.0</v>
      </c>
      <c r="M104" s="42">
        <v>0.0</v>
      </c>
      <c r="N104" s="44">
        <v>0.0</v>
      </c>
      <c r="O104" s="46"/>
      <c r="P104" s="36"/>
      <c r="Q104" s="36"/>
    </row>
    <row r="105">
      <c r="A105" s="42">
        <v>7.8</v>
      </c>
      <c r="B105" s="41" t="s">
        <v>340</v>
      </c>
      <c r="C105" s="40" t="s">
        <v>18</v>
      </c>
      <c r="D105" s="40" t="s">
        <v>282</v>
      </c>
      <c r="E105" s="46"/>
      <c r="F105" s="41" t="s">
        <v>21</v>
      </c>
      <c r="G105" s="41">
        <v>28.0</v>
      </c>
      <c r="H105" s="41" t="s">
        <v>22</v>
      </c>
      <c r="I105" s="42">
        <v>1.0</v>
      </c>
      <c r="J105" s="43"/>
      <c r="K105" s="42">
        <v>0.0</v>
      </c>
      <c r="L105" s="42">
        <v>0.0</v>
      </c>
      <c r="M105" s="42">
        <v>0.0</v>
      </c>
      <c r="N105" s="42">
        <v>0.0</v>
      </c>
      <c r="O105" s="46"/>
      <c r="P105" s="36"/>
      <c r="Q105" s="36"/>
    </row>
    <row r="106">
      <c r="A106" s="42">
        <v>7.9</v>
      </c>
      <c r="B106" s="41" t="s">
        <v>341</v>
      </c>
      <c r="C106" s="40" t="s">
        <v>18</v>
      </c>
      <c r="D106" s="40" t="s">
        <v>342</v>
      </c>
      <c r="E106" s="46"/>
      <c r="F106" s="41" t="s">
        <v>21</v>
      </c>
      <c r="G106" s="41">
        <v>21.0</v>
      </c>
      <c r="H106" s="41" t="s">
        <v>22</v>
      </c>
      <c r="I106" s="42">
        <v>2.0</v>
      </c>
      <c r="J106" s="43"/>
      <c r="K106" s="42">
        <v>0.0</v>
      </c>
      <c r="L106" s="42">
        <v>0.0</v>
      </c>
      <c r="M106" s="42">
        <v>0.0</v>
      </c>
      <c r="N106" s="42">
        <v>0.0</v>
      </c>
      <c r="O106" s="46"/>
      <c r="P106" s="36"/>
      <c r="Q106" s="36"/>
    </row>
    <row r="107">
      <c r="A107" s="42">
        <v>7.1</v>
      </c>
      <c r="B107" s="41" t="s">
        <v>285</v>
      </c>
      <c r="C107" s="40" t="s">
        <v>18</v>
      </c>
      <c r="D107" s="40" t="s">
        <v>286</v>
      </c>
      <c r="E107" s="46"/>
      <c r="F107" s="41" t="s">
        <v>21</v>
      </c>
      <c r="G107" s="41">
        <v>14.0</v>
      </c>
      <c r="H107" s="41" t="s">
        <v>22</v>
      </c>
      <c r="I107" s="42">
        <v>2.0</v>
      </c>
      <c r="J107" s="43"/>
      <c r="K107" s="44">
        <v>0.0</v>
      </c>
      <c r="L107" s="44">
        <v>0.0</v>
      </c>
      <c r="M107" s="42">
        <v>0.0</v>
      </c>
      <c r="N107" s="44">
        <v>0.0</v>
      </c>
      <c r="O107" s="46"/>
      <c r="P107" s="36"/>
      <c r="Q107" s="36"/>
    </row>
    <row r="108">
      <c r="A108" s="47"/>
      <c r="B108" s="47"/>
      <c r="C108" s="47"/>
      <c r="D108" s="47"/>
      <c r="E108" s="48"/>
      <c r="F108" s="47"/>
      <c r="G108" s="47"/>
      <c r="H108" s="47"/>
      <c r="I108" s="47"/>
      <c r="J108" s="48"/>
      <c r="K108" s="47"/>
      <c r="L108" s="47"/>
      <c r="M108" s="50" t="s">
        <v>63</v>
      </c>
      <c r="N108" s="51">
        <v>60581.28</v>
      </c>
      <c r="O108" s="52"/>
      <c r="P108" s="36"/>
      <c r="Q108" s="36"/>
    </row>
    <row r="109">
      <c r="A109" s="39">
        <v>8.0</v>
      </c>
      <c r="B109" s="39" t="s">
        <v>333</v>
      </c>
      <c r="C109" s="40" t="s">
        <v>18</v>
      </c>
      <c r="D109" s="40" t="s">
        <v>334</v>
      </c>
      <c r="E109" s="40" t="s">
        <v>20</v>
      </c>
      <c r="F109" s="41" t="s">
        <v>21</v>
      </c>
      <c r="G109" s="41">
        <v>21.0</v>
      </c>
      <c r="H109" s="41" t="s">
        <v>22</v>
      </c>
      <c r="I109" s="42">
        <v>1.0</v>
      </c>
      <c r="J109" s="43"/>
      <c r="K109" s="44">
        <v>32229.78</v>
      </c>
      <c r="L109" s="44">
        <v>32229.78</v>
      </c>
      <c r="M109" s="42">
        <v>0.0</v>
      </c>
      <c r="N109" s="44">
        <v>32229.78</v>
      </c>
      <c r="O109" s="46"/>
      <c r="P109" s="36"/>
      <c r="Q109" s="36"/>
    </row>
    <row r="110">
      <c r="A110" s="42" t="s">
        <v>146</v>
      </c>
      <c r="B110" s="41" t="s">
        <v>335</v>
      </c>
      <c r="C110" s="40" t="s">
        <v>18</v>
      </c>
      <c r="D110" s="40" t="s">
        <v>336</v>
      </c>
      <c r="E110" s="45"/>
      <c r="F110" s="41">
        <v>36.0</v>
      </c>
      <c r="G110" s="41" t="s">
        <v>21</v>
      </c>
      <c r="H110" s="41" t="s">
        <v>22</v>
      </c>
      <c r="I110" s="42">
        <v>1.0</v>
      </c>
      <c r="J110" s="53"/>
      <c r="K110" s="44">
        <v>16351.5</v>
      </c>
      <c r="L110" s="44">
        <v>16351.5</v>
      </c>
      <c r="M110" s="42">
        <v>0.0</v>
      </c>
      <c r="N110" s="44">
        <v>16351.5</v>
      </c>
      <c r="O110" s="40" t="s">
        <v>26</v>
      </c>
      <c r="P110" s="54"/>
      <c r="Q110" s="54"/>
    </row>
    <row r="111">
      <c r="A111" s="42">
        <v>8.1</v>
      </c>
      <c r="B111" s="41" t="s">
        <v>337</v>
      </c>
      <c r="C111" s="40" t="s">
        <v>18</v>
      </c>
      <c r="D111" s="40" t="s">
        <v>317</v>
      </c>
      <c r="E111" s="45"/>
      <c r="F111" s="41" t="s">
        <v>21</v>
      </c>
      <c r="G111" s="41">
        <v>21.0</v>
      </c>
      <c r="H111" s="41" t="s">
        <v>29</v>
      </c>
      <c r="I111" s="42">
        <v>1.0</v>
      </c>
      <c r="J111" s="43"/>
      <c r="K111" s="44">
        <v>0.0</v>
      </c>
      <c r="L111" s="44">
        <v>0.0</v>
      </c>
      <c r="M111" s="42">
        <v>0.0</v>
      </c>
      <c r="N111" s="44">
        <v>0.0</v>
      </c>
      <c r="O111" s="46"/>
      <c r="P111" s="36"/>
      <c r="Q111" s="36"/>
    </row>
    <row r="112">
      <c r="A112" s="42">
        <v>8.2</v>
      </c>
      <c r="B112" s="41" t="s">
        <v>271</v>
      </c>
      <c r="C112" s="40" t="s">
        <v>18</v>
      </c>
      <c r="D112" s="40" t="s">
        <v>272</v>
      </c>
      <c r="E112" s="46"/>
      <c r="F112" s="41" t="s">
        <v>21</v>
      </c>
      <c r="G112" s="41">
        <v>21.0</v>
      </c>
      <c r="H112" s="41" t="s">
        <v>29</v>
      </c>
      <c r="I112" s="42">
        <v>1.0</v>
      </c>
      <c r="J112" s="43"/>
      <c r="K112" s="44">
        <v>0.0</v>
      </c>
      <c r="L112" s="44">
        <v>0.0</v>
      </c>
      <c r="M112" s="42">
        <v>0.0</v>
      </c>
      <c r="N112" s="44">
        <v>0.0</v>
      </c>
      <c r="O112" s="45"/>
      <c r="P112" s="36"/>
      <c r="Q112" s="36"/>
    </row>
    <row r="113">
      <c r="A113" s="42">
        <v>8.3</v>
      </c>
      <c r="B113" s="41" t="s">
        <v>59</v>
      </c>
      <c r="C113" s="40" t="s">
        <v>29</v>
      </c>
      <c r="D113" s="40" t="s">
        <v>60</v>
      </c>
      <c r="E113" s="46"/>
      <c r="F113" s="41" t="s">
        <v>21</v>
      </c>
      <c r="G113" s="41">
        <v>2.0</v>
      </c>
      <c r="H113" s="41" t="s">
        <v>29</v>
      </c>
      <c r="I113" s="42">
        <v>1.0</v>
      </c>
      <c r="J113" s="43"/>
      <c r="K113" s="42">
        <v>0.0</v>
      </c>
      <c r="L113" s="42">
        <v>0.0</v>
      </c>
      <c r="M113" s="42">
        <v>0.0</v>
      </c>
      <c r="N113" s="44">
        <v>0.0</v>
      </c>
      <c r="O113" s="46"/>
      <c r="P113" s="36"/>
      <c r="Q113" s="36"/>
    </row>
    <row r="114">
      <c r="A114" s="42">
        <v>8.4</v>
      </c>
      <c r="B114" s="41" t="s">
        <v>338</v>
      </c>
      <c r="C114" s="40" t="s">
        <v>18</v>
      </c>
      <c r="D114" s="40" t="s">
        <v>339</v>
      </c>
      <c r="E114" s="46"/>
      <c r="F114" s="41" t="s">
        <v>21</v>
      </c>
      <c r="G114" s="41">
        <v>21.0</v>
      </c>
      <c r="H114" s="41" t="s">
        <v>29</v>
      </c>
      <c r="I114" s="42">
        <v>1.0</v>
      </c>
      <c r="J114" s="43"/>
      <c r="K114" s="42">
        <v>0.0</v>
      </c>
      <c r="L114" s="42">
        <v>0.0</v>
      </c>
      <c r="M114" s="42">
        <v>0.0</v>
      </c>
      <c r="N114" s="42">
        <v>0.0</v>
      </c>
      <c r="O114" s="46"/>
      <c r="P114" s="36"/>
      <c r="Q114" s="36"/>
    </row>
    <row r="115">
      <c r="A115" s="42">
        <v>8.5</v>
      </c>
      <c r="B115" s="41" t="s">
        <v>279</v>
      </c>
      <c r="C115" s="40" t="s">
        <v>18</v>
      </c>
      <c r="D115" s="40" t="s">
        <v>280</v>
      </c>
      <c r="E115" s="46"/>
      <c r="F115" s="41" t="s">
        <v>21</v>
      </c>
      <c r="G115" s="41">
        <v>28.0</v>
      </c>
      <c r="H115" s="41" t="s">
        <v>29</v>
      </c>
      <c r="I115" s="42">
        <v>1.0</v>
      </c>
      <c r="J115" s="43"/>
      <c r="K115" s="42">
        <v>0.0</v>
      </c>
      <c r="L115" s="42">
        <v>0.0</v>
      </c>
      <c r="M115" s="42">
        <v>0.0</v>
      </c>
      <c r="N115" s="42">
        <v>0.0</v>
      </c>
      <c r="O115" s="46"/>
      <c r="P115" s="36"/>
      <c r="Q115" s="36"/>
    </row>
    <row r="116">
      <c r="A116" s="42">
        <v>8.6</v>
      </c>
      <c r="B116" s="41" t="s">
        <v>322</v>
      </c>
      <c r="C116" s="40" t="s">
        <v>18</v>
      </c>
      <c r="D116" s="40" t="s">
        <v>323</v>
      </c>
      <c r="E116" s="46"/>
      <c r="F116" s="41" t="s">
        <v>21</v>
      </c>
      <c r="G116" s="41">
        <v>28.0</v>
      </c>
      <c r="H116" s="41" t="s">
        <v>22</v>
      </c>
      <c r="I116" s="42">
        <v>1.0</v>
      </c>
      <c r="J116" s="43"/>
      <c r="K116" s="44">
        <v>12000.0</v>
      </c>
      <c r="L116" s="44">
        <v>12000.0</v>
      </c>
      <c r="M116" s="42">
        <v>0.0</v>
      </c>
      <c r="N116" s="44">
        <v>12000.0</v>
      </c>
      <c r="O116" s="46"/>
      <c r="P116" s="36"/>
      <c r="Q116" s="36"/>
    </row>
    <row r="117">
      <c r="A117" s="42">
        <v>8.7</v>
      </c>
      <c r="B117" s="41" t="s">
        <v>340</v>
      </c>
      <c r="C117" s="40" t="s">
        <v>18</v>
      </c>
      <c r="D117" s="40" t="s">
        <v>282</v>
      </c>
      <c r="E117" s="46"/>
      <c r="F117" s="41" t="s">
        <v>21</v>
      </c>
      <c r="G117" s="41">
        <v>28.0</v>
      </c>
      <c r="H117" s="41" t="s">
        <v>22</v>
      </c>
      <c r="I117" s="42">
        <v>1.0</v>
      </c>
      <c r="J117" s="43"/>
      <c r="K117" s="42">
        <v>0.0</v>
      </c>
      <c r="L117" s="42">
        <v>0.0</v>
      </c>
      <c r="M117" s="42">
        <v>0.0</v>
      </c>
      <c r="N117" s="42">
        <v>0.0</v>
      </c>
      <c r="O117" s="46"/>
      <c r="P117" s="36"/>
      <c r="Q117" s="36"/>
    </row>
    <row r="118">
      <c r="A118" s="42">
        <v>8.8</v>
      </c>
      <c r="B118" s="41" t="s">
        <v>341</v>
      </c>
      <c r="C118" s="40" t="s">
        <v>18</v>
      </c>
      <c r="D118" s="40" t="s">
        <v>342</v>
      </c>
      <c r="E118" s="46"/>
      <c r="F118" s="41" t="s">
        <v>21</v>
      </c>
      <c r="G118" s="41">
        <v>21.0</v>
      </c>
      <c r="H118" s="41" t="s">
        <v>22</v>
      </c>
      <c r="I118" s="42">
        <v>2.0</v>
      </c>
      <c r="J118" s="43"/>
      <c r="K118" s="44">
        <v>0.0</v>
      </c>
      <c r="L118" s="44">
        <v>0.0</v>
      </c>
      <c r="M118" s="42">
        <v>0.0</v>
      </c>
      <c r="N118" s="44">
        <v>0.0</v>
      </c>
      <c r="O118" s="46"/>
      <c r="P118" s="36"/>
      <c r="Q118" s="36"/>
    </row>
    <row r="119">
      <c r="A119" s="42">
        <v>8.9</v>
      </c>
      <c r="B119" s="41" t="s">
        <v>285</v>
      </c>
      <c r="C119" s="40" t="s">
        <v>18</v>
      </c>
      <c r="D119" s="40" t="s">
        <v>286</v>
      </c>
      <c r="E119" s="46"/>
      <c r="F119" s="41" t="s">
        <v>21</v>
      </c>
      <c r="G119" s="41">
        <v>14.0</v>
      </c>
      <c r="H119" s="41" t="s">
        <v>22</v>
      </c>
      <c r="I119" s="42">
        <v>2.0</v>
      </c>
      <c r="J119" s="43"/>
      <c r="K119" s="42">
        <v>0.0</v>
      </c>
      <c r="L119" s="42">
        <v>0.0</v>
      </c>
      <c r="M119" s="42">
        <v>0.0</v>
      </c>
      <c r="N119" s="42">
        <v>0.0</v>
      </c>
      <c r="O119" s="46"/>
      <c r="P119" s="36"/>
      <c r="Q119" s="36"/>
    </row>
    <row r="120">
      <c r="A120" s="42">
        <v>8.1</v>
      </c>
      <c r="B120" s="41" t="s">
        <v>288</v>
      </c>
      <c r="C120" s="40" t="s">
        <v>18</v>
      </c>
      <c r="D120" s="40" t="s">
        <v>289</v>
      </c>
      <c r="E120" s="46"/>
      <c r="F120" s="41" t="s">
        <v>21</v>
      </c>
      <c r="G120" s="41">
        <v>14.0</v>
      </c>
      <c r="H120" s="41" t="s">
        <v>22</v>
      </c>
      <c r="I120" s="42">
        <v>1.0</v>
      </c>
      <c r="J120" s="43"/>
      <c r="K120" s="42">
        <v>0.0</v>
      </c>
      <c r="L120" s="42">
        <v>0.0</v>
      </c>
      <c r="M120" s="42">
        <v>0.0</v>
      </c>
      <c r="N120" s="42">
        <v>0.0</v>
      </c>
      <c r="O120" s="46"/>
      <c r="P120" s="36"/>
      <c r="Q120" s="36"/>
    </row>
    <row r="121">
      <c r="A121" s="47"/>
      <c r="B121" s="47"/>
      <c r="C121" s="47"/>
      <c r="D121" s="47"/>
      <c r="E121" s="48"/>
      <c r="F121" s="47"/>
      <c r="G121" s="47"/>
      <c r="H121" s="47"/>
      <c r="I121" s="47"/>
      <c r="J121" s="48"/>
      <c r="K121" s="47"/>
      <c r="L121" s="47"/>
      <c r="M121" s="50" t="s">
        <v>63</v>
      </c>
      <c r="N121" s="51">
        <v>60581.28</v>
      </c>
      <c r="O121" s="52"/>
      <c r="P121" s="36"/>
      <c r="Q121" s="36"/>
    </row>
    <row r="122">
      <c r="A122" s="37"/>
      <c r="B122" s="37"/>
      <c r="C122" s="38" t="s">
        <v>290</v>
      </c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</row>
    <row r="123">
      <c r="A123" s="39">
        <v>9.0</v>
      </c>
      <c r="B123" s="39" t="s">
        <v>343</v>
      </c>
      <c r="C123" s="40" t="s">
        <v>18</v>
      </c>
      <c r="D123" s="40" t="s">
        <v>344</v>
      </c>
      <c r="E123" s="40" t="s">
        <v>20</v>
      </c>
      <c r="F123" s="41" t="s">
        <v>21</v>
      </c>
      <c r="G123" s="41">
        <v>21.0</v>
      </c>
      <c r="H123" s="41" t="s">
        <v>22</v>
      </c>
      <c r="I123" s="42">
        <v>1.0</v>
      </c>
      <c r="J123" s="43"/>
      <c r="K123" s="44">
        <v>64459.56</v>
      </c>
      <c r="L123" s="44">
        <v>64459.56</v>
      </c>
      <c r="M123" s="42">
        <v>0.0</v>
      </c>
      <c r="N123" s="44">
        <v>64459.56</v>
      </c>
      <c r="O123" s="46"/>
      <c r="P123" s="36"/>
      <c r="Q123" s="36"/>
    </row>
    <row r="124">
      <c r="A124" s="42" t="s">
        <v>151</v>
      </c>
      <c r="B124" s="41" t="s">
        <v>345</v>
      </c>
      <c r="C124" s="40" t="s">
        <v>18</v>
      </c>
      <c r="D124" s="40" t="s">
        <v>346</v>
      </c>
      <c r="E124" s="45"/>
      <c r="F124" s="41">
        <v>36.0</v>
      </c>
      <c r="G124" s="41" t="s">
        <v>21</v>
      </c>
      <c r="H124" s="41" t="s">
        <v>22</v>
      </c>
      <c r="I124" s="42">
        <v>1.0</v>
      </c>
      <c r="J124" s="43"/>
      <c r="K124" s="44">
        <v>32707.14</v>
      </c>
      <c r="L124" s="44">
        <v>32707.14</v>
      </c>
      <c r="M124" s="42">
        <v>0.0</v>
      </c>
      <c r="N124" s="44">
        <v>32707.14</v>
      </c>
      <c r="O124" s="40" t="s">
        <v>26</v>
      </c>
      <c r="P124" s="36"/>
      <c r="Q124" s="36"/>
    </row>
    <row r="125">
      <c r="A125" s="42">
        <v>9.1</v>
      </c>
      <c r="B125" s="41" t="s">
        <v>347</v>
      </c>
      <c r="C125" s="40" t="s">
        <v>18</v>
      </c>
      <c r="D125" s="40" t="s">
        <v>313</v>
      </c>
      <c r="E125" s="46"/>
      <c r="F125" s="41" t="s">
        <v>21</v>
      </c>
      <c r="G125" s="41">
        <v>21.0</v>
      </c>
      <c r="H125" s="41" t="s">
        <v>29</v>
      </c>
      <c r="I125" s="42">
        <v>1.0</v>
      </c>
      <c r="J125" s="43"/>
      <c r="K125" s="44">
        <v>0.0</v>
      </c>
      <c r="L125" s="44">
        <v>0.0</v>
      </c>
      <c r="M125" s="42">
        <v>0.0</v>
      </c>
      <c r="N125" s="44">
        <v>0.0</v>
      </c>
      <c r="O125" s="45"/>
      <c r="P125" s="36"/>
      <c r="Q125" s="36"/>
    </row>
    <row r="126">
      <c r="A126" s="42">
        <v>9.2</v>
      </c>
      <c r="B126" s="41" t="s">
        <v>337</v>
      </c>
      <c r="C126" s="40" t="s">
        <v>18</v>
      </c>
      <c r="D126" s="40" t="s">
        <v>317</v>
      </c>
      <c r="E126" s="46"/>
      <c r="F126" s="41" t="s">
        <v>21</v>
      </c>
      <c r="G126" s="41">
        <v>21.0</v>
      </c>
      <c r="H126" s="41" t="s">
        <v>29</v>
      </c>
      <c r="I126" s="42">
        <v>1.0</v>
      </c>
      <c r="J126" s="43"/>
      <c r="K126" s="42">
        <v>0.0</v>
      </c>
      <c r="L126" s="42">
        <v>0.0</v>
      </c>
      <c r="M126" s="42">
        <v>0.0</v>
      </c>
      <c r="N126" s="42">
        <v>0.0</v>
      </c>
      <c r="O126" s="46"/>
      <c r="P126" s="36"/>
      <c r="Q126" s="36"/>
    </row>
    <row r="127">
      <c r="A127" s="42">
        <v>9.3</v>
      </c>
      <c r="B127" s="41" t="s">
        <v>271</v>
      </c>
      <c r="C127" s="40" t="s">
        <v>18</v>
      </c>
      <c r="D127" s="40" t="s">
        <v>272</v>
      </c>
      <c r="E127" s="46"/>
      <c r="F127" s="41" t="s">
        <v>21</v>
      </c>
      <c r="G127" s="41">
        <v>21.0</v>
      </c>
      <c r="H127" s="41" t="s">
        <v>29</v>
      </c>
      <c r="I127" s="42">
        <v>1.0</v>
      </c>
      <c r="J127" s="43"/>
      <c r="K127" s="42">
        <v>0.0</v>
      </c>
      <c r="L127" s="42">
        <v>0.0</v>
      </c>
      <c r="M127" s="42">
        <v>0.0</v>
      </c>
      <c r="N127" s="42">
        <v>0.0</v>
      </c>
      <c r="O127" s="46"/>
      <c r="P127" s="36"/>
      <c r="Q127" s="36"/>
    </row>
    <row r="128">
      <c r="A128" s="42">
        <v>9.4</v>
      </c>
      <c r="B128" s="41" t="s">
        <v>59</v>
      </c>
      <c r="C128" s="40" t="s">
        <v>29</v>
      </c>
      <c r="D128" s="40" t="s">
        <v>60</v>
      </c>
      <c r="E128" s="46"/>
      <c r="F128" s="41" t="s">
        <v>21</v>
      </c>
      <c r="G128" s="41">
        <v>2.0</v>
      </c>
      <c r="H128" s="41" t="s">
        <v>29</v>
      </c>
      <c r="I128" s="42">
        <v>1.0</v>
      </c>
      <c r="J128" s="43"/>
      <c r="K128" s="42">
        <v>0.0</v>
      </c>
      <c r="L128" s="42">
        <v>0.0</v>
      </c>
      <c r="M128" s="42">
        <v>0.0</v>
      </c>
      <c r="N128" s="42">
        <v>0.0</v>
      </c>
      <c r="O128" s="46"/>
      <c r="P128" s="36"/>
      <c r="Q128" s="36"/>
    </row>
    <row r="129">
      <c r="A129" s="42">
        <v>9.5</v>
      </c>
      <c r="B129" s="41" t="s">
        <v>338</v>
      </c>
      <c r="C129" s="40" t="s">
        <v>18</v>
      </c>
      <c r="D129" s="40" t="s">
        <v>339</v>
      </c>
      <c r="E129" s="46"/>
      <c r="F129" s="41" t="s">
        <v>21</v>
      </c>
      <c r="G129" s="41">
        <v>21.0</v>
      </c>
      <c r="H129" s="41" t="s">
        <v>29</v>
      </c>
      <c r="I129" s="42">
        <v>1.0</v>
      </c>
      <c r="J129" s="43"/>
      <c r="K129" s="42">
        <v>0.0</v>
      </c>
      <c r="L129" s="42">
        <v>0.0</v>
      </c>
      <c r="M129" s="42">
        <v>0.0</v>
      </c>
      <c r="N129" s="42">
        <v>0.0</v>
      </c>
      <c r="O129" s="46"/>
      <c r="P129" s="36"/>
      <c r="Q129" s="36"/>
    </row>
    <row r="130">
      <c r="A130" s="42">
        <v>9.6</v>
      </c>
      <c r="B130" s="41" t="s">
        <v>279</v>
      </c>
      <c r="C130" s="40" t="s">
        <v>18</v>
      </c>
      <c r="D130" s="40" t="s">
        <v>280</v>
      </c>
      <c r="E130" s="46"/>
      <c r="F130" s="41" t="s">
        <v>21</v>
      </c>
      <c r="G130" s="41">
        <v>28.0</v>
      </c>
      <c r="H130" s="41" t="s">
        <v>29</v>
      </c>
      <c r="I130" s="42">
        <v>1.0</v>
      </c>
      <c r="J130" s="43"/>
      <c r="K130" s="42">
        <v>0.0</v>
      </c>
      <c r="L130" s="42">
        <v>0.0</v>
      </c>
      <c r="M130" s="42">
        <v>0.0</v>
      </c>
      <c r="N130" s="42">
        <v>0.0</v>
      </c>
      <c r="O130" s="46"/>
      <c r="P130" s="36"/>
      <c r="Q130" s="36"/>
    </row>
    <row r="131">
      <c r="A131" s="42">
        <v>9.7</v>
      </c>
      <c r="B131" s="41" t="s">
        <v>322</v>
      </c>
      <c r="C131" s="40" t="s">
        <v>18</v>
      </c>
      <c r="D131" s="40" t="s">
        <v>323</v>
      </c>
      <c r="E131" s="46"/>
      <c r="F131" s="41" t="s">
        <v>21</v>
      </c>
      <c r="G131" s="41">
        <v>28.0</v>
      </c>
      <c r="H131" s="41" t="s">
        <v>22</v>
      </c>
      <c r="I131" s="42">
        <v>1.0</v>
      </c>
      <c r="J131" s="43"/>
      <c r="K131" s="44">
        <v>12000.0</v>
      </c>
      <c r="L131" s="44">
        <v>12000.0</v>
      </c>
      <c r="M131" s="42">
        <v>0.0</v>
      </c>
      <c r="N131" s="44">
        <v>12000.0</v>
      </c>
      <c r="O131" s="46"/>
      <c r="P131" s="36"/>
      <c r="Q131" s="36"/>
    </row>
    <row r="132">
      <c r="A132" s="42">
        <v>9.8</v>
      </c>
      <c r="B132" s="41" t="s">
        <v>340</v>
      </c>
      <c r="C132" s="40" t="s">
        <v>18</v>
      </c>
      <c r="D132" s="40" t="s">
        <v>282</v>
      </c>
      <c r="E132" s="46"/>
      <c r="F132" s="41" t="s">
        <v>21</v>
      </c>
      <c r="G132" s="41">
        <v>28.0</v>
      </c>
      <c r="H132" s="41" t="s">
        <v>22</v>
      </c>
      <c r="I132" s="42">
        <v>1.0</v>
      </c>
      <c r="J132" s="43"/>
      <c r="K132" s="42">
        <v>0.0</v>
      </c>
      <c r="L132" s="42">
        <v>0.0</v>
      </c>
      <c r="M132" s="42">
        <v>0.0</v>
      </c>
      <c r="N132" s="42">
        <v>0.0</v>
      </c>
      <c r="O132" s="46"/>
      <c r="P132" s="36"/>
      <c r="Q132" s="36"/>
    </row>
    <row r="133">
      <c r="A133" s="42">
        <v>9.9</v>
      </c>
      <c r="B133" s="41" t="s">
        <v>348</v>
      </c>
      <c r="C133" s="40" t="s">
        <v>18</v>
      </c>
      <c r="D133" s="40" t="s">
        <v>349</v>
      </c>
      <c r="E133" s="46"/>
      <c r="F133" s="41" t="s">
        <v>21</v>
      </c>
      <c r="G133" s="41">
        <v>21.0</v>
      </c>
      <c r="H133" s="41" t="s">
        <v>22</v>
      </c>
      <c r="I133" s="42">
        <v>2.0</v>
      </c>
      <c r="J133" s="43"/>
      <c r="K133" s="42">
        <v>0.0</v>
      </c>
      <c r="L133" s="42">
        <v>0.0</v>
      </c>
      <c r="M133" s="42">
        <v>0.0</v>
      </c>
      <c r="N133" s="42">
        <v>0.0</v>
      </c>
      <c r="O133" s="46"/>
      <c r="P133" s="36"/>
      <c r="Q133" s="36"/>
    </row>
    <row r="134">
      <c r="A134" s="42">
        <v>9.1</v>
      </c>
      <c r="B134" s="41" t="s">
        <v>285</v>
      </c>
      <c r="C134" s="40" t="s">
        <v>18</v>
      </c>
      <c r="D134" s="40" t="s">
        <v>286</v>
      </c>
      <c r="E134" s="46"/>
      <c r="F134" s="41" t="s">
        <v>21</v>
      </c>
      <c r="G134" s="41">
        <v>14.0</v>
      </c>
      <c r="H134" s="41" t="s">
        <v>22</v>
      </c>
      <c r="I134" s="42">
        <v>2.0</v>
      </c>
      <c r="J134" s="43"/>
      <c r="K134" s="42">
        <v>0.0</v>
      </c>
      <c r="L134" s="42">
        <v>0.0</v>
      </c>
      <c r="M134" s="42">
        <v>0.0</v>
      </c>
      <c r="N134" s="42">
        <v>0.0</v>
      </c>
      <c r="O134" s="46"/>
      <c r="P134" s="36"/>
      <c r="Q134" s="36"/>
    </row>
    <row r="135">
      <c r="A135" s="42">
        <v>9.11</v>
      </c>
      <c r="B135" s="41" t="s">
        <v>277</v>
      </c>
      <c r="C135" s="40" t="s">
        <v>18</v>
      </c>
      <c r="D135" s="40" t="s">
        <v>278</v>
      </c>
      <c r="E135" s="46"/>
      <c r="F135" s="41" t="s">
        <v>21</v>
      </c>
      <c r="G135" s="41">
        <v>14.0</v>
      </c>
      <c r="H135" s="41" t="s">
        <v>22</v>
      </c>
      <c r="I135" s="42">
        <v>1.0</v>
      </c>
      <c r="J135" s="43"/>
      <c r="K135" s="42">
        <v>0.0</v>
      </c>
      <c r="L135" s="42">
        <v>0.0</v>
      </c>
      <c r="M135" s="42">
        <v>0.0</v>
      </c>
      <c r="N135" s="42">
        <v>0.0</v>
      </c>
      <c r="O135" s="46"/>
      <c r="P135" s="36"/>
      <c r="Q135" s="36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50" t="s">
        <v>63</v>
      </c>
      <c r="N136" s="51">
        <v>109166.7</v>
      </c>
      <c r="O136" s="52"/>
      <c r="P136" s="36"/>
      <c r="Q136" s="36"/>
    </row>
    <row r="137">
      <c r="A137" s="56"/>
      <c r="B137" s="56"/>
      <c r="C137" s="38" t="s">
        <v>350</v>
      </c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</row>
    <row r="138">
      <c r="A138" s="39">
        <v>10.0</v>
      </c>
      <c r="B138" s="39" t="s">
        <v>351</v>
      </c>
      <c r="C138" s="40" t="s">
        <v>18</v>
      </c>
      <c r="D138" s="40" t="s">
        <v>352</v>
      </c>
      <c r="E138" s="40" t="s">
        <v>20</v>
      </c>
      <c r="F138" s="41" t="s">
        <v>21</v>
      </c>
      <c r="G138" s="41">
        <v>21.0</v>
      </c>
      <c r="H138" s="41" t="s">
        <v>22</v>
      </c>
      <c r="I138" s="42">
        <v>1.0</v>
      </c>
      <c r="J138" s="43"/>
      <c r="K138" s="44">
        <v>8272.0</v>
      </c>
      <c r="L138" s="44">
        <v>8272.0</v>
      </c>
      <c r="M138" s="42">
        <v>0.0</v>
      </c>
      <c r="N138" s="44">
        <v>8272.0</v>
      </c>
      <c r="O138" s="46"/>
      <c r="P138" s="36"/>
      <c r="Q138" s="36"/>
    </row>
    <row r="139">
      <c r="A139" s="42" t="s">
        <v>156</v>
      </c>
      <c r="B139" s="41" t="s">
        <v>353</v>
      </c>
      <c r="C139" s="40" t="s">
        <v>18</v>
      </c>
      <c r="D139" s="40" t="s">
        <v>354</v>
      </c>
      <c r="E139" s="46"/>
      <c r="F139" s="41">
        <v>36.0</v>
      </c>
      <c r="G139" s="41" t="s">
        <v>21</v>
      </c>
      <c r="H139" s="41" t="s">
        <v>22</v>
      </c>
      <c r="I139" s="42">
        <v>1.0</v>
      </c>
      <c r="J139" s="43"/>
      <c r="K139" s="44">
        <v>4195.14</v>
      </c>
      <c r="L139" s="44">
        <v>4195.14</v>
      </c>
      <c r="M139" s="42">
        <v>0.0</v>
      </c>
      <c r="N139" s="44">
        <v>4195.14</v>
      </c>
      <c r="O139" s="40" t="s">
        <v>26</v>
      </c>
      <c r="P139" s="36"/>
      <c r="Q139" s="36"/>
    </row>
    <row r="140">
      <c r="A140" s="42">
        <v>10.1</v>
      </c>
      <c r="B140" s="41" t="s">
        <v>355</v>
      </c>
      <c r="C140" s="40" t="s">
        <v>18</v>
      </c>
      <c r="D140" s="40" t="s">
        <v>356</v>
      </c>
      <c r="E140" s="46"/>
      <c r="F140" s="41" t="s">
        <v>21</v>
      </c>
      <c r="G140" s="41">
        <v>21.0</v>
      </c>
      <c r="H140" s="41" t="s">
        <v>22</v>
      </c>
      <c r="I140" s="42">
        <v>1.0</v>
      </c>
      <c r="J140" s="43"/>
      <c r="K140" s="42">
        <v>0.0</v>
      </c>
      <c r="L140" s="42">
        <v>0.0</v>
      </c>
      <c r="M140" s="42">
        <v>0.0</v>
      </c>
      <c r="N140" s="42">
        <v>0.0</v>
      </c>
      <c r="O140" s="46"/>
      <c r="P140" s="36"/>
      <c r="Q140" s="36"/>
    </row>
    <row r="141">
      <c r="A141" s="42">
        <v>10.2</v>
      </c>
      <c r="B141" s="41" t="s">
        <v>271</v>
      </c>
      <c r="C141" s="40" t="s">
        <v>18</v>
      </c>
      <c r="D141" s="40" t="s">
        <v>272</v>
      </c>
      <c r="E141" s="46"/>
      <c r="F141" s="41" t="s">
        <v>21</v>
      </c>
      <c r="G141" s="41">
        <v>21.0</v>
      </c>
      <c r="H141" s="41" t="s">
        <v>22</v>
      </c>
      <c r="I141" s="42">
        <v>1.0</v>
      </c>
      <c r="J141" s="43"/>
      <c r="K141" s="42">
        <v>0.0</v>
      </c>
      <c r="L141" s="42">
        <v>0.0</v>
      </c>
      <c r="M141" s="42">
        <v>0.0</v>
      </c>
      <c r="N141" s="42">
        <v>0.0</v>
      </c>
      <c r="O141" s="46"/>
      <c r="P141" s="36"/>
      <c r="Q141" s="36"/>
    </row>
    <row r="142">
      <c r="A142" s="42">
        <v>10.3</v>
      </c>
      <c r="B142" s="41" t="s">
        <v>285</v>
      </c>
      <c r="C142" s="40" t="s">
        <v>18</v>
      </c>
      <c r="D142" s="40" t="s">
        <v>286</v>
      </c>
      <c r="E142" s="46"/>
      <c r="F142" s="41" t="s">
        <v>21</v>
      </c>
      <c r="G142" s="41">
        <v>14.0</v>
      </c>
      <c r="H142" s="41" t="s">
        <v>22</v>
      </c>
      <c r="I142" s="42">
        <v>1.0</v>
      </c>
      <c r="J142" s="43"/>
      <c r="K142" s="42">
        <v>0.0</v>
      </c>
      <c r="L142" s="42">
        <v>0.0</v>
      </c>
      <c r="M142" s="42">
        <v>0.0</v>
      </c>
      <c r="N142" s="42">
        <v>0.0</v>
      </c>
      <c r="O142" s="46"/>
      <c r="P142" s="36"/>
      <c r="Q142" s="36"/>
    </row>
    <row r="143">
      <c r="A143" s="42">
        <v>10.4</v>
      </c>
      <c r="B143" s="41" t="s">
        <v>59</v>
      </c>
      <c r="C143" s="40" t="s">
        <v>29</v>
      </c>
      <c r="D143" s="40" t="s">
        <v>60</v>
      </c>
      <c r="E143" s="46"/>
      <c r="F143" s="41" t="s">
        <v>21</v>
      </c>
      <c r="G143" s="41">
        <v>2.0</v>
      </c>
      <c r="H143" s="41" t="s">
        <v>29</v>
      </c>
      <c r="I143" s="42">
        <v>1.0</v>
      </c>
      <c r="J143" s="43"/>
      <c r="K143" s="42">
        <v>0.0</v>
      </c>
      <c r="L143" s="42">
        <v>0.0</v>
      </c>
      <c r="M143" s="42">
        <v>0.0</v>
      </c>
      <c r="N143" s="42">
        <v>0.0</v>
      </c>
      <c r="O143" s="46"/>
      <c r="P143" s="36"/>
      <c r="Q143" s="36"/>
    </row>
    <row r="144">
      <c r="A144" s="42">
        <v>10.5</v>
      </c>
      <c r="B144" s="41" t="s">
        <v>279</v>
      </c>
      <c r="C144" s="40" t="s">
        <v>18</v>
      </c>
      <c r="D144" s="40" t="s">
        <v>280</v>
      </c>
      <c r="E144" s="46"/>
      <c r="F144" s="41" t="s">
        <v>21</v>
      </c>
      <c r="G144" s="41">
        <v>28.0</v>
      </c>
      <c r="H144" s="41" t="s">
        <v>29</v>
      </c>
      <c r="I144" s="42">
        <v>1.0</v>
      </c>
      <c r="J144" s="43"/>
      <c r="K144" s="42">
        <v>0.0</v>
      </c>
      <c r="L144" s="42">
        <v>0.0</v>
      </c>
      <c r="M144" s="42">
        <v>0.0</v>
      </c>
      <c r="N144" s="42">
        <v>0.0</v>
      </c>
      <c r="O144" s="46"/>
      <c r="P144" s="36"/>
      <c r="Q144" s="36"/>
    </row>
    <row r="145">
      <c r="A145" s="42">
        <v>10.6</v>
      </c>
      <c r="B145" s="41" t="s">
        <v>357</v>
      </c>
      <c r="C145" s="40" t="s">
        <v>18</v>
      </c>
      <c r="D145" s="40" t="s">
        <v>358</v>
      </c>
      <c r="E145" s="46"/>
      <c r="F145" s="41" t="s">
        <v>21</v>
      </c>
      <c r="G145" s="41">
        <v>21.0</v>
      </c>
      <c r="H145" s="41" t="s">
        <v>29</v>
      </c>
      <c r="I145" s="42">
        <v>1.0</v>
      </c>
      <c r="J145" s="43"/>
      <c r="K145" s="42">
        <v>0.0</v>
      </c>
      <c r="L145" s="42">
        <v>0.0</v>
      </c>
      <c r="M145" s="42">
        <v>0.0</v>
      </c>
      <c r="N145" s="42">
        <v>0.0</v>
      </c>
      <c r="O145" s="46"/>
      <c r="P145" s="36"/>
      <c r="Q145" s="36"/>
    </row>
    <row r="146">
      <c r="A146" s="42">
        <v>10.7</v>
      </c>
      <c r="B146" s="41" t="s">
        <v>359</v>
      </c>
      <c r="C146" s="40" t="s">
        <v>18</v>
      </c>
      <c r="D146" s="40" t="s">
        <v>360</v>
      </c>
      <c r="E146" s="46"/>
      <c r="F146" s="41" t="s">
        <v>21</v>
      </c>
      <c r="G146" s="41">
        <v>21.0</v>
      </c>
      <c r="H146" s="41" t="s">
        <v>29</v>
      </c>
      <c r="I146" s="42">
        <v>1.0</v>
      </c>
      <c r="J146" s="43"/>
      <c r="K146" s="44">
        <v>0.0</v>
      </c>
      <c r="L146" s="44">
        <v>0.0</v>
      </c>
      <c r="M146" s="42">
        <v>0.0</v>
      </c>
      <c r="N146" s="44">
        <v>0.0</v>
      </c>
      <c r="O146" s="46"/>
      <c r="P146" s="36"/>
      <c r="Q146" s="36"/>
    </row>
    <row r="147">
      <c r="A147" s="42">
        <v>10.8</v>
      </c>
      <c r="B147" s="41" t="s">
        <v>361</v>
      </c>
      <c r="C147" s="40" t="s">
        <v>18</v>
      </c>
      <c r="D147" s="40" t="s">
        <v>362</v>
      </c>
      <c r="E147" s="46"/>
      <c r="F147" s="41" t="s">
        <v>21</v>
      </c>
      <c r="G147" s="41">
        <v>21.0</v>
      </c>
      <c r="H147" s="41" t="s">
        <v>29</v>
      </c>
      <c r="I147" s="42">
        <v>1.0</v>
      </c>
      <c r="J147" s="43"/>
      <c r="K147" s="42">
        <v>0.0</v>
      </c>
      <c r="L147" s="42">
        <v>0.0</v>
      </c>
      <c r="M147" s="42">
        <v>0.0</v>
      </c>
      <c r="N147" s="42">
        <v>0.0</v>
      </c>
      <c r="O147" s="46"/>
      <c r="P147" s="36"/>
      <c r="Q147" s="36"/>
    </row>
    <row r="148">
      <c r="A148" s="42">
        <v>10.9</v>
      </c>
      <c r="B148" s="41" t="s">
        <v>363</v>
      </c>
      <c r="C148" s="40" t="s">
        <v>18</v>
      </c>
      <c r="D148" s="40" t="s">
        <v>364</v>
      </c>
      <c r="E148" s="46"/>
      <c r="F148" s="41" t="s">
        <v>21</v>
      </c>
      <c r="G148" s="41">
        <v>21.0</v>
      </c>
      <c r="H148" s="41" t="s">
        <v>29</v>
      </c>
      <c r="I148" s="42">
        <v>1.0</v>
      </c>
      <c r="J148" s="43"/>
      <c r="K148" s="42">
        <v>0.0</v>
      </c>
      <c r="L148" s="42">
        <v>0.0</v>
      </c>
      <c r="M148" s="42">
        <v>0.0</v>
      </c>
      <c r="N148" s="42">
        <v>0.0</v>
      </c>
      <c r="O148" s="46"/>
      <c r="P148" s="36"/>
      <c r="Q148" s="36"/>
    </row>
    <row r="149">
      <c r="A149" s="42">
        <v>10.1</v>
      </c>
      <c r="B149" s="41" t="s">
        <v>365</v>
      </c>
      <c r="C149" s="40" t="s">
        <v>18</v>
      </c>
      <c r="D149" s="40" t="s">
        <v>366</v>
      </c>
      <c r="E149" s="46"/>
      <c r="F149" s="41" t="s">
        <v>21</v>
      </c>
      <c r="G149" s="41">
        <v>28.0</v>
      </c>
      <c r="H149" s="41" t="s">
        <v>22</v>
      </c>
      <c r="I149" s="42">
        <v>1.0</v>
      </c>
      <c r="J149" s="43"/>
      <c r="K149" s="44">
        <v>1500.0</v>
      </c>
      <c r="L149" s="44">
        <v>1500.0</v>
      </c>
      <c r="M149" s="42">
        <v>0.0</v>
      </c>
      <c r="N149" s="44">
        <v>1500.0</v>
      </c>
      <c r="O149" s="46"/>
      <c r="P149" s="36"/>
      <c r="Q149" s="36"/>
    </row>
    <row r="150">
      <c r="A150" s="42">
        <v>10.11</v>
      </c>
      <c r="B150" s="41" t="s">
        <v>277</v>
      </c>
      <c r="C150" s="40" t="s">
        <v>18</v>
      </c>
      <c r="D150" s="40" t="s">
        <v>278</v>
      </c>
      <c r="E150" s="46"/>
      <c r="F150" s="41" t="s">
        <v>21</v>
      </c>
      <c r="G150" s="41">
        <v>14.0</v>
      </c>
      <c r="H150" s="41" t="s">
        <v>22</v>
      </c>
      <c r="I150" s="42">
        <v>1.0</v>
      </c>
      <c r="J150" s="43"/>
      <c r="K150" s="42">
        <v>0.0</v>
      </c>
      <c r="L150" s="42">
        <v>0.0</v>
      </c>
      <c r="M150" s="42">
        <v>0.0</v>
      </c>
      <c r="N150" s="42">
        <v>0.0</v>
      </c>
      <c r="O150" s="46"/>
      <c r="P150" s="36"/>
      <c r="Q150" s="36"/>
    </row>
    <row r="151">
      <c r="A151" s="42">
        <v>10.12</v>
      </c>
      <c r="B151" s="41" t="s">
        <v>367</v>
      </c>
      <c r="C151" s="40" t="s">
        <v>18</v>
      </c>
      <c r="D151" s="40" t="s">
        <v>282</v>
      </c>
      <c r="E151" s="46"/>
      <c r="F151" s="41" t="s">
        <v>21</v>
      </c>
      <c r="G151" s="41">
        <v>21.0</v>
      </c>
      <c r="H151" s="41" t="s">
        <v>29</v>
      </c>
      <c r="I151" s="42">
        <v>1.0</v>
      </c>
      <c r="J151" s="43"/>
      <c r="K151" s="42">
        <v>0.0</v>
      </c>
      <c r="L151" s="42">
        <v>0.0</v>
      </c>
      <c r="M151" s="42">
        <v>0.0</v>
      </c>
      <c r="N151" s="44">
        <v>0.0</v>
      </c>
      <c r="O151" s="46"/>
      <c r="P151" s="36"/>
      <c r="Q151" s="36"/>
    </row>
    <row r="152">
      <c r="A152" s="48"/>
      <c r="B152" s="48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50" t="s">
        <v>63</v>
      </c>
      <c r="N152" s="51">
        <v>13967.14</v>
      </c>
      <c r="O152" s="55"/>
      <c r="P152" s="54"/>
      <c r="Q152" s="54"/>
    </row>
    <row r="153">
      <c r="A153" s="37"/>
      <c r="B153" s="37"/>
      <c r="C153" s="38" t="s">
        <v>368</v>
      </c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</row>
    <row r="154">
      <c r="A154" s="39">
        <v>11.0</v>
      </c>
      <c r="B154" s="39" t="s">
        <v>351</v>
      </c>
      <c r="C154" s="40" t="s">
        <v>18</v>
      </c>
      <c r="D154" s="40" t="s">
        <v>352</v>
      </c>
      <c r="E154" s="40" t="s">
        <v>20</v>
      </c>
      <c r="F154" s="41" t="s">
        <v>21</v>
      </c>
      <c r="G154" s="41">
        <v>21.0</v>
      </c>
      <c r="H154" s="41" t="s">
        <v>22</v>
      </c>
      <c r="I154" s="42">
        <v>1.0</v>
      </c>
      <c r="J154" s="43"/>
      <c r="K154" s="44">
        <v>8272.0</v>
      </c>
      <c r="L154" s="44">
        <v>8272.0</v>
      </c>
      <c r="M154" s="42">
        <v>0.0</v>
      </c>
      <c r="N154" s="44">
        <v>8272.0</v>
      </c>
      <c r="O154" s="45"/>
      <c r="P154" s="36"/>
      <c r="Q154" s="36"/>
    </row>
    <row r="155">
      <c r="A155" s="42" t="s">
        <v>369</v>
      </c>
      <c r="B155" s="41" t="s">
        <v>353</v>
      </c>
      <c r="C155" s="40" t="s">
        <v>18</v>
      </c>
      <c r="D155" s="40" t="s">
        <v>354</v>
      </c>
      <c r="E155" s="46"/>
      <c r="F155" s="41">
        <v>36.0</v>
      </c>
      <c r="G155" s="41" t="s">
        <v>21</v>
      </c>
      <c r="H155" s="41" t="s">
        <v>22</v>
      </c>
      <c r="I155" s="42">
        <v>1.0</v>
      </c>
      <c r="J155" s="43"/>
      <c r="K155" s="44">
        <v>4195.14</v>
      </c>
      <c r="L155" s="44">
        <v>4195.14</v>
      </c>
      <c r="M155" s="42">
        <v>0.0</v>
      </c>
      <c r="N155" s="44">
        <v>4195.14</v>
      </c>
      <c r="O155" s="40" t="s">
        <v>26</v>
      </c>
      <c r="P155" s="36"/>
      <c r="Q155" s="36"/>
    </row>
    <row r="156">
      <c r="A156" s="42">
        <v>11.1</v>
      </c>
      <c r="B156" s="41" t="s">
        <v>355</v>
      </c>
      <c r="C156" s="40" t="s">
        <v>18</v>
      </c>
      <c r="D156" s="40" t="s">
        <v>356</v>
      </c>
      <c r="E156" s="46"/>
      <c r="F156" s="41" t="s">
        <v>21</v>
      </c>
      <c r="G156" s="41">
        <v>21.0</v>
      </c>
      <c r="H156" s="41" t="s">
        <v>22</v>
      </c>
      <c r="I156" s="42">
        <v>1.0</v>
      </c>
      <c r="J156" s="43"/>
      <c r="K156" s="42">
        <v>0.0</v>
      </c>
      <c r="L156" s="42">
        <v>0.0</v>
      </c>
      <c r="M156" s="42">
        <v>0.0</v>
      </c>
      <c r="N156" s="42">
        <v>0.0</v>
      </c>
      <c r="O156" s="46"/>
      <c r="P156" s="36"/>
      <c r="Q156" s="36"/>
    </row>
    <row r="157">
      <c r="A157" s="42">
        <v>11.2</v>
      </c>
      <c r="B157" s="41" t="s">
        <v>271</v>
      </c>
      <c r="C157" s="40" t="s">
        <v>18</v>
      </c>
      <c r="D157" s="40" t="s">
        <v>272</v>
      </c>
      <c r="E157" s="46"/>
      <c r="F157" s="41" t="s">
        <v>21</v>
      </c>
      <c r="G157" s="41">
        <v>21.0</v>
      </c>
      <c r="H157" s="41" t="s">
        <v>22</v>
      </c>
      <c r="I157" s="42">
        <v>1.0</v>
      </c>
      <c r="J157" s="43"/>
      <c r="K157" s="42">
        <v>0.0</v>
      </c>
      <c r="L157" s="42">
        <v>0.0</v>
      </c>
      <c r="M157" s="42">
        <v>0.0</v>
      </c>
      <c r="N157" s="42">
        <v>0.0</v>
      </c>
      <c r="O157" s="46"/>
      <c r="P157" s="36"/>
      <c r="Q157" s="36"/>
    </row>
    <row r="158">
      <c r="A158" s="42">
        <v>11.3</v>
      </c>
      <c r="B158" s="41" t="s">
        <v>285</v>
      </c>
      <c r="C158" s="40" t="s">
        <v>18</v>
      </c>
      <c r="D158" s="40" t="s">
        <v>286</v>
      </c>
      <c r="E158" s="46"/>
      <c r="F158" s="41" t="s">
        <v>21</v>
      </c>
      <c r="G158" s="41">
        <v>14.0</v>
      </c>
      <c r="H158" s="41" t="s">
        <v>22</v>
      </c>
      <c r="I158" s="42">
        <v>1.0</v>
      </c>
      <c r="J158" s="43"/>
      <c r="K158" s="42">
        <v>0.0</v>
      </c>
      <c r="L158" s="42">
        <v>0.0</v>
      </c>
      <c r="M158" s="42">
        <v>0.0</v>
      </c>
      <c r="N158" s="42">
        <v>0.0</v>
      </c>
      <c r="O158" s="46"/>
      <c r="P158" s="36"/>
      <c r="Q158" s="36"/>
    </row>
    <row r="159">
      <c r="A159" s="42">
        <v>11.4</v>
      </c>
      <c r="B159" s="41" t="s">
        <v>59</v>
      </c>
      <c r="C159" s="40" t="s">
        <v>29</v>
      </c>
      <c r="D159" s="40" t="s">
        <v>60</v>
      </c>
      <c r="E159" s="46"/>
      <c r="F159" s="41" t="s">
        <v>21</v>
      </c>
      <c r="G159" s="41">
        <v>2.0</v>
      </c>
      <c r="H159" s="41" t="s">
        <v>29</v>
      </c>
      <c r="I159" s="42">
        <v>1.0</v>
      </c>
      <c r="J159" s="43"/>
      <c r="K159" s="42">
        <v>0.0</v>
      </c>
      <c r="L159" s="42">
        <v>0.0</v>
      </c>
      <c r="M159" s="42">
        <v>0.0</v>
      </c>
      <c r="N159" s="42">
        <v>0.0</v>
      </c>
      <c r="O159" s="46"/>
      <c r="P159" s="36"/>
      <c r="Q159" s="36"/>
    </row>
    <row r="160">
      <c r="A160" s="42">
        <v>11.5</v>
      </c>
      <c r="B160" s="41" t="s">
        <v>279</v>
      </c>
      <c r="C160" s="40" t="s">
        <v>18</v>
      </c>
      <c r="D160" s="40" t="s">
        <v>280</v>
      </c>
      <c r="E160" s="46"/>
      <c r="F160" s="41" t="s">
        <v>21</v>
      </c>
      <c r="G160" s="41">
        <v>28.0</v>
      </c>
      <c r="H160" s="41" t="s">
        <v>29</v>
      </c>
      <c r="I160" s="42">
        <v>1.0</v>
      </c>
      <c r="J160" s="43"/>
      <c r="K160" s="42">
        <v>0.0</v>
      </c>
      <c r="L160" s="42">
        <v>0.0</v>
      </c>
      <c r="M160" s="42">
        <v>0.0</v>
      </c>
      <c r="N160" s="42">
        <v>0.0</v>
      </c>
      <c r="O160" s="46"/>
      <c r="P160" s="36"/>
      <c r="Q160" s="36"/>
    </row>
    <row r="161">
      <c r="A161" s="42">
        <v>11.6</v>
      </c>
      <c r="B161" s="41" t="s">
        <v>357</v>
      </c>
      <c r="C161" s="40" t="s">
        <v>18</v>
      </c>
      <c r="D161" s="40" t="s">
        <v>358</v>
      </c>
      <c r="E161" s="46"/>
      <c r="F161" s="41" t="s">
        <v>21</v>
      </c>
      <c r="G161" s="41">
        <v>21.0</v>
      </c>
      <c r="H161" s="41" t="s">
        <v>29</v>
      </c>
      <c r="I161" s="42">
        <v>1.0</v>
      </c>
      <c r="J161" s="43"/>
      <c r="K161" s="42">
        <v>0.0</v>
      </c>
      <c r="L161" s="42">
        <v>0.0</v>
      </c>
      <c r="M161" s="42">
        <v>0.0</v>
      </c>
      <c r="N161" s="42">
        <v>0.0</v>
      </c>
      <c r="O161" s="46"/>
      <c r="P161" s="36"/>
      <c r="Q161" s="36"/>
    </row>
    <row r="162">
      <c r="A162" s="42">
        <v>11.7</v>
      </c>
      <c r="B162" s="41" t="s">
        <v>359</v>
      </c>
      <c r="C162" s="40" t="s">
        <v>18</v>
      </c>
      <c r="D162" s="40" t="s">
        <v>360</v>
      </c>
      <c r="E162" s="46"/>
      <c r="F162" s="41" t="s">
        <v>21</v>
      </c>
      <c r="G162" s="41">
        <v>21.0</v>
      </c>
      <c r="H162" s="41" t="s">
        <v>29</v>
      </c>
      <c r="I162" s="42">
        <v>1.0</v>
      </c>
      <c r="J162" s="43"/>
      <c r="K162" s="42">
        <v>0.0</v>
      </c>
      <c r="L162" s="42">
        <v>0.0</v>
      </c>
      <c r="M162" s="42">
        <v>0.0</v>
      </c>
      <c r="N162" s="42">
        <v>0.0</v>
      </c>
      <c r="O162" s="46"/>
      <c r="P162" s="36"/>
      <c r="Q162" s="36"/>
    </row>
    <row r="163">
      <c r="A163" s="42">
        <v>11.8</v>
      </c>
      <c r="B163" s="41" t="s">
        <v>361</v>
      </c>
      <c r="C163" s="40" t="s">
        <v>18</v>
      </c>
      <c r="D163" s="40" t="s">
        <v>362</v>
      </c>
      <c r="E163" s="46"/>
      <c r="F163" s="41" t="s">
        <v>21</v>
      </c>
      <c r="G163" s="41">
        <v>21.0</v>
      </c>
      <c r="H163" s="41" t="s">
        <v>29</v>
      </c>
      <c r="I163" s="42">
        <v>1.0</v>
      </c>
      <c r="J163" s="43"/>
      <c r="K163" s="42">
        <v>0.0</v>
      </c>
      <c r="L163" s="42">
        <v>0.0</v>
      </c>
      <c r="M163" s="42">
        <v>0.0</v>
      </c>
      <c r="N163" s="42">
        <v>0.0</v>
      </c>
      <c r="O163" s="46"/>
      <c r="P163" s="36"/>
      <c r="Q163" s="36"/>
    </row>
    <row r="164">
      <c r="A164" s="42">
        <v>11.9</v>
      </c>
      <c r="B164" s="41" t="s">
        <v>363</v>
      </c>
      <c r="C164" s="40" t="s">
        <v>18</v>
      </c>
      <c r="D164" s="40" t="s">
        <v>364</v>
      </c>
      <c r="E164" s="46"/>
      <c r="F164" s="41" t="s">
        <v>21</v>
      </c>
      <c r="G164" s="41">
        <v>21.0</v>
      </c>
      <c r="H164" s="41" t="s">
        <v>29</v>
      </c>
      <c r="I164" s="42">
        <v>1.0</v>
      </c>
      <c r="J164" s="43"/>
      <c r="K164" s="44">
        <v>0.0</v>
      </c>
      <c r="L164" s="44">
        <v>0.0</v>
      </c>
      <c r="M164" s="42">
        <v>0.0</v>
      </c>
      <c r="N164" s="44">
        <v>0.0</v>
      </c>
      <c r="O164" s="46"/>
      <c r="P164" s="36"/>
      <c r="Q164" s="36"/>
    </row>
    <row r="165">
      <c r="A165" s="42">
        <v>11.1</v>
      </c>
      <c r="B165" s="41" t="s">
        <v>365</v>
      </c>
      <c r="C165" s="40" t="s">
        <v>18</v>
      </c>
      <c r="D165" s="40" t="s">
        <v>366</v>
      </c>
      <c r="E165" s="46"/>
      <c r="F165" s="41" t="s">
        <v>21</v>
      </c>
      <c r="G165" s="41">
        <v>28.0</v>
      </c>
      <c r="H165" s="41" t="s">
        <v>22</v>
      </c>
      <c r="I165" s="42">
        <v>1.0</v>
      </c>
      <c r="J165" s="43"/>
      <c r="K165" s="44">
        <v>1500.0</v>
      </c>
      <c r="L165" s="44">
        <v>1500.0</v>
      </c>
      <c r="M165" s="42">
        <v>0.0</v>
      </c>
      <c r="N165" s="44">
        <v>1500.0</v>
      </c>
      <c r="O165" s="46"/>
      <c r="P165" s="36"/>
      <c r="Q165" s="36"/>
    </row>
    <row r="166">
      <c r="A166" s="42">
        <v>11.11</v>
      </c>
      <c r="B166" s="41" t="s">
        <v>367</v>
      </c>
      <c r="C166" s="40" t="s">
        <v>18</v>
      </c>
      <c r="D166" s="40" t="s">
        <v>282</v>
      </c>
      <c r="E166" s="46"/>
      <c r="F166" s="41" t="s">
        <v>21</v>
      </c>
      <c r="G166" s="41">
        <v>21.0</v>
      </c>
      <c r="H166" s="41" t="s">
        <v>29</v>
      </c>
      <c r="I166" s="42">
        <v>1.0</v>
      </c>
      <c r="J166" s="43"/>
      <c r="K166" s="42">
        <v>0.0</v>
      </c>
      <c r="L166" s="42">
        <v>0.0</v>
      </c>
      <c r="M166" s="42">
        <v>0.0</v>
      </c>
      <c r="N166" s="42">
        <v>0.0</v>
      </c>
      <c r="O166" s="46"/>
      <c r="P166" s="36"/>
      <c r="Q166" s="36"/>
    </row>
    <row r="167">
      <c r="A167" s="42">
        <v>11.12</v>
      </c>
      <c r="B167" s="41" t="s">
        <v>288</v>
      </c>
      <c r="C167" s="40" t="s">
        <v>18</v>
      </c>
      <c r="D167" s="40" t="s">
        <v>289</v>
      </c>
      <c r="E167" s="46"/>
      <c r="F167" s="41" t="s">
        <v>21</v>
      </c>
      <c r="G167" s="41">
        <v>14.0</v>
      </c>
      <c r="H167" s="41" t="s">
        <v>22</v>
      </c>
      <c r="I167" s="42">
        <v>1.0</v>
      </c>
      <c r="J167" s="43"/>
      <c r="K167" s="42">
        <v>0.0</v>
      </c>
      <c r="L167" s="42">
        <v>0.0</v>
      </c>
      <c r="M167" s="42">
        <v>0.0</v>
      </c>
      <c r="N167" s="44">
        <v>0.0</v>
      </c>
      <c r="O167" s="46"/>
      <c r="P167" s="36"/>
      <c r="Q167" s="36"/>
    </row>
    <row r="168">
      <c r="A168" s="48"/>
      <c r="B168" s="48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50" t="s">
        <v>63</v>
      </c>
      <c r="N168" s="51">
        <v>13967.14</v>
      </c>
      <c r="O168" s="55"/>
      <c r="P168" s="54"/>
      <c r="Q168" s="54"/>
    </row>
    <row r="169">
      <c r="A169" s="37"/>
      <c r="B169" s="37"/>
      <c r="C169" s="38" t="s">
        <v>290</v>
      </c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</row>
    <row r="170">
      <c r="A170" s="39">
        <v>12.0</v>
      </c>
      <c r="B170" s="39" t="s">
        <v>370</v>
      </c>
      <c r="C170" s="40" t="s">
        <v>18</v>
      </c>
      <c r="D170" s="40" t="s">
        <v>371</v>
      </c>
      <c r="E170" s="40" t="s">
        <v>20</v>
      </c>
      <c r="F170" s="41" t="s">
        <v>21</v>
      </c>
      <c r="G170" s="41">
        <v>21.0</v>
      </c>
      <c r="H170" s="41" t="s">
        <v>22</v>
      </c>
      <c r="I170" s="42">
        <v>1.0</v>
      </c>
      <c r="J170" s="43"/>
      <c r="K170" s="44">
        <v>6445.96</v>
      </c>
      <c r="L170" s="44">
        <v>6445.96</v>
      </c>
      <c r="M170" s="42">
        <v>0.0</v>
      </c>
      <c r="N170" s="44">
        <v>6445.96</v>
      </c>
      <c r="O170" s="45"/>
      <c r="P170" s="36"/>
      <c r="Q170" s="36"/>
    </row>
    <row r="171">
      <c r="A171" s="42" t="s">
        <v>169</v>
      </c>
      <c r="B171" s="41" t="s">
        <v>372</v>
      </c>
      <c r="C171" s="40" t="s">
        <v>18</v>
      </c>
      <c r="D171" s="40" t="s">
        <v>373</v>
      </c>
      <c r="E171" s="46"/>
      <c r="F171" s="41">
        <v>36.0</v>
      </c>
      <c r="G171" s="41" t="s">
        <v>21</v>
      </c>
      <c r="H171" s="41" t="s">
        <v>22</v>
      </c>
      <c r="I171" s="42">
        <v>1.0</v>
      </c>
      <c r="J171" s="43"/>
      <c r="K171" s="44">
        <v>3147.39</v>
      </c>
      <c r="L171" s="44">
        <v>3147.39</v>
      </c>
      <c r="M171" s="42">
        <v>0.0</v>
      </c>
      <c r="N171" s="44">
        <v>3147.39</v>
      </c>
      <c r="O171" s="40" t="s">
        <v>26</v>
      </c>
      <c r="P171" s="36"/>
      <c r="Q171" s="36"/>
    </row>
    <row r="172">
      <c r="A172" s="42">
        <v>12.1</v>
      </c>
      <c r="B172" s="41" t="s">
        <v>355</v>
      </c>
      <c r="C172" s="40" t="s">
        <v>18</v>
      </c>
      <c r="D172" s="40" t="s">
        <v>356</v>
      </c>
      <c r="E172" s="46"/>
      <c r="F172" s="41" t="s">
        <v>21</v>
      </c>
      <c r="G172" s="41">
        <v>21.0</v>
      </c>
      <c r="H172" s="41" t="s">
        <v>22</v>
      </c>
      <c r="I172" s="42">
        <v>1.0</v>
      </c>
      <c r="J172" s="43"/>
      <c r="K172" s="42">
        <v>0.0</v>
      </c>
      <c r="L172" s="42">
        <v>0.0</v>
      </c>
      <c r="M172" s="42">
        <v>0.0</v>
      </c>
      <c r="N172" s="42">
        <v>0.0</v>
      </c>
      <c r="O172" s="46"/>
      <c r="P172" s="36"/>
      <c r="Q172" s="36"/>
    </row>
    <row r="173">
      <c r="A173" s="42">
        <v>12.2</v>
      </c>
      <c r="B173" s="41" t="s">
        <v>271</v>
      </c>
      <c r="C173" s="40" t="s">
        <v>18</v>
      </c>
      <c r="D173" s="40" t="s">
        <v>272</v>
      </c>
      <c r="E173" s="46"/>
      <c r="F173" s="41" t="s">
        <v>21</v>
      </c>
      <c r="G173" s="41">
        <v>21.0</v>
      </c>
      <c r="H173" s="41" t="s">
        <v>22</v>
      </c>
      <c r="I173" s="42">
        <v>1.0</v>
      </c>
      <c r="J173" s="43"/>
      <c r="K173" s="42">
        <v>0.0</v>
      </c>
      <c r="L173" s="42">
        <v>0.0</v>
      </c>
      <c r="M173" s="42">
        <v>0.0</v>
      </c>
      <c r="N173" s="42">
        <v>0.0</v>
      </c>
      <c r="O173" s="46"/>
      <c r="P173" s="36"/>
      <c r="Q173" s="36"/>
    </row>
    <row r="174">
      <c r="A174" s="42">
        <v>12.3</v>
      </c>
      <c r="B174" s="41" t="s">
        <v>285</v>
      </c>
      <c r="C174" s="40" t="s">
        <v>18</v>
      </c>
      <c r="D174" s="40" t="s">
        <v>286</v>
      </c>
      <c r="E174" s="46"/>
      <c r="F174" s="41" t="s">
        <v>21</v>
      </c>
      <c r="G174" s="41">
        <v>14.0</v>
      </c>
      <c r="H174" s="41" t="s">
        <v>22</v>
      </c>
      <c r="I174" s="42">
        <v>1.0</v>
      </c>
      <c r="J174" s="43"/>
      <c r="K174" s="42">
        <v>0.0</v>
      </c>
      <c r="L174" s="42">
        <v>0.0</v>
      </c>
      <c r="M174" s="42">
        <v>0.0</v>
      </c>
      <c r="N174" s="42">
        <v>0.0</v>
      </c>
      <c r="O174" s="46"/>
      <c r="P174" s="36"/>
      <c r="Q174" s="36"/>
    </row>
    <row r="175">
      <c r="A175" s="42">
        <v>12.4</v>
      </c>
      <c r="B175" s="41" t="s">
        <v>59</v>
      </c>
      <c r="C175" s="40" t="s">
        <v>29</v>
      </c>
      <c r="D175" s="40" t="s">
        <v>60</v>
      </c>
      <c r="E175" s="46"/>
      <c r="F175" s="41" t="s">
        <v>21</v>
      </c>
      <c r="G175" s="41">
        <v>2.0</v>
      </c>
      <c r="H175" s="41" t="s">
        <v>29</v>
      </c>
      <c r="I175" s="42">
        <v>1.0</v>
      </c>
      <c r="J175" s="43"/>
      <c r="K175" s="42">
        <v>0.0</v>
      </c>
      <c r="L175" s="42">
        <v>0.0</v>
      </c>
      <c r="M175" s="42">
        <v>0.0</v>
      </c>
      <c r="N175" s="42">
        <v>0.0</v>
      </c>
      <c r="O175" s="46"/>
      <c r="P175" s="36"/>
      <c r="Q175" s="36"/>
    </row>
    <row r="176">
      <c r="A176" s="42">
        <v>12.5</v>
      </c>
      <c r="B176" s="41" t="s">
        <v>279</v>
      </c>
      <c r="C176" s="40" t="s">
        <v>18</v>
      </c>
      <c r="D176" s="40" t="s">
        <v>280</v>
      </c>
      <c r="E176" s="46"/>
      <c r="F176" s="41" t="s">
        <v>21</v>
      </c>
      <c r="G176" s="41">
        <v>28.0</v>
      </c>
      <c r="H176" s="41" t="s">
        <v>29</v>
      </c>
      <c r="I176" s="42">
        <v>1.0</v>
      </c>
      <c r="J176" s="43"/>
      <c r="K176" s="42">
        <v>0.0</v>
      </c>
      <c r="L176" s="42">
        <v>0.0</v>
      </c>
      <c r="M176" s="42">
        <v>0.0</v>
      </c>
      <c r="N176" s="42">
        <v>0.0</v>
      </c>
      <c r="O176" s="46"/>
      <c r="P176" s="36"/>
      <c r="Q176" s="36"/>
    </row>
    <row r="177">
      <c r="A177" s="42">
        <v>12.6</v>
      </c>
      <c r="B177" s="41" t="s">
        <v>357</v>
      </c>
      <c r="C177" s="40" t="s">
        <v>18</v>
      </c>
      <c r="D177" s="40" t="s">
        <v>358</v>
      </c>
      <c r="E177" s="46"/>
      <c r="F177" s="41" t="s">
        <v>21</v>
      </c>
      <c r="G177" s="41">
        <v>21.0</v>
      </c>
      <c r="H177" s="41" t="s">
        <v>29</v>
      </c>
      <c r="I177" s="42">
        <v>1.0</v>
      </c>
      <c r="J177" s="43"/>
      <c r="K177" s="42">
        <v>0.0</v>
      </c>
      <c r="L177" s="42">
        <v>0.0</v>
      </c>
      <c r="M177" s="42">
        <v>0.0</v>
      </c>
      <c r="N177" s="42">
        <v>0.0</v>
      </c>
      <c r="O177" s="46"/>
      <c r="P177" s="36"/>
      <c r="Q177" s="36"/>
    </row>
    <row r="178">
      <c r="A178" s="42">
        <v>12.7</v>
      </c>
      <c r="B178" s="41" t="s">
        <v>359</v>
      </c>
      <c r="C178" s="40" t="s">
        <v>18</v>
      </c>
      <c r="D178" s="40" t="s">
        <v>360</v>
      </c>
      <c r="E178" s="46"/>
      <c r="F178" s="41" t="s">
        <v>21</v>
      </c>
      <c r="G178" s="41">
        <v>21.0</v>
      </c>
      <c r="H178" s="41" t="s">
        <v>29</v>
      </c>
      <c r="I178" s="42">
        <v>1.0</v>
      </c>
      <c r="J178" s="43"/>
      <c r="K178" s="42">
        <v>0.0</v>
      </c>
      <c r="L178" s="42">
        <v>0.0</v>
      </c>
      <c r="M178" s="42">
        <v>0.0</v>
      </c>
      <c r="N178" s="42">
        <v>0.0</v>
      </c>
      <c r="O178" s="46"/>
      <c r="P178" s="36"/>
      <c r="Q178" s="36"/>
    </row>
    <row r="179">
      <c r="A179" s="42">
        <v>12.8</v>
      </c>
      <c r="B179" s="41" t="s">
        <v>361</v>
      </c>
      <c r="C179" s="40" t="s">
        <v>18</v>
      </c>
      <c r="D179" s="40" t="s">
        <v>362</v>
      </c>
      <c r="E179" s="46"/>
      <c r="F179" s="41" t="s">
        <v>21</v>
      </c>
      <c r="G179" s="41">
        <v>21.0</v>
      </c>
      <c r="H179" s="41" t="s">
        <v>29</v>
      </c>
      <c r="I179" s="42">
        <v>1.0</v>
      </c>
      <c r="J179" s="43"/>
      <c r="K179" s="42">
        <v>0.0</v>
      </c>
      <c r="L179" s="42">
        <v>0.0</v>
      </c>
      <c r="M179" s="42">
        <v>0.0</v>
      </c>
      <c r="N179" s="42">
        <v>0.0</v>
      </c>
      <c r="O179" s="46"/>
      <c r="P179" s="36"/>
      <c r="Q179" s="36"/>
    </row>
    <row r="180">
      <c r="A180" s="42">
        <v>12.9</v>
      </c>
      <c r="B180" s="41" t="s">
        <v>363</v>
      </c>
      <c r="C180" s="40" t="s">
        <v>18</v>
      </c>
      <c r="D180" s="40" t="s">
        <v>364</v>
      </c>
      <c r="E180" s="46"/>
      <c r="F180" s="41" t="s">
        <v>21</v>
      </c>
      <c r="G180" s="41">
        <v>21.0</v>
      </c>
      <c r="H180" s="41" t="s">
        <v>29</v>
      </c>
      <c r="I180" s="42">
        <v>1.0</v>
      </c>
      <c r="J180" s="43"/>
      <c r="K180" s="44">
        <v>0.0</v>
      </c>
      <c r="L180" s="44">
        <v>0.0</v>
      </c>
      <c r="M180" s="42">
        <v>0.0</v>
      </c>
      <c r="N180" s="44">
        <v>0.0</v>
      </c>
      <c r="O180" s="46"/>
      <c r="P180" s="36"/>
      <c r="Q180" s="36"/>
    </row>
    <row r="181">
      <c r="A181" s="42">
        <v>12.1</v>
      </c>
      <c r="B181" s="41" t="s">
        <v>365</v>
      </c>
      <c r="C181" s="40" t="s">
        <v>18</v>
      </c>
      <c r="D181" s="40" t="s">
        <v>366</v>
      </c>
      <c r="E181" s="46"/>
      <c r="F181" s="41" t="s">
        <v>21</v>
      </c>
      <c r="G181" s="41">
        <v>28.0</v>
      </c>
      <c r="H181" s="41" t="s">
        <v>22</v>
      </c>
      <c r="I181" s="42">
        <v>1.0</v>
      </c>
      <c r="J181" s="43"/>
      <c r="K181" s="44">
        <v>1500.0</v>
      </c>
      <c r="L181" s="44">
        <v>1500.0</v>
      </c>
      <c r="M181" s="42">
        <v>0.0</v>
      </c>
      <c r="N181" s="44">
        <v>1500.0</v>
      </c>
      <c r="O181" s="46"/>
      <c r="P181" s="36"/>
      <c r="Q181" s="36"/>
    </row>
    <row r="182">
      <c r="A182" s="42">
        <v>12.11</v>
      </c>
      <c r="B182" s="41" t="s">
        <v>367</v>
      </c>
      <c r="C182" s="40" t="s">
        <v>18</v>
      </c>
      <c r="D182" s="40" t="s">
        <v>282</v>
      </c>
      <c r="E182" s="46"/>
      <c r="F182" s="41" t="s">
        <v>21</v>
      </c>
      <c r="G182" s="41">
        <v>21.0</v>
      </c>
      <c r="H182" s="41" t="s">
        <v>29</v>
      </c>
      <c r="I182" s="42">
        <v>1.0</v>
      </c>
      <c r="J182" s="43"/>
      <c r="K182" s="42">
        <v>0.0</v>
      </c>
      <c r="L182" s="42">
        <v>0.0</v>
      </c>
      <c r="M182" s="42">
        <v>0.0</v>
      </c>
      <c r="N182" s="42">
        <v>0.0</v>
      </c>
      <c r="O182" s="46"/>
      <c r="P182" s="36"/>
      <c r="Q182" s="36"/>
    </row>
    <row r="183">
      <c r="A183" s="42">
        <v>12.12</v>
      </c>
      <c r="B183" s="41" t="s">
        <v>277</v>
      </c>
      <c r="C183" s="40" t="s">
        <v>18</v>
      </c>
      <c r="D183" s="40" t="s">
        <v>278</v>
      </c>
      <c r="E183" s="46"/>
      <c r="F183" s="41" t="s">
        <v>21</v>
      </c>
      <c r="G183" s="41">
        <v>14.0</v>
      </c>
      <c r="H183" s="41" t="s">
        <v>22</v>
      </c>
      <c r="I183" s="42">
        <v>1.0</v>
      </c>
      <c r="J183" s="43"/>
      <c r="K183" s="42">
        <v>0.0</v>
      </c>
      <c r="L183" s="42">
        <v>0.0</v>
      </c>
      <c r="M183" s="42">
        <v>0.0</v>
      </c>
      <c r="N183" s="44">
        <v>0.0</v>
      </c>
      <c r="O183" s="46"/>
      <c r="P183" s="36"/>
      <c r="Q183" s="36"/>
    </row>
    <row r="184">
      <c r="A184" s="48"/>
      <c r="B184" s="48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50" t="s">
        <v>63</v>
      </c>
      <c r="N184" s="51">
        <v>11093.35</v>
      </c>
      <c r="O184" s="55"/>
      <c r="P184" s="54"/>
      <c r="Q184" s="54"/>
    </row>
    <row r="185">
      <c r="A185" s="37"/>
      <c r="B185" s="37"/>
      <c r="C185" s="38" t="s">
        <v>290</v>
      </c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</row>
    <row r="186">
      <c r="A186" s="39">
        <v>13.0</v>
      </c>
      <c r="B186" s="39" t="s">
        <v>374</v>
      </c>
      <c r="C186" s="40" t="s">
        <v>18</v>
      </c>
      <c r="D186" s="40" t="s">
        <v>375</v>
      </c>
      <c r="E186" s="40" t="s">
        <v>20</v>
      </c>
      <c r="F186" s="41" t="s">
        <v>21</v>
      </c>
      <c r="G186" s="41">
        <v>21.0</v>
      </c>
      <c r="H186" s="41" t="s">
        <v>22</v>
      </c>
      <c r="I186" s="42">
        <v>1.0</v>
      </c>
      <c r="J186" s="43"/>
      <c r="K186" s="44">
        <v>5371.63</v>
      </c>
      <c r="L186" s="44">
        <v>5371.63</v>
      </c>
      <c r="M186" s="42">
        <v>0.0</v>
      </c>
      <c r="N186" s="44">
        <v>5371.63</v>
      </c>
      <c r="O186" s="45"/>
      <c r="P186" s="36"/>
      <c r="Q186" s="36"/>
    </row>
    <row r="187">
      <c r="A187" s="42" t="s">
        <v>189</v>
      </c>
      <c r="B187" s="41" t="s">
        <v>376</v>
      </c>
      <c r="C187" s="40" t="s">
        <v>18</v>
      </c>
      <c r="D187" s="40" t="s">
        <v>377</v>
      </c>
      <c r="E187" s="46"/>
      <c r="F187" s="41">
        <v>36.0</v>
      </c>
      <c r="G187" s="41" t="s">
        <v>21</v>
      </c>
      <c r="H187" s="41" t="s">
        <v>22</v>
      </c>
      <c r="I187" s="42">
        <v>1.0</v>
      </c>
      <c r="J187" s="43"/>
      <c r="K187" s="44">
        <v>2726.64</v>
      </c>
      <c r="L187" s="44">
        <v>2726.64</v>
      </c>
      <c r="M187" s="42">
        <v>0.0</v>
      </c>
      <c r="N187" s="44">
        <v>2726.64</v>
      </c>
      <c r="O187" s="40" t="s">
        <v>26</v>
      </c>
      <c r="P187" s="36"/>
      <c r="Q187" s="36"/>
    </row>
    <row r="188">
      <c r="A188" s="42">
        <v>13.1</v>
      </c>
      <c r="B188" s="41" t="s">
        <v>378</v>
      </c>
      <c r="C188" s="40" t="s">
        <v>18</v>
      </c>
      <c r="D188" s="40" t="s">
        <v>379</v>
      </c>
      <c r="E188" s="46"/>
      <c r="F188" s="41" t="s">
        <v>21</v>
      </c>
      <c r="G188" s="41">
        <v>21.0</v>
      </c>
      <c r="H188" s="41" t="s">
        <v>29</v>
      </c>
      <c r="I188" s="42">
        <v>1.0</v>
      </c>
      <c r="J188" s="43"/>
      <c r="K188" s="42">
        <v>0.0</v>
      </c>
      <c r="L188" s="42">
        <v>0.0</v>
      </c>
      <c r="M188" s="42">
        <v>0.0</v>
      </c>
      <c r="N188" s="42">
        <v>0.0</v>
      </c>
      <c r="O188" s="46"/>
      <c r="P188" s="36"/>
      <c r="Q188" s="36"/>
    </row>
    <row r="189">
      <c r="A189" s="42">
        <v>13.2</v>
      </c>
      <c r="B189" s="41" t="s">
        <v>273</v>
      </c>
      <c r="C189" s="40" t="s">
        <v>18</v>
      </c>
      <c r="D189" s="40" t="s">
        <v>274</v>
      </c>
      <c r="E189" s="46"/>
      <c r="F189" s="41" t="s">
        <v>21</v>
      </c>
      <c r="G189" s="41">
        <v>21.0</v>
      </c>
      <c r="H189" s="41" t="s">
        <v>29</v>
      </c>
      <c r="I189" s="42">
        <v>1.0</v>
      </c>
      <c r="J189" s="43"/>
      <c r="K189" s="42">
        <v>0.0</v>
      </c>
      <c r="L189" s="42">
        <v>0.0</v>
      </c>
      <c r="M189" s="42">
        <v>0.0</v>
      </c>
      <c r="N189" s="42">
        <v>0.0</v>
      </c>
      <c r="O189" s="46"/>
      <c r="P189" s="36"/>
      <c r="Q189" s="36"/>
    </row>
    <row r="190">
      <c r="A190" s="42">
        <v>13.3</v>
      </c>
      <c r="B190" s="41" t="s">
        <v>59</v>
      </c>
      <c r="C190" s="40" t="s">
        <v>29</v>
      </c>
      <c r="D190" s="40" t="s">
        <v>60</v>
      </c>
      <c r="E190" s="46"/>
      <c r="F190" s="41" t="s">
        <v>21</v>
      </c>
      <c r="G190" s="41">
        <v>2.0</v>
      </c>
      <c r="H190" s="41" t="s">
        <v>29</v>
      </c>
      <c r="I190" s="42">
        <v>1.0</v>
      </c>
      <c r="J190" s="43"/>
      <c r="K190" s="42">
        <v>0.0</v>
      </c>
      <c r="L190" s="42">
        <v>0.0</v>
      </c>
      <c r="M190" s="42">
        <v>0.0</v>
      </c>
      <c r="N190" s="42">
        <v>0.0</v>
      </c>
      <c r="O190" s="46"/>
      <c r="P190" s="36"/>
      <c r="Q190" s="36"/>
    </row>
    <row r="191">
      <c r="A191" s="42">
        <v>13.4</v>
      </c>
      <c r="B191" s="41" t="s">
        <v>279</v>
      </c>
      <c r="C191" s="40" t="s">
        <v>18</v>
      </c>
      <c r="D191" s="40" t="s">
        <v>280</v>
      </c>
      <c r="E191" s="46"/>
      <c r="F191" s="41" t="s">
        <v>21</v>
      </c>
      <c r="G191" s="41">
        <v>28.0</v>
      </c>
      <c r="H191" s="41" t="s">
        <v>29</v>
      </c>
      <c r="I191" s="42">
        <v>1.0</v>
      </c>
      <c r="J191" s="43"/>
      <c r="K191" s="42">
        <v>0.0</v>
      </c>
      <c r="L191" s="42">
        <v>0.0</v>
      </c>
      <c r="M191" s="42">
        <v>0.0</v>
      </c>
      <c r="N191" s="42">
        <v>0.0</v>
      </c>
      <c r="O191" s="46"/>
      <c r="P191" s="36"/>
      <c r="Q191" s="36"/>
    </row>
    <row r="192">
      <c r="A192" s="42">
        <v>13.5</v>
      </c>
      <c r="B192" s="41" t="s">
        <v>380</v>
      </c>
      <c r="C192" s="40" t="s">
        <v>18</v>
      </c>
      <c r="D192" s="40" t="s">
        <v>381</v>
      </c>
      <c r="E192" s="46"/>
      <c r="F192" s="41" t="s">
        <v>21</v>
      </c>
      <c r="G192" s="41">
        <v>28.0</v>
      </c>
      <c r="H192" s="41" t="s">
        <v>22</v>
      </c>
      <c r="I192" s="42">
        <v>1.0</v>
      </c>
      <c r="J192" s="43"/>
      <c r="K192" s="42">
        <v>0.0</v>
      </c>
      <c r="L192" s="42">
        <v>0.0</v>
      </c>
      <c r="M192" s="42">
        <v>0.0</v>
      </c>
      <c r="N192" s="42">
        <v>0.0</v>
      </c>
      <c r="O192" s="46"/>
      <c r="P192" s="36"/>
      <c r="Q192" s="36"/>
    </row>
    <row r="193">
      <c r="A193" s="42">
        <v>13.6</v>
      </c>
      <c r="B193" s="41" t="s">
        <v>365</v>
      </c>
      <c r="C193" s="40" t="s">
        <v>18</v>
      </c>
      <c r="D193" s="40" t="s">
        <v>366</v>
      </c>
      <c r="E193" s="46"/>
      <c r="F193" s="41" t="s">
        <v>21</v>
      </c>
      <c r="G193" s="41">
        <v>28.0</v>
      </c>
      <c r="H193" s="41" t="s">
        <v>22</v>
      </c>
      <c r="I193" s="42">
        <v>1.0</v>
      </c>
      <c r="J193" s="43"/>
      <c r="K193" s="44">
        <v>1500.0</v>
      </c>
      <c r="L193" s="44">
        <v>1500.0</v>
      </c>
      <c r="M193" s="42">
        <v>0.0</v>
      </c>
      <c r="N193" s="44">
        <v>1500.0</v>
      </c>
      <c r="O193" s="46"/>
      <c r="P193" s="36"/>
      <c r="Q193" s="36"/>
    </row>
    <row r="194">
      <c r="A194" s="42">
        <v>13.7</v>
      </c>
      <c r="B194" s="41" t="s">
        <v>277</v>
      </c>
      <c r="C194" s="40" t="s">
        <v>18</v>
      </c>
      <c r="D194" s="40" t="s">
        <v>278</v>
      </c>
      <c r="E194" s="46"/>
      <c r="F194" s="41" t="s">
        <v>21</v>
      </c>
      <c r="G194" s="41">
        <v>14.0</v>
      </c>
      <c r="H194" s="41" t="s">
        <v>22</v>
      </c>
      <c r="I194" s="42">
        <v>1.0</v>
      </c>
      <c r="J194" s="43"/>
      <c r="K194" s="42">
        <v>0.0</v>
      </c>
      <c r="L194" s="42">
        <v>0.0</v>
      </c>
      <c r="M194" s="42">
        <v>0.0</v>
      </c>
      <c r="N194" s="42">
        <v>0.0</v>
      </c>
      <c r="O194" s="46"/>
      <c r="P194" s="36"/>
      <c r="Q194" s="36"/>
    </row>
    <row r="195">
      <c r="A195" s="42">
        <v>13.8</v>
      </c>
      <c r="B195" s="41" t="s">
        <v>367</v>
      </c>
      <c r="C195" s="40" t="s">
        <v>18</v>
      </c>
      <c r="D195" s="40" t="s">
        <v>282</v>
      </c>
      <c r="E195" s="46"/>
      <c r="F195" s="41" t="s">
        <v>21</v>
      </c>
      <c r="G195" s="41">
        <v>21.0</v>
      </c>
      <c r="H195" s="41" t="s">
        <v>22</v>
      </c>
      <c r="I195" s="42">
        <v>1.0</v>
      </c>
      <c r="J195" s="43"/>
      <c r="K195" s="42">
        <v>0.0</v>
      </c>
      <c r="L195" s="42">
        <v>0.0</v>
      </c>
      <c r="M195" s="42">
        <v>0.0</v>
      </c>
      <c r="N195" s="42">
        <v>0.0</v>
      </c>
      <c r="O195" s="46"/>
      <c r="P195" s="36"/>
      <c r="Q195" s="36"/>
    </row>
    <row r="196">
      <c r="A196" s="42">
        <v>13.9</v>
      </c>
      <c r="B196" s="41" t="s">
        <v>283</v>
      </c>
      <c r="C196" s="40" t="s">
        <v>18</v>
      </c>
      <c r="D196" s="40" t="s">
        <v>284</v>
      </c>
      <c r="E196" s="46"/>
      <c r="F196" s="41" t="s">
        <v>21</v>
      </c>
      <c r="G196" s="41">
        <v>28.0</v>
      </c>
      <c r="H196" s="41" t="s">
        <v>22</v>
      </c>
      <c r="I196" s="42">
        <v>1.0</v>
      </c>
      <c r="J196" s="43"/>
      <c r="K196" s="44">
        <v>1551.0</v>
      </c>
      <c r="L196" s="44">
        <v>1551.0</v>
      </c>
      <c r="M196" s="42">
        <v>0.0</v>
      </c>
      <c r="N196" s="44">
        <v>1551.0</v>
      </c>
      <c r="O196" s="46"/>
      <c r="P196" s="36"/>
      <c r="Q196" s="36"/>
    </row>
    <row r="197">
      <c r="A197" s="42">
        <v>13.1</v>
      </c>
      <c r="B197" s="41" t="s">
        <v>285</v>
      </c>
      <c r="C197" s="40" t="s">
        <v>18</v>
      </c>
      <c r="D197" s="40" t="s">
        <v>286</v>
      </c>
      <c r="E197" s="46"/>
      <c r="F197" s="41" t="s">
        <v>21</v>
      </c>
      <c r="G197" s="41">
        <v>14.0</v>
      </c>
      <c r="H197" s="41" t="s">
        <v>22</v>
      </c>
      <c r="I197" s="42">
        <v>1.0</v>
      </c>
      <c r="J197" s="43"/>
      <c r="K197" s="42">
        <v>0.0</v>
      </c>
      <c r="L197" s="42">
        <v>0.0</v>
      </c>
      <c r="M197" s="42">
        <v>0.0</v>
      </c>
      <c r="N197" s="42">
        <v>0.0</v>
      </c>
      <c r="O197" s="46"/>
      <c r="P197" s="36"/>
      <c r="Q197" s="36"/>
    </row>
    <row r="198">
      <c r="A198" s="47"/>
      <c r="B198" s="47"/>
      <c r="C198" s="47"/>
      <c r="D198" s="47"/>
      <c r="E198" s="48"/>
      <c r="F198" s="47"/>
      <c r="G198" s="47"/>
      <c r="H198" s="47"/>
      <c r="I198" s="47"/>
      <c r="J198" s="48"/>
      <c r="K198" s="47"/>
      <c r="L198" s="47"/>
      <c r="M198" s="50" t="s">
        <v>63</v>
      </c>
      <c r="N198" s="51">
        <v>11149.27</v>
      </c>
      <c r="O198" s="52"/>
      <c r="P198" s="36"/>
      <c r="Q198" s="36"/>
    </row>
    <row r="199">
      <c r="A199" s="56"/>
      <c r="B199" s="56"/>
      <c r="C199" s="38" t="s">
        <v>290</v>
      </c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</row>
    <row r="200">
      <c r="A200" s="39">
        <v>14.0</v>
      </c>
      <c r="B200" s="39" t="s">
        <v>382</v>
      </c>
      <c r="C200" s="40" t="s">
        <v>18</v>
      </c>
      <c r="D200" s="40" t="s">
        <v>383</v>
      </c>
      <c r="E200" s="40" t="s">
        <v>20</v>
      </c>
      <c r="F200" s="41" t="s">
        <v>21</v>
      </c>
      <c r="G200" s="41">
        <v>21.0</v>
      </c>
      <c r="H200" s="41" t="s">
        <v>22</v>
      </c>
      <c r="I200" s="42">
        <v>1.0</v>
      </c>
      <c r="J200" s="53"/>
      <c r="K200" s="44">
        <v>3222.98</v>
      </c>
      <c r="L200" s="44">
        <v>3222.98</v>
      </c>
      <c r="M200" s="42">
        <v>0.0</v>
      </c>
      <c r="N200" s="44">
        <v>3222.98</v>
      </c>
      <c r="O200" s="45"/>
      <c r="P200" s="54"/>
      <c r="Q200" s="54"/>
    </row>
    <row r="201">
      <c r="A201" s="42" t="s">
        <v>199</v>
      </c>
      <c r="B201" s="41" t="s">
        <v>384</v>
      </c>
      <c r="C201" s="40" t="s">
        <v>18</v>
      </c>
      <c r="D201" s="40" t="s">
        <v>377</v>
      </c>
      <c r="E201" s="45"/>
      <c r="F201" s="41">
        <v>36.0</v>
      </c>
      <c r="G201" s="41" t="s">
        <v>21</v>
      </c>
      <c r="H201" s="41" t="s">
        <v>22</v>
      </c>
      <c r="I201" s="42">
        <v>1.0</v>
      </c>
      <c r="J201" s="43"/>
      <c r="K201" s="44">
        <v>1633.5</v>
      </c>
      <c r="L201" s="44">
        <v>1633.5</v>
      </c>
      <c r="M201" s="42">
        <v>0.0</v>
      </c>
      <c r="N201" s="44">
        <v>1633.5</v>
      </c>
      <c r="O201" s="40" t="s">
        <v>26</v>
      </c>
      <c r="P201" s="36"/>
      <c r="Q201" s="36"/>
    </row>
    <row r="202">
      <c r="A202" s="42">
        <v>14.1</v>
      </c>
      <c r="B202" s="41" t="s">
        <v>59</v>
      </c>
      <c r="C202" s="40" t="s">
        <v>29</v>
      </c>
      <c r="D202" s="40" t="s">
        <v>60</v>
      </c>
      <c r="E202" s="46"/>
      <c r="F202" s="41" t="s">
        <v>21</v>
      </c>
      <c r="G202" s="41">
        <v>2.0</v>
      </c>
      <c r="H202" s="41" t="s">
        <v>29</v>
      </c>
      <c r="I202" s="42">
        <v>1.0</v>
      </c>
      <c r="J202" s="43"/>
      <c r="K202" s="44">
        <v>0.0</v>
      </c>
      <c r="L202" s="44">
        <v>0.0</v>
      </c>
      <c r="M202" s="42">
        <v>0.0</v>
      </c>
      <c r="N202" s="44">
        <v>0.0</v>
      </c>
      <c r="O202" s="45"/>
      <c r="P202" s="36"/>
      <c r="Q202" s="36"/>
    </row>
    <row r="203">
      <c r="A203" s="42">
        <v>14.2</v>
      </c>
      <c r="B203" s="41" t="s">
        <v>279</v>
      </c>
      <c r="C203" s="40" t="s">
        <v>18</v>
      </c>
      <c r="D203" s="40" t="s">
        <v>280</v>
      </c>
      <c r="E203" s="46"/>
      <c r="F203" s="41" t="s">
        <v>21</v>
      </c>
      <c r="G203" s="41">
        <v>28.0</v>
      </c>
      <c r="H203" s="41" t="s">
        <v>29</v>
      </c>
      <c r="I203" s="42">
        <v>1.0</v>
      </c>
      <c r="J203" s="43"/>
      <c r="K203" s="42">
        <v>0.0</v>
      </c>
      <c r="L203" s="42">
        <v>0.0</v>
      </c>
      <c r="M203" s="42">
        <v>0.0</v>
      </c>
      <c r="N203" s="42">
        <v>0.0</v>
      </c>
      <c r="O203" s="46"/>
      <c r="P203" s="36"/>
      <c r="Q203" s="36"/>
    </row>
    <row r="204">
      <c r="A204" s="42">
        <v>14.3</v>
      </c>
      <c r="B204" s="41" t="s">
        <v>365</v>
      </c>
      <c r="C204" s="40" t="s">
        <v>18</v>
      </c>
      <c r="D204" s="40" t="s">
        <v>366</v>
      </c>
      <c r="E204" s="46"/>
      <c r="F204" s="41" t="s">
        <v>21</v>
      </c>
      <c r="G204" s="41">
        <v>28.0</v>
      </c>
      <c r="H204" s="41" t="s">
        <v>22</v>
      </c>
      <c r="I204" s="42">
        <v>1.0</v>
      </c>
      <c r="J204" s="43"/>
      <c r="K204" s="44">
        <v>1500.0</v>
      </c>
      <c r="L204" s="44">
        <v>1500.0</v>
      </c>
      <c r="M204" s="42">
        <v>0.0</v>
      </c>
      <c r="N204" s="44">
        <v>1500.0</v>
      </c>
      <c r="O204" s="46"/>
      <c r="P204" s="36"/>
      <c r="Q204" s="36"/>
    </row>
    <row r="205">
      <c r="A205" s="42">
        <v>14.4</v>
      </c>
      <c r="B205" s="41" t="s">
        <v>277</v>
      </c>
      <c r="C205" s="40" t="s">
        <v>18</v>
      </c>
      <c r="D205" s="40" t="s">
        <v>278</v>
      </c>
      <c r="E205" s="46"/>
      <c r="F205" s="41" t="s">
        <v>21</v>
      </c>
      <c r="G205" s="41">
        <v>14.0</v>
      </c>
      <c r="H205" s="41" t="s">
        <v>22</v>
      </c>
      <c r="I205" s="42">
        <v>1.0</v>
      </c>
      <c r="J205" s="43"/>
      <c r="K205" s="42">
        <v>0.0</v>
      </c>
      <c r="L205" s="42">
        <v>0.0</v>
      </c>
      <c r="M205" s="42">
        <v>0.0</v>
      </c>
      <c r="N205" s="42">
        <v>0.0</v>
      </c>
      <c r="O205" s="46"/>
      <c r="P205" s="36"/>
      <c r="Q205" s="36"/>
    </row>
    <row r="206">
      <c r="A206" s="42">
        <v>14.5</v>
      </c>
      <c r="B206" s="41" t="s">
        <v>367</v>
      </c>
      <c r="C206" s="40" t="s">
        <v>18</v>
      </c>
      <c r="D206" s="40" t="s">
        <v>282</v>
      </c>
      <c r="E206" s="46"/>
      <c r="F206" s="41" t="s">
        <v>21</v>
      </c>
      <c r="G206" s="41">
        <v>21.0</v>
      </c>
      <c r="H206" s="41" t="s">
        <v>22</v>
      </c>
      <c r="I206" s="42">
        <v>1.0</v>
      </c>
      <c r="J206" s="43"/>
      <c r="K206" s="42">
        <v>0.0</v>
      </c>
      <c r="L206" s="42">
        <v>0.0</v>
      </c>
      <c r="M206" s="42">
        <v>0.0</v>
      </c>
      <c r="N206" s="42">
        <v>0.0</v>
      </c>
      <c r="O206" s="46"/>
      <c r="P206" s="36"/>
      <c r="Q206" s="36"/>
    </row>
    <row r="207">
      <c r="A207" s="42">
        <v>14.6</v>
      </c>
      <c r="B207" s="41" t="s">
        <v>385</v>
      </c>
      <c r="C207" s="40" t="s">
        <v>18</v>
      </c>
      <c r="D207" s="40" t="s">
        <v>386</v>
      </c>
      <c r="E207" s="46"/>
      <c r="F207" s="41" t="s">
        <v>21</v>
      </c>
      <c r="G207" s="41">
        <v>28.0</v>
      </c>
      <c r="H207" s="41" t="s">
        <v>22</v>
      </c>
      <c r="I207" s="42">
        <v>1.0</v>
      </c>
      <c r="J207" s="43"/>
      <c r="K207" s="42">
        <v>620.4</v>
      </c>
      <c r="L207" s="42">
        <v>620.4</v>
      </c>
      <c r="M207" s="42">
        <v>0.0</v>
      </c>
      <c r="N207" s="42">
        <v>620.4</v>
      </c>
      <c r="O207" s="46"/>
      <c r="P207" s="36"/>
      <c r="Q207" s="36"/>
    </row>
    <row r="208">
      <c r="A208" s="42">
        <v>14.7</v>
      </c>
      <c r="B208" s="41" t="s">
        <v>387</v>
      </c>
      <c r="C208" s="40" t="s">
        <v>18</v>
      </c>
      <c r="D208" s="40" t="s">
        <v>388</v>
      </c>
      <c r="E208" s="46"/>
      <c r="F208" s="41" t="s">
        <v>21</v>
      </c>
      <c r="G208" s="41">
        <v>3.0</v>
      </c>
      <c r="H208" s="41" t="s">
        <v>22</v>
      </c>
      <c r="I208" s="42">
        <v>1.0</v>
      </c>
      <c r="J208" s="43"/>
      <c r="K208" s="44">
        <v>0.0</v>
      </c>
      <c r="L208" s="44">
        <v>0.0</v>
      </c>
      <c r="M208" s="42">
        <v>0.0</v>
      </c>
      <c r="N208" s="44">
        <v>0.0</v>
      </c>
      <c r="O208" s="46"/>
      <c r="P208" s="36"/>
      <c r="Q208" s="36"/>
    </row>
    <row r="209">
      <c r="A209" s="47"/>
      <c r="B209" s="47"/>
      <c r="C209" s="47"/>
      <c r="D209" s="47"/>
      <c r="E209" s="48"/>
      <c r="F209" s="47"/>
      <c r="G209" s="47"/>
      <c r="H209" s="47"/>
      <c r="I209" s="47"/>
      <c r="J209" s="48"/>
      <c r="K209" s="47"/>
      <c r="L209" s="47"/>
      <c r="M209" s="50" t="s">
        <v>63</v>
      </c>
      <c r="N209" s="51">
        <v>6976.88</v>
      </c>
      <c r="O209" s="52"/>
      <c r="P209" s="36"/>
      <c r="Q209" s="36"/>
    </row>
    <row r="210">
      <c r="A210" s="37"/>
      <c r="B210" s="37"/>
      <c r="C210" s="38" t="s">
        <v>389</v>
      </c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</row>
    <row r="211">
      <c r="A211" s="39">
        <v>15.0</v>
      </c>
      <c r="B211" s="39" t="s">
        <v>390</v>
      </c>
      <c r="C211" s="40" t="s">
        <v>18</v>
      </c>
      <c r="D211" s="40" t="s">
        <v>391</v>
      </c>
      <c r="E211" s="40" t="s">
        <v>20</v>
      </c>
      <c r="F211" s="41" t="s">
        <v>21</v>
      </c>
      <c r="G211" s="41">
        <v>14.0</v>
      </c>
      <c r="H211" s="41" t="s">
        <v>22</v>
      </c>
      <c r="I211" s="42">
        <v>1.0</v>
      </c>
      <c r="J211" s="43"/>
      <c r="K211" s="44">
        <v>1181.76</v>
      </c>
      <c r="L211" s="44">
        <v>1181.76</v>
      </c>
      <c r="M211" s="42">
        <v>0.0</v>
      </c>
      <c r="N211" s="44">
        <v>1181.76</v>
      </c>
      <c r="O211" s="46"/>
      <c r="P211" s="36"/>
      <c r="Q211" s="36"/>
    </row>
    <row r="212">
      <c r="A212" s="42" t="s">
        <v>210</v>
      </c>
      <c r="B212" s="41" t="s">
        <v>392</v>
      </c>
      <c r="C212" s="40" t="s">
        <v>18</v>
      </c>
      <c r="D212" s="40" t="s">
        <v>393</v>
      </c>
      <c r="E212" s="46"/>
      <c r="F212" s="41">
        <v>36.0</v>
      </c>
      <c r="G212" s="41" t="s">
        <v>21</v>
      </c>
      <c r="H212" s="41" t="s">
        <v>22</v>
      </c>
      <c r="I212" s="42">
        <v>1.0</v>
      </c>
      <c r="J212" s="43"/>
      <c r="K212" s="42">
        <v>540.39</v>
      </c>
      <c r="L212" s="42">
        <v>540.39</v>
      </c>
      <c r="M212" s="42">
        <v>0.0</v>
      </c>
      <c r="N212" s="42">
        <v>540.39</v>
      </c>
      <c r="O212" s="40" t="s">
        <v>26</v>
      </c>
      <c r="P212" s="36"/>
      <c r="Q212" s="36"/>
    </row>
    <row r="213">
      <c r="A213" s="42">
        <v>15.1</v>
      </c>
      <c r="B213" s="41" t="s">
        <v>394</v>
      </c>
      <c r="C213" s="40" t="s">
        <v>18</v>
      </c>
      <c r="D213" s="40" t="s">
        <v>395</v>
      </c>
      <c r="E213" s="46"/>
      <c r="F213" s="41" t="s">
        <v>21</v>
      </c>
      <c r="G213" s="41">
        <v>14.0</v>
      </c>
      <c r="H213" s="41" t="s">
        <v>22</v>
      </c>
      <c r="I213" s="42">
        <v>1.0</v>
      </c>
      <c r="J213" s="43"/>
      <c r="K213" s="42">
        <v>0.0</v>
      </c>
      <c r="L213" s="42">
        <v>0.0</v>
      </c>
      <c r="M213" s="42">
        <v>0.0</v>
      </c>
      <c r="N213" s="44">
        <v>0.0</v>
      </c>
      <c r="O213" s="46"/>
      <c r="P213" s="36"/>
      <c r="Q213" s="36"/>
    </row>
    <row r="214">
      <c r="A214" s="42">
        <v>15.2</v>
      </c>
      <c r="B214" s="41" t="s">
        <v>285</v>
      </c>
      <c r="C214" s="40" t="s">
        <v>18</v>
      </c>
      <c r="D214" s="40" t="s">
        <v>286</v>
      </c>
      <c r="E214" s="45"/>
      <c r="F214" s="41" t="s">
        <v>21</v>
      </c>
      <c r="G214" s="41">
        <v>14.0</v>
      </c>
      <c r="H214" s="41" t="s">
        <v>22</v>
      </c>
      <c r="I214" s="42">
        <v>1.0</v>
      </c>
      <c r="J214" s="53"/>
      <c r="K214" s="42">
        <v>0.0</v>
      </c>
      <c r="L214" s="42">
        <v>0.0</v>
      </c>
      <c r="M214" s="42">
        <v>0.0</v>
      </c>
      <c r="N214" s="42">
        <v>0.0</v>
      </c>
      <c r="O214" s="45"/>
      <c r="P214" s="54"/>
      <c r="Q214" s="54"/>
    </row>
    <row r="215">
      <c r="A215" s="42">
        <v>15.3</v>
      </c>
      <c r="B215" s="41" t="s">
        <v>277</v>
      </c>
      <c r="C215" s="40" t="s">
        <v>18</v>
      </c>
      <c r="D215" s="40" t="s">
        <v>278</v>
      </c>
      <c r="E215" s="45"/>
      <c r="F215" s="41" t="s">
        <v>21</v>
      </c>
      <c r="G215" s="41">
        <v>14.0</v>
      </c>
      <c r="H215" s="41" t="s">
        <v>22</v>
      </c>
      <c r="I215" s="42">
        <v>1.0</v>
      </c>
      <c r="J215" s="43"/>
      <c r="K215" s="44">
        <v>0.0</v>
      </c>
      <c r="L215" s="44">
        <v>0.0</v>
      </c>
      <c r="M215" s="42">
        <v>0.0</v>
      </c>
      <c r="N215" s="44">
        <v>0.0</v>
      </c>
      <c r="O215" s="46"/>
      <c r="P215" s="36"/>
      <c r="Q215" s="36"/>
    </row>
    <row r="216">
      <c r="A216" s="42">
        <v>15.4</v>
      </c>
      <c r="B216" s="41" t="s">
        <v>396</v>
      </c>
      <c r="C216" s="40" t="s">
        <v>18</v>
      </c>
      <c r="D216" s="40" t="s">
        <v>397</v>
      </c>
      <c r="E216" s="46"/>
      <c r="F216" s="41" t="s">
        <v>21</v>
      </c>
      <c r="G216" s="41">
        <v>14.0</v>
      </c>
      <c r="H216" s="41" t="s">
        <v>22</v>
      </c>
      <c r="I216" s="42">
        <v>1.0</v>
      </c>
      <c r="J216" s="43"/>
      <c r="K216" s="44">
        <v>500.0</v>
      </c>
      <c r="L216" s="44">
        <v>500.0</v>
      </c>
      <c r="M216" s="42">
        <v>0.0</v>
      </c>
      <c r="N216" s="44">
        <v>500.0</v>
      </c>
      <c r="O216" s="45"/>
      <c r="P216" s="36"/>
      <c r="Q216" s="36"/>
    </row>
    <row r="217">
      <c r="A217" s="47"/>
      <c r="B217" s="47"/>
      <c r="C217" s="47"/>
      <c r="D217" s="47"/>
      <c r="E217" s="48"/>
      <c r="F217" s="47"/>
      <c r="G217" s="47"/>
      <c r="H217" s="47"/>
      <c r="I217" s="47"/>
      <c r="J217" s="48"/>
      <c r="K217" s="47"/>
      <c r="L217" s="47"/>
      <c r="M217" s="50" t="s">
        <v>63</v>
      </c>
      <c r="N217" s="51">
        <v>2222.15</v>
      </c>
      <c r="O217" s="52"/>
      <c r="P217" s="36"/>
      <c r="Q217" s="36"/>
    </row>
    <row r="218">
      <c r="A218" s="37"/>
      <c r="B218" s="37"/>
      <c r="C218" s="38" t="s">
        <v>327</v>
      </c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</row>
    <row r="219">
      <c r="A219" s="39">
        <v>16.0</v>
      </c>
      <c r="B219" s="39" t="s">
        <v>398</v>
      </c>
      <c r="C219" s="40" t="s">
        <v>18</v>
      </c>
      <c r="D219" s="40" t="s">
        <v>399</v>
      </c>
      <c r="E219" s="40" t="s">
        <v>20</v>
      </c>
      <c r="F219" s="41" t="s">
        <v>21</v>
      </c>
      <c r="G219" s="41">
        <v>77.0</v>
      </c>
      <c r="H219" s="41" t="s">
        <v>22</v>
      </c>
      <c r="I219" s="42">
        <v>1.0</v>
      </c>
      <c r="J219" s="43"/>
      <c r="K219" s="44">
        <v>1500.0</v>
      </c>
      <c r="L219" s="44">
        <v>1500.0</v>
      </c>
      <c r="M219" s="42">
        <v>0.0</v>
      </c>
      <c r="N219" s="44">
        <v>1500.0</v>
      </c>
      <c r="O219" s="46"/>
      <c r="P219" s="36"/>
      <c r="Q219" s="36"/>
    </row>
    <row r="220">
      <c r="A220" s="42" t="s">
        <v>400</v>
      </c>
      <c r="B220" s="41" t="s">
        <v>401</v>
      </c>
      <c r="C220" s="40" t="s">
        <v>18</v>
      </c>
      <c r="D220" s="40" t="s">
        <v>402</v>
      </c>
      <c r="E220" s="46"/>
      <c r="F220" s="41">
        <v>36.0</v>
      </c>
      <c r="G220" s="41" t="s">
        <v>21</v>
      </c>
      <c r="H220" s="41" t="s">
        <v>22</v>
      </c>
      <c r="I220" s="42">
        <v>1.0</v>
      </c>
      <c r="J220" s="43"/>
      <c r="K220" s="42">
        <v>688.89</v>
      </c>
      <c r="L220" s="42">
        <v>688.89</v>
      </c>
      <c r="M220" s="42">
        <v>0.0</v>
      </c>
      <c r="N220" s="42">
        <v>688.89</v>
      </c>
      <c r="O220" s="40" t="s">
        <v>26</v>
      </c>
      <c r="P220" s="36"/>
      <c r="Q220" s="36"/>
    </row>
    <row r="221">
      <c r="A221" s="42">
        <v>16.1</v>
      </c>
      <c r="B221" s="41" t="s">
        <v>394</v>
      </c>
      <c r="C221" s="40" t="s">
        <v>18</v>
      </c>
      <c r="D221" s="40" t="s">
        <v>395</v>
      </c>
      <c r="E221" s="46"/>
      <c r="F221" s="41" t="s">
        <v>21</v>
      </c>
      <c r="G221" s="41">
        <v>14.0</v>
      </c>
      <c r="H221" s="41" t="s">
        <v>29</v>
      </c>
      <c r="I221" s="42">
        <v>1.0</v>
      </c>
      <c r="J221" s="43"/>
      <c r="K221" s="42">
        <v>0.0</v>
      </c>
      <c r="L221" s="42">
        <v>0.0</v>
      </c>
      <c r="M221" s="42">
        <v>0.0</v>
      </c>
      <c r="N221" s="42">
        <v>0.0</v>
      </c>
      <c r="O221" s="46"/>
      <c r="P221" s="36"/>
      <c r="Q221" s="36"/>
    </row>
    <row r="222">
      <c r="A222" s="42">
        <v>16.2</v>
      </c>
      <c r="B222" s="41" t="s">
        <v>285</v>
      </c>
      <c r="C222" s="40" t="s">
        <v>18</v>
      </c>
      <c r="D222" s="40" t="s">
        <v>286</v>
      </c>
      <c r="E222" s="46"/>
      <c r="F222" s="41" t="s">
        <v>21</v>
      </c>
      <c r="G222" s="41">
        <v>14.0</v>
      </c>
      <c r="H222" s="41" t="s">
        <v>22</v>
      </c>
      <c r="I222" s="42">
        <v>1.0</v>
      </c>
      <c r="J222" s="43"/>
      <c r="K222" s="42">
        <v>0.0</v>
      </c>
      <c r="L222" s="42">
        <v>0.0</v>
      </c>
      <c r="M222" s="42">
        <v>0.0</v>
      </c>
      <c r="N222" s="42">
        <v>0.0</v>
      </c>
      <c r="O222" s="46"/>
      <c r="P222" s="36"/>
      <c r="Q222" s="36"/>
    </row>
    <row r="223">
      <c r="A223" s="42">
        <v>16.3</v>
      </c>
      <c r="B223" s="41" t="s">
        <v>288</v>
      </c>
      <c r="C223" s="40" t="s">
        <v>18</v>
      </c>
      <c r="D223" s="40" t="s">
        <v>289</v>
      </c>
      <c r="E223" s="46"/>
      <c r="F223" s="41" t="s">
        <v>21</v>
      </c>
      <c r="G223" s="41">
        <v>14.0</v>
      </c>
      <c r="H223" s="41" t="s">
        <v>22</v>
      </c>
      <c r="I223" s="42">
        <v>1.0</v>
      </c>
      <c r="J223" s="43"/>
      <c r="K223" s="42">
        <v>0.0</v>
      </c>
      <c r="L223" s="42">
        <v>0.0</v>
      </c>
      <c r="M223" s="42">
        <v>0.0</v>
      </c>
      <c r="N223" s="42">
        <v>0.0</v>
      </c>
      <c r="O223" s="46"/>
      <c r="P223" s="36"/>
      <c r="Q223" s="36"/>
    </row>
    <row r="224">
      <c r="A224" s="42">
        <v>16.4</v>
      </c>
      <c r="B224" s="41" t="s">
        <v>396</v>
      </c>
      <c r="C224" s="40" t="s">
        <v>18</v>
      </c>
      <c r="D224" s="40" t="s">
        <v>397</v>
      </c>
      <c r="E224" s="46"/>
      <c r="F224" s="41" t="s">
        <v>21</v>
      </c>
      <c r="G224" s="41">
        <v>14.0</v>
      </c>
      <c r="H224" s="41" t="s">
        <v>22</v>
      </c>
      <c r="I224" s="42">
        <v>1.0</v>
      </c>
      <c r="J224" s="43"/>
      <c r="K224" s="42">
        <v>500.0</v>
      </c>
      <c r="L224" s="42">
        <v>500.0</v>
      </c>
      <c r="M224" s="42">
        <v>0.0</v>
      </c>
      <c r="N224" s="44">
        <v>500.0</v>
      </c>
      <c r="O224" s="46"/>
      <c r="P224" s="36"/>
      <c r="Q224" s="36"/>
    </row>
    <row r="225">
      <c r="A225" s="42">
        <v>16.5</v>
      </c>
      <c r="B225" s="41" t="s">
        <v>279</v>
      </c>
      <c r="C225" s="40" t="s">
        <v>18</v>
      </c>
      <c r="D225" s="40" t="s">
        <v>280</v>
      </c>
      <c r="E225" s="45"/>
      <c r="F225" s="41" t="s">
        <v>21</v>
      </c>
      <c r="G225" s="41">
        <v>28.0</v>
      </c>
      <c r="H225" s="41" t="s">
        <v>29</v>
      </c>
      <c r="I225" s="42">
        <v>1.0</v>
      </c>
      <c r="J225" s="53"/>
      <c r="K225" s="42">
        <v>0.0</v>
      </c>
      <c r="L225" s="42">
        <v>0.0</v>
      </c>
      <c r="M225" s="42">
        <v>0.0</v>
      </c>
      <c r="N225" s="42">
        <v>0.0</v>
      </c>
      <c r="O225" s="45"/>
      <c r="P225" s="54"/>
      <c r="Q225" s="54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8"/>
      <c r="K226" s="49"/>
      <c r="L226" s="49"/>
      <c r="M226" s="50" t="s">
        <v>63</v>
      </c>
      <c r="N226" s="51">
        <v>2688.89</v>
      </c>
      <c r="O226" s="52"/>
      <c r="P226" s="36"/>
      <c r="Q226" s="36"/>
    </row>
    <row r="227">
      <c r="A227" s="37"/>
      <c r="B227" s="37"/>
      <c r="C227" s="38" t="s">
        <v>290</v>
      </c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</row>
    <row r="228">
      <c r="A228" s="39">
        <v>17.0</v>
      </c>
      <c r="B228" s="39" t="s">
        <v>403</v>
      </c>
      <c r="C228" s="40" t="s">
        <v>18</v>
      </c>
      <c r="D228" s="40" t="s">
        <v>404</v>
      </c>
      <c r="E228" s="40" t="s">
        <v>20</v>
      </c>
      <c r="F228" s="41" t="s">
        <v>21</v>
      </c>
      <c r="G228" s="41">
        <v>14.0</v>
      </c>
      <c r="H228" s="41" t="s">
        <v>22</v>
      </c>
      <c r="I228" s="42">
        <v>1.0</v>
      </c>
      <c r="J228" s="43"/>
      <c r="K228" s="44">
        <v>1504.06</v>
      </c>
      <c r="L228" s="44">
        <v>1504.06</v>
      </c>
      <c r="M228" s="42">
        <v>0.0</v>
      </c>
      <c r="N228" s="44">
        <v>1504.06</v>
      </c>
      <c r="O228" s="46"/>
      <c r="P228" s="36"/>
      <c r="Q228" s="36"/>
    </row>
    <row r="229">
      <c r="A229" s="42" t="s">
        <v>405</v>
      </c>
      <c r="B229" s="41" t="s">
        <v>406</v>
      </c>
      <c r="C229" s="40" t="s">
        <v>18</v>
      </c>
      <c r="D229" s="40" t="s">
        <v>393</v>
      </c>
      <c r="E229" s="46"/>
      <c r="F229" s="41">
        <v>36.0</v>
      </c>
      <c r="G229" s="41" t="s">
        <v>21</v>
      </c>
      <c r="H229" s="41" t="s">
        <v>22</v>
      </c>
      <c r="I229" s="42">
        <v>1.0</v>
      </c>
      <c r="J229" s="43"/>
      <c r="K229" s="42">
        <v>688.89</v>
      </c>
      <c r="L229" s="42">
        <v>688.89</v>
      </c>
      <c r="M229" s="42">
        <v>0.0</v>
      </c>
      <c r="N229" s="42">
        <v>688.89</v>
      </c>
      <c r="O229" s="40" t="s">
        <v>26</v>
      </c>
      <c r="P229" s="36"/>
      <c r="Q229" s="36"/>
    </row>
    <row r="230">
      <c r="A230" s="42">
        <v>17.1</v>
      </c>
      <c r="B230" s="41" t="s">
        <v>407</v>
      </c>
      <c r="C230" s="40" t="s">
        <v>18</v>
      </c>
      <c r="D230" s="40" t="s">
        <v>408</v>
      </c>
      <c r="E230" s="46"/>
      <c r="F230" s="41" t="s">
        <v>21</v>
      </c>
      <c r="G230" s="41">
        <v>14.0</v>
      </c>
      <c r="H230" s="41" t="s">
        <v>29</v>
      </c>
      <c r="I230" s="42">
        <v>1.0</v>
      </c>
      <c r="J230" s="43"/>
      <c r="K230" s="42">
        <v>0.0</v>
      </c>
      <c r="L230" s="42">
        <v>0.0</v>
      </c>
      <c r="M230" s="42">
        <v>0.0</v>
      </c>
      <c r="N230" s="42">
        <v>0.0</v>
      </c>
      <c r="O230" s="46"/>
      <c r="P230" s="36"/>
      <c r="Q230" s="36"/>
    </row>
    <row r="231">
      <c r="A231" s="42">
        <v>17.2</v>
      </c>
      <c r="B231" s="41" t="s">
        <v>285</v>
      </c>
      <c r="C231" s="40" t="s">
        <v>18</v>
      </c>
      <c r="D231" s="40" t="s">
        <v>286</v>
      </c>
      <c r="E231" s="46"/>
      <c r="F231" s="41" t="s">
        <v>21</v>
      </c>
      <c r="G231" s="41">
        <v>14.0</v>
      </c>
      <c r="H231" s="41" t="s">
        <v>22</v>
      </c>
      <c r="I231" s="42">
        <v>1.0</v>
      </c>
      <c r="J231" s="43"/>
      <c r="K231" s="42">
        <v>0.0</v>
      </c>
      <c r="L231" s="42">
        <v>0.0</v>
      </c>
      <c r="M231" s="42">
        <v>0.0</v>
      </c>
      <c r="N231" s="42">
        <v>0.0</v>
      </c>
      <c r="O231" s="46"/>
      <c r="P231" s="36"/>
      <c r="Q231" s="36"/>
    </row>
    <row r="232">
      <c r="A232" s="42">
        <v>17.3</v>
      </c>
      <c r="B232" s="41" t="s">
        <v>277</v>
      </c>
      <c r="C232" s="40" t="s">
        <v>18</v>
      </c>
      <c r="D232" s="40" t="s">
        <v>278</v>
      </c>
      <c r="E232" s="46"/>
      <c r="F232" s="41" t="s">
        <v>21</v>
      </c>
      <c r="G232" s="41">
        <v>14.0</v>
      </c>
      <c r="H232" s="41" t="s">
        <v>22</v>
      </c>
      <c r="I232" s="42">
        <v>1.0</v>
      </c>
      <c r="J232" s="43"/>
      <c r="K232" s="42">
        <v>0.0</v>
      </c>
      <c r="L232" s="42">
        <v>0.0</v>
      </c>
      <c r="M232" s="42">
        <v>0.0</v>
      </c>
      <c r="N232" s="44">
        <v>0.0</v>
      </c>
      <c r="O232" s="46"/>
      <c r="P232" s="36"/>
      <c r="Q232" s="36"/>
    </row>
    <row r="233">
      <c r="A233" s="42">
        <v>17.4</v>
      </c>
      <c r="B233" s="41" t="s">
        <v>396</v>
      </c>
      <c r="C233" s="40" t="s">
        <v>18</v>
      </c>
      <c r="D233" s="40" t="s">
        <v>397</v>
      </c>
      <c r="E233" s="45"/>
      <c r="F233" s="41" t="s">
        <v>21</v>
      </c>
      <c r="G233" s="41">
        <v>14.0</v>
      </c>
      <c r="H233" s="41" t="s">
        <v>22</v>
      </c>
      <c r="I233" s="42">
        <v>1.0</v>
      </c>
      <c r="J233" s="53"/>
      <c r="K233" s="42">
        <v>500.0</v>
      </c>
      <c r="L233" s="42">
        <v>500.0</v>
      </c>
      <c r="M233" s="42">
        <v>0.0</v>
      </c>
      <c r="N233" s="42">
        <v>500.0</v>
      </c>
      <c r="O233" s="45"/>
      <c r="P233" s="54"/>
      <c r="Q233" s="54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8"/>
      <c r="K234" s="49"/>
      <c r="L234" s="49"/>
      <c r="M234" s="50" t="s">
        <v>63</v>
      </c>
      <c r="N234" s="51">
        <v>2692.95</v>
      </c>
      <c r="O234" s="52"/>
      <c r="P234" s="36"/>
      <c r="Q234" s="36"/>
    </row>
    <row r="235">
      <c r="A235" s="39">
        <v>18.0</v>
      </c>
      <c r="B235" s="39" t="s">
        <v>409</v>
      </c>
      <c r="C235" s="40" t="s">
        <v>18</v>
      </c>
      <c r="D235" s="40" t="s">
        <v>410</v>
      </c>
      <c r="E235" s="40" t="s">
        <v>20</v>
      </c>
      <c r="F235" s="41" t="s">
        <v>21</v>
      </c>
      <c r="G235" s="41">
        <v>35.0</v>
      </c>
      <c r="H235" s="41" t="s">
        <v>22</v>
      </c>
      <c r="I235" s="42">
        <v>1.0</v>
      </c>
      <c r="J235" s="43"/>
      <c r="K235" s="44">
        <v>2041.22</v>
      </c>
      <c r="L235" s="44">
        <v>2041.22</v>
      </c>
      <c r="M235" s="42">
        <v>0.0</v>
      </c>
      <c r="N235" s="44">
        <v>2041.22</v>
      </c>
      <c r="O235" s="45"/>
      <c r="P235" s="36"/>
      <c r="Q235" s="36"/>
    </row>
    <row r="236">
      <c r="A236" s="42" t="s">
        <v>411</v>
      </c>
      <c r="B236" s="41" t="s">
        <v>412</v>
      </c>
      <c r="C236" s="40" t="s">
        <v>18</v>
      </c>
      <c r="D236" s="40" t="s">
        <v>393</v>
      </c>
      <c r="E236" s="46"/>
      <c r="F236" s="41">
        <v>36.0</v>
      </c>
      <c r="G236" s="41" t="s">
        <v>21</v>
      </c>
      <c r="H236" s="41" t="s">
        <v>22</v>
      </c>
      <c r="I236" s="42">
        <v>1.0</v>
      </c>
      <c r="J236" s="43"/>
      <c r="K236" s="42">
        <v>936.39</v>
      </c>
      <c r="L236" s="42">
        <v>936.39</v>
      </c>
      <c r="M236" s="42">
        <v>0.0</v>
      </c>
      <c r="N236" s="42">
        <v>936.39</v>
      </c>
      <c r="O236" s="40" t="s">
        <v>26</v>
      </c>
      <c r="P236" s="36"/>
      <c r="Q236" s="36"/>
    </row>
    <row r="237">
      <c r="A237" s="42">
        <v>18.1</v>
      </c>
      <c r="B237" s="41" t="s">
        <v>413</v>
      </c>
      <c r="C237" s="40" t="s">
        <v>18</v>
      </c>
      <c r="D237" s="40" t="s">
        <v>414</v>
      </c>
      <c r="E237" s="46"/>
      <c r="F237" s="41" t="s">
        <v>21</v>
      </c>
      <c r="G237" s="41">
        <v>21.0</v>
      </c>
      <c r="H237" s="41" t="s">
        <v>29</v>
      </c>
      <c r="I237" s="42">
        <v>1.0</v>
      </c>
      <c r="J237" s="43"/>
      <c r="K237" s="42">
        <v>0.0</v>
      </c>
      <c r="L237" s="42">
        <v>0.0</v>
      </c>
      <c r="M237" s="42">
        <v>0.0</v>
      </c>
      <c r="N237" s="42">
        <v>0.0</v>
      </c>
      <c r="O237" s="46"/>
      <c r="P237" s="36"/>
      <c r="Q237" s="36"/>
    </row>
    <row r="238">
      <c r="A238" s="42">
        <v>18.2</v>
      </c>
      <c r="B238" s="41" t="s">
        <v>279</v>
      </c>
      <c r="C238" s="40" t="s">
        <v>18</v>
      </c>
      <c r="D238" s="40" t="s">
        <v>280</v>
      </c>
      <c r="E238" s="46"/>
      <c r="F238" s="41" t="s">
        <v>21</v>
      </c>
      <c r="G238" s="41">
        <v>28.0</v>
      </c>
      <c r="H238" s="41" t="s">
        <v>29</v>
      </c>
      <c r="I238" s="42">
        <v>1.0</v>
      </c>
      <c r="J238" s="43"/>
      <c r="K238" s="42">
        <v>0.0</v>
      </c>
      <c r="L238" s="42">
        <v>0.0</v>
      </c>
      <c r="M238" s="42">
        <v>0.0</v>
      </c>
      <c r="N238" s="42">
        <v>0.0</v>
      </c>
      <c r="O238" s="46"/>
      <c r="P238" s="36"/>
      <c r="Q238" s="36"/>
    </row>
    <row r="239">
      <c r="A239" s="42">
        <v>18.3</v>
      </c>
      <c r="B239" s="41" t="s">
        <v>407</v>
      </c>
      <c r="C239" s="40" t="s">
        <v>18</v>
      </c>
      <c r="D239" s="40" t="s">
        <v>408</v>
      </c>
      <c r="E239" s="46"/>
      <c r="F239" s="41" t="s">
        <v>21</v>
      </c>
      <c r="G239" s="41">
        <v>14.0</v>
      </c>
      <c r="H239" s="41" t="s">
        <v>29</v>
      </c>
      <c r="I239" s="42">
        <v>1.0</v>
      </c>
      <c r="J239" s="43"/>
      <c r="K239" s="42">
        <v>0.0</v>
      </c>
      <c r="L239" s="42">
        <v>0.0</v>
      </c>
      <c r="M239" s="42">
        <v>0.0</v>
      </c>
      <c r="N239" s="42">
        <v>0.0</v>
      </c>
      <c r="O239" s="46"/>
      <c r="P239" s="36"/>
      <c r="Q239" s="36"/>
    </row>
    <row r="240">
      <c r="A240" s="42">
        <v>18.4</v>
      </c>
      <c r="B240" s="41" t="s">
        <v>285</v>
      </c>
      <c r="C240" s="40" t="s">
        <v>18</v>
      </c>
      <c r="D240" s="40" t="s">
        <v>286</v>
      </c>
      <c r="E240" s="46"/>
      <c r="F240" s="41" t="s">
        <v>21</v>
      </c>
      <c r="G240" s="41">
        <v>14.0</v>
      </c>
      <c r="H240" s="41" t="s">
        <v>22</v>
      </c>
      <c r="I240" s="42">
        <v>1.0</v>
      </c>
      <c r="J240" s="43"/>
      <c r="K240" s="42">
        <v>0.0</v>
      </c>
      <c r="L240" s="42">
        <v>0.0</v>
      </c>
      <c r="M240" s="42">
        <v>0.0</v>
      </c>
      <c r="N240" s="42">
        <v>0.0</v>
      </c>
      <c r="O240" s="46"/>
      <c r="P240" s="36"/>
      <c r="Q240" s="36"/>
    </row>
    <row r="241">
      <c r="A241" s="42">
        <v>18.5</v>
      </c>
      <c r="B241" s="41" t="s">
        <v>59</v>
      </c>
      <c r="C241" s="40" t="s">
        <v>29</v>
      </c>
      <c r="D241" s="40" t="s">
        <v>60</v>
      </c>
      <c r="E241" s="46"/>
      <c r="F241" s="41" t="s">
        <v>21</v>
      </c>
      <c r="G241" s="41">
        <v>2.0</v>
      </c>
      <c r="H241" s="41" t="s">
        <v>29</v>
      </c>
      <c r="I241" s="42">
        <v>1.0</v>
      </c>
      <c r="J241" s="43"/>
      <c r="K241" s="42">
        <v>0.0</v>
      </c>
      <c r="L241" s="42">
        <v>0.0</v>
      </c>
      <c r="M241" s="42">
        <v>0.0</v>
      </c>
      <c r="N241" s="44">
        <v>0.0</v>
      </c>
      <c r="O241" s="46"/>
      <c r="P241" s="36"/>
      <c r="Q241" s="36"/>
    </row>
    <row r="242">
      <c r="A242" s="42">
        <v>18.6</v>
      </c>
      <c r="B242" s="41" t="s">
        <v>277</v>
      </c>
      <c r="C242" s="40" t="s">
        <v>18</v>
      </c>
      <c r="D242" s="40" t="s">
        <v>278</v>
      </c>
      <c r="E242" s="45"/>
      <c r="F242" s="41" t="s">
        <v>21</v>
      </c>
      <c r="G242" s="41">
        <v>14.0</v>
      </c>
      <c r="H242" s="41" t="s">
        <v>22</v>
      </c>
      <c r="I242" s="42">
        <v>1.0</v>
      </c>
      <c r="J242" s="53"/>
      <c r="K242" s="42">
        <v>0.0</v>
      </c>
      <c r="L242" s="42">
        <v>0.0</v>
      </c>
      <c r="M242" s="42">
        <v>0.0</v>
      </c>
      <c r="N242" s="42">
        <v>0.0</v>
      </c>
      <c r="O242" s="45"/>
      <c r="P242" s="54"/>
      <c r="Q242" s="54"/>
    </row>
    <row r="243">
      <c r="A243" s="42">
        <v>18.7</v>
      </c>
      <c r="B243" s="41" t="s">
        <v>396</v>
      </c>
      <c r="C243" s="40" t="s">
        <v>18</v>
      </c>
      <c r="D243" s="40" t="s">
        <v>397</v>
      </c>
      <c r="E243" s="45"/>
      <c r="F243" s="41" t="s">
        <v>21</v>
      </c>
      <c r="G243" s="41">
        <v>14.0</v>
      </c>
      <c r="H243" s="41" t="s">
        <v>22</v>
      </c>
      <c r="I243" s="42">
        <v>1.0</v>
      </c>
      <c r="J243" s="43"/>
      <c r="K243" s="44">
        <v>500.0</v>
      </c>
      <c r="L243" s="44">
        <v>500.0</v>
      </c>
      <c r="M243" s="42">
        <v>0.0</v>
      </c>
      <c r="N243" s="44">
        <v>500.0</v>
      </c>
      <c r="O243" s="46"/>
      <c r="P243" s="36"/>
      <c r="Q243" s="36"/>
    </row>
    <row r="244">
      <c r="A244" s="42">
        <v>18.8</v>
      </c>
      <c r="B244" s="41" t="s">
        <v>415</v>
      </c>
      <c r="C244" s="40" t="s">
        <v>18</v>
      </c>
      <c r="D244" s="40" t="s">
        <v>282</v>
      </c>
      <c r="E244" s="46"/>
      <c r="F244" s="41" t="s">
        <v>21</v>
      </c>
      <c r="G244" s="41">
        <v>21.0</v>
      </c>
      <c r="H244" s="41" t="s">
        <v>22</v>
      </c>
      <c r="I244" s="42">
        <v>1.0</v>
      </c>
      <c r="J244" s="43"/>
      <c r="K244" s="42">
        <v>0.0</v>
      </c>
      <c r="L244" s="42">
        <v>0.0</v>
      </c>
      <c r="M244" s="42">
        <v>0.0</v>
      </c>
      <c r="N244" s="42">
        <v>0.0</v>
      </c>
      <c r="O244" s="45"/>
      <c r="P244" s="36"/>
      <c r="Q244" s="36"/>
    </row>
    <row r="245">
      <c r="A245" s="47"/>
      <c r="B245" s="47"/>
      <c r="C245" s="47"/>
      <c r="D245" s="47"/>
      <c r="E245" s="48"/>
      <c r="F245" s="47"/>
      <c r="G245" s="47"/>
      <c r="H245" s="47"/>
      <c r="I245" s="47"/>
      <c r="J245" s="48"/>
      <c r="K245" s="47"/>
      <c r="L245" s="47"/>
      <c r="M245" s="50" t="s">
        <v>63</v>
      </c>
      <c r="N245" s="51">
        <v>3477.61</v>
      </c>
      <c r="O245" s="52"/>
      <c r="P245" s="36"/>
      <c r="Q245" s="36"/>
    </row>
    <row r="246">
      <c r="A246" s="39">
        <v>19.0</v>
      </c>
      <c r="B246" s="39" t="s">
        <v>416</v>
      </c>
      <c r="C246" s="40" t="s">
        <v>18</v>
      </c>
      <c r="D246" s="40" t="s">
        <v>417</v>
      </c>
      <c r="E246" s="40" t="s">
        <v>20</v>
      </c>
      <c r="F246" s="41" t="s">
        <v>21</v>
      </c>
      <c r="G246" s="41">
        <v>21.0</v>
      </c>
      <c r="H246" s="41" t="s">
        <v>22</v>
      </c>
      <c r="I246" s="42">
        <v>1.0</v>
      </c>
      <c r="J246" s="43"/>
      <c r="K246" s="44">
        <v>2470.95</v>
      </c>
      <c r="L246" s="44">
        <v>2470.95</v>
      </c>
      <c r="M246" s="42">
        <v>0.0</v>
      </c>
      <c r="N246" s="44">
        <v>2470.95</v>
      </c>
      <c r="O246" s="46"/>
      <c r="P246" s="36"/>
      <c r="Q246" s="36"/>
    </row>
    <row r="247">
      <c r="A247" s="42" t="s">
        <v>418</v>
      </c>
      <c r="B247" s="41" t="s">
        <v>419</v>
      </c>
      <c r="C247" s="40" t="s">
        <v>18</v>
      </c>
      <c r="D247" s="40" t="s">
        <v>393</v>
      </c>
      <c r="E247" s="46"/>
      <c r="F247" s="41">
        <v>36.0</v>
      </c>
      <c r="G247" s="41" t="s">
        <v>21</v>
      </c>
      <c r="H247" s="41" t="s">
        <v>22</v>
      </c>
      <c r="I247" s="42">
        <v>1.0</v>
      </c>
      <c r="J247" s="43"/>
      <c r="K247" s="44">
        <v>1130.25</v>
      </c>
      <c r="L247" s="44">
        <v>1130.25</v>
      </c>
      <c r="M247" s="42">
        <v>0.0</v>
      </c>
      <c r="N247" s="44">
        <v>1130.25</v>
      </c>
      <c r="O247" s="40" t="s">
        <v>26</v>
      </c>
      <c r="P247" s="36"/>
      <c r="Q247" s="36"/>
    </row>
    <row r="248">
      <c r="A248" s="42">
        <v>19.1</v>
      </c>
      <c r="B248" s="41" t="s">
        <v>413</v>
      </c>
      <c r="C248" s="40" t="s">
        <v>18</v>
      </c>
      <c r="D248" s="40" t="s">
        <v>414</v>
      </c>
      <c r="E248" s="46"/>
      <c r="F248" s="41" t="s">
        <v>21</v>
      </c>
      <c r="G248" s="41">
        <v>21.0</v>
      </c>
      <c r="H248" s="41" t="s">
        <v>29</v>
      </c>
      <c r="I248" s="42">
        <v>1.0</v>
      </c>
      <c r="J248" s="43"/>
      <c r="K248" s="42">
        <v>0.0</v>
      </c>
      <c r="L248" s="42">
        <v>0.0</v>
      </c>
      <c r="M248" s="42">
        <v>0.0</v>
      </c>
      <c r="N248" s="42">
        <v>0.0</v>
      </c>
      <c r="O248" s="46"/>
      <c r="P248" s="36"/>
      <c r="Q248" s="36"/>
    </row>
    <row r="249">
      <c r="A249" s="42">
        <v>19.2</v>
      </c>
      <c r="B249" s="41" t="s">
        <v>279</v>
      </c>
      <c r="C249" s="40" t="s">
        <v>18</v>
      </c>
      <c r="D249" s="40" t="s">
        <v>280</v>
      </c>
      <c r="E249" s="46"/>
      <c r="F249" s="41" t="s">
        <v>21</v>
      </c>
      <c r="G249" s="41">
        <v>28.0</v>
      </c>
      <c r="H249" s="41" t="s">
        <v>29</v>
      </c>
      <c r="I249" s="42">
        <v>1.0</v>
      </c>
      <c r="J249" s="43"/>
      <c r="K249" s="42">
        <v>0.0</v>
      </c>
      <c r="L249" s="42">
        <v>0.0</v>
      </c>
      <c r="M249" s="42">
        <v>0.0</v>
      </c>
      <c r="N249" s="44">
        <v>0.0</v>
      </c>
      <c r="O249" s="46"/>
      <c r="P249" s="36"/>
      <c r="Q249" s="36"/>
    </row>
    <row r="250">
      <c r="A250" s="42">
        <v>19.3</v>
      </c>
      <c r="B250" s="41" t="s">
        <v>420</v>
      </c>
      <c r="C250" s="40" t="s">
        <v>18</v>
      </c>
      <c r="D250" s="40" t="s">
        <v>421</v>
      </c>
      <c r="E250" s="45"/>
      <c r="F250" s="41" t="s">
        <v>21</v>
      </c>
      <c r="G250" s="41">
        <v>21.0</v>
      </c>
      <c r="H250" s="41" t="s">
        <v>29</v>
      </c>
      <c r="I250" s="42">
        <v>1.0</v>
      </c>
      <c r="J250" s="43"/>
      <c r="K250" s="44">
        <v>0.0</v>
      </c>
      <c r="L250" s="44">
        <v>0.0</v>
      </c>
      <c r="M250" s="42">
        <v>0.0</v>
      </c>
      <c r="N250" s="44">
        <v>0.0</v>
      </c>
      <c r="O250" s="46"/>
      <c r="P250" s="36"/>
      <c r="Q250" s="36"/>
    </row>
    <row r="251">
      <c r="A251" s="42">
        <v>19.4</v>
      </c>
      <c r="B251" s="41" t="s">
        <v>285</v>
      </c>
      <c r="C251" s="40" t="s">
        <v>18</v>
      </c>
      <c r="D251" s="40" t="s">
        <v>286</v>
      </c>
      <c r="E251" s="46"/>
      <c r="F251" s="41" t="s">
        <v>21</v>
      </c>
      <c r="G251" s="41">
        <v>14.0</v>
      </c>
      <c r="H251" s="41" t="s">
        <v>22</v>
      </c>
      <c r="I251" s="42">
        <v>1.0</v>
      </c>
      <c r="J251" s="43"/>
      <c r="K251" s="42">
        <v>0.0</v>
      </c>
      <c r="L251" s="42">
        <v>0.0</v>
      </c>
      <c r="M251" s="42">
        <v>0.0</v>
      </c>
      <c r="N251" s="42">
        <v>0.0</v>
      </c>
      <c r="O251" s="45"/>
      <c r="P251" s="36"/>
      <c r="Q251" s="36"/>
    </row>
    <row r="252">
      <c r="A252" s="42">
        <v>19.5</v>
      </c>
      <c r="B252" s="41" t="s">
        <v>59</v>
      </c>
      <c r="C252" s="40" t="s">
        <v>29</v>
      </c>
      <c r="D252" s="40" t="s">
        <v>60</v>
      </c>
      <c r="E252" s="46"/>
      <c r="F252" s="41" t="s">
        <v>21</v>
      </c>
      <c r="G252" s="41">
        <v>2.0</v>
      </c>
      <c r="H252" s="41" t="s">
        <v>29</v>
      </c>
      <c r="I252" s="42">
        <v>1.0</v>
      </c>
      <c r="J252" s="43"/>
      <c r="K252" s="42">
        <v>0.0</v>
      </c>
      <c r="L252" s="42">
        <v>0.0</v>
      </c>
      <c r="M252" s="42">
        <v>0.0</v>
      </c>
      <c r="N252" s="42">
        <v>0.0</v>
      </c>
      <c r="O252" s="46"/>
      <c r="P252" s="36"/>
      <c r="Q252" s="36"/>
    </row>
    <row r="253">
      <c r="A253" s="42">
        <v>19.6</v>
      </c>
      <c r="B253" s="41" t="s">
        <v>277</v>
      </c>
      <c r="C253" s="40" t="s">
        <v>18</v>
      </c>
      <c r="D253" s="40" t="s">
        <v>278</v>
      </c>
      <c r="E253" s="46"/>
      <c r="F253" s="41" t="s">
        <v>21</v>
      </c>
      <c r="G253" s="41">
        <v>14.0</v>
      </c>
      <c r="H253" s="41" t="s">
        <v>22</v>
      </c>
      <c r="I253" s="42">
        <v>1.0</v>
      </c>
      <c r="J253" s="43"/>
      <c r="K253" s="42">
        <v>0.0</v>
      </c>
      <c r="L253" s="42">
        <v>0.0</v>
      </c>
      <c r="M253" s="42">
        <v>0.0</v>
      </c>
      <c r="N253" s="42">
        <v>0.0</v>
      </c>
      <c r="O253" s="46"/>
      <c r="P253" s="36"/>
      <c r="Q253" s="36"/>
    </row>
    <row r="254">
      <c r="A254" s="42">
        <v>19.7</v>
      </c>
      <c r="B254" s="41" t="s">
        <v>396</v>
      </c>
      <c r="C254" s="40" t="s">
        <v>18</v>
      </c>
      <c r="D254" s="40" t="s">
        <v>397</v>
      </c>
      <c r="E254" s="46"/>
      <c r="F254" s="41" t="s">
        <v>21</v>
      </c>
      <c r="G254" s="41">
        <v>14.0</v>
      </c>
      <c r="H254" s="41" t="s">
        <v>22</v>
      </c>
      <c r="I254" s="42">
        <v>1.0</v>
      </c>
      <c r="J254" s="43"/>
      <c r="K254" s="42">
        <v>500.0</v>
      </c>
      <c r="L254" s="42">
        <v>500.0</v>
      </c>
      <c r="M254" s="42">
        <v>0.0</v>
      </c>
      <c r="N254" s="42">
        <v>500.0</v>
      </c>
      <c r="O254" s="46"/>
      <c r="P254" s="36"/>
      <c r="Q254" s="36"/>
    </row>
    <row r="255">
      <c r="A255" s="42">
        <v>19.8</v>
      </c>
      <c r="B255" s="41" t="s">
        <v>415</v>
      </c>
      <c r="C255" s="40" t="s">
        <v>18</v>
      </c>
      <c r="D255" s="40" t="s">
        <v>282</v>
      </c>
      <c r="E255" s="46"/>
      <c r="F255" s="41" t="s">
        <v>21</v>
      </c>
      <c r="G255" s="41">
        <v>21.0</v>
      </c>
      <c r="H255" s="41" t="s">
        <v>22</v>
      </c>
      <c r="I255" s="42">
        <v>1.0</v>
      </c>
      <c r="J255" s="43"/>
      <c r="K255" s="42">
        <v>0.0</v>
      </c>
      <c r="L255" s="42">
        <v>0.0</v>
      </c>
      <c r="M255" s="42">
        <v>0.0</v>
      </c>
      <c r="N255" s="42">
        <v>0.0</v>
      </c>
      <c r="O255" s="46"/>
      <c r="P255" s="36"/>
      <c r="Q255" s="36"/>
    </row>
    <row r="256">
      <c r="A256" s="47"/>
      <c r="B256" s="47"/>
      <c r="C256" s="47"/>
      <c r="D256" s="47"/>
      <c r="E256" s="48"/>
      <c r="F256" s="47"/>
      <c r="G256" s="47"/>
      <c r="H256" s="47"/>
      <c r="I256" s="47"/>
      <c r="J256" s="48"/>
      <c r="K256" s="47"/>
      <c r="L256" s="47"/>
      <c r="M256" s="50" t="s">
        <v>63</v>
      </c>
      <c r="N256" s="51">
        <v>4101.2</v>
      </c>
      <c r="O256" s="52"/>
      <c r="P256" s="36"/>
      <c r="Q256" s="36"/>
    </row>
    <row r="257">
      <c r="A257" s="37"/>
      <c r="B257" s="37"/>
      <c r="C257" s="38" t="s">
        <v>237</v>
      </c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</row>
    <row r="258">
      <c r="A258" s="39">
        <v>20.0</v>
      </c>
      <c r="B258" s="39" t="s">
        <v>159</v>
      </c>
      <c r="C258" s="40" t="s">
        <v>18</v>
      </c>
      <c r="D258" s="40" t="s">
        <v>160</v>
      </c>
      <c r="E258" s="40" t="s">
        <v>20</v>
      </c>
      <c r="F258" s="41" t="s">
        <v>21</v>
      </c>
      <c r="G258" s="41" t="s">
        <v>21</v>
      </c>
      <c r="H258" s="41" t="s">
        <v>22</v>
      </c>
      <c r="I258" s="42">
        <v>1.0</v>
      </c>
      <c r="J258" s="43"/>
      <c r="K258" s="42">
        <v>0.0</v>
      </c>
      <c r="L258" s="42">
        <v>0.0</v>
      </c>
      <c r="M258" s="42">
        <v>0.0</v>
      </c>
      <c r="N258" s="42">
        <v>0.0</v>
      </c>
      <c r="O258" s="46"/>
      <c r="P258" s="36"/>
      <c r="Q258" s="36"/>
    </row>
    <row r="259">
      <c r="A259" s="42">
        <v>20.1</v>
      </c>
      <c r="B259" s="41" t="s">
        <v>165</v>
      </c>
      <c r="C259" s="40" t="s">
        <v>29</v>
      </c>
      <c r="D259" s="40" t="s">
        <v>166</v>
      </c>
      <c r="E259" s="46"/>
      <c r="F259" s="41" t="s">
        <v>21</v>
      </c>
      <c r="G259" s="41">
        <v>2.0</v>
      </c>
      <c r="H259" s="41" t="s">
        <v>22</v>
      </c>
      <c r="I259" s="42">
        <v>1.0</v>
      </c>
      <c r="J259" s="42">
        <v>1.0</v>
      </c>
      <c r="K259" s="42">
        <v>0.0</v>
      </c>
      <c r="L259" s="42">
        <v>0.0</v>
      </c>
      <c r="M259" s="42">
        <v>0.0</v>
      </c>
      <c r="N259" s="42">
        <v>0.0</v>
      </c>
      <c r="O259" s="46"/>
      <c r="P259" s="36"/>
      <c r="Q259" s="36"/>
    </row>
    <row r="260">
      <c r="A260" s="42">
        <v>20.2</v>
      </c>
      <c r="B260" s="41" t="s">
        <v>422</v>
      </c>
      <c r="C260" s="40" t="s">
        <v>29</v>
      </c>
      <c r="D260" s="40" t="s">
        <v>423</v>
      </c>
      <c r="E260" s="46"/>
      <c r="F260" s="41" t="s">
        <v>21</v>
      </c>
      <c r="G260" s="41">
        <v>2.0</v>
      </c>
      <c r="H260" s="41" t="s">
        <v>22</v>
      </c>
      <c r="I260" s="42">
        <v>1.0</v>
      </c>
      <c r="J260" s="42">
        <v>1.0</v>
      </c>
      <c r="K260" s="42">
        <v>394.0</v>
      </c>
      <c r="L260" s="44">
        <v>14184.0</v>
      </c>
      <c r="M260" s="42">
        <v>0.0</v>
      </c>
      <c r="N260" s="44">
        <v>14184.0</v>
      </c>
      <c r="O260" s="46"/>
      <c r="P260" s="36"/>
      <c r="Q260" s="36"/>
    </row>
    <row r="261">
      <c r="A261" s="42">
        <v>20.3</v>
      </c>
      <c r="B261" s="41" t="s">
        <v>424</v>
      </c>
      <c r="C261" s="40" t="s">
        <v>29</v>
      </c>
      <c r="D261" s="40" t="s">
        <v>425</v>
      </c>
      <c r="E261" s="45"/>
      <c r="F261" s="41" t="s">
        <v>21</v>
      </c>
      <c r="G261" s="41">
        <v>2.0</v>
      </c>
      <c r="H261" s="41" t="s">
        <v>22</v>
      </c>
      <c r="I261" s="42">
        <v>1.0</v>
      </c>
      <c r="J261" s="42">
        <v>1.0</v>
      </c>
      <c r="K261" s="44">
        <v>17.0</v>
      </c>
      <c r="L261" s="44">
        <v>612.0</v>
      </c>
      <c r="M261" s="42">
        <v>0.0</v>
      </c>
      <c r="N261" s="44">
        <v>612.0</v>
      </c>
      <c r="O261" s="46"/>
      <c r="P261" s="36"/>
      <c r="Q261" s="36"/>
    </row>
    <row r="262">
      <c r="A262" s="42">
        <v>20.4</v>
      </c>
      <c r="B262" s="41" t="s">
        <v>426</v>
      </c>
      <c r="C262" s="40" t="s">
        <v>29</v>
      </c>
      <c r="D262" s="40" t="s">
        <v>427</v>
      </c>
      <c r="E262" s="46"/>
      <c r="F262" s="41" t="s">
        <v>21</v>
      </c>
      <c r="G262" s="41">
        <v>2.0</v>
      </c>
      <c r="H262" s="41" t="s">
        <v>22</v>
      </c>
      <c r="I262" s="42">
        <v>1.0</v>
      </c>
      <c r="J262" s="42">
        <v>1.0</v>
      </c>
      <c r="K262" s="44">
        <v>17.0</v>
      </c>
      <c r="L262" s="44">
        <v>612.0</v>
      </c>
      <c r="M262" s="42">
        <v>0.0</v>
      </c>
      <c r="N262" s="44">
        <v>612.0</v>
      </c>
      <c r="O262" s="45"/>
      <c r="P262" s="36"/>
      <c r="Q262" s="36"/>
    </row>
    <row r="263">
      <c r="A263" s="42">
        <v>20.5</v>
      </c>
      <c r="B263" s="41" t="s">
        <v>428</v>
      </c>
      <c r="C263" s="40" t="s">
        <v>29</v>
      </c>
      <c r="D263" s="40" t="s">
        <v>429</v>
      </c>
      <c r="E263" s="46"/>
      <c r="F263" s="41" t="s">
        <v>21</v>
      </c>
      <c r="G263" s="41">
        <v>2.0</v>
      </c>
      <c r="H263" s="41" t="s">
        <v>22</v>
      </c>
      <c r="I263" s="42">
        <v>1.0</v>
      </c>
      <c r="J263" s="42">
        <v>1.0</v>
      </c>
      <c r="K263" s="42">
        <v>17.0</v>
      </c>
      <c r="L263" s="42">
        <v>612.0</v>
      </c>
      <c r="M263" s="42">
        <v>0.0</v>
      </c>
      <c r="N263" s="42">
        <v>612.0</v>
      </c>
      <c r="O263" s="46"/>
      <c r="P263" s="36"/>
      <c r="Q263" s="36"/>
    </row>
    <row r="264">
      <c r="A264" s="42">
        <v>20.6</v>
      </c>
      <c r="B264" s="41" t="s">
        <v>430</v>
      </c>
      <c r="C264" s="40" t="s">
        <v>29</v>
      </c>
      <c r="D264" s="40" t="s">
        <v>431</v>
      </c>
      <c r="E264" s="46"/>
      <c r="F264" s="41" t="s">
        <v>21</v>
      </c>
      <c r="G264" s="41">
        <v>2.0</v>
      </c>
      <c r="H264" s="41" t="s">
        <v>22</v>
      </c>
      <c r="I264" s="42">
        <v>1.0</v>
      </c>
      <c r="J264" s="42">
        <v>1.0</v>
      </c>
      <c r="K264" s="42">
        <v>0.0</v>
      </c>
      <c r="L264" s="42">
        <v>0.0</v>
      </c>
      <c r="M264" s="42">
        <v>0.0</v>
      </c>
      <c r="N264" s="42">
        <v>0.0</v>
      </c>
      <c r="O264" s="46"/>
      <c r="P264" s="36"/>
      <c r="Q264" s="36"/>
    </row>
    <row r="265">
      <c r="A265" s="42">
        <v>20.7</v>
      </c>
      <c r="B265" s="41" t="s">
        <v>432</v>
      </c>
      <c r="C265" s="40" t="s">
        <v>29</v>
      </c>
      <c r="D265" s="40" t="s">
        <v>433</v>
      </c>
      <c r="E265" s="46"/>
      <c r="F265" s="41" t="s">
        <v>21</v>
      </c>
      <c r="G265" s="41">
        <v>2.0</v>
      </c>
      <c r="H265" s="41" t="s">
        <v>22</v>
      </c>
      <c r="I265" s="42">
        <v>1.0</v>
      </c>
      <c r="J265" s="42">
        <v>1.0</v>
      </c>
      <c r="K265" s="44">
        <v>1533.0</v>
      </c>
      <c r="L265" s="44">
        <v>55188.0</v>
      </c>
      <c r="M265" s="42">
        <v>0.0</v>
      </c>
      <c r="N265" s="44">
        <v>55188.0</v>
      </c>
      <c r="O265" s="46"/>
      <c r="P265" s="36"/>
      <c r="Q265" s="36"/>
    </row>
    <row r="266">
      <c r="A266" s="42">
        <v>20.8</v>
      </c>
      <c r="B266" s="41" t="s">
        <v>430</v>
      </c>
      <c r="C266" s="40" t="s">
        <v>29</v>
      </c>
      <c r="D266" s="40" t="s">
        <v>431</v>
      </c>
      <c r="E266" s="46"/>
      <c r="F266" s="41" t="s">
        <v>21</v>
      </c>
      <c r="G266" s="41">
        <v>2.0</v>
      </c>
      <c r="H266" s="41" t="s">
        <v>22</v>
      </c>
      <c r="I266" s="42">
        <v>1.0</v>
      </c>
      <c r="J266" s="42">
        <v>1.0</v>
      </c>
      <c r="K266" s="42">
        <v>0.0</v>
      </c>
      <c r="L266" s="42">
        <v>0.0</v>
      </c>
      <c r="M266" s="42">
        <v>0.0</v>
      </c>
      <c r="N266" s="42">
        <v>0.0</v>
      </c>
      <c r="O266" s="46"/>
      <c r="P266" s="36"/>
      <c r="Q266" s="36"/>
    </row>
    <row r="267">
      <c r="A267" s="42">
        <v>20.9</v>
      </c>
      <c r="B267" s="41" t="s">
        <v>432</v>
      </c>
      <c r="C267" s="40" t="s">
        <v>29</v>
      </c>
      <c r="D267" s="40" t="s">
        <v>433</v>
      </c>
      <c r="E267" s="46"/>
      <c r="F267" s="41" t="s">
        <v>21</v>
      </c>
      <c r="G267" s="41">
        <v>2.0</v>
      </c>
      <c r="H267" s="41" t="s">
        <v>22</v>
      </c>
      <c r="I267" s="42">
        <v>1.0</v>
      </c>
      <c r="J267" s="42">
        <v>1.0</v>
      </c>
      <c r="K267" s="44">
        <v>1533.0</v>
      </c>
      <c r="L267" s="44">
        <v>55188.0</v>
      </c>
      <c r="M267" s="42">
        <v>0.0</v>
      </c>
      <c r="N267" s="44">
        <v>55188.0</v>
      </c>
      <c r="O267" s="46"/>
      <c r="P267" s="36"/>
      <c r="Q267" s="36"/>
    </row>
    <row r="268">
      <c r="A268" s="42">
        <v>20.1</v>
      </c>
      <c r="B268" s="41" t="s">
        <v>430</v>
      </c>
      <c r="C268" s="40" t="s">
        <v>29</v>
      </c>
      <c r="D268" s="40" t="s">
        <v>431</v>
      </c>
      <c r="E268" s="46"/>
      <c r="F268" s="41" t="s">
        <v>21</v>
      </c>
      <c r="G268" s="41">
        <v>2.0</v>
      </c>
      <c r="H268" s="41" t="s">
        <v>22</v>
      </c>
      <c r="I268" s="42">
        <v>1.0</v>
      </c>
      <c r="J268" s="42">
        <v>1.0</v>
      </c>
      <c r="K268" s="42">
        <v>0.0</v>
      </c>
      <c r="L268" s="42">
        <v>0.0</v>
      </c>
      <c r="M268" s="42">
        <v>0.0</v>
      </c>
      <c r="N268" s="42">
        <v>0.0</v>
      </c>
      <c r="O268" s="46"/>
      <c r="P268" s="36"/>
      <c r="Q268" s="36"/>
    </row>
    <row r="269">
      <c r="A269" s="42">
        <v>20.11</v>
      </c>
      <c r="B269" s="41" t="s">
        <v>434</v>
      </c>
      <c r="C269" s="40" t="s">
        <v>29</v>
      </c>
      <c r="D269" s="40" t="s">
        <v>435</v>
      </c>
      <c r="E269" s="46"/>
      <c r="F269" s="41" t="s">
        <v>21</v>
      </c>
      <c r="G269" s="41">
        <v>2.0</v>
      </c>
      <c r="H269" s="41" t="s">
        <v>22</v>
      </c>
      <c r="I269" s="42">
        <v>1.0</v>
      </c>
      <c r="J269" s="42">
        <v>1.0</v>
      </c>
      <c r="K269" s="42">
        <v>34.0</v>
      </c>
      <c r="L269" s="44">
        <v>1224.0</v>
      </c>
      <c r="M269" s="42">
        <v>0.0</v>
      </c>
      <c r="N269" s="44">
        <v>1224.0</v>
      </c>
      <c r="O269" s="46"/>
      <c r="P269" s="36"/>
      <c r="Q269" s="36"/>
    </row>
    <row r="270">
      <c r="A270" s="42">
        <v>20.12</v>
      </c>
      <c r="B270" s="41" t="s">
        <v>436</v>
      </c>
      <c r="C270" s="40" t="s">
        <v>29</v>
      </c>
      <c r="D270" s="40" t="s">
        <v>437</v>
      </c>
      <c r="E270" s="46"/>
      <c r="F270" s="41" t="s">
        <v>21</v>
      </c>
      <c r="G270" s="41">
        <v>2.0</v>
      </c>
      <c r="H270" s="41" t="s">
        <v>22</v>
      </c>
      <c r="I270" s="42">
        <v>1.0</v>
      </c>
      <c r="J270" s="42">
        <v>1.0</v>
      </c>
      <c r="K270" s="42">
        <v>34.0</v>
      </c>
      <c r="L270" s="44">
        <v>1224.0</v>
      </c>
      <c r="M270" s="42">
        <v>0.0</v>
      </c>
      <c r="N270" s="44">
        <v>1224.0</v>
      </c>
      <c r="O270" s="46"/>
      <c r="P270" s="36"/>
      <c r="Q270" s="36"/>
    </row>
    <row r="271">
      <c r="A271" s="42">
        <v>20.13</v>
      </c>
      <c r="B271" s="41" t="s">
        <v>438</v>
      </c>
      <c r="C271" s="40" t="s">
        <v>29</v>
      </c>
      <c r="D271" s="40" t="s">
        <v>439</v>
      </c>
      <c r="E271" s="46"/>
      <c r="F271" s="41" t="s">
        <v>21</v>
      </c>
      <c r="G271" s="41">
        <v>2.0</v>
      </c>
      <c r="H271" s="41" t="s">
        <v>22</v>
      </c>
      <c r="I271" s="42">
        <v>1.0</v>
      </c>
      <c r="J271" s="42">
        <v>1.0</v>
      </c>
      <c r="K271" s="42">
        <v>34.0</v>
      </c>
      <c r="L271" s="44">
        <v>1224.0</v>
      </c>
      <c r="M271" s="42">
        <v>0.0</v>
      </c>
      <c r="N271" s="44">
        <v>1224.0</v>
      </c>
      <c r="O271" s="46"/>
      <c r="P271" s="36"/>
      <c r="Q271" s="36"/>
    </row>
    <row r="272">
      <c r="A272" s="42">
        <v>20.14</v>
      </c>
      <c r="B272" s="41" t="s">
        <v>440</v>
      </c>
      <c r="C272" s="40" t="s">
        <v>29</v>
      </c>
      <c r="D272" s="40" t="s">
        <v>441</v>
      </c>
      <c r="E272" s="45"/>
      <c r="F272" s="41" t="s">
        <v>21</v>
      </c>
      <c r="G272" s="41">
        <v>2.0</v>
      </c>
      <c r="H272" s="41" t="s">
        <v>22</v>
      </c>
      <c r="I272" s="42">
        <v>1.0</v>
      </c>
      <c r="J272" s="42">
        <v>1.0</v>
      </c>
      <c r="K272" s="42">
        <v>130.0</v>
      </c>
      <c r="L272" s="44">
        <v>4680.0</v>
      </c>
      <c r="M272" s="42">
        <v>0.0</v>
      </c>
      <c r="N272" s="44">
        <v>4680.0</v>
      </c>
      <c r="O272" s="45"/>
      <c r="P272" s="54"/>
      <c r="Q272" s="54"/>
    </row>
    <row r="273">
      <c r="A273" s="42">
        <v>20.15</v>
      </c>
      <c r="B273" s="41" t="s">
        <v>430</v>
      </c>
      <c r="C273" s="40" t="s">
        <v>29</v>
      </c>
      <c r="D273" s="40" t="s">
        <v>431</v>
      </c>
      <c r="E273" s="45"/>
      <c r="F273" s="41" t="s">
        <v>21</v>
      </c>
      <c r="G273" s="41">
        <v>2.0</v>
      </c>
      <c r="H273" s="41" t="s">
        <v>22</v>
      </c>
      <c r="I273" s="42">
        <v>1.0</v>
      </c>
      <c r="J273" s="42">
        <v>1.0</v>
      </c>
      <c r="K273" s="42">
        <v>0.0</v>
      </c>
      <c r="L273" s="42">
        <v>0.0</v>
      </c>
      <c r="M273" s="42">
        <v>0.0</v>
      </c>
      <c r="N273" s="42">
        <v>0.0</v>
      </c>
      <c r="O273" s="46"/>
      <c r="P273" s="36"/>
      <c r="Q273" s="36"/>
    </row>
    <row r="274">
      <c r="A274" s="42">
        <v>20.16</v>
      </c>
      <c r="B274" s="41" t="s">
        <v>442</v>
      </c>
      <c r="C274" s="40" t="s">
        <v>29</v>
      </c>
      <c r="D274" s="40" t="s">
        <v>443</v>
      </c>
      <c r="E274" s="46"/>
      <c r="F274" s="41" t="s">
        <v>21</v>
      </c>
      <c r="G274" s="41">
        <v>2.0</v>
      </c>
      <c r="H274" s="41" t="s">
        <v>22</v>
      </c>
      <c r="I274" s="42">
        <v>1.0</v>
      </c>
      <c r="J274" s="42">
        <v>1.0</v>
      </c>
      <c r="K274" s="42">
        <v>6.0</v>
      </c>
      <c r="L274" s="42">
        <v>216.0</v>
      </c>
      <c r="M274" s="42">
        <v>0.0</v>
      </c>
      <c r="N274" s="42">
        <v>216.0</v>
      </c>
      <c r="O274" s="46"/>
      <c r="P274" s="36"/>
      <c r="Q274" s="36"/>
    </row>
    <row r="275">
      <c r="A275" s="42">
        <v>20.17</v>
      </c>
      <c r="B275" s="41" t="s">
        <v>444</v>
      </c>
      <c r="C275" s="40" t="s">
        <v>29</v>
      </c>
      <c r="D275" s="40" t="s">
        <v>445</v>
      </c>
      <c r="E275" s="46"/>
      <c r="F275" s="41" t="s">
        <v>21</v>
      </c>
      <c r="G275" s="41">
        <v>2.0</v>
      </c>
      <c r="H275" s="41" t="s">
        <v>22</v>
      </c>
      <c r="I275" s="42">
        <v>1.0</v>
      </c>
      <c r="J275" s="42">
        <v>1.0</v>
      </c>
      <c r="K275" s="42">
        <v>6.0</v>
      </c>
      <c r="L275" s="44">
        <v>216.0</v>
      </c>
      <c r="M275" s="42">
        <v>0.0</v>
      </c>
      <c r="N275" s="44">
        <v>216.0</v>
      </c>
      <c r="O275" s="46"/>
      <c r="P275" s="36"/>
      <c r="Q275" s="36"/>
    </row>
    <row r="276">
      <c r="A276" s="42">
        <v>20.18</v>
      </c>
      <c r="B276" s="41" t="s">
        <v>446</v>
      </c>
      <c r="C276" s="40" t="s">
        <v>29</v>
      </c>
      <c r="D276" s="40" t="s">
        <v>447</v>
      </c>
      <c r="E276" s="46"/>
      <c r="F276" s="41" t="s">
        <v>21</v>
      </c>
      <c r="G276" s="41">
        <v>2.0</v>
      </c>
      <c r="H276" s="41" t="s">
        <v>22</v>
      </c>
      <c r="I276" s="42">
        <v>1.0</v>
      </c>
      <c r="J276" s="42">
        <v>1.0</v>
      </c>
      <c r="K276" s="42">
        <v>6.0</v>
      </c>
      <c r="L276" s="42">
        <v>216.0</v>
      </c>
      <c r="M276" s="42">
        <v>0.0</v>
      </c>
      <c r="N276" s="42">
        <v>216.0</v>
      </c>
      <c r="O276" s="46"/>
      <c r="P276" s="36"/>
      <c r="Q276" s="36"/>
    </row>
    <row r="277">
      <c r="A277" s="42">
        <v>20.19</v>
      </c>
      <c r="B277" s="41" t="s">
        <v>448</v>
      </c>
      <c r="C277" s="40" t="s">
        <v>29</v>
      </c>
      <c r="D277" s="40" t="s">
        <v>449</v>
      </c>
      <c r="E277" s="46"/>
      <c r="F277" s="41" t="s">
        <v>21</v>
      </c>
      <c r="G277" s="41">
        <v>2.0</v>
      </c>
      <c r="H277" s="41" t="s">
        <v>22</v>
      </c>
      <c r="I277" s="42">
        <v>1.0</v>
      </c>
      <c r="J277" s="42">
        <v>1.0</v>
      </c>
      <c r="K277" s="42">
        <v>56.0</v>
      </c>
      <c r="L277" s="44">
        <v>2016.0</v>
      </c>
      <c r="M277" s="42">
        <v>0.0</v>
      </c>
      <c r="N277" s="44">
        <v>2016.0</v>
      </c>
      <c r="O277" s="46"/>
      <c r="P277" s="36"/>
      <c r="Q277" s="36"/>
    </row>
    <row r="278">
      <c r="A278" s="42">
        <v>20.2</v>
      </c>
      <c r="B278" s="41" t="s">
        <v>450</v>
      </c>
      <c r="C278" s="40" t="s">
        <v>29</v>
      </c>
      <c r="D278" s="40" t="s">
        <v>451</v>
      </c>
      <c r="E278" s="46"/>
      <c r="F278" s="41" t="s">
        <v>21</v>
      </c>
      <c r="G278" s="41">
        <v>2.0</v>
      </c>
      <c r="H278" s="41" t="s">
        <v>22</v>
      </c>
      <c r="I278" s="42">
        <v>1.0</v>
      </c>
      <c r="J278" s="42">
        <v>1.0</v>
      </c>
      <c r="K278" s="42">
        <v>3.0</v>
      </c>
      <c r="L278" s="42">
        <v>108.0</v>
      </c>
      <c r="M278" s="42">
        <v>0.0</v>
      </c>
      <c r="N278" s="42">
        <v>108.0</v>
      </c>
      <c r="O278" s="46"/>
      <c r="P278" s="36"/>
      <c r="Q278" s="36"/>
    </row>
    <row r="279">
      <c r="A279" s="42">
        <v>20.21</v>
      </c>
      <c r="B279" s="41" t="s">
        <v>452</v>
      </c>
      <c r="C279" s="40" t="s">
        <v>29</v>
      </c>
      <c r="D279" s="40" t="s">
        <v>453</v>
      </c>
      <c r="E279" s="46"/>
      <c r="F279" s="41" t="s">
        <v>21</v>
      </c>
      <c r="G279" s="41">
        <v>2.0</v>
      </c>
      <c r="H279" s="41" t="s">
        <v>22</v>
      </c>
      <c r="I279" s="42">
        <v>1.0</v>
      </c>
      <c r="J279" s="42">
        <v>1.0</v>
      </c>
      <c r="K279" s="42">
        <v>3.0</v>
      </c>
      <c r="L279" s="42">
        <v>108.0</v>
      </c>
      <c r="M279" s="42">
        <v>0.0</v>
      </c>
      <c r="N279" s="42">
        <v>108.0</v>
      </c>
      <c r="O279" s="46"/>
      <c r="P279" s="36"/>
      <c r="Q279" s="36"/>
    </row>
    <row r="280">
      <c r="A280" s="42">
        <v>20.22</v>
      </c>
      <c r="B280" s="41" t="s">
        <v>454</v>
      </c>
      <c r="C280" s="40" t="s">
        <v>29</v>
      </c>
      <c r="D280" s="40" t="s">
        <v>455</v>
      </c>
      <c r="E280" s="46"/>
      <c r="F280" s="41" t="s">
        <v>21</v>
      </c>
      <c r="G280" s="41">
        <v>2.0</v>
      </c>
      <c r="H280" s="41" t="s">
        <v>22</v>
      </c>
      <c r="I280" s="42">
        <v>1.0</v>
      </c>
      <c r="J280" s="42">
        <v>1.0</v>
      </c>
      <c r="K280" s="44">
        <v>3.0</v>
      </c>
      <c r="L280" s="44">
        <v>108.0</v>
      </c>
      <c r="M280" s="42">
        <v>0.0</v>
      </c>
      <c r="N280" s="44">
        <v>108.0</v>
      </c>
      <c r="O280" s="46"/>
      <c r="P280" s="36"/>
      <c r="Q280" s="36"/>
    </row>
    <row r="281">
      <c r="A281" s="42">
        <v>20.23</v>
      </c>
      <c r="B281" s="41" t="s">
        <v>430</v>
      </c>
      <c r="C281" s="40" t="s">
        <v>29</v>
      </c>
      <c r="D281" s="40" t="s">
        <v>431</v>
      </c>
      <c r="E281" s="46"/>
      <c r="F281" s="41" t="s">
        <v>21</v>
      </c>
      <c r="G281" s="41">
        <v>2.0</v>
      </c>
      <c r="H281" s="41" t="s">
        <v>22</v>
      </c>
      <c r="I281" s="42">
        <v>1.0</v>
      </c>
      <c r="J281" s="42">
        <v>1.0</v>
      </c>
      <c r="K281" s="42">
        <v>0.0</v>
      </c>
      <c r="L281" s="42">
        <v>0.0</v>
      </c>
      <c r="M281" s="42">
        <v>0.0</v>
      </c>
      <c r="N281" s="42">
        <v>0.0</v>
      </c>
      <c r="O281" s="46"/>
      <c r="P281" s="36"/>
      <c r="Q281" s="36"/>
    </row>
    <row r="282">
      <c r="A282" s="47"/>
      <c r="B282" s="47"/>
      <c r="C282" s="47"/>
      <c r="D282" s="47"/>
      <c r="E282" s="48"/>
      <c r="F282" s="47"/>
      <c r="G282" s="47"/>
      <c r="H282" s="47"/>
      <c r="I282" s="47"/>
      <c r="J282" s="47"/>
      <c r="K282" s="49"/>
      <c r="L282" s="49"/>
      <c r="M282" s="50" t="s">
        <v>63</v>
      </c>
      <c r="N282" s="51">
        <v>137736.0</v>
      </c>
      <c r="O282" s="52"/>
      <c r="P282" s="36"/>
      <c r="Q282" s="36"/>
    </row>
    <row r="283">
      <c r="A283" s="39">
        <v>21.0</v>
      </c>
      <c r="B283" s="39" t="s">
        <v>456</v>
      </c>
      <c r="C283" s="40" t="s">
        <v>18</v>
      </c>
      <c r="D283" s="40" t="s">
        <v>457</v>
      </c>
      <c r="E283" s="40" t="s">
        <v>20</v>
      </c>
      <c r="F283" s="41" t="s">
        <v>21</v>
      </c>
      <c r="G283" s="41" t="s">
        <v>21</v>
      </c>
      <c r="H283" s="41" t="s">
        <v>22</v>
      </c>
      <c r="I283" s="42">
        <v>1.0</v>
      </c>
      <c r="J283" s="53"/>
      <c r="K283" s="42">
        <v>0.0</v>
      </c>
      <c r="L283" s="42">
        <v>0.0</v>
      </c>
      <c r="M283" s="42">
        <v>0.0</v>
      </c>
      <c r="N283" s="42">
        <v>0.0</v>
      </c>
      <c r="O283" s="46"/>
      <c r="P283" s="36"/>
      <c r="Q283" s="36"/>
    </row>
    <row r="284">
      <c r="A284" s="42">
        <v>21.1</v>
      </c>
      <c r="B284" s="41" t="s">
        <v>458</v>
      </c>
      <c r="C284" s="40" t="s">
        <v>29</v>
      </c>
      <c r="D284" s="40" t="s">
        <v>459</v>
      </c>
      <c r="E284" s="46"/>
      <c r="F284" s="41" t="s">
        <v>21</v>
      </c>
      <c r="G284" s="41">
        <v>2.0</v>
      </c>
      <c r="H284" s="41" t="s">
        <v>22</v>
      </c>
      <c r="I284" s="42">
        <v>1.0</v>
      </c>
      <c r="J284" s="42">
        <v>1.0</v>
      </c>
      <c r="K284" s="42">
        <v>120.0</v>
      </c>
      <c r="L284" s="44">
        <v>10080.0</v>
      </c>
      <c r="M284" s="42">
        <v>0.0</v>
      </c>
      <c r="N284" s="44">
        <v>10080.0</v>
      </c>
      <c r="O284" s="46"/>
      <c r="P284" s="36"/>
      <c r="Q284" s="36"/>
    </row>
    <row r="285">
      <c r="A285" s="42">
        <v>21.2</v>
      </c>
      <c r="B285" s="41" t="s">
        <v>460</v>
      </c>
      <c r="C285" s="40" t="s">
        <v>29</v>
      </c>
      <c r="D285" s="40" t="s">
        <v>461</v>
      </c>
      <c r="E285" s="46"/>
      <c r="F285" s="41" t="s">
        <v>21</v>
      </c>
      <c r="G285" s="41">
        <v>2.0</v>
      </c>
      <c r="H285" s="41" t="s">
        <v>22</v>
      </c>
      <c r="I285" s="42">
        <v>1.0</v>
      </c>
      <c r="J285" s="42">
        <v>1.0</v>
      </c>
      <c r="K285" s="42">
        <v>400.0</v>
      </c>
      <c r="L285" s="44">
        <v>33600.0</v>
      </c>
      <c r="M285" s="42">
        <v>0.0</v>
      </c>
      <c r="N285" s="44">
        <v>33600.0</v>
      </c>
      <c r="O285" s="46"/>
      <c r="P285" s="36"/>
      <c r="Q285" s="36"/>
    </row>
    <row r="286">
      <c r="A286" s="42">
        <v>21.3</v>
      </c>
      <c r="B286" s="41" t="s">
        <v>460</v>
      </c>
      <c r="C286" s="40" t="s">
        <v>29</v>
      </c>
      <c r="D286" s="40" t="s">
        <v>461</v>
      </c>
      <c r="E286" s="46"/>
      <c r="F286" s="41" t="s">
        <v>21</v>
      </c>
      <c r="G286" s="41">
        <v>2.0</v>
      </c>
      <c r="H286" s="41" t="s">
        <v>22</v>
      </c>
      <c r="I286" s="42">
        <v>1.0</v>
      </c>
      <c r="J286" s="42">
        <v>1.0</v>
      </c>
      <c r="K286" s="42">
        <v>400.0</v>
      </c>
      <c r="L286" s="44">
        <v>33600.0</v>
      </c>
      <c r="M286" s="42">
        <v>0.0</v>
      </c>
      <c r="N286" s="44">
        <v>33600.0</v>
      </c>
      <c r="O286" s="46"/>
      <c r="P286" s="36"/>
      <c r="Q286" s="36"/>
    </row>
    <row r="287">
      <c r="A287" s="42">
        <v>21.4</v>
      </c>
      <c r="B287" s="41" t="s">
        <v>462</v>
      </c>
      <c r="C287" s="40" t="s">
        <v>29</v>
      </c>
      <c r="D287" s="40" t="s">
        <v>463</v>
      </c>
      <c r="E287" s="46"/>
      <c r="F287" s="41" t="s">
        <v>21</v>
      </c>
      <c r="G287" s="41">
        <v>2.0</v>
      </c>
      <c r="H287" s="41" t="s">
        <v>22</v>
      </c>
      <c r="I287" s="42">
        <v>1.0</v>
      </c>
      <c r="J287" s="42">
        <v>1.0</v>
      </c>
      <c r="K287" s="42">
        <v>48.0</v>
      </c>
      <c r="L287" s="44">
        <v>4032.0</v>
      </c>
      <c r="M287" s="42">
        <v>0.0</v>
      </c>
      <c r="N287" s="44">
        <v>4032.0</v>
      </c>
      <c r="O287" s="46"/>
      <c r="P287" s="36"/>
      <c r="Q287" s="36"/>
    </row>
    <row r="288">
      <c r="A288" s="42">
        <v>21.5</v>
      </c>
      <c r="B288" s="41" t="s">
        <v>464</v>
      </c>
      <c r="C288" s="40" t="s">
        <v>29</v>
      </c>
      <c r="D288" s="40" t="s">
        <v>465</v>
      </c>
      <c r="E288" s="46"/>
      <c r="F288" s="41" t="s">
        <v>21</v>
      </c>
      <c r="G288" s="41">
        <v>2.0</v>
      </c>
      <c r="H288" s="41" t="s">
        <v>22</v>
      </c>
      <c r="I288" s="42">
        <v>1.0</v>
      </c>
      <c r="J288" s="42">
        <v>1.0</v>
      </c>
      <c r="K288" s="42">
        <v>20.0</v>
      </c>
      <c r="L288" s="44">
        <v>1680.0</v>
      </c>
      <c r="M288" s="42">
        <v>0.0</v>
      </c>
      <c r="N288" s="44">
        <v>1680.0</v>
      </c>
      <c r="O288" s="46"/>
      <c r="P288" s="36"/>
      <c r="Q288" s="36"/>
    </row>
    <row r="289">
      <c r="A289" s="47"/>
      <c r="B289" s="47"/>
      <c r="C289" s="47"/>
      <c r="D289" s="47"/>
      <c r="E289" s="48"/>
      <c r="F289" s="47"/>
      <c r="G289" s="47"/>
      <c r="H289" s="47"/>
      <c r="I289" s="47"/>
      <c r="J289" s="47"/>
      <c r="K289" s="47"/>
      <c r="L289" s="47"/>
      <c r="M289" s="50" t="s">
        <v>63</v>
      </c>
      <c r="N289" s="51">
        <v>82992.0</v>
      </c>
      <c r="O289" s="52"/>
      <c r="P289" s="36"/>
      <c r="Q289" s="36"/>
    </row>
    <row r="290">
      <c r="A290" s="47"/>
      <c r="B290" s="47"/>
      <c r="C290" s="47"/>
      <c r="D290" s="47"/>
      <c r="E290" s="48"/>
      <c r="F290" s="47"/>
      <c r="G290" s="47"/>
      <c r="H290" s="47"/>
      <c r="I290" s="47"/>
      <c r="J290" s="47"/>
      <c r="K290" s="47"/>
      <c r="L290" s="47"/>
      <c r="M290" s="50" t="s">
        <v>233</v>
      </c>
      <c r="N290" s="51">
        <v>1238865.7</v>
      </c>
      <c r="O290" s="52"/>
      <c r="P290" s="36"/>
      <c r="Q290" s="36"/>
    </row>
    <row r="291">
      <c r="A291" s="42"/>
      <c r="B291" s="41"/>
      <c r="C291" s="40"/>
      <c r="D291" s="40"/>
      <c r="E291" s="46"/>
      <c r="F291" s="41"/>
      <c r="G291" s="41"/>
      <c r="H291" s="41"/>
      <c r="I291" s="42"/>
      <c r="J291" s="42"/>
      <c r="K291" s="42"/>
      <c r="L291" s="42"/>
      <c r="M291" s="42"/>
      <c r="N291" s="42"/>
      <c r="O291" s="46"/>
      <c r="P291" s="36"/>
      <c r="Q291" s="36"/>
    </row>
    <row r="292">
      <c r="A292" s="42"/>
      <c r="B292" s="41"/>
      <c r="C292" s="40"/>
      <c r="D292" s="40"/>
      <c r="E292" s="46"/>
      <c r="F292" s="41"/>
      <c r="G292" s="41"/>
      <c r="H292" s="41"/>
      <c r="I292" s="42"/>
      <c r="J292" s="42"/>
      <c r="K292" s="42"/>
      <c r="L292" s="44"/>
      <c r="M292" s="42"/>
      <c r="N292" s="44"/>
      <c r="O292" s="46"/>
      <c r="P292" s="36"/>
      <c r="Q292" s="36"/>
    </row>
    <row r="293">
      <c r="A293" s="42"/>
      <c r="B293" s="41"/>
      <c r="C293" s="40"/>
      <c r="D293" s="40"/>
      <c r="E293" s="46"/>
      <c r="F293" s="41"/>
      <c r="G293" s="41"/>
      <c r="H293" s="41"/>
      <c r="I293" s="42"/>
      <c r="J293" s="42"/>
      <c r="K293" s="42"/>
      <c r="L293" s="42"/>
      <c r="M293" s="42"/>
      <c r="N293" s="42"/>
      <c r="O293" s="46"/>
      <c r="P293" s="36"/>
      <c r="Q293" s="36"/>
    </row>
    <row r="294">
      <c r="A294" s="42"/>
      <c r="B294" s="41"/>
      <c r="C294" s="40"/>
      <c r="D294" s="40"/>
      <c r="E294" s="46"/>
      <c r="F294" s="41"/>
      <c r="G294" s="41"/>
      <c r="H294" s="41"/>
      <c r="I294" s="42"/>
      <c r="J294" s="42"/>
      <c r="K294" s="42"/>
      <c r="L294" s="42"/>
      <c r="M294" s="42"/>
      <c r="N294" s="42"/>
      <c r="O294" s="46"/>
      <c r="P294" s="36"/>
      <c r="Q294" s="36"/>
    </row>
    <row r="295">
      <c r="A295" s="42"/>
      <c r="B295" s="41"/>
      <c r="C295" s="40"/>
      <c r="D295" s="40"/>
      <c r="E295" s="46"/>
      <c r="F295" s="41"/>
      <c r="G295" s="41"/>
      <c r="H295" s="41"/>
      <c r="I295" s="42"/>
      <c r="J295" s="42"/>
      <c r="K295" s="42"/>
      <c r="L295" s="42"/>
      <c r="M295" s="42"/>
      <c r="N295" s="42"/>
      <c r="O295" s="46"/>
      <c r="P295" s="36"/>
      <c r="Q295" s="36"/>
    </row>
    <row r="296">
      <c r="A296" s="42"/>
      <c r="B296" s="41"/>
      <c r="C296" s="40"/>
      <c r="D296" s="40"/>
      <c r="E296" s="46"/>
      <c r="F296" s="41"/>
      <c r="G296" s="41"/>
      <c r="H296" s="41"/>
      <c r="I296" s="42"/>
      <c r="J296" s="42"/>
      <c r="K296" s="42"/>
      <c r="L296" s="42"/>
      <c r="M296" s="42"/>
      <c r="N296" s="42"/>
      <c r="O296" s="46"/>
      <c r="P296" s="36"/>
      <c r="Q296" s="36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50"/>
      <c r="N297" s="51"/>
      <c r="O297" s="52"/>
      <c r="P297" s="36"/>
      <c r="Q297" s="36"/>
    </row>
    <row r="298">
      <c r="A298" s="39"/>
      <c r="B298" s="39"/>
      <c r="C298" s="40"/>
      <c r="D298" s="40"/>
      <c r="E298" s="40"/>
      <c r="F298" s="41"/>
      <c r="G298" s="41"/>
      <c r="H298" s="41"/>
      <c r="I298" s="42"/>
      <c r="J298" s="43"/>
      <c r="K298" s="42"/>
      <c r="L298" s="42"/>
      <c r="M298" s="42"/>
      <c r="N298" s="42"/>
      <c r="O298" s="46"/>
      <c r="P298" s="36"/>
      <c r="Q298" s="36"/>
    </row>
    <row r="299">
      <c r="A299" s="42"/>
      <c r="B299" s="41"/>
      <c r="C299" s="40"/>
      <c r="D299" s="40"/>
      <c r="E299" s="46"/>
      <c r="F299" s="41"/>
      <c r="G299" s="41"/>
      <c r="H299" s="41"/>
      <c r="I299" s="42"/>
      <c r="J299" s="42"/>
      <c r="K299" s="42"/>
      <c r="L299" s="44"/>
      <c r="M299" s="42"/>
      <c r="N299" s="44"/>
      <c r="O299" s="46"/>
      <c r="P299" s="36"/>
      <c r="Q299" s="36"/>
    </row>
    <row r="300">
      <c r="A300" s="42"/>
      <c r="B300" s="41"/>
      <c r="C300" s="40"/>
      <c r="D300" s="40"/>
      <c r="E300" s="46"/>
      <c r="F300" s="41"/>
      <c r="G300" s="41"/>
      <c r="H300" s="41"/>
      <c r="I300" s="42"/>
      <c r="J300" s="42"/>
      <c r="K300" s="42"/>
      <c r="L300" s="44"/>
      <c r="M300" s="42"/>
      <c r="N300" s="44"/>
      <c r="O300" s="46"/>
      <c r="P300" s="36"/>
      <c r="Q300" s="36"/>
    </row>
    <row r="301">
      <c r="A301" s="42"/>
      <c r="B301" s="41"/>
      <c r="C301" s="40"/>
      <c r="D301" s="40"/>
      <c r="E301" s="46"/>
      <c r="F301" s="41"/>
      <c r="G301" s="41"/>
      <c r="H301" s="41"/>
      <c r="I301" s="42"/>
      <c r="J301" s="42"/>
      <c r="K301" s="42"/>
      <c r="L301" s="44"/>
      <c r="M301" s="42"/>
      <c r="N301" s="44"/>
      <c r="O301" s="46"/>
      <c r="P301" s="36"/>
      <c r="Q301" s="36"/>
    </row>
    <row r="302">
      <c r="A302" s="42"/>
      <c r="B302" s="41"/>
      <c r="C302" s="40"/>
      <c r="D302" s="40"/>
      <c r="E302" s="46"/>
      <c r="F302" s="41"/>
      <c r="G302" s="41"/>
      <c r="H302" s="41"/>
      <c r="I302" s="42"/>
      <c r="J302" s="42"/>
      <c r="K302" s="42"/>
      <c r="L302" s="44"/>
      <c r="M302" s="42"/>
      <c r="N302" s="44"/>
      <c r="O302" s="46"/>
      <c r="P302" s="36"/>
      <c r="Q302" s="36"/>
    </row>
    <row r="303">
      <c r="A303" s="42"/>
      <c r="B303" s="41"/>
      <c r="C303" s="40"/>
      <c r="D303" s="40"/>
      <c r="E303" s="46"/>
      <c r="F303" s="41"/>
      <c r="G303" s="41"/>
      <c r="H303" s="41"/>
      <c r="I303" s="42"/>
      <c r="J303" s="42"/>
      <c r="K303" s="42"/>
      <c r="L303" s="44"/>
      <c r="M303" s="42"/>
      <c r="N303" s="44"/>
      <c r="O303" s="46"/>
      <c r="P303" s="36"/>
      <c r="Q303" s="36"/>
    </row>
    <row r="304">
      <c r="A304" s="42"/>
      <c r="B304" s="41"/>
      <c r="C304" s="40"/>
      <c r="D304" s="40"/>
      <c r="E304" s="46"/>
      <c r="F304" s="41"/>
      <c r="G304" s="41"/>
      <c r="H304" s="41"/>
      <c r="I304" s="42"/>
      <c r="J304" s="42"/>
      <c r="K304" s="42"/>
      <c r="L304" s="44"/>
      <c r="M304" s="42"/>
      <c r="N304" s="44"/>
      <c r="O304" s="46"/>
      <c r="P304" s="36"/>
      <c r="Q304" s="36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50"/>
      <c r="N305" s="51"/>
      <c r="O305" s="52"/>
      <c r="P305" s="36"/>
      <c r="Q305" s="36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50"/>
      <c r="N306" s="51"/>
      <c r="O306" s="52"/>
      <c r="P306" s="36"/>
      <c r="Q306" s="36"/>
    </row>
  </sheetData>
  <autoFilter ref="$A$1:$Z$306"/>
  <mergeCells count="17">
    <mergeCell ref="C2:Q2"/>
    <mergeCell ref="C17:Q17"/>
    <mergeCell ref="C32:Q32"/>
    <mergeCell ref="C50:Q50"/>
    <mergeCell ref="C65:Q65"/>
    <mergeCell ref="C80:Q80"/>
    <mergeCell ref="C95:Q95"/>
    <mergeCell ref="C218:Q218"/>
    <mergeCell ref="C227:Q227"/>
    <mergeCell ref="C257:Q257"/>
    <mergeCell ref="C122:Q122"/>
    <mergeCell ref="C137:Q137"/>
    <mergeCell ref="C153:Q153"/>
    <mergeCell ref="C169:Q169"/>
    <mergeCell ref="C185:Q185"/>
    <mergeCell ref="C199:Q199"/>
    <mergeCell ref="C210:Q21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19.25"/>
    <col customWidth="1" min="4" max="4" width="24.25"/>
    <col customWidth="1" min="5" max="5" width="25.5"/>
  </cols>
  <sheetData>
    <row r="1">
      <c r="A1" s="57" t="s">
        <v>466</v>
      </c>
      <c r="B1" s="58" t="s">
        <v>467</v>
      </c>
      <c r="C1" s="58" t="s">
        <v>468</v>
      </c>
      <c r="D1" s="58" t="s">
        <v>469</v>
      </c>
      <c r="E1" s="59" t="s">
        <v>470</v>
      </c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ht="98.25" customHeight="1">
      <c r="A2" s="61" t="s">
        <v>263</v>
      </c>
      <c r="B2" s="62" t="s">
        <v>471</v>
      </c>
      <c r="C2" s="62" t="s">
        <v>472</v>
      </c>
      <c r="D2" s="62" t="s">
        <v>473</v>
      </c>
      <c r="E2" s="63" t="s">
        <v>474</v>
      </c>
      <c r="G2" s="64" t="s">
        <v>475</v>
      </c>
    </row>
    <row r="3" ht="67.5" customHeight="1">
      <c r="A3" s="65" t="s">
        <v>291</v>
      </c>
      <c r="B3" s="62" t="s">
        <v>471</v>
      </c>
      <c r="C3" s="62" t="s">
        <v>472</v>
      </c>
      <c r="D3" s="62" t="s">
        <v>473</v>
      </c>
      <c r="E3" s="63" t="s">
        <v>474</v>
      </c>
    </row>
    <row r="4">
      <c r="A4" s="65" t="s">
        <v>308</v>
      </c>
      <c r="B4" s="62" t="s">
        <v>471</v>
      </c>
      <c r="C4" s="66" t="s">
        <v>476</v>
      </c>
      <c r="D4" s="66" t="s">
        <v>477</v>
      </c>
      <c r="E4" s="67" t="s">
        <v>478</v>
      </c>
    </row>
    <row r="5">
      <c r="A5" s="65" t="s">
        <v>328</v>
      </c>
      <c r="B5" s="62" t="s">
        <v>471</v>
      </c>
      <c r="C5" s="66" t="s">
        <v>476</v>
      </c>
      <c r="D5" s="66" t="s">
        <v>477</v>
      </c>
      <c r="E5" s="67" t="s">
        <v>478</v>
      </c>
    </row>
    <row r="6">
      <c r="A6" s="65" t="s">
        <v>333</v>
      </c>
      <c r="B6" s="62" t="s">
        <v>471</v>
      </c>
      <c r="C6" s="66" t="s">
        <v>476</v>
      </c>
      <c r="D6" s="66" t="s">
        <v>477</v>
      </c>
      <c r="E6" s="68" t="s">
        <v>479</v>
      </c>
    </row>
    <row r="7">
      <c r="A7" s="65" t="s">
        <v>343</v>
      </c>
      <c r="B7" s="62" t="s">
        <v>471</v>
      </c>
      <c r="C7" s="66" t="s">
        <v>476</v>
      </c>
      <c r="D7" s="66" t="s">
        <v>477</v>
      </c>
      <c r="E7" s="68" t="s">
        <v>480</v>
      </c>
    </row>
    <row r="8">
      <c r="A8" s="65" t="s">
        <v>351</v>
      </c>
      <c r="B8" s="62" t="s">
        <v>471</v>
      </c>
      <c r="C8" s="66" t="s">
        <v>481</v>
      </c>
      <c r="D8" s="66" t="s">
        <v>482</v>
      </c>
      <c r="E8" s="69" t="s">
        <v>483</v>
      </c>
    </row>
    <row r="9">
      <c r="A9" s="65" t="s">
        <v>370</v>
      </c>
      <c r="B9" s="62" t="s">
        <v>471</v>
      </c>
      <c r="C9" s="66" t="s">
        <v>481</v>
      </c>
      <c r="D9" s="66" t="s">
        <v>482</v>
      </c>
      <c r="E9" s="69" t="s">
        <v>484</v>
      </c>
    </row>
    <row r="10">
      <c r="A10" s="65" t="s">
        <v>374</v>
      </c>
      <c r="B10" s="62" t="s">
        <v>471</v>
      </c>
      <c r="C10" s="66" t="s">
        <v>481</v>
      </c>
      <c r="D10" s="66" t="s">
        <v>482</v>
      </c>
      <c r="E10" s="69" t="s">
        <v>484</v>
      </c>
    </row>
    <row r="11">
      <c r="A11" s="65" t="s">
        <v>382</v>
      </c>
      <c r="B11" s="62" t="s">
        <v>471</v>
      </c>
      <c r="C11" s="66" t="s">
        <v>481</v>
      </c>
      <c r="D11" s="66" t="s">
        <v>482</v>
      </c>
      <c r="E11" s="69" t="s">
        <v>483</v>
      </c>
    </row>
    <row r="12">
      <c r="A12" s="65" t="s">
        <v>390</v>
      </c>
      <c r="B12" s="62" t="s">
        <v>471</v>
      </c>
      <c r="C12" s="66" t="s">
        <v>485</v>
      </c>
      <c r="D12" s="66" t="s">
        <v>478</v>
      </c>
      <c r="E12" s="67" t="s">
        <v>478</v>
      </c>
    </row>
    <row r="13">
      <c r="A13" s="65" t="s">
        <v>403</v>
      </c>
      <c r="B13" s="62" t="s">
        <v>471</v>
      </c>
      <c r="C13" s="66" t="s">
        <v>485</v>
      </c>
      <c r="D13" s="66" t="s">
        <v>478</v>
      </c>
      <c r="E13" s="67" t="s">
        <v>478</v>
      </c>
    </row>
    <row r="14">
      <c r="A14" s="65" t="s">
        <v>398</v>
      </c>
      <c r="B14" s="62" t="s">
        <v>471</v>
      </c>
      <c r="C14" s="66" t="s">
        <v>485</v>
      </c>
      <c r="D14" s="66" t="s">
        <v>486</v>
      </c>
      <c r="E14" s="68" t="s">
        <v>487</v>
      </c>
    </row>
    <row r="15">
      <c r="A15" s="65" t="s">
        <v>409</v>
      </c>
      <c r="B15" s="62" t="s">
        <v>471</v>
      </c>
      <c r="C15" s="66" t="s">
        <v>485</v>
      </c>
      <c r="D15" s="66" t="s">
        <v>486</v>
      </c>
      <c r="E15" s="68" t="s">
        <v>487</v>
      </c>
    </row>
    <row r="16">
      <c r="A16" s="65" t="s">
        <v>416</v>
      </c>
      <c r="B16" s="62" t="s">
        <v>471</v>
      </c>
      <c r="C16" s="66" t="s">
        <v>485</v>
      </c>
      <c r="D16" s="66" t="s">
        <v>486</v>
      </c>
      <c r="E16" s="68" t="s">
        <v>487</v>
      </c>
    </row>
  </sheetData>
  <mergeCells count="1">
    <mergeCell ref="G2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13"/>
    <col customWidth="1" min="4" max="4" width="21.75"/>
    <col customWidth="1" min="6" max="6" width="21.0"/>
    <col customWidth="1" min="21" max="21" width="21.13"/>
    <col customWidth="1" min="22" max="22" width="23.88"/>
    <col customWidth="1" min="23" max="23" width="22.25"/>
    <col customWidth="1" min="24" max="24" width="27.75"/>
  </cols>
  <sheetData>
    <row r="1">
      <c r="A1" s="70" t="str">
        <f>IFERROR(__xludf.DUMMYFUNCTION("{""STT"",""Devices"";
LET(
  devs,FILTER(
    $D$2:$D1000,
    $D$2:$D1000&lt;&gt;"""",
    $D$2:$D1000&lt;&gt;""CISCO-NETWORK-SUB"",
    $D$2:$D1000&lt;&gt;""CISCO-ROUT-SUB""
  ),
  raw,REDUCE(
    """",
    devs,
    LAMBDA(acc,dev,
      LET(
        def,XLOOKUP(dev,$T$"&amp;"2:$T1000,$U$2:$U1000,""""),
        adv,XLOOKUP(dev,$T$2:$T1000,$V$2:$V1000,""""),
        sdn,XLOOKUP(dev,$T$2:$T1000,$W$2:$W1000,""""),
        ful,XLOOKUP(dev,$T$2:$T1000,$X$2:$X1000,""""),
        VSTACK(
          acc,
          IF(def&lt;&gt;"""", dev&amp;"" "&amp;"(Default Routing)"", """"),
          IF(adv&lt;&gt;"""", dev&amp;"" (Adv Routing)"", """"),
          IF(AND(sdn&lt;&gt;"""", LOWER(TRIM(TO_TEXT(sdn)))&lt;&gt;""không có""), dev&amp;"" (SDWAN)"", """"),
          IF(AND(ful&lt;&gt;"""", LOWER(TRIM(TO_TEXT(ful)))&lt;&gt;""không có""), dev&amp;"" "&amp;"(Full Adds On)"", """")
        )
      )
    )
  ),
  out,FILTER(raw,LEN(TRIM(raw))&gt;0),
  HSTACK(SEQUENCE(ROWS(out)),out)
)}"),"STT")</f>
        <v>STT</v>
      </c>
      <c r="B1" s="71" t="str">
        <f>IFERROR(__xludf.DUMMYFUNCTION("""COMPUTED_VALUE"""),"Devices")</f>
        <v>Devices</v>
      </c>
      <c r="C1" s="71" t="str">
        <f>IFERROR(__xludf.DUMMYFUNCTION("{""STT"",""Devices"",""Price Base"";
ARRAYFORMULA(
  LET(
    data,
    UNIQUE(
      HSTACK(
        FILTER(
          'C8000_secure_input'!B:B,
          'C8000_secure_input'!A:A&lt;&gt;"""",
          REGEXMATCH(TO_TEXT('C8000_secure_input'!A:A),""^\d+(\.0)?"&amp;"$"")
        ),
        FILTER(
          'C8000_secure_input'!N:N,
          TRIM('C8000_secure_input'!M:M)=""SubTotal""
        )
      )
    ),
    HSTACK(
      SEQUENCE(ROWS(data)),
      INDEX(data,,1),
      INDEX(data,,2)
    )
  )
)}"),"STT")</f>
        <v>STT</v>
      </c>
      <c r="D1" s="71" t="str">
        <f>IFERROR(__xludf.DUMMYFUNCTION("""COMPUTED_VALUE"""),"Devices")</f>
        <v>Devices</v>
      </c>
      <c r="E1" s="71" t="str">
        <f>IFERROR(__xludf.DUMMYFUNCTION("""COMPUTED_VALUE"""),"Price Base")</f>
        <v>Price Base</v>
      </c>
      <c r="F1" s="71" t="str">
        <f>IFERROR(__xludf.DUMMYFUNCTION("{""License"",""List Price"";
ARRAYFORMULA(
IFERROR(
UNIQUE(
FILTER(
HSTACK(
'C8000_secure_input'!B:B,
'C8000_secure_input'!N:N
),
REGEXMATCH(TO_TEXT('C8000_secure_input'!A:A),""^\d+\.\d+$""),
REGEXMATCH(
IFNA(
VLOOKUP(
VALUE(REGEXEXTRACT(TO_TEXT('C8000_se"&amp;"cure_input'!A:A),""^\d+"")),
HSTACK(
VALUE('C8000_secure_input'!A:A),
'C8000_secure_input'!B:B
),
2,
FALSE
),
""""
),
""^(CISCO-NETWORK-SUB|CISCO-ROUT-SUB)$""
)
)
),
""""
)
)}"),"License")</f>
        <v>License</v>
      </c>
      <c r="G1" s="71" t="str">
        <f>IFERROR(__xludf.DUMMYFUNCTION("""COMPUTED_VALUE"""),"List Price")</f>
        <v>List Price</v>
      </c>
      <c r="H1" s="71"/>
      <c r="I1" s="71"/>
      <c r="J1" s="71"/>
      <c r="K1" s="71"/>
      <c r="L1" s="71"/>
      <c r="M1" s="71"/>
      <c r="N1" s="71" t="str">
        <f>IFERROR(__xludf.DUMMYFUNCTION("{""Final Price"";
MAP(B2:B1000,
LAMBDA(b,
IF(b="""","""",
LET(
  dev,TRIM(REGEXEXTRACT(b,""^[^(]+"")),
  note,TRIM(REGEXEXTRACT(b,""\(([^)]+)\)"")),
  base,N(IFNA(XLOOKUP(dev,$D$2:$D1000,$E$2:$E1000),0)),
  plan,SWITCH(
    note,
    ""Default Routing"","&amp;""""",
    ""Adv Routing"",IFNA(XLOOKUP(dev,$T$2:$T1000,$V$2:$V1000,""""),""""),
    ""SDWAN"",IFNA(XLOOKUP(dev,$T$2:$T1000,$W$2:$W1000,""""),""""),
    ""Full Adds On"",IFNA(XLOOKUP(dev,$T$2:$T1000,$X$2:$X1000,""""),""""),
    """"
  ),
  lics,IFERROR(
  "&amp;"  FILTER(
      TRIM(SPLIT(REGEXREPLACE(SUBSTITUTE(SUBSTITUTE(plan,CHAR(10),"" ""),CHAR(13),""""),""\s*\+\s*"",""|""),""|"",TRUE,TRUE)),
      LEFT(TRIM(SPLIT(REGEXREPLACE(SUBSTITUTE(SUBSTITUTE(plan,CHAR(10),"" ""),CHAR(13),""""),""\s*\+\s*"",""|""),""|"""&amp;",TRUE,TRUE)),4)=""LIC-""
    ),
    """"
  ),
  licSum,
    IF(
      COUNTA(lics)=0,
      0,
      SUM(
        MAP(
          lics,
          LAMBDA(lic,IFNA(VLOOKUP(TRIM(lic),{$F$2:$F1000,$G$2:$G1000},2,FALSE),0))
        )
      )
    ),
  base+licSu"&amp;"m
)
)))
}"),"Final Price")</f>
        <v>Final Price</v>
      </c>
      <c r="O1" s="71"/>
      <c r="P1" s="71"/>
      <c r="Q1" s="71"/>
      <c r="R1" s="71"/>
      <c r="S1" s="71"/>
      <c r="T1" s="57" t="str">
        <f>IFERROR(__xludf.DUMMYFUNCTION("FILTER(mapping_C8000_secure!A:E,mapping_C8000_secure!A:A&lt;&gt;"""")"),"Product")</f>
        <v>Product</v>
      </c>
      <c r="U1" s="58" t="str">
        <f>IFERROR(__xludf.DUMMYFUNCTION("""COMPUTED_VALUE"""),"Default Routing")</f>
        <v>Default Routing</v>
      </c>
      <c r="V1" s="58" t="str">
        <f>IFERROR(__xludf.DUMMYFUNCTION("""COMPUTED_VALUE"""),"Adv Routing")</f>
        <v>Adv Routing</v>
      </c>
      <c r="W1" s="58" t="str">
        <f>IFERROR(__xludf.DUMMYFUNCTION("""COMPUTED_VALUE"""),"SDWAN")</f>
        <v>SDWAN</v>
      </c>
      <c r="X1" s="59" t="str">
        <f>IFERROR(__xludf.DUMMYFUNCTION("""COMPUTED_VALUE"""),"Full Adds On")</f>
        <v>Full Adds On</v>
      </c>
      <c r="Y1" s="71"/>
      <c r="Z1" s="71"/>
    </row>
    <row r="2">
      <c r="A2" s="34">
        <f>IFERROR(__xludf.DUMMYFUNCTION("""COMPUTED_VALUE"""),1.0)</f>
        <v>1</v>
      </c>
      <c r="B2" s="34" t="str">
        <f>IFERROR(__xludf.DUMMYFUNCTION("""COMPUTED_VALUE"""),"C8355-G2 (Default Routing)")</f>
        <v>C8355-G2 (Default Routing)</v>
      </c>
      <c r="C2" s="34">
        <f>IFERROR(__xludf.DUMMYFUNCTION("""COMPUTED_VALUE"""),1.0)</f>
        <v>1</v>
      </c>
      <c r="D2" s="34" t="str">
        <f>IFERROR(__xludf.DUMMYFUNCTION("""COMPUTED_VALUE"""),"C8355-G2")</f>
        <v>C8355-G2</v>
      </c>
      <c r="E2" s="34">
        <f>IFERROR(__xludf.DUMMYFUNCTION("""COMPUTED_VALUE"""),26043.76)</f>
        <v>26043.76</v>
      </c>
      <c r="F2" s="34" t="str">
        <f>IFERROR(__xludf.DUMMYFUNCTION("""COMPUTED_VALUE"""),"SVS-L0SPT-CN")</f>
        <v>SVS-L0SPT-CN</v>
      </c>
      <c r="G2" s="34">
        <f>IFERROR(__xludf.DUMMYFUNCTION("""COMPUTED_VALUE"""),0.0)</f>
        <v>0</v>
      </c>
      <c r="M2" s="34" t="str">
        <f t="array" ref="M2:M1000">IF(A2:A1000&lt;&gt;"","SubTotal","")</f>
        <v>SubTotal</v>
      </c>
      <c r="N2" s="34">
        <f>IFERROR(__xludf.DUMMYFUNCTION("""COMPUTED_VALUE"""),26043.76)</f>
        <v>26043.76</v>
      </c>
      <c r="T2" s="61" t="str">
        <f>IFERROR(__xludf.DUMMYFUNCTION("""COMPUTED_VALUE"""),"C8355-G2")</f>
        <v>C8355-G2</v>
      </c>
      <c r="U2" s="62" t="str">
        <f>IFERROR(__xludf.DUMMYFUNCTION("""COMPUTED_VALUE"""),"Base")</f>
        <v>Base</v>
      </c>
      <c r="V2" s="62" t="str">
        <f>IFERROR(__xludf.DUMMYFUNCTION("""COMPUTED_VALUE"""),"Base + LIC-ROS-L-A")</f>
        <v>Base + LIC-ROS-L-A</v>
      </c>
      <c r="W2" s="62" t="str">
        <f>IFERROR(__xludf.DUMMYFUNCTION("""COMPUTED_VALUE"""),"Base + LIC-CSWAN-L-A")</f>
        <v>Base + LIC-CSWAN-L-A</v>
      </c>
      <c r="X2" s="63" t="str">
        <f>IFERROR(__xludf.DUMMYFUNCTION("""COMPUTED_VALUE"""),"Base + LIC-CSWAN-L-A + LIC-SEC-L-T + LIC-SEC-L-C + LIC-SEC-L-M")</f>
        <v>Base + LIC-CSWAN-L-A + LIC-SEC-L-T + LIC-SEC-L-C + LIC-SEC-L-M</v>
      </c>
    </row>
    <row r="3">
      <c r="A3" s="34">
        <f>IFERROR(__xludf.DUMMYFUNCTION("""COMPUTED_VALUE"""),2.0)</f>
        <v>2</v>
      </c>
      <c r="B3" s="34" t="str">
        <f>IFERROR(__xludf.DUMMYFUNCTION("""COMPUTED_VALUE"""),"C8355-G2 (Adv Routing)")</f>
        <v>C8355-G2 (Adv Routing)</v>
      </c>
      <c r="C3" s="34">
        <f>IFERROR(__xludf.DUMMYFUNCTION("""COMPUTED_VALUE"""),2.0)</f>
        <v>2</v>
      </c>
      <c r="D3" s="34" t="str">
        <f>IFERROR(__xludf.DUMMYFUNCTION("""COMPUTED_VALUE"""),"C8375-E-G2")</f>
        <v>C8375-E-G2</v>
      </c>
      <c r="E3" s="34">
        <f>IFERROR(__xludf.DUMMYFUNCTION("""COMPUTED_VALUE"""),44396.56)</f>
        <v>44396.56</v>
      </c>
      <c r="F3" s="34" t="str">
        <f>IFERROR(__xludf.DUMMYFUNCTION("""COMPUTED_VALUE"""),"LIC-CSWAN-L-A")</f>
        <v>LIC-CSWAN-L-A</v>
      </c>
      <c r="G3" s="34">
        <f>IFERROR(__xludf.DUMMYFUNCTION("""COMPUTED_VALUE"""),14184.0)</f>
        <v>14184</v>
      </c>
      <c r="M3" s="34" t="s">
        <v>63</v>
      </c>
      <c r="N3" s="34">
        <f>IFERROR(__xludf.DUMMYFUNCTION("""COMPUTED_VALUE"""),36123.759999999995)</f>
        <v>36123.76</v>
      </c>
      <c r="T3" s="65" t="str">
        <f>IFERROR(__xludf.DUMMYFUNCTION("""COMPUTED_VALUE"""),"C8375-E-G2")</f>
        <v>C8375-E-G2</v>
      </c>
      <c r="U3" s="62" t="str">
        <f>IFERROR(__xludf.DUMMYFUNCTION("""COMPUTED_VALUE"""),"Base")</f>
        <v>Base</v>
      </c>
      <c r="V3" s="62" t="str">
        <f>IFERROR(__xludf.DUMMYFUNCTION("""COMPUTED_VALUE"""),"Base + LIC-ROS-L-A")</f>
        <v>Base + LIC-ROS-L-A</v>
      </c>
      <c r="W3" s="62" t="str">
        <f>IFERROR(__xludf.DUMMYFUNCTION("""COMPUTED_VALUE"""),"Base + LIC-CSWAN-L-A")</f>
        <v>Base + LIC-CSWAN-L-A</v>
      </c>
      <c r="X3" s="63" t="str">
        <f>IFERROR(__xludf.DUMMYFUNCTION("""COMPUTED_VALUE"""),"Base + LIC-CSWAN-L-A + LIC-SEC-L-T + LIC-SEC-L-C + LIC-SEC-L-M")</f>
        <v>Base + LIC-CSWAN-L-A + LIC-SEC-L-T + LIC-SEC-L-C + LIC-SEC-L-M</v>
      </c>
    </row>
    <row r="4">
      <c r="A4" s="34">
        <f>IFERROR(__xludf.DUMMYFUNCTION("""COMPUTED_VALUE"""),3.0)</f>
        <v>3</v>
      </c>
      <c r="B4" s="34" t="str">
        <f>IFERROR(__xludf.DUMMYFUNCTION("""COMPUTED_VALUE"""),"C8355-G2 (SDWAN)")</f>
        <v>C8355-G2 (SDWAN)</v>
      </c>
      <c r="C4" s="34">
        <f>IFERROR(__xludf.DUMMYFUNCTION("""COMPUTED_VALUE"""),3.0)</f>
        <v>3</v>
      </c>
      <c r="D4" s="34" t="str">
        <f>IFERROR(__xludf.DUMMYFUNCTION("""COMPUTED_VALUE"""),"C8550-G2")</f>
        <v>C8550-G2</v>
      </c>
      <c r="E4" s="34">
        <f>IFERROR(__xludf.DUMMYFUNCTION("""COMPUTED_VALUE"""),182038.62)</f>
        <v>182038.62</v>
      </c>
      <c r="F4" s="34" t="str">
        <f>IFERROR(__xludf.DUMMYFUNCTION("""COMPUTED_VALUE"""),"LIC-SEC-L-T")</f>
        <v>LIC-SEC-L-T</v>
      </c>
      <c r="G4" s="34">
        <f>IFERROR(__xludf.DUMMYFUNCTION("""COMPUTED_VALUE"""),612.0)</f>
        <v>612</v>
      </c>
      <c r="M4" s="34" t="s">
        <v>63</v>
      </c>
      <c r="N4" s="34">
        <f>IFERROR(__xludf.DUMMYFUNCTION("""COMPUTED_VALUE"""),40227.759999999995)</f>
        <v>40227.76</v>
      </c>
      <c r="T4" s="65" t="str">
        <f>IFERROR(__xludf.DUMMYFUNCTION("""COMPUTED_VALUE"""),"C8550-G2")</f>
        <v>C8550-G2</v>
      </c>
      <c r="U4" s="62" t="str">
        <f>IFERROR(__xludf.DUMMYFUNCTION("""COMPUTED_VALUE"""),"Base")</f>
        <v>Base</v>
      </c>
      <c r="V4" s="66" t="str">
        <f>IFERROR(__xludf.DUMMYFUNCTION("""COMPUTED_VALUE"""),"Base + LIC-ROS-XL-A")</f>
        <v>Base + LIC-ROS-XL-A</v>
      </c>
      <c r="W4" s="66" t="str">
        <f>IFERROR(__xludf.DUMMYFUNCTION("""COMPUTED_VALUE"""),"Base + LIC-CSWAN-XL-A")</f>
        <v>Base + LIC-CSWAN-XL-A</v>
      </c>
      <c r="X4" s="67" t="str">
        <f>IFERROR(__xludf.DUMMYFUNCTION("""COMPUTED_VALUE"""),"không có")</f>
        <v>không có</v>
      </c>
    </row>
    <row r="5">
      <c r="A5" s="34">
        <f>IFERROR(__xludf.DUMMYFUNCTION("""COMPUTED_VALUE"""),4.0)</f>
        <v>4</v>
      </c>
      <c r="B5" s="34" t="str">
        <f>IFERROR(__xludf.DUMMYFUNCTION("""COMPUTED_VALUE"""),"C8355-G2 (Full Adds On)")</f>
        <v>C8355-G2 (Full Adds On)</v>
      </c>
      <c r="C5" s="34">
        <f>IFERROR(__xludf.DUMMYFUNCTION("""COMPUTED_VALUE"""),4.0)</f>
        <v>4</v>
      </c>
      <c r="D5" s="34" t="str">
        <f>IFERROR(__xludf.DUMMYFUNCTION("""COMPUTED_VALUE"""),"C8570-G2")</f>
        <v>C8570-G2</v>
      </c>
      <c r="E5" s="34">
        <f>IFERROR(__xludf.DUMMYFUNCTION("""COMPUTED_VALUE"""),254910.54)</f>
        <v>254910.54</v>
      </c>
      <c r="F5" s="34" t="str">
        <f>IFERROR(__xludf.DUMMYFUNCTION("""COMPUTED_VALUE"""),"LIC-SEC-L-C")</f>
        <v>LIC-SEC-L-C</v>
      </c>
      <c r="G5" s="34">
        <f>IFERROR(__xludf.DUMMYFUNCTION("""COMPUTED_VALUE"""),612.0)</f>
        <v>612</v>
      </c>
      <c r="M5" s="34" t="s">
        <v>63</v>
      </c>
      <c r="N5" s="34">
        <f>IFERROR(__xludf.DUMMYFUNCTION("""COMPUTED_VALUE"""),42063.759999999995)</f>
        <v>42063.76</v>
      </c>
      <c r="T5" s="65" t="str">
        <f>IFERROR(__xludf.DUMMYFUNCTION("""COMPUTED_VALUE"""),"C8570-G2")</f>
        <v>C8570-G2</v>
      </c>
      <c r="U5" s="62" t="str">
        <f>IFERROR(__xludf.DUMMYFUNCTION("""COMPUTED_VALUE"""),"Base")</f>
        <v>Base</v>
      </c>
      <c r="V5" s="66" t="str">
        <f>IFERROR(__xludf.DUMMYFUNCTION("""COMPUTED_VALUE"""),"Base + LIC-ROS-XL-A")</f>
        <v>Base + LIC-ROS-XL-A</v>
      </c>
      <c r="W5" s="66" t="str">
        <f>IFERROR(__xludf.DUMMYFUNCTION("""COMPUTED_VALUE"""),"Base + LIC-CSWAN-XL-A")</f>
        <v>Base + LIC-CSWAN-XL-A</v>
      </c>
      <c r="X5" s="67" t="str">
        <f>IFERROR(__xludf.DUMMYFUNCTION("""COMPUTED_VALUE"""),"không có")</f>
        <v>không có</v>
      </c>
    </row>
    <row r="6">
      <c r="A6" s="34">
        <f>IFERROR(__xludf.DUMMYFUNCTION("""COMPUTED_VALUE"""),5.0)</f>
        <v>5</v>
      </c>
      <c r="B6" s="34" t="str">
        <f>IFERROR(__xludf.DUMMYFUNCTION("""COMPUTED_VALUE"""),"C8375-E-G2 (Default Routing)")</f>
        <v>C8375-E-G2 (Default Routing)</v>
      </c>
      <c r="C6" s="34">
        <f>IFERROR(__xludf.DUMMYFUNCTION("""COMPUTED_VALUE"""),5.0)</f>
        <v>5</v>
      </c>
      <c r="D6" s="34" t="str">
        <f>IFERROR(__xludf.DUMMYFUNCTION("""COMPUTED_VALUE"""),"C8455-G2")</f>
        <v>C8455-G2</v>
      </c>
      <c r="E6" s="34">
        <f>IFERROR(__xludf.DUMMYFUNCTION("""COMPUTED_VALUE"""),60581.28)</f>
        <v>60581.28</v>
      </c>
      <c r="F6" s="34" t="str">
        <f>IFERROR(__xludf.DUMMYFUNCTION("""COMPUTED_VALUE"""),"LIC-SEC-L-M")</f>
        <v>LIC-SEC-L-M</v>
      </c>
      <c r="G6" s="34">
        <f>IFERROR(__xludf.DUMMYFUNCTION("""COMPUTED_VALUE"""),612.0)</f>
        <v>612</v>
      </c>
      <c r="M6" s="34" t="s">
        <v>63</v>
      </c>
      <c r="N6" s="34">
        <f>IFERROR(__xludf.DUMMYFUNCTION("""COMPUTED_VALUE"""),44396.56)</f>
        <v>44396.56</v>
      </c>
      <c r="T6" s="65" t="str">
        <f>IFERROR(__xludf.DUMMYFUNCTION("""COMPUTED_VALUE"""),"C8455-G2")</f>
        <v>C8455-G2</v>
      </c>
      <c r="U6" s="62" t="str">
        <f>IFERROR(__xludf.DUMMYFUNCTION("""COMPUTED_VALUE"""),"Base")</f>
        <v>Base</v>
      </c>
      <c r="V6" s="66" t="str">
        <f>IFERROR(__xludf.DUMMYFUNCTION("""COMPUTED_VALUE"""),"Base + LIC-ROS-XL-A")</f>
        <v>Base + LIC-ROS-XL-A</v>
      </c>
      <c r="W6" s="66" t="str">
        <f>IFERROR(__xludf.DUMMYFUNCTION("""COMPUTED_VALUE"""),"Base + LIC-CSWAN-XL-A")</f>
        <v>Base + LIC-CSWAN-XL-A</v>
      </c>
      <c r="X6" s="68" t="str">
        <f>IFERROR(__xludf.DUMMYFUNCTION("""COMPUTED_VALUE"""),"Base + LIC-CSWAN-XL-A + LIC-SEC-XL-T + LIC-SEC-XL-M + LIC-SEC-XL-C")</f>
        <v>Base + LIC-CSWAN-XL-A + LIC-SEC-XL-T + LIC-SEC-XL-M + LIC-SEC-XL-C</v>
      </c>
    </row>
    <row r="7">
      <c r="A7" s="34">
        <f>IFERROR(__xludf.DUMMYFUNCTION("""COMPUTED_VALUE"""),6.0)</f>
        <v>6</v>
      </c>
      <c r="B7" s="34" t="str">
        <f>IFERROR(__xludf.DUMMYFUNCTION("""COMPUTED_VALUE"""),"C8375-E-G2 (Adv Routing)")</f>
        <v>C8375-E-G2 (Adv Routing)</v>
      </c>
      <c r="C7" s="34">
        <f>IFERROR(__xludf.DUMMYFUNCTION("""COMPUTED_VALUE"""),6.0)</f>
        <v>6</v>
      </c>
      <c r="D7" s="34" t="str">
        <f>IFERROR(__xludf.DUMMYFUNCTION("""COMPUTED_VALUE"""),"C8475-G2")</f>
        <v>C8475-G2</v>
      </c>
      <c r="E7" s="34">
        <f>IFERROR(__xludf.DUMMYFUNCTION("""COMPUTED_VALUE"""),109166.7)</f>
        <v>109166.7</v>
      </c>
      <c r="F7" s="34" t="str">
        <f>IFERROR(__xludf.DUMMYFUNCTION("""COMPUTED_VALUE"""),"TE-EMBED-WANI-S")</f>
        <v>TE-EMBED-WANI-S</v>
      </c>
      <c r="G7" s="34">
        <f>IFERROR(__xludf.DUMMYFUNCTION("""COMPUTED_VALUE"""),0.0)</f>
        <v>0</v>
      </c>
      <c r="M7" s="34" t="s">
        <v>63</v>
      </c>
      <c r="N7" s="34">
        <f>IFERROR(__xludf.DUMMYFUNCTION("""COMPUTED_VALUE"""),54476.56)</f>
        <v>54476.56</v>
      </c>
      <c r="T7" s="65" t="str">
        <f>IFERROR(__xludf.DUMMYFUNCTION("""COMPUTED_VALUE"""),"C8475-G2")</f>
        <v>C8475-G2</v>
      </c>
      <c r="U7" s="62" t="str">
        <f>IFERROR(__xludf.DUMMYFUNCTION("""COMPUTED_VALUE"""),"Base")</f>
        <v>Base</v>
      </c>
      <c r="V7" s="66" t="str">
        <f>IFERROR(__xludf.DUMMYFUNCTION("""COMPUTED_VALUE"""),"Base + LIC-ROS-XL-A")</f>
        <v>Base + LIC-ROS-XL-A</v>
      </c>
      <c r="W7" s="66" t="str">
        <f>IFERROR(__xludf.DUMMYFUNCTION("""COMPUTED_VALUE"""),"Base + LIC-CSWAN-XL-A")</f>
        <v>Base + LIC-CSWAN-XL-A</v>
      </c>
      <c r="X7" s="68" t="str">
        <f>IFERROR(__xludf.DUMMYFUNCTION("""COMPUTED_VALUE"""),"Base + LIC-CSWAN-XL-A  + LIC-SEC-XL-T + LIC-SEC-XL-M + LIC-SEC-XL-C")</f>
        <v>Base + LIC-CSWAN-XL-A  + LIC-SEC-XL-T + LIC-SEC-XL-M + LIC-SEC-XL-C</v>
      </c>
    </row>
    <row r="8">
      <c r="A8" s="34">
        <f>IFERROR(__xludf.DUMMYFUNCTION("""COMPUTED_VALUE"""),7.0)</f>
        <v>7</v>
      </c>
      <c r="B8" s="34" t="str">
        <f>IFERROR(__xludf.DUMMYFUNCTION("""COMPUTED_VALUE"""),"C8375-E-G2 (SDWAN)")</f>
        <v>C8375-E-G2 (SDWAN)</v>
      </c>
      <c r="C8" s="34">
        <f>IFERROR(__xludf.DUMMYFUNCTION("""COMPUTED_VALUE"""),7.0)</f>
        <v>7</v>
      </c>
      <c r="D8" s="34" t="str">
        <f>IFERROR(__xludf.DUMMYFUNCTION("""COMPUTED_VALUE"""),"C8235-E-G2")</f>
        <v>C8235-E-G2</v>
      </c>
      <c r="E8" s="34">
        <f>IFERROR(__xludf.DUMMYFUNCTION("""COMPUTED_VALUE"""),13967.14)</f>
        <v>13967.14</v>
      </c>
      <c r="F8" s="34" t="str">
        <f>IFERROR(__xludf.DUMMYFUNCTION("""COMPUTED_VALUE"""),"LIC-CSWAN-XL-A")</f>
        <v>LIC-CSWAN-XL-A</v>
      </c>
      <c r="G8" s="34">
        <f>IFERROR(__xludf.DUMMYFUNCTION("""COMPUTED_VALUE"""),55188.0)</f>
        <v>55188</v>
      </c>
      <c r="M8" s="34" t="s">
        <v>63</v>
      </c>
      <c r="N8" s="34">
        <f>IFERROR(__xludf.DUMMYFUNCTION("""COMPUTED_VALUE"""),58580.56)</f>
        <v>58580.56</v>
      </c>
      <c r="T8" s="65" t="str">
        <f>IFERROR(__xludf.DUMMYFUNCTION("""COMPUTED_VALUE"""),"C8235-E-G2")</f>
        <v>C8235-E-G2</v>
      </c>
      <c r="U8" s="62" t="str">
        <f>IFERROR(__xludf.DUMMYFUNCTION("""COMPUTED_VALUE"""),"Base")</f>
        <v>Base</v>
      </c>
      <c r="V8" s="66" t="str">
        <f>IFERROR(__xludf.DUMMYFUNCTION("""COMPUTED_VALUE"""),"Base + LIC-ROS-M-A")</f>
        <v>Base + LIC-ROS-M-A</v>
      </c>
      <c r="W8" s="66" t="str">
        <f>IFERROR(__xludf.DUMMYFUNCTION("""COMPUTED_VALUE"""),"Base + LIC-CSWAN-M-A")</f>
        <v>Base + LIC-CSWAN-M-A</v>
      </c>
      <c r="X8" s="69" t="str">
        <f>IFERROR(__xludf.DUMMYFUNCTION("""COMPUTED_VALUE"""),"Base + LIC-CSWAN-M-A  + LIC-SEC-M-T + LIC-SEC-M-M + LIC-SEC-M-C")</f>
        <v>Base + LIC-CSWAN-M-A  + LIC-SEC-M-T + LIC-SEC-M-M + LIC-SEC-M-C</v>
      </c>
    </row>
    <row r="9">
      <c r="A9" s="34">
        <f>IFERROR(__xludf.DUMMYFUNCTION("""COMPUTED_VALUE"""),8.0)</f>
        <v>8</v>
      </c>
      <c r="B9" s="34" t="str">
        <f>IFERROR(__xludf.DUMMYFUNCTION("""COMPUTED_VALUE"""),"C8375-E-G2 (Full Adds On)")</f>
        <v>C8375-E-G2 (Full Adds On)</v>
      </c>
      <c r="C9" s="34">
        <f>IFERROR(__xludf.DUMMYFUNCTION("""COMPUTED_VALUE"""),8.0)</f>
        <v>8</v>
      </c>
      <c r="D9" s="34" t="str">
        <f>IFERROR(__xludf.DUMMYFUNCTION("""COMPUTED_VALUE"""),"C8231-E-G2")</f>
        <v>C8231-E-G2</v>
      </c>
      <c r="E9" s="34">
        <f>IFERROR(__xludf.DUMMYFUNCTION("""COMPUTED_VALUE"""),11093.35)</f>
        <v>11093.35</v>
      </c>
      <c r="F9" s="34" t="str">
        <f>IFERROR(__xludf.DUMMYFUNCTION("""COMPUTED_VALUE"""),"LIC-SEC-XL-M")</f>
        <v>LIC-SEC-XL-M</v>
      </c>
      <c r="G9" s="34">
        <f>IFERROR(__xludf.DUMMYFUNCTION("""COMPUTED_VALUE"""),1224.0)</f>
        <v>1224</v>
      </c>
      <c r="M9" s="34" t="s">
        <v>63</v>
      </c>
      <c r="N9" s="34">
        <f>IFERROR(__xludf.DUMMYFUNCTION("""COMPUTED_VALUE"""),60416.56)</f>
        <v>60416.56</v>
      </c>
      <c r="T9" s="65" t="str">
        <f>IFERROR(__xludf.DUMMYFUNCTION("""COMPUTED_VALUE"""),"C8231-E-G2")</f>
        <v>C8231-E-G2</v>
      </c>
      <c r="U9" s="62" t="str">
        <f>IFERROR(__xludf.DUMMYFUNCTION("""COMPUTED_VALUE"""),"Base")</f>
        <v>Base</v>
      </c>
      <c r="V9" s="66" t="str">
        <f>IFERROR(__xludf.DUMMYFUNCTION("""COMPUTED_VALUE"""),"Base + LIC-ROS-M-A")</f>
        <v>Base + LIC-ROS-M-A</v>
      </c>
      <c r="W9" s="66" t="str">
        <f>IFERROR(__xludf.DUMMYFUNCTION("""COMPUTED_VALUE"""),"Base + LIC-CSWAN-M-A")</f>
        <v>Base + LIC-CSWAN-M-A</v>
      </c>
      <c r="X9" s="69" t="str">
        <f>IFERROR(__xludf.DUMMYFUNCTION("""COMPUTED_VALUE"""),"Base + LIC-CSWAN-M-A + LIC-SEC-M-T + LIC-SEC-M-M + LIC-SEC-M-C")</f>
        <v>Base + LIC-CSWAN-M-A + LIC-SEC-M-T + LIC-SEC-M-M + LIC-SEC-M-C</v>
      </c>
    </row>
    <row r="10">
      <c r="A10" s="34">
        <f>IFERROR(__xludf.DUMMYFUNCTION("""COMPUTED_VALUE"""),9.0)</f>
        <v>9</v>
      </c>
      <c r="B10" s="34" t="str">
        <f>IFERROR(__xludf.DUMMYFUNCTION("""COMPUTED_VALUE"""),"C8550-G2 (Default Routing)")</f>
        <v>C8550-G2 (Default Routing)</v>
      </c>
      <c r="C10" s="34">
        <f>IFERROR(__xludf.DUMMYFUNCTION("""COMPUTED_VALUE"""),9.0)</f>
        <v>9</v>
      </c>
      <c r="D10" s="34" t="str">
        <f>IFERROR(__xludf.DUMMYFUNCTION("""COMPUTED_VALUE"""),"C8235-G2")</f>
        <v>C8235-G2</v>
      </c>
      <c r="E10" s="34">
        <f>IFERROR(__xludf.DUMMYFUNCTION("""COMPUTED_VALUE"""),11149.27)</f>
        <v>11149.27</v>
      </c>
      <c r="F10" s="34" t="str">
        <f>IFERROR(__xludf.DUMMYFUNCTION("""COMPUTED_VALUE"""),"LIC-SEC-XL-T")</f>
        <v>LIC-SEC-XL-T</v>
      </c>
      <c r="G10" s="34">
        <f>IFERROR(__xludf.DUMMYFUNCTION("""COMPUTED_VALUE"""),1224.0)</f>
        <v>1224</v>
      </c>
      <c r="M10" s="34" t="s">
        <v>63</v>
      </c>
      <c r="N10" s="34">
        <f>IFERROR(__xludf.DUMMYFUNCTION("""COMPUTED_VALUE"""),182038.62)</f>
        <v>182038.62</v>
      </c>
      <c r="T10" s="65" t="str">
        <f>IFERROR(__xludf.DUMMYFUNCTION("""COMPUTED_VALUE"""),"C8235-G2")</f>
        <v>C8235-G2</v>
      </c>
      <c r="U10" s="62" t="str">
        <f>IFERROR(__xludf.DUMMYFUNCTION("""COMPUTED_VALUE"""),"Base")</f>
        <v>Base</v>
      </c>
      <c r="V10" s="66" t="str">
        <f>IFERROR(__xludf.DUMMYFUNCTION("""COMPUTED_VALUE"""),"Base + LIC-ROS-M-A")</f>
        <v>Base + LIC-ROS-M-A</v>
      </c>
      <c r="W10" s="66" t="str">
        <f>IFERROR(__xludf.DUMMYFUNCTION("""COMPUTED_VALUE"""),"Base + LIC-CSWAN-M-A")</f>
        <v>Base + LIC-CSWAN-M-A</v>
      </c>
      <c r="X10" s="69" t="str">
        <f>IFERROR(__xludf.DUMMYFUNCTION("""COMPUTED_VALUE"""),"Base + LIC-CSWAN-M-A + LIC-SEC-M-T + LIC-SEC-M-M + LIC-SEC-M-C")</f>
        <v>Base + LIC-CSWAN-M-A + LIC-SEC-M-T + LIC-SEC-M-M + LIC-SEC-M-C</v>
      </c>
    </row>
    <row r="11">
      <c r="A11" s="34">
        <f>IFERROR(__xludf.DUMMYFUNCTION("""COMPUTED_VALUE"""),10.0)</f>
        <v>10</v>
      </c>
      <c r="B11" s="34" t="str">
        <f>IFERROR(__xludf.DUMMYFUNCTION("""COMPUTED_VALUE"""),"C8550-G2 (Adv Routing)")</f>
        <v>C8550-G2 (Adv Routing)</v>
      </c>
      <c r="C11" s="34">
        <f>IFERROR(__xludf.DUMMYFUNCTION("""COMPUTED_VALUE"""),10.0)</f>
        <v>10</v>
      </c>
      <c r="D11" s="34" t="str">
        <f>IFERROR(__xludf.DUMMYFUNCTION("""COMPUTED_VALUE"""),"C8231-G2")</f>
        <v>C8231-G2</v>
      </c>
      <c r="E11" s="34">
        <f>IFERROR(__xludf.DUMMYFUNCTION("""COMPUTED_VALUE"""),6976.88)</f>
        <v>6976.88</v>
      </c>
      <c r="F11" s="34" t="str">
        <f>IFERROR(__xludf.DUMMYFUNCTION("""COMPUTED_VALUE"""),"LIC-SEC-XL-C")</f>
        <v>LIC-SEC-XL-C</v>
      </c>
      <c r="G11" s="34">
        <f>IFERROR(__xludf.DUMMYFUNCTION("""COMPUTED_VALUE"""),1224.0)</f>
        <v>1224</v>
      </c>
      <c r="M11" s="34" t="s">
        <v>63</v>
      </c>
      <c r="N11" s="34">
        <f>IFERROR(__xludf.DUMMYFUNCTION("""COMPUTED_VALUE"""),215638.62)</f>
        <v>215638.62</v>
      </c>
      <c r="T11" s="65" t="str">
        <f>IFERROR(__xludf.DUMMYFUNCTION("""COMPUTED_VALUE"""),"C8231-G2")</f>
        <v>C8231-G2</v>
      </c>
      <c r="U11" s="62" t="str">
        <f>IFERROR(__xludf.DUMMYFUNCTION("""COMPUTED_VALUE"""),"Base")</f>
        <v>Base</v>
      </c>
      <c r="V11" s="66" t="str">
        <f>IFERROR(__xludf.DUMMYFUNCTION("""COMPUTED_VALUE"""),"Base + LIC-ROS-M-A")</f>
        <v>Base + LIC-ROS-M-A</v>
      </c>
      <c r="W11" s="66" t="str">
        <f>IFERROR(__xludf.DUMMYFUNCTION("""COMPUTED_VALUE"""),"Base + LIC-CSWAN-M-A")</f>
        <v>Base + LIC-CSWAN-M-A</v>
      </c>
      <c r="X11" s="69" t="str">
        <f>IFERROR(__xludf.DUMMYFUNCTION("""COMPUTED_VALUE"""),"Base + LIC-CSWAN-M-A  + LIC-SEC-M-T + LIC-SEC-M-M + LIC-SEC-M-C")</f>
        <v>Base + LIC-CSWAN-M-A  + LIC-SEC-M-T + LIC-SEC-M-M + LIC-SEC-M-C</v>
      </c>
    </row>
    <row r="12">
      <c r="A12" s="34">
        <f>IFERROR(__xludf.DUMMYFUNCTION("""COMPUTED_VALUE"""),11.0)</f>
        <v>11</v>
      </c>
      <c r="B12" s="34" t="str">
        <f>IFERROR(__xludf.DUMMYFUNCTION("""COMPUTED_VALUE"""),"C8550-G2 (SDWAN)")</f>
        <v>C8550-G2 (SDWAN)</v>
      </c>
      <c r="C12" s="34">
        <f>IFERROR(__xludf.DUMMYFUNCTION("""COMPUTED_VALUE"""),11.0)</f>
        <v>11</v>
      </c>
      <c r="D12" s="34" t="str">
        <f>IFERROR(__xludf.DUMMYFUNCTION("""COMPUTED_VALUE"""),"C8130-G2")</f>
        <v>C8130-G2</v>
      </c>
      <c r="E12" s="34">
        <f>IFERROR(__xludf.DUMMYFUNCTION("""COMPUTED_VALUE"""),2222.15)</f>
        <v>2222.15</v>
      </c>
      <c r="F12" s="34" t="str">
        <f>IFERROR(__xludf.DUMMYFUNCTION("""COMPUTED_VALUE"""),"LIC-CSWAN-M-A")</f>
        <v>LIC-CSWAN-M-A</v>
      </c>
      <c r="G12" s="34">
        <f>IFERROR(__xludf.DUMMYFUNCTION("""COMPUTED_VALUE"""),4680.0)</f>
        <v>4680</v>
      </c>
      <c r="M12" s="34" t="s">
        <v>63</v>
      </c>
      <c r="N12" s="34">
        <f>IFERROR(__xludf.DUMMYFUNCTION("""COMPUTED_VALUE"""),237226.62)</f>
        <v>237226.62</v>
      </c>
      <c r="T12" s="65" t="str">
        <f>IFERROR(__xludf.DUMMYFUNCTION("""COMPUTED_VALUE"""),"C8130-G2")</f>
        <v>C8130-G2</v>
      </c>
      <c r="U12" s="62" t="str">
        <f>IFERROR(__xludf.DUMMYFUNCTION("""COMPUTED_VALUE"""),"Base")</f>
        <v>Base</v>
      </c>
      <c r="V12" s="66" t="str">
        <f>IFERROR(__xludf.DUMMYFUNCTION("""COMPUTED_VALUE"""),"Base + LIC-ROS-S-A")</f>
        <v>Base + LIC-ROS-S-A</v>
      </c>
      <c r="W12" s="66" t="str">
        <f>IFERROR(__xludf.DUMMYFUNCTION("""COMPUTED_VALUE"""),"không có")</f>
        <v>không có</v>
      </c>
      <c r="X12" s="67" t="str">
        <f>IFERROR(__xludf.DUMMYFUNCTION("""COMPUTED_VALUE"""),"không có")</f>
        <v>không có</v>
      </c>
    </row>
    <row r="13">
      <c r="A13" s="34">
        <f>IFERROR(__xludf.DUMMYFUNCTION("""COMPUTED_VALUE"""),12.0)</f>
        <v>12</v>
      </c>
      <c r="B13" s="34" t="str">
        <f>IFERROR(__xludf.DUMMYFUNCTION("""COMPUTED_VALUE"""),"C8570-G2 (Default Routing)")</f>
        <v>C8570-G2 (Default Routing)</v>
      </c>
      <c r="C13" s="34">
        <f>IFERROR(__xludf.DUMMYFUNCTION("""COMPUTED_VALUE"""),12.0)</f>
        <v>12</v>
      </c>
      <c r="D13" s="34" t="str">
        <f>IFERROR(__xludf.DUMMYFUNCTION("""COMPUTED_VALUE"""),"C8131-G2")</f>
        <v>C8131-G2</v>
      </c>
      <c r="E13" s="34">
        <f>IFERROR(__xludf.DUMMYFUNCTION("""COMPUTED_VALUE"""),2688.89)</f>
        <v>2688.89</v>
      </c>
      <c r="F13" s="34" t="str">
        <f>IFERROR(__xludf.DUMMYFUNCTION("""COMPUTED_VALUE"""),"LIC-SEC-M-M")</f>
        <v>LIC-SEC-M-M</v>
      </c>
      <c r="G13" s="34">
        <f>IFERROR(__xludf.DUMMYFUNCTION("""COMPUTED_VALUE"""),216.0)</f>
        <v>216</v>
      </c>
      <c r="M13" s="34" t="s">
        <v>63</v>
      </c>
      <c r="N13" s="34">
        <f>IFERROR(__xludf.DUMMYFUNCTION("""COMPUTED_VALUE"""),254910.54)</f>
        <v>254910.54</v>
      </c>
      <c r="T13" s="65" t="str">
        <f>IFERROR(__xludf.DUMMYFUNCTION("""COMPUTED_VALUE"""),"C8140-G2")</f>
        <v>C8140-G2</v>
      </c>
      <c r="U13" s="62" t="str">
        <f>IFERROR(__xludf.DUMMYFUNCTION("""COMPUTED_VALUE"""),"Base")</f>
        <v>Base</v>
      </c>
      <c r="V13" s="66" t="str">
        <f>IFERROR(__xludf.DUMMYFUNCTION("""COMPUTED_VALUE"""),"Base + LIC-ROS-S-A")</f>
        <v>Base + LIC-ROS-S-A</v>
      </c>
      <c r="W13" s="66" t="str">
        <f>IFERROR(__xludf.DUMMYFUNCTION("""COMPUTED_VALUE"""),"không có")</f>
        <v>không có</v>
      </c>
      <c r="X13" s="67" t="str">
        <f>IFERROR(__xludf.DUMMYFUNCTION("""COMPUTED_VALUE"""),"không có")</f>
        <v>không có</v>
      </c>
    </row>
    <row r="14">
      <c r="A14" s="34">
        <f>IFERROR(__xludf.DUMMYFUNCTION("""COMPUTED_VALUE"""),13.0)</f>
        <v>13</v>
      </c>
      <c r="B14" s="34" t="str">
        <f>IFERROR(__xludf.DUMMYFUNCTION("""COMPUTED_VALUE"""),"C8570-G2 (Adv Routing)")</f>
        <v>C8570-G2 (Adv Routing)</v>
      </c>
      <c r="C14" s="34">
        <f>IFERROR(__xludf.DUMMYFUNCTION("""COMPUTED_VALUE"""),13.0)</f>
        <v>13</v>
      </c>
      <c r="D14" s="34" t="str">
        <f>IFERROR(__xludf.DUMMYFUNCTION("""COMPUTED_VALUE"""),"C8140-G2")</f>
        <v>C8140-G2</v>
      </c>
      <c r="E14" s="34">
        <f>IFERROR(__xludf.DUMMYFUNCTION("""COMPUTED_VALUE"""),2692.95)</f>
        <v>2692.95</v>
      </c>
      <c r="F14" s="34" t="str">
        <f>IFERROR(__xludf.DUMMYFUNCTION("""COMPUTED_VALUE"""),"LIC-SEC-M-C")</f>
        <v>LIC-SEC-M-C</v>
      </c>
      <c r="G14" s="34">
        <f>IFERROR(__xludf.DUMMYFUNCTION("""COMPUTED_VALUE"""),216.0)</f>
        <v>216</v>
      </c>
      <c r="M14" s="34" t="s">
        <v>63</v>
      </c>
      <c r="N14" s="34">
        <f>IFERROR(__xludf.DUMMYFUNCTION("""COMPUTED_VALUE"""),288510.54000000004)</f>
        <v>288510.54</v>
      </c>
      <c r="T14" s="65" t="str">
        <f>IFERROR(__xludf.DUMMYFUNCTION("""COMPUTED_VALUE"""),"C8131-G2")</f>
        <v>C8131-G2</v>
      </c>
      <c r="U14" s="62" t="str">
        <f>IFERROR(__xludf.DUMMYFUNCTION("""COMPUTED_VALUE"""),"Base")</f>
        <v>Base</v>
      </c>
      <c r="V14" s="66" t="str">
        <f>IFERROR(__xludf.DUMMYFUNCTION("""COMPUTED_VALUE"""),"Base + LIC-ROS-S-A")</f>
        <v>Base + LIC-ROS-S-A</v>
      </c>
      <c r="W14" s="66" t="str">
        <f>IFERROR(__xludf.DUMMYFUNCTION("""COMPUTED_VALUE"""),"Base + LIC-CSWAN-S-A")</f>
        <v>Base + LIC-CSWAN-S-A</v>
      </c>
      <c r="X14" s="68" t="str">
        <f>IFERROR(__xludf.DUMMYFUNCTION("""COMPUTED_VALUE"""),"Base + LIC-CSWAN-S-A + LIC-SEC-S-T + LIC-SEC-S-M + LIC-SEC-S-C")</f>
        <v>Base + LIC-CSWAN-S-A + LIC-SEC-S-T + LIC-SEC-S-M + LIC-SEC-S-C</v>
      </c>
    </row>
    <row r="15">
      <c r="A15" s="34">
        <f>IFERROR(__xludf.DUMMYFUNCTION("""COMPUTED_VALUE"""),14.0)</f>
        <v>14</v>
      </c>
      <c r="B15" s="34" t="str">
        <f>IFERROR(__xludf.DUMMYFUNCTION("""COMPUTED_VALUE"""),"C8570-G2 (SDWAN)")</f>
        <v>C8570-G2 (SDWAN)</v>
      </c>
      <c r="C15" s="34">
        <f>IFERROR(__xludf.DUMMYFUNCTION("""COMPUTED_VALUE"""),14.0)</f>
        <v>14</v>
      </c>
      <c r="D15" s="34" t="str">
        <f>IFERROR(__xludf.DUMMYFUNCTION("""COMPUTED_VALUE"""),"C8151-G2")</f>
        <v>C8151-G2</v>
      </c>
      <c r="E15" s="34">
        <f>IFERROR(__xludf.DUMMYFUNCTION("""COMPUTED_VALUE"""),3477.61)</f>
        <v>3477.61</v>
      </c>
      <c r="F15" s="34" t="str">
        <f>IFERROR(__xludf.DUMMYFUNCTION("""COMPUTED_VALUE"""),"LIC-SEC-M-T")</f>
        <v>LIC-SEC-M-T</v>
      </c>
      <c r="G15" s="34">
        <f>IFERROR(__xludf.DUMMYFUNCTION("""COMPUTED_VALUE"""),216.0)</f>
        <v>216</v>
      </c>
      <c r="M15" s="34" t="s">
        <v>63</v>
      </c>
      <c r="N15" s="34">
        <f>IFERROR(__xludf.DUMMYFUNCTION("""COMPUTED_VALUE"""),310098.54000000004)</f>
        <v>310098.54</v>
      </c>
      <c r="T15" s="65" t="str">
        <f>IFERROR(__xludf.DUMMYFUNCTION("""COMPUTED_VALUE"""),"C8151-G2")</f>
        <v>C8151-G2</v>
      </c>
      <c r="U15" s="62" t="str">
        <f>IFERROR(__xludf.DUMMYFUNCTION("""COMPUTED_VALUE"""),"Base")</f>
        <v>Base</v>
      </c>
      <c r="V15" s="66" t="str">
        <f>IFERROR(__xludf.DUMMYFUNCTION("""COMPUTED_VALUE"""),"Base + LIC-ROS-S-A")</f>
        <v>Base + LIC-ROS-S-A</v>
      </c>
      <c r="W15" s="66" t="str">
        <f>IFERROR(__xludf.DUMMYFUNCTION("""COMPUTED_VALUE"""),"Base + LIC-CSWAN-S-A")</f>
        <v>Base + LIC-CSWAN-S-A</v>
      </c>
      <c r="X15" s="68" t="str">
        <f>IFERROR(__xludf.DUMMYFUNCTION("""COMPUTED_VALUE"""),"Base + LIC-CSWAN-S-A + LIC-SEC-S-T + LIC-SEC-S-M + LIC-SEC-S-C")</f>
        <v>Base + LIC-CSWAN-S-A + LIC-SEC-S-T + LIC-SEC-S-M + LIC-SEC-S-C</v>
      </c>
    </row>
    <row r="16">
      <c r="A16" s="34">
        <f>IFERROR(__xludf.DUMMYFUNCTION("""COMPUTED_VALUE"""),15.0)</f>
        <v>15</v>
      </c>
      <c r="B16" s="34" t="str">
        <f>IFERROR(__xludf.DUMMYFUNCTION("""COMPUTED_VALUE"""),"C8455-G2 (Default Routing)")</f>
        <v>C8455-G2 (Default Routing)</v>
      </c>
      <c r="C16" s="34">
        <f>IFERROR(__xludf.DUMMYFUNCTION("""COMPUTED_VALUE"""),15.0)</f>
        <v>15</v>
      </c>
      <c r="D16" s="34" t="str">
        <f>IFERROR(__xludf.DUMMYFUNCTION("""COMPUTED_VALUE"""),"C8161-G2")</f>
        <v>C8161-G2</v>
      </c>
      <c r="E16" s="34">
        <f>IFERROR(__xludf.DUMMYFUNCTION("""COMPUTED_VALUE"""),4101.2)</f>
        <v>4101.2</v>
      </c>
      <c r="F16" s="34" t="str">
        <f>IFERROR(__xludf.DUMMYFUNCTION("""COMPUTED_VALUE"""),"LIC-CSWAN-S-A")</f>
        <v>LIC-CSWAN-S-A</v>
      </c>
      <c r="G16" s="34">
        <f>IFERROR(__xludf.DUMMYFUNCTION("""COMPUTED_VALUE"""),2016.0)</f>
        <v>2016</v>
      </c>
      <c r="M16" s="34" t="s">
        <v>63</v>
      </c>
      <c r="N16" s="34">
        <f>IFERROR(__xludf.DUMMYFUNCTION("""COMPUTED_VALUE"""),60581.28)</f>
        <v>60581.28</v>
      </c>
      <c r="T16" s="65" t="str">
        <f>IFERROR(__xludf.DUMMYFUNCTION("""COMPUTED_VALUE"""),"C8161-G2")</f>
        <v>C8161-G2</v>
      </c>
      <c r="U16" s="62" t="str">
        <f>IFERROR(__xludf.DUMMYFUNCTION("""COMPUTED_VALUE"""),"Base")</f>
        <v>Base</v>
      </c>
      <c r="V16" s="66" t="str">
        <f>IFERROR(__xludf.DUMMYFUNCTION("""COMPUTED_VALUE"""),"Base + LIC-ROS-S-A")</f>
        <v>Base + LIC-ROS-S-A</v>
      </c>
      <c r="W16" s="66" t="str">
        <f>IFERROR(__xludf.DUMMYFUNCTION("""COMPUTED_VALUE"""),"Base + LIC-CSWAN-S-A")</f>
        <v>Base + LIC-CSWAN-S-A</v>
      </c>
      <c r="X16" s="68" t="str">
        <f>IFERROR(__xludf.DUMMYFUNCTION("""COMPUTED_VALUE"""),"Base + LIC-CSWAN-S-A + LIC-SEC-S-T + LIC-SEC-S-M + LIC-SEC-S-C")</f>
        <v>Base + LIC-CSWAN-S-A + LIC-SEC-S-T + LIC-SEC-S-M + LIC-SEC-S-C</v>
      </c>
    </row>
    <row r="17">
      <c r="A17" s="34">
        <f>IFERROR(__xludf.DUMMYFUNCTION("""COMPUTED_VALUE"""),16.0)</f>
        <v>16</v>
      </c>
      <c r="B17" s="34" t="str">
        <f>IFERROR(__xludf.DUMMYFUNCTION("""COMPUTED_VALUE"""),"C8455-G2 (Adv Routing)")</f>
        <v>C8455-G2 (Adv Routing)</v>
      </c>
      <c r="C17" s="34">
        <f>IFERROR(__xludf.DUMMYFUNCTION("""COMPUTED_VALUE"""),16.0)</f>
        <v>16</v>
      </c>
      <c r="D17" s="34" t="str">
        <f>IFERROR(__xludf.DUMMYFUNCTION("""COMPUTED_VALUE"""),"CISCO-NETWORK-SUB")</f>
        <v>CISCO-NETWORK-SUB</v>
      </c>
      <c r="E17" s="34">
        <f>IFERROR(__xludf.DUMMYFUNCTION("""COMPUTED_VALUE"""),137736.0)</f>
        <v>137736</v>
      </c>
      <c r="F17" s="34" t="str">
        <f>IFERROR(__xludf.DUMMYFUNCTION("""COMPUTED_VALUE"""),"LIC-SEC-S-C")</f>
        <v>LIC-SEC-S-C</v>
      </c>
      <c r="G17" s="34">
        <f>IFERROR(__xludf.DUMMYFUNCTION("""COMPUTED_VALUE"""),108.0)</f>
        <v>108</v>
      </c>
      <c r="M17" s="34" t="s">
        <v>63</v>
      </c>
      <c r="N17" s="34">
        <f>IFERROR(__xludf.DUMMYFUNCTION("""COMPUTED_VALUE"""),94181.28)</f>
        <v>94181.28</v>
      </c>
      <c r="X17" s="72"/>
    </row>
    <row r="18">
      <c r="A18" s="34">
        <f>IFERROR(__xludf.DUMMYFUNCTION("""COMPUTED_VALUE"""),17.0)</f>
        <v>17</v>
      </c>
      <c r="B18" s="34" t="str">
        <f>IFERROR(__xludf.DUMMYFUNCTION("""COMPUTED_VALUE"""),"C8455-G2 (SDWAN)")</f>
        <v>C8455-G2 (SDWAN)</v>
      </c>
      <c r="C18" s="34">
        <f>IFERROR(__xludf.DUMMYFUNCTION("""COMPUTED_VALUE"""),17.0)</f>
        <v>17</v>
      </c>
      <c r="D18" s="34" t="str">
        <f>IFERROR(__xludf.DUMMYFUNCTION("""COMPUTED_VALUE"""),"CISCO-ROUT-SUB")</f>
        <v>CISCO-ROUT-SUB</v>
      </c>
      <c r="E18" s="34">
        <f>IFERROR(__xludf.DUMMYFUNCTION("""COMPUTED_VALUE"""),82992.0)</f>
        <v>82992</v>
      </c>
      <c r="F18" s="34" t="str">
        <f>IFERROR(__xludf.DUMMYFUNCTION("""COMPUTED_VALUE"""),"LIC-SEC-S-T")</f>
        <v>LIC-SEC-S-T</v>
      </c>
      <c r="G18" s="34">
        <f>IFERROR(__xludf.DUMMYFUNCTION("""COMPUTED_VALUE"""),108.0)</f>
        <v>108</v>
      </c>
      <c r="M18" s="34" t="s">
        <v>63</v>
      </c>
      <c r="N18" s="34">
        <f>IFERROR(__xludf.DUMMYFUNCTION("""COMPUTED_VALUE"""),115769.28)</f>
        <v>115769.28</v>
      </c>
      <c r="X18" s="72"/>
    </row>
    <row r="19">
      <c r="A19" s="34">
        <f>IFERROR(__xludf.DUMMYFUNCTION("""COMPUTED_VALUE"""),18.0)</f>
        <v>18</v>
      </c>
      <c r="B19" s="34" t="str">
        <f>IFERROR(__xludf.DUMMYFUNCTION("""COMPUTED_VALUE"""),"C8455-G2 (Full Adds On)")</f>
        <v>C8455-G2 (Full Adds On)</v>
      </c>
      <c r="F19" s="34" t="str">
        <f>IFERROR(__xludf.DUMMYFUNCTION("""COMPUTED_VALUE"""),"LIC-SEC-S-M")</f>
        <v>LIC-SEC-S-M</v>
      </c>
      <c r="G19" s="34">
        <f>IFERROR(__xludf.DUMMYFUNCTION("""COMPUTED_VALUE"""),108.0)</f>
        <v>108</v>
      </c>
      <c r="M19" s="34" t="s">
        <v>63</v>
      </c>
      <c r="N19" s="34">
        <f>IFERROR(__xludf.DUMMYFUNCTION("""COMPUTED_VALUE"""),119441.28)</f>
        <v>119441.28</v>
      </c>
      <c r="X19" s="72"/>
    </row>
    <row r="20">
      <c r="A20" s="34">
        <f>IFERROR(__xludf.DUMMYFUNCTION("""COMPUTED_VALUE"""),19.0)</f>
        <v>19</v>
      </c>
      <c r="B20" s="34" t="str">
        <f>IFERROR(__xludf.DUMMYFUNCTION("""COMPUTED_VALUE"""),"C8475-G2 (Default Routing)")</f>
        <v>C8475-G2 (Default Routing)</v>
      </c>
      <c r="F20" s="34" t="str">
        <f>IFERROR(__xludf.DUMMYFUNCTION("""COMPUTED_VALUE"""),"LIC-ROS-L-A")</f>
        <v>LIC-ROS-L-A</v>
      </c>
      <c r="G20" s="34">
        <f>IFERROR(__xludf.DUMMYFUNCTION("""COMPUTED_VALUE"""),10080.0)</f>
        <v>10080</v>
      </c>
      <c r="M20" s="34" t="s">
        <v>63</v>
      </c>
      <c r="N20" s="34">
        <f>IFERROR(__xludf.DUMMYFUNCTION("""COMPUTED_VALUE"""),109166.7)</f>
        <v>109166.7</v>
      </c>
      <c r="X20" s="72"/>
    </row>
    <row r="21">
      <c r="A21" s="34">
        <f>IFERROR(__xludf.DUMMYFUNCTION("""COMPUTED_VALUE"""),20.0)</f>
        <v>20</v>
      </c>
      <c r="B21" s="34" t="str">
        <f>IFERROR(__xludf.DUMMYFUNCTION("""COMPUTED_VALUE"""),"C8475-G2 (Adv Routing)")</f>
        <v>C8475-G2 (Adv Routing)</v>
      </c>
      <c r="F21" s="34" t="str">
        <f>IFERROR(__xludf.DUMMYFUNCTION("""COMPUTED_VALUE"""),"LIC-ROS-XL-A")</f>
        <v>LIC-ROS-XL-A</v>
      </c>
      <c r="G21" s="34">
        <f>IFERROR(__xludf.DUMMYFUNCTION("""COMPUTED_VALUE"""),33600.0)</f>
        <v>33600</v>
      </c>
      <c r="M21" s="34" t="s">
        <v>63</v>
      </c>
      <c r="N21" s="34">
        <f>IFERROR(__xludf.DUMMYFUNCTION("""COMPUTED_VALUE"""),142766.7)</f>
        <v>142766.7</v>
      </c>
      <c r="X21" s="72"/>
    </row>
    <row r="22">
      <c r="A22" s="34">
        <f>IFERROR(__xludf.DUMMYFUNCTION("""COMPUTED_VALUE"""),21.0)</f>
        <v>21</v>
      </c>
      <c r="B22" s="34" t="str">
        <f>IFERROR(__xludf.DUMMYFUNCTION("""COMPUTED_VALUE"""),"C8475-G2 (SDWAN)")</f>
        <v>C8475-G2 (SDWAN)</v>
      </c>
      <c r="F22" s="34" t="str">
        <f>IFERROR(__xludf.DUMMYFUNCTION("""COMPUTED_VALUE"""),"LIC-ROS-M-A")</f>
        <v>LIC-ROS-M-A</v>
      </c>
      <c r="G22" s="34">
        <f>IFERROR(__xludf.DUMMYFUNCTION("""COMPUTED_VALUE"""),4032.0)</f>
        <v>4032</v>
      </c>
      <c r="M22" s="34" t="s">
        <v>63</v>
      </c>
      <c r="N22" s="34">
        <f>IFERROR(__xludf.DUMMYFUNCTION("""COMPUTED_VALUE"""),164354.7)</f>
        <v>164354.7</v>
      </c>
      <c r="X22" s="72"/>
    </row>
    <row r="23">
      <c r="A23" s="34">
        <f>IFERROR(__xludf.DUMMYFUNCTION("""COMPUTED_VALUE"""),22.0)</f>
        <v>22</v>
      </c>
      <c r="B23" s="34" t="str">
        <f>IFERROR(__xludf.DUMMYFUNCTION("""COMPUTED_VALUE"""),"C8475-G2 (Full Adds On)")</f>
        <v>C8475-G2 (Full Adds On)</v>
      </c>
      <c r="F23" s="34" t="str">
        <f>IFERROR(__xludf.DUMMYFUNCTION("""COMPUTED_VALUE"""),"LIC-ROS-S-A")</f>
        <v>LIC-ROS-S-A</v>
      </c>
      <c r="G23" s="34">
        <f>IFERROR(__xludf.DUMMYFUNCTION("""COMPUTED_VALUE"""),1680.0)</f>
        <v>1680</v>
      </c>
      <c r="M23" s="34" t="s">
        <v>63</v>
      </c>
      <c r="N23" s="34">
        <f>IFERROR(__xludf.DUMMYFUNCTION("""COMPUTED_VALUE"""),168026.7)</f>
        <v>168026.7</v>
      </c>
      <c r="X23" s="72"/>
    </row>
    <row r="24">
      <c r="A24" s="34">
        <f>IFERROR(__xludf.DUMMYFUNCTION("""COMPUTED_VALUE"""),23.0)</f>
        <v>23</v>
      </c>
      <c r="B24" s="34" t="str">
        <f>IFERROR(__xludf.DUMMYFUNCTION("""COMPUTED_VALUE"""),"C8235-E-G2 (Default Routing)")</f>
        <v>C8235-E-G2 (Default Routing)</v>
      </c>
      <c r="M24" s="34" t="s">
        <v>63</v>
      </c>
      <c r="N24" s="34">
        <f>IFERROR(__xludf.DUMMYFUNCTION("""COMPUTED_VALUE"""),13967.14)</f>
        <v>13967.14</v>
      </c>
      <c r="X24" s="72"/>
    </row>
    <row r="25">
      <c r="A25" s="34">
        <f>IFERROR(__xludf.DUMMYFUNCTION("""COMPUTED_VALUE"""),24.0)</f>
        <v>24</v>
      </c>
      <c r="B25" s="34" t="str">
        <f>IFERROR(__xludf.DUMMYFUNCTION("""COMPUTED_VALUE"""),"C8235-E-G2 (Adv Routing)")</f>
        <v>C8235-E-G2 (Adv Routing)</v>
      </c>
      <c r="M25" s="34" t="s">
        <v>63</v>
      </c>
      <c r="N25" s="34">
        <f>IFERROR(__xludf.DUMMYFUNCTION("""COMPUTED_VALUE"""),17999.14)</f>
        <v>17999.14</v>
      </c>
      <c r="X25" s="72"/>
    </row>
    <row r="26">
      <c r="A26" s="34">
        <f>IFERROR(__xludf.DUMMYFUNCTION("""COMPUTED_VALUE"""),25.0)</f>
        <v>25</v>
      </c>
      <c r="B26" s="34" t="str">
        <f>IFERROR(__xludf.DUMMYFUNCTION("""COMPUTED_VALUE"""),"C8235-E-G2 (SDWAN)")</f>
        <v>C8235-E-G2 (SDWAN)</v>
      </c>
      <c r="M26" s="34" t="s">
        <v>63</v>
      </c>
      <c r="N26" s="34">
        <f>IFERROR(__xludf.DUMMYFUNCTION("""COMPUTED_VALUE"""),18647.14)</f>
        <v>18647.14</v>
      </c>
      <c r="X26" s="72"/>
    </row>
    <row r="27">
      <c r="A27" s="34">
        <f>IFERROR(__xludf.DUMMYFUNCTION("""COMPUTED_VALUE"""),26.0)</f>
        <v>26</v>
      </c>
      <c r="B27" s="34" t="str">
        <f>IFERROR(__xludf.DUMMYFUNCTION("""COMPUTED_VALUE"""),"C8235-E-G2 (Full Adds On)")</f>
        <v>C8235-E-G2 (Full Adds On)</v>
      </c>
      <c r="M27" s="34" t="s">
        <v>63</v>
      </c>
      <c r="N27" s="34">
        <f>IFERROR(__xludf.DUMMYFUNCTION("""COMPUTED_VALUE"""),19295.14)</f>
        <v>19295.14</v>
      </c>
      <c r="X27" s="72"/>
    </row>
    <row r="28">
      <c r="A28" s="34">
        <f>IFERROR(__xludf.DUMMYFUNCTION("""COMPUTED_VALUE"""),27.0)</f>
        <v>27</v>
      </c>
      <c r="B28" s="34" t="str">
        <f>IFERROR(__xludf.DUMMYFUNCTION("""COMPUTED_VALUE"""),"C8231-E-G2 (Default Routing)")</f>
        <v>C8231-E-G2 (Default Routing)</v>
      </c>
      <c r="M28" s="34" t="s">
        <v>63</v>
      </c>
      <c r="N28" s="34">
        <f>IFERROR(__xludf.DUMMYFUNCTION("""COMPUTED_VALUE"""),11093.35)</f>
        <v>11093.35</v>
      </c>
      <c r="X28" s="72"/>
    </row>
    <row r="29">
      <c r="A29" s="34">
        <f>IFERROR(__xludf.DUMMYFUNCTION("""COMPUTED_VALUE"""),28.0)</f>
        <v>28</v>
      </c>
      <c r="B29" s="34" t="str">
        <f>IFERROR(__xludf.DUMMYFUNCTION("""COMPUTED_VALUE"""),"C8231-E-G2 (Adv Routing)")</f>
        <v>C8231-E-G2 (Adv Routing)</v>
      </c>
      <c r="M29" s="34" t="s">
        <v>63</v>
      </c>
      <c r="N29" s="34">
        <f>IFERROR(__xludf.DUMMYFUNCTION("""COMPUTED_VALUE"""),15125.35)</f>
        <v>15125.35</v>
      </c>
      <c r="X29" s="72"/>
    </row>
    <row r="30">
      <c r="A30" s="34">
        <f>IFERROR(__xludf.DUMMYFUNCTION("""COMPUTED_VALUE"""),29.0)</f>
        <v>29</v>
      </c>
      <c r="B30" s="34" t="str">
        <f>IFERROR(__xludf.DUMMYFUNCTION("""COMPUTED_VALUE"""),"C8231-E-G2 (SDWAN)")</f>
        <v>C8231-E-G2 (SDWAN)</v>
      </c>
      <c r="M30" s="34" t="s">
        <v>63</v>
      </c>
      <c r="N30" s="34">
        <f>IFERROR(__xludf.DUMMYFUNCTION("""COMPUTED_VALUE"""),15773.35)</f>
        <v>15773.35</v>
      </c>
      <c r="X30" s="72"/>
    </row>
    <row r="31">
      <c r="A31" s="34">
        <f>IFERROR(__xludf.DUMMYFUNCTION("""COMPUTED_VALUE"""),30.0)</f>
        <v>30</v>
      </c>
      <c r="B31" s="34" t="str">
        <f>IFERROR(__xludf.DUMMYFUNCTION("""COMPUTED_VALUE"""),"C8231-E-G2 (Full Adds On)")</f>
        <v>C8231-E-G2 (Full Adds On)</v>
      </c>
      <c r="M31" s="34" t="s">
        <v>63</v>
      </c>
      <c r="N31" s="34">
        <f>IFERROR(__xludf.DUMMYFUNCTION("""COMPUTED_VALUE"""),16421.35)</f>
        <v>16421.35</v>
      </c>
      <c r="X31" s="72"/>
    </row>
    <row r="32">
      <c r="A32" s="34">
        <f>IFERROR(__xludf.DUMMYFUNCTION("""COMPUTED_VALUE"""),31.0)</f>
        <v>31</v>
      </c>
      <c r="B32" s="34" t="str">
        <f>IFERROR(__xludf.DUMMYFUNCTION("""COMPUTED_VALUE"""),"C8235-G2 (Default Routing)")</f>
        <v>C8235-G2 (Default Routing)</v>
      </c>
      <c r="M32" s="34" t="s">
        <v>63</v>
      </c>
      <c r="N32" s="34">
        <f>IFERROR(__xludf.DUMMYFUNCTION("""COMPUTED_VALUE"""),11149.27)</f>
        <v>11149.27</v>
      </c>
      <c r="X32" s="72"/>
    </row>
    <row r="33">
      <c r="A33" s="34">
        <f>IFERROR(__xludf.DUMMYFUNCTION("""COMPUTED_VALUE"""),32.0)</f>
        <v>32</v>
      </c>
      <c r="B33" s="34" t="str">
        <f>IFERROR(__xludf.DUMMYFUNCTION("""COMPUTED_VALUE"""),"C8235-G2 (Adv Routing)")</f>
        <v>C8235-G2 (Adv Routing)</v>
      </c>
      <c r="M33" s="34" t="s">
        <v>63</v>
      </c>
      <c r="N33" s="34">
        <f>IFERROR(__xludf.DUMMYFUNCTION("""COMPUTED_VALUE"""),15181.27)</f>
        <v>15181.27</v>
      </c>
      <c r="X33" s="72"/>
    </row>
    <row r="34">
      <c r="A34" s="34">
        <f>IFERROR(__xludf.DUMMYFUNCTION("""COMPUTED_VALUE"""),33.0)</f>
        <v>33</v>
      </c>
      <c r="B34" s="34" t="str">
        <f>IFERROR(__xludf.DUMMYFUNCTION("""COMPUTED_VALUE"""),"C8235-G2 (SDWAN)")</f>
        <v>C8235-G2 (SDWAN)</v>
      </c>
      <c r="M34" s="34" t="s">
        <v>63</v>
      </c>
      <c r="N34" s="34">
        <f>IFERROR(__xludf.DUMMYFUNCTION("""COMPUTED_VALUE"""),15829.27)</f>
        <v>15829.27</v>
      </c>
      <c r="X34" s="72"/>
    </row>
    <row r="35">
      <c r="A35" s="34">
        <f>IFERROR(__xludf.DUMMYFUNCTION("""COMPUTED_VALUE"""),34.0)</f>
        <v>34</v>
      </c>
      <c r="B35" s="34" t="str">
        <f>IFERROR(__xludf.DUMMYFUNCTION("""COMPUTED_VALUE"""),"C8235-G2 (Full Adds On)")</f>
        <v>C8235-G2 (Full Adds On)</v>
      </c>
      <c r="M35" s="34" t="s">
        <v>63</v>
      </c>
      <c r="N35" s="34">
        <f>IFERROR(__xludf.DUMMYFUNCTION("""COMPUTED_VALUE"""),16477.27)</f>
        <v>16477.27</v>
      </c>
      <c r="X35" s="72"/>
    </row>
    <row r="36">
      <c r="A36" s="34">
        <f>IFERROR(__xludf.DUMMYFUNCTION("""COMPUTED_VALUE"""),35.0)</f>
        <v>35</v>
      </c>
      <c r="B36" s="34" t="str">
        <f>IFERROR(__xludf.DUMMYFUNCTION("""COMPUTED_VALUE"""),"C8231-G2 (Default Routing)")</f>
        <v>C8231-G2 (Default Routing)</v>
      </c>
      <c r="M36" s="34" t="s">
        <v>63</v>
      </c>
      <c r="N36" s="34">
        <f>IFERROR(__xludf.DUMMYFUNCTION("""COMPUTED_VALUE"""),6976.88)</f>
        <v>6976.88</v>
      </c>
      <c r="X36" s="72"/>
    </row>
    <row r="37">
      <c r="A37" s="34">
        <f>IFERROR(__xludf.DUMMYFUNCTION("""COMPUTED_VALUE"""),36.0)</f>
        <v>36</v>
      </c>
      <c r="B37" s="34" t="str">
        <f>IFERROR(__xludf.DUMMYFUNCTION("""COMPUTED_VALUE"""),"C8231-G2 (Adv Routing)")</f>
        <v>C8231-G2 (Adv Routing)</v>
      </c>
      <c r="M37" s="34" t="s">
        <v>63</v>
      </c>
      <c r="N37" s="34">
        <f>IFERROR(__xludf.DUMMYFUNCTION("""COMPUTED_VALUE"""),11008.880000000001)</f>
        <v>11008.88</v>
      </c>
      <c r="X37" s="72"/>
    </row>
    <row r="38">
      <c r="A38" s="34">
        <f>IFERROR(__xludf.DUMMYFUNCTION("""COMPUTED_VALUE"""),37.0)</f>
        <v>37</v>
      </c>
      <c r="B38" s="34" t="str">
        <f>IFERROR(__xludf.DUMMYFUNCTION("""COMPUTED_VALUE"""),"C8231-G2 (SDWAN)")</f>
        <v>C8231-G2 (SDWAN)</v>
      </c>
      <c r="M38" s="34" t="s">
        <v>63</v>
      </c>
      <c r="N38" s="34">
        <f>IFERROR(__xludf.DUMMYFUNCTION("""COMPUTED_VALUE"""),11656.880000000001)</f>
        <v>11656.88</v>
      </c>
      <c r="X38" s="72"/>
    </row>
    <row r="39">
      <c r="A39" s="34">
        <f>IFERROR(__xludf.DUMMYFUNCTION("""COMPUTED_VALUE"""),38.0)</f>
        <v>38</v>
      </c>
      <c r="B39" s="34" t="str">
        <f>IFERROR(__xludf.DUMMYFUNCTION("""COMPUTED_VALUE"""),"C8231-G2 (Full Adds On)")</f>
        <v>C8231-G2 (Full Adds On)</v>
      </c>
      <c r="M39" s="34" t="s">
        <v>63</v>
      </c>
      <c r="N39" s="34">
        <f>IFERROR(__xludf.DUMMYFUNCTION("""COMPUTED_VALUE"""),12304.880000000001)</f>
        <v>12304.88</v>
      </c>
      <c r="X39" s="72"/>
    </row>
    <row r="40">
      <c r="A40" s="34">
        <f>IFERROR(__xludf.DUMMYFUNCTION("""COMPUTED_VALUE"""),39.0)</f>
        <v>39</v>
      </c>
      <c r="B40" s="34" t="str">
        <f>IFERROR(__xludf.DUMMYFUNCTION("""COMPUTED_VALUE"""),"C8130-G2 (Default Routing)")</f>
        <v>C8130-G2 (Default Routing)</v>
      </c>
      <c r="M40" s="34" t="s">
        <v>63</v>
      </c>
      <c r="N40" s="34">
        <f>IFERROR(__xludf.DUMMYFUNCTION("""COMPUTED_VALUE"""),2222.15)</f>
        <v>2222.15</v>
      </c>
      <c r="X40" s="72"/>
    </row>
    <row r="41">
      <c r="A41" s="34">
        <f>IFERROR(__xludf.DUMMYFUNCTION("""COMPUTED_VALUE"""),40.0)</f>
        <v>40</v>
      </c>
      <c r="B41" s="34" t="str">
        <f>IFERROR(__xludf.DUMMYFUNCTION("""COMPUTED_VALUE"""),"C8130-G2 (Adv Routing)")</f>
        <v>C8130-G2 (Adv Routing)</v>
      </c>
      <c r="M41" s="34" t="s">
        <v>63</v>
      </c>
      <c r="N41" s="34">
        <f>IFERROR(__xludf.DUMMYFUNCTION("""COMPUTED_VALUE"""),3902.15)</f>
        <v>3902.15</v>
      </c>
      <c r="X41" s="72"/>
    </row>
    <row r="42">
      <c r="A42" s="34">
        <f>IFERROR(__xludf.DUMMYFUNCTION("""COMPUTED_VALUE"""),41.0)</f>
        <v>41</v>
      </c>
      <c r="B42" s="34" t="str">
        <f>IFERROR(__xludf.DUMMYFUNCTION("""COMPUTED_VALUE"""),"C8131-G2 (Default Routing)")</f>
        <v>C8131-G2 (Default Routing)</v>
      </c>
      <c r="M42" s="34" t="s">
        <v>63</v>
      </c>
      <c r="N42" s="34">
        <f>IFERROR(__xludf.DUMMYFUNCTION("""COMPUTED_VALUE"""),2688.89)</f>
        <v>2688.89</v>
      </c>
      <c r="X42" s="72"/>
    </row>
    <row r="43">
      <c r="A43" s="34">
        <f>IFERROR(__xludf.DUMMYFUNCTION("""COMPUTED_VALUE"""),42.0)</f>
        <v>42</v>
      </c>
      <c r="B43" s="34" t="str">
        <f>IFERROR(__xludf.DUMMYFUNCTION("""COMPUTED_VALUE"""),"C8131-G2 (Adv Routing)")</f>
        <v>C8131-G2 (Adv Routing)</v>
      </c>
      <c r="M43" s="34" t="s">
        <v>63</v>
      </c>
      <c r="N43" s="34">
        <f>IFERROR(__xludf.DUMMYFUNCTION("""COMPUTED_VALUE"""),4368.889999999999)</f>
        <v>4368.89</v>
      </c>
      <c r="X43" s="72"/>
    </row>
    <row r="44">
      <c r="A44" s="34">
        <f>IFERROR(__xludf.DUMMYFUNCTION("""COMPUTED_VALUE"""),43.0)</f>
        <v>43</v>
      </c>
      <c r="B44" s="34" t="str">
        <f>IFERROR(__xludf.DUMMYFUNCTION("""COMPUTED_VALUE"""),"C8131-G2 (SDWAN)")</f>
        <v>C8131-G2 (SDWAN)</v>
      </c>
      <c r="M44" s="34" t="s">
        <v>63</v>
      </c>
      <c r="N44" s="34">
        <f>IFERROR(__xludf.DUMMYFUNCTION("""COMPUTED_VALUE"""),4704.889999999999)</f>
        <v>4704.89</v>
      </c>
      <c r="X44" s="72"/>
    </row>
    <row r="45">
      <c r="A45" s="34">
        <f>IFERROR(__xludf.DUMMYFUNCTION("""COMPUTED_VALUE"""),44.0)</f>
        <v>44</v>
      </c>
      <c r="B45" s="34" t="str">
        <f>IFERROR(__xludf.DUMMYFUNCTION("""COMPUTED_VALUE"""),"C8131-G2 (Full Adds On)")</f>
        <v>C8131-G2 (Full Adds On)</v>
      </c>
      <c r="M45" s="34" t="s">
        <v>63</v>
      </c>
      <c r="N45" s="34">
        <f>IFERROR(__xludf.DUMMYFUNCTION("""COMPUTED_VALUE"""),5028.889999999999)</f>
        <v>5028.89</v>
      </c>
      <c r="X45" s="72"/>
    </row>
    <row r="46">
      <c r="A46" s="34">
        <f>IFERROR(__xludf.DUMMYFUNCTION("""COMPUTED_VALUE"""),45.0)</f>
        <v>45</v>
      </c>
      <c r="B46" s="34" t="str">
        <f>IFERROR(__xludf.DUMMYFUNCTION("""COMPUTED_VALUE"""),"C8140-G2 (Default Routing)")</f>
        <v>C8140-G2 (Default Routing)</v>
      </c>
      <c r="M46" s="34" t="s">
        <v>63</v>
      </c>
      <c r="N46" s="34">
        <f>IFERROR(__xludf.DUMMYFUNCTION("""COMPUTED_VALUE"""),2692.95)</f>
        <v>2692.95</v>
      </c>
      <c r="X46" s="72"/>
    </row>
    <row r="47">
      <c r="A47" s="34">
        <f>IFERROR(__xludf.DUMMYFUNCTION("""COMPUTED_VALUE"""),46.0)</f>
        <v>46</v>
      </c>
      <c r="B47" s="34" t="str">
        <f>IFERROR(__xludf.DUMMYFUNCTION("""COMPUTED_VALUE"""),"C8140-G2 (Adv Routing)")</f>
        <v>C8140-G2 (Adv Routing)</v>
      </c>
      <c r="M47" s="34" t="s">
        <v>63</v>
      </c>
      <c r="N47" s="34">
        <f>IFERROR(__xludf.DUMMYFUNCTION("""COMPUTED_VALUE"""),4372.95)</f>
        <v>4372.95</v>
      </c>
      <c r="X47" s="72"/>
    </row>
    <row r="48">
      <c r="A48" s="34">
        <f>IFERROR(__xludf.DUMMYFUNCTION("""COMPUTED_VALUE"""),47.0)</f>
        <v>47</v>
      </c>
      <c r="B48" s="34" t="str">
        <f>IFERROR(__xludf.DUMMYFUNCTION("""COMPUTED_VALUE"""),"C8151-G2 (Default Routing)")</f>
        <v>C8151-G2 (Default Routing)</v>
      </c>
      <c r="M48" s="34" t="s">
        <v>63</v>
      </c>
      <c r="N48" s="34">
        <f>IFERROR(__xludf.DUMMYFUNCTION("""COMPUTED_VALUE"""),3477.61)</f>
        <v>3477.61</v>
      </c>
      <c r="X48" s="72"/>
    </row>
    <row r="49">
      <c r="A49" s="34">
        <f>IFERROR(__xludf.DUMMYFUNCTION("""COMPUTED_VALUE"""),48.0)</f>
        <v>48</v>
      </c>
      <c r="B49" s="34" t="str">
        <f>IFERROR(__xludf.DUMMYFUNCTION("""COMPUTED_VALUE"""),"C8151-G2 (Adv Routing)")</f>
        <v>C8151-G2 (Adv Routing)</v>
      </c>
      <c r="M49" s="34" t="s">
        <v>63</v>
      </c>
      <c r="N49" s="34">
        <f>IFERROR(__xludf.DUMMYFUNCTION("""COMPUTED_VALUE"""),5157.610000000001)</f>
        <v>5157.61</v>
      </c>
      <c r="X49" s="72"/>
    </row>
    <row r="50">
      <c r="A50" s="34">
        <f>IFERROR(__xludf.DUMMYFUNCTION("""COMPUTED_VALUE"""),49.0)</f>
        <v>49</v>
      </c>
      <c r="B50" s="34" t="str">
        <f>IFERROR(__xludf.DUMMYFUNCTION("""COMPUTED_VALUE"""),"C8151-G2 (SDWAN)")</f>
        <v>C8151-G2 (SDWAN)</v>
      </c>
      <c r="M50" s="34" t="s">
        <v>63</v>
      </c>
      <c r="N50" s="34">
        <f>IFERROR(__xludf.DUMMYFUNCTION("""COMPUTED_VALUE"""),5493.610000000001)</f>
        <v>5493.61</v>
      </c>
      <c r="X50" s="72"/>
    </row>
    <row r="51">
      <c r="A51" s="34">
        <f>IFERROR(__xludf.DUMMYFUNCTION("""COMPUTED_VALUE"""),50.0)</f>
        <v>50</v>
      </c>
      <c r="B51" s="34" t="str">
        <f>IFERROR(__xludf.DUMMYFUNCTION("""COMPUTED_VALUE"""),"C8151-G2 (Full Adds On)")</f>
        <v>C8151-G2 (Full Adds On)</v>
      </c>
      <c r="M51" s="34" t="s">
        <v>63</v>
      </c>
      <c r="N51" s="34">
        <f>IFERROR(__xludf.DUMMYFUNCTION("""COMPUTED_VALUE"""),5817.610000000001)</f>
        <v>5817.61</v>
      </c>
      <c r="X51" s="72"/>
    </row>
    <row r="52">
      <c r="A52" s="34">
        <f>IFERROR(__xludf.DUMMYFUNCTION("""COMPUTED_VALUE"""),51.0)</f>
        <v>51</v>
      </c>
      <c r="B52" s="34" t="str">
        <f>IFERROR(__xludf.DUMMYFUNCTION("""COMPUTED_VALUE"""),"C8161-G2 (Default Routing)")</f>
        <v>C8161-G2 (Default Routing)</v>
      </c>
      <c r="M52" s="34" t="s">
        <v>63</v>
      </c>
      <c r="N52" s="34">
        <f>IFERROR(__xludf.DUMMYFUNCTION("""COMPUTED_VALUE"""),4101.2)</f>
        <v>4101.2</v>
      </c>
      <c r="X52" s="72"/>
    </row>
    <row r="53">
      <c r="A53" s="34">
        <f>IFERROR(__xludf.DUMMYFUNCTION("""COMPUTED_VALUE"""),52.0)</f>
        <v>52</v>
      </c>
      <c r="B53" s="34" t="str">
        <f>IFERROR(__xludf.DUMMYFUNCTION("""COMPUTED_VALUE"""),"C8161-G2 (Adv Routing)")</f>
        <v>C8161-G2 (Adv Routing)</v>
      </c>
      <c r="M53" s="34" t="s">
        <v>63</v>
      </c>
      <c r="N53" s="34">
        <f>IFERROR(__xludf.DUMMYFUNCTION("""COMPUTED_VALUE"""),5781.2)</f>
        <v>5781.2</v>
      </c>
      <c r="X53" s="72"/>
    </row>
    <row r="54">
      <c r="A54" s="34">
        <f>IFERROR(__xludf.DUMMYFUNCTION("""COMPUTED_VALUE"""),53.0)</f>
        <v>53</v>
      </c>
      <c r="B54" s="34" t="str">
        <f>IFERROR(__xludf.DUMMYFUNCTION("""COMPUTED_VALUE"""),"C8161-G2 (SDWAN)")</f>
        <v>C8161-G2 (SDWAN)</v>
      </c>
      <c r="M54" s="34" t="s">
        <v>63</v>
      </c>
      <c r="N54" s="34">
        <f>IFERROR(__xludf.DUMMYFUNCTION("""COMPUTED_VALUE"""),6117.2)</f>
        <v>6117.2</v>
      </c>
      <c r="X54" s="72"/>
    </row>
    <row r="55">
      <c r="A55" s="34">
        <f>IFERROR(__xludf.DUMMYFUNCTION("""COMPUTED_VALUE"""),54.0)</f>
        <v>54</v>
      </c>
      <c r="B55" s="34" t="str">
        <f>IFERROR(__xludf.DUMMYFUNCTION("""COMPUTED_VALUE"""),"C8161-G2 (Full Adds On)")</f>
        <v>C8161-G2 (Full Adds On)</v>
      </c>
      <c r="M55" s="34" t="s">
        <v>63</v>
      </c>
      <c r="N55" s="34">
        <f>IFERROR(__xludf.DUMMYFUNCTION("""COMPUTED_VALUE"""),6441.2)</f>
        <v>6441.2</v>
      </c>
      <c r="X55" s="72"/>
    </row>
    <row r="56">
      <c r="M56" s="34" t="s">
        <v>260</v>
      </c>
      <c r="N56" s="34" t="str">
        <f>IFERROR(__xludf.DUMMYFUNCTION("""COMPUTED_VALUE"""),"")</f>
        <v/>
      </c>
      <c r="X56" s="72"/>
    </row>
    <row r="57">
      <c r="M57" s="34" t="s">
        <v>260</v>
      </c>
      <c r="N57" s="34" t="str">
        <f>IFERROR(__xludf.DUMMYFUNCTION("""COMPUTED_VALUE"""),"")</f>
        <v/>
      </c>
      <c r="X57" s="72"/>
    </row>
    <row r="58">
      <c r="M58" s="34" t="s">
        <v>260</v>
      </c>
      <c r="N58" s="34" t="str">
        <f>IFERROR(__xludf.DUMMYFUNCTION("""COMPUTED_VALUE"""),"")</f>
        <v/>
      </c>
      <c r="X58" s="72"/>
    </row>
    <row r="59">
      <c r="M59" s="34" t="s">
        <v>260</v>
      </c>
      <c r="N59" s="34" t="str">
        <f>IFERROR(__xludf.DUMMYFUNCTION("""COMPUTED_VALUE"""),"")</f>
        <v/>
      </c>
      <c r="X59" s="72"/>
    </row>
    <row r="60">
      <c r="M60" s="34" t="s">
        <v>260</v>
      </c>
      <c r="N60" s="34" t="str">
        <f>IFERROR(__xludf.DUMMYFUNCTION("""COMPUTED_VALUE"""),"")</f>
        <v/>
      </c>
      <c r="X60" s="72"/>
    </row>
    <row r="61">
      <c r="M61" s="34" t="s">
        <v>260</v>
      </c>
      <c r="N61" s="34" t="str">
        <f>IFERROR(__xludf.DUMMYFUNCTION("""COMPUTED_VALUE"""),"")</f>
        <v/>
      </c>
      <c r="X61" s="72"/>
    </row>
    <row r="62">
      <c r="M62" s="34" t="s">
        <v>260</v>
      </c>
      <c r="N62" s="34" t="str">
        <f>IFERROR(__xludf.DUMMYFUNCTION("""COMPUTED_VALUE"""),"")</f>
        <v/>
      </c>
      <c r="X62" s="72"/>
    </row>
    <row r="63">
      <c r="M63" s="34" t="s">
        <v>260</v>
      </c>
      <c r="N63" s="34" t="str">
        <f>IFERROR(__xludf.DUMMYFUNCTION("""COMPUTED_VALUE"""),"")</f>
        <v/>
      </c>
      <c r="X63" s="72"/>
    </row>
    <row r="64">
      <c r="M64" s="34" t="s">
        <v>260</v>
      </c>
      <c r="N64" s="34" t="str">
        <f>IFERROR(__xludf.DUMMYFUNCTION("""COMPUTED_VALUE"""),"")</f>
        <v/>
      </c>
      <c r="X64" s="72"/>
    </row>
    <row r="65">
      <c r="M65" s="34" t="s">
        <v>260</v>
      </c>
      <c r="N65" s="34" t="str">
        <f>IFERROR(__xludf.DUMMYFUNCTION("""COMPUTED_VALUE"""),"")</f>
        <v/>
      </c>
      <c r="X65" s="72"/>
    </row>
    <row r="66">
      <c r="M66" s="34" t="s">
        <v>260</v>
      </c>
      <c r="N66" s="34" t="str">
        <f>IFERROR(__xludf.DUMMYFUNCTION("""COMPUTED_VALUE"""),"")</f>
        <v/>
      </c>
      <c r="X66" s="72"/>
    </row>
    <row r="67">
      <c r="M67" s="34" t="s">
        <v>260</v>
      </c>
      <c r="N67" s="34" t="str">
        <f>IFERROR(__xludf.DUMMYFUNCTION("""COMPUTED_VALUE"""),"")</f>
        <v/>
      </c>
      <c r="X67" s="72"/>
    </row>
    <row r="68">
      <c r="M68" s="34" t="s">
        <v>260</v>
      </c>
      <c r="N68" s="34" t="str">
        <f>IFERROR(__xludf.DUMMYFUNCTION("""COMPUTED_VALUE"""),"")</f>
        <v/>
      </c>
      <c r="X68" s="72"/>
    </row>
    <row r="69">
      <c r="M69" s="34" t="s">
        <v>260</v>
      </c>
      <c r="N69" s="34" t="str">
        <f>IFERROR(__xludf.DUMMYFUNCTION("""COMPUTED_VALUE"""),"")</f>
        <v/>
      </c>
      <c r="X69" s="72"/>
    </row>
    <row r="70">
      <c r="M70" s="34" t="s">
        <v>260</v>
      </c>
      <c r="N70" s="34" t="str">
        <f>IFERROR(__xludf.DUMMYFUNCTION("""COMPUTED_VALUE"""),"")</f>
        <v/>
      </c>
      <c r="X70" s="72"/>
    </row>
    <row r="71">
      <c r="M71" s="34" t="s">
        <v>260</v>
      </c>
      <c r="N71" s="34" t="str">
        <f>IFERROR(__xludf.DUMMYFUNCTION("""COMPUTED_VALUE"""),"")</f>
        <v/>
      </c>
      <c r="X71" s="72"/>
    </row>
    <row r="72">
      <c r="M72" s="34" t="s">
        <v>260</v>
      </c>
      <c r="N72" s="34" t="str">
        <f>IFERROR(__xludf.DUMMYFUNCTION("""COMPUTED_VALUE"""),"")</f>
        <v/>
      </c>
      <c r="X72" s="72"/>
    </row>
    <row r="73">
      <c r="M73" s="34" t="s">
        <v>260</v>
      </c>
      <c r="N73" s="34" t="str">
        <f>IFERROR(__xludf.DUMMYFUNCTION("""COMPUTED_VALUE"""),"")</f>
        <v/>
      </c>
      <c r="X73" s="72"/>
    </row>
    <row r="74">
      <c r="M74" s="34" t="s">
        <v>260</v>
      </c>
      <c r="N74" s="34" t="str">
        <f>IFERROR(__xludf.DUMMYFUNCTION("""COMPUTED_VALUE"""),"")</f>
        <v/>
      </c>
      <c r="X74" s="72"/>
    </row>
    <row r="75">
      <c r="M75" s="34" t="s">
        <v>260</v>
      </c>
      <c r="N75" s="34" t="str">
        <f>IFERROR(__xludf.DUMMYFUNCTION("""COMPUTED_VALUE"""),"")</f>
        <v/>
      </c>
      <c r="X75" s="72"/>
    </row>
    <row r="76">
      <c r="M76" s="34" t="s">
        <v>260</v>
      </c>
      <c r="N76" s="34" t="str">
        <f>IFERROR(__xludf.DUMMYFUNCTION("""COMPUTED_VALUE"""),"")</f>
        <v/>
      </c>
      <c r="X76" s="72"/>
    </row>
    <row r="77">
      <c r="M77" s="34" t="s">
        <v>260</v>
      </c>
      <c r="N77" s="34" t="str">
        <f>IFERROR(__xludf.DUMMYFUNCTION("""COMPUTED_VALUE"""),"")</f>
        <v/>
      </c>
      <c r="X77" s="72"/>
    </row>
    <row r="78">
      <c r="M78" s="34" t="s">
        <v>260</v>
      </c>
      <c r="N78" s="34" t="str">
        <f>IFERROR(__xludf.DUMMYFUNCTION("""COMPUTED_VALUE"""),"")</f>
        <v/>
      </c>
      <c r="X78" s="72"/>
    </row>
    <row r="79">
      <c r="M79" s="34" t="s">
        <v>260</v>
      </c>
      <c r="N79" s="34" t="str">
        <f>IFERROR(__xludf.DUMMYFUNCTION("""COMPUTED_VALUE"""),"")</f>
        <v/>
      </c>
      <c r="X79" s="72"/>
    </row>
    <row r="80">
      <c r="M80" s="34" t="s">
        <v>260</v>
      </c>
      <c r="N80" s="34" t="str">
        <f>IFERROR(__xludf.DUMMYFUNCTION("""COMPUTED_VALUE"""),"")</f>
        <v/>
      </c>
      <c r="X80" s="72"/>
    </row>
    <row r="81">
      <c r="M81" s="34" t="s">
        <v>260</v>
      </c>
      <c r="N81" s="34" t="str">
        <f>IFERROR(__xludf.DUMMYFUNCTION("""COMPUTED_VALUE"""),"")</f>
        <v/>
      </c>
      <c r="X81" s="72"/>
    </row>
    <row r="82">
      <c r="M82" s="34" t="s">
        <v>260</v>
      </c>
      <c r="N82" s="34" t="str">
        <f>IFERROR(__xludf.DUMMYFUNCTION("""COMPUTED_VALUE"""),"")</f>
        <v/>
      </c>
      <c r="X82" s="72"/>
    </row>
    <row r="83">
      <c r="M83" s="34" t="s">
        <v>260</v>
      </c>
      <c r="N83" s="34" t="str">
        <f>IFERROR(__xludf.DUMMYFUNCTION("""COMPUTED_VALUE"""),"")</f>
        <v/>
      </c>
      <c r="X83" s="72"/>
    </row>
    <row r="84">
      <c r="M84" s="34" t="s">
        <v>260</v>
      </c>
      <c r="N84" s="34" t="str">
        <f>IFERROR(__xludf.DUMMYFUNCTION("""COMPUTED_VALUE"""),"")</f>
        <v/>
      </c>
      <c r="X84" s="72"/>
    </row>
    <row r="85">
      <c r="M85" s="34" t="s">
        <v>260</v>
      </c>
      <c r="N85" s="34" t="str">
        <f>IFERROR(__xludf.DUMMYFUNCTION("""COMPUTED_VALUE"""),"")</f>
        <v/>
      </c>
      <c r="X85" s="72"/>
    </row>
    <row r="86">
      <c r="M86" s="34" t="s">
        <v>260</v>
      </c>
      <c r="N86" s="34" t="str">
        <f>IFERROR(__xludf.DUMMYFUNCTION("""COMPUTED_VALUE"""),"")</f>
        <v/>
      </c>
      <c r="X86" s="72"/>
    </row>
    <row r="87">
      <c r="M87" s="34" t="s">
        <v>260</v>
      </c>
      <c r="N87" s="34" t="str">
        <f>IFERROR(__xludf.DUMMYFUNCTION("""COMPUTED_VALUE"""),"")</f>
        <v/>
      </c>
      <c r="X87" s="72"/>
    </row>
    <row r="88">
      <c r="M88" s="34" t="s">
        <v>260</v>
      </c>
      <c r="N88" s="34" t="str">
        <f>IFERROR(__xludf.DUMMYFUNCTION("""COMPUTED_VALUE"""),"")</f>
        <v/>
      </c>
      <c r="X88" s="72"/>
    </row>
    <row r="89">
      <c r="M89" s="34" t="s">
        <v>260</v>
      </c>
      <c r="N89" s="34" t="str">
        <f>IFERROR(__xludf.DUMMYFUNCTION("""COMPUTED_VALUE"""),"")</f>
        <v/>
      </c>
      <c r="X89" s="72"/>
    </row>
    <row r="90">
      <c r="M90" s="34" t="s">
        <v>260</v>
      </c>
      <c r="N90" s="34" t="str">
        <f>IFERROR(__xludf.DUMMYFUNCTION("""COMPUTED_VALUE"""),"")</f>
        <v/>
      </c>
      <c r="X90" s="72"/>
    </row>
    <row r="91">
      <c r="M91" s="34" t="s">
        <v>260</v>
      </c>
      <c r="N91" s="34" t="str">
        <f>IFERROR(__xludf.DUMMYFUNCTION("""COMPUTED_VALUE"""),"")</f>
        <v/>
      </c>
      <c r="X91" s="72"/>
    </row>
    <row r="92">
      <c r="M92" s="34" t="s">
        <v>260</v>
      </c>
      <c r="N92" s="34" t="str">
        <f>IFERROR(__xludf.DUMMYFUNCTION("""COMPUTED_VALUE"""),"")</f>
        <v/>
      </c>
      <c r="X92" s="72"/>
    </row>
    <row r="93">
      <c r="M93" s="34" t="s">
        <v>260</v>
      </c>
      <c r="N93" s="34" t="str">
        <f>IFERROR(__xludf.DUMMYFUNCTION("""COMPUTED_VALUE"""),"")</f>
        <v/>
      </c>
      <c r="X93" s="72"/>
    </row>
    <row r="94">
      <c r="M94" s="34" t="s">
        <v>260</v>
      </c>
      <c r="N94" s="34" t="str">
        <f>IFERROR(__xludf.DUMMYFUNCTION("""COMPUTED_VALUE"""),"")</f>
        <v/>
      </c>
      <c r="X94" s="72"/>
    </row>
    <row r="95">
      <c r="M95" s="34" t="s">
        <v>260</v>
      </c>
      <c r="N95" s="34" t="str">
        <f>IFERROR(__xludf.DUMMYFUNCTION("""COMPUTED_VALUE"""),"")</f>
        <v/>
      </c>
      <c r="X95" s="72"/>
    </row>
    <row r="96">
      <c r="M96" s="34" t="s">
        <v>260</v>
      </c>
      <c r="N96" s="34" t="str">
        <f>IFERROR(__xludf.DUMMYFUNCTION("""COMPUTED_VALUE"""),"")</f>
        <v/>
      </c>
      <c r="X96" s="72"/>
    </row>
    <row r="97">
      <c r="M97" s="34" t="s">
        <v>260</v>
      </c>
      <c r="N97" s="34" t="str">
        <f>IFERROR(__xludf.DUMMYFUNCTION("""COMPUTED_VALUE"""),"")</f>
        <v/>
      </c>
      <c r="X97" s="72"/>
    </row>
    <row r="98">
      <c r="M98" s="34" t="s">
        <v>260</v>
      </c>
      <c r="N98" s="34" t="str">
        <f>IFERROR(__xludf.DUMMYFUNCTION("""COMPUTED_VALUE"""),"")</f>
        <v/>
      </c>
      <c r="X98" s="72"/>
    </row>
    <row r="99">
      <c r="M99" s="34" t="s">
        <v>260</v>
      </c>
      <c r="N99" s="34" t="str">
        <f>IFERROR(__xludf.DUMMYFUNCTION("""COMPUTED_VALUE"""),"")</f>
        <v/>
      </c>
      <c r="X99" s="72"/>
    </row>
    <row r="100">
      <c r="M100" s="34" t="s">
        <v>260</v>
      </c>
      <c r="N100" s="34" t="str">
        <f>IFERROR(__xludf.DUMMYFUNCTION("""COMPUTED_VALUE"""),"")</f>
        <v/>
      </c>
      <c r="X100" s="72"/>
    </row>
    <row r="101">
      <c r="M101" s="34" t="s">
        <v>260</v>
      </c>
      <c r="N101" s="34" t="str">
        <f>IFERROR(__xludf.DUMMYFUNCTION("""COMPUTED_VALUE"""),"")</f>
        <v/>
      </c>
      <c r="X101" s="72"/>
    </row>
    <row r="102">
      <c r="M102" s="34" t="s">
        <v>260</v>
      </c>
      <c r="N102" s="34" t="str">
        <f>IFERROR(__xludf.DUMMYFUNCTION("""COMPUTED_VALUE"""),"")</f>
        <v/>
      </c>
      <c r="X102" s="72"/>
    </row>
    <row r="103">
      <c r="M103" s="34" t="s">
        <v>260</v>
      </c>
      <c r="N103" s="34" t="str">
        <f>IFERROR(__xludf.DUMMYFUNCTION("""COMPUTED_VALUE"""),"")</f>
        <v/>
      </c>
      <c r="X103" s="72"/>
    </row>
    <row r="104">
      <c r="M104" s="34" t="s">
        <v>260</v>
      </c>
      <c r="N104" s="34" t="str">
        <f>IFERROR(__xludf.DUMMYFUNCTION("""COMPUTED_VALUE"""),"")</f>
        <v/>
      </c>
      <c r="X104" s="72"/>
    </row>
    <row r="105">
      <c r="M105" s="34" t="s">
        <v>260</v>
      </c>
      <c r="N105" s="34" t="str">
        <f>IFERROR(__xludf.DUMMYFUNCTION("""COMPUTED_VALUE"""),"")</f>
        <v/>
      </c>
      <c r="X105" s="72"/>
    </row>
    <row r="106">
      <c r="M106" s="34" t="s">
        <v>260</v>
      </c>
      <c r="N106" s="34" t="str">
        <f>IFERROR(__xludf.DUMMYFUNCTION("""COMPUTED_VALUE"""),"")</f>
        <v/>
      </c>
      <c r="X106" s="72"/>
    </row>
    <row r="107">
      <c r="M107" s="34" t="s">
        <v>260</v>
      </c>
      <c r="N107" s="34" t="str">
        <f>IFERROR(__xludf.DUMMYFUNCTION("""COMPUTED_VALUE"""),"")</f>
        <v/>
      </c>
      <c r="X107" s="72"/>
    </row>
    <row r="108">
      <c r="M108" s="34" t="s">
        <v>260</v>
      </c>
      <c r="N108" s="34" t="str">
        <f>IFERROR(__xludf.DUMMYFUNCTION("""COMPUTED_VALUE"""),"")</f>
        <v/>
      </c>
      <c r="X108" s="72"/>
    </row>
    <row r="109">
      <c r="M109" s="34" t="s">
        <v>260</v>
      </c>
      <c r="N109" s="34" t="str">
        <f>IFERROR(__xludf.DUMMYFUNCTION("""COMPUTED_VALUE"""),"")</f>
        <v/>
      </c>
      <c r="X109" s="72"/>
    </row>
    <row r="110">
      <c r="M110" s="34" t="s">
        <v>260</v>
      </c>
      <c r="N110" s="34" t="str">
        <f>IFERROR(__xludf.DUMMYFUNCTION("""COMPUTED_VALUE"""),"")</f>
        <v/>
      </c>
      <c r="X110" s="72"/>
    </row>
    <row r="111">
      <c r="M111" s="34" t="s">
        <v>260</v>
      </c>
      <c r="N111" s="34" t="str">
        <f>IFERROR(__xludf.DUMMYFUNCTION("""COMPUTED_VALUE"""),"")</f>
        <v/>
      </c>
      <c r="X111" s="72"/>
    </row>
    <row r="112">
      <c r="M112" s="34" t="s">
        <v>260</v>
      </c>
      <c r="N112" s="34" t="str">
        <f>IFERROR(__xludf.DUMMYFUNCTION("""COMPUTED_VALUE"""),"")</f>
        <v/>
      </c>
      <c r="X112" s="72"/>
    </row>
    <row r="113">
      <c r="M113" s="34" t="s">
        <v>260</v>
      </c>
      <c r="N113" s="34" t="str">
        <f>IFERROR(__xludf.DUMMYFUNCTION("""COMPUTED_VALUE"""),"")</f>
        <v/>
      </c>
      <c r="X113" s="72"/>
    </row>
    <row r="114">
      <c r="M114" s="34" t="s">
        <v>260</v>
      </c>
      <c r="N114" s="34" t="str">
        <f>IFERROR(__xludf.DUMMYFUNCTION("""COMPUTED_VALUE"""),"")</f>
        <v/>
      </c>
      <c r="X114" s="72"/>
    </row>
    <row r="115">
      <c r="M115" s="34" t="s">
        <v>260</v>
      </c>
      <c r="N115" s="34" t="str">
        <f>IFERROR(__xludf.DUMMYFUNCTION("""COMPUTED_VALUE"""),"")</f>
        <v/>
      </c>
      <c r="X115" s="72"/>
    </row>
    <row r="116">
      <c r="M116" s="34" t="s">
        <v>260</v>
      </c>
      <c r="N116" s="34" t="str">
        <f>IFERROR(__xludf.DUMMYFUNCTION("""COMPUTED_VALUE"""),"")</f>
        <v/>
      </c>
      <c r="X116" s="72"/>
    </row>
    <row r="117">
      <c r="M117" s="34" t="s">
        <v>260</v>
      </c>
      <c r="N117" s="34" t="str">
        <f>IFERROR(__xludf.DUMMYFUNCTION("""COMPUTED_VALUE"""),"")</f>
        <v/>
      </c>
      <c r="X117" s="72"/>
    </row>
    <row r="118">
      <c r="M118" s="34" t="s">
        <v>260</v>
      </c>
      <c r="N118" s="34" t="str">
        <f>IFERROR(__xludf.DUMMYFUNCTION("""COMPUTED_VALUE"""),"")</f>
        <v/>
      </c>
      <c r="X118" s="72"/>
    </row>
    <row r="119">
      <c r="M119" s="34" t="s">
        <v>260</v>
      </c>
      <c r="N119" s="34" t="str">
        <f>IFERROR(__xludf.DUMMYFUNCTION("""COMPUTED_VALUE"""),"")</f>
        <v/>
      </c>
      <c r="X119" s="72"/>
    </row>
    <row r="120">
      <c r="M120" s="34" t="s">
        <v>260</v>
      </c>
      <c r="N120" s="34" t="str">
        <f>IFERROR(__xludf.DUMMYFUNCTION("""COMPUTED_VALUE"""),"")</f>
        <v/>
      </c>
      <c r="X120" s="72"/>
    </row>
    <row r="121">
      <c r="M121" s="34" t="s">
        <v>260</v>
      </c>
      <c r="N121" s="34" t="str">
        <f>IFERROR(__xludf.DUMMYFUNCTION("""COMPUTED_VALUE"""),"")</f>
        <v/>
      </c>
      <c r="X121" s="72"/>
    </row>
    <row r="122">
      <c r="M122" s="34" t="s">
        <v>260</v>
      </c>
      <c r="N122" s="34" t="str">
        <f>IFERROR(__xludf.DUMMYFUNCTION("""COMPUTED_VALUE"""),"")</f>
        <v/>
      </c>
      <c r="X122" s="72"/>
    </row>
    <row r="123">
      <c r="M123" s="34" t="s">
        <v>260</v>
      </c>
      <c r="N123" s="34" t="str">
        <f>IFERROR(__xludf.DUMMYFUNCTION("""COMPUTED_VALUE"""),"")</f>
        <v/>
      </c>
      <c r="X123" s="72"/>
    </row>
    <row r="124">
      <c r="M124" s="34" t="s">
        <v>260</v>
      </c>
      <c r="N124" s="34" t="str">
        <f>IFERROR(__xludf.DUMMYFUNCTION("""COMPUTED_VALUE"""),"")</f>
        <v/>
      </c>
      <c r="X124" s="72"/>
    </row>
    <row r="125">
      <c r="M125" s="34" t="s">
        <v>260</v>
      </c>
      <c r="N125" s="34" t="str">
        <f>IFERROR(__xludf.DUMMYFUNCTION("""COMPUTED_VALUE"""),"")</f>
        <v/>
      </c>
      <c r="X125" s="72"/>
    </row>
    <row r="126">
      <c r="M126" s="34" t="s">
        <v>260</v>
      </c>
      <c r="N126" s="34" t="str">
        <f>IFERROR(__xludf.DUMMYFUNCTION("""COMPUTED_VALUE"""),"")</f>
        <v/>
      </c>
      <c r="X126" s="72"/>
    </row>
    <row r="127">
      <c r="M127" s="34" t="s">
        <v>260</v>
      </c>
      <c r="N127" s="34" t="str">
        <f>IFERROR(__xludf.DUMMYFUNCTION("""COMPUTED_VALUE"""),"")</f>
        <v/>
      </c>
      <c r="X127" s="72"/>
    </row>
    <row r="128">
      <c r="M128" s="34" t="s">
        <v>260</v>
      </c>
      <c r="N128" s="34" t="str">
        <f>IFERROR(__xludf.DUMMYFUNCTION("""COMPUTED_VALUE"""),"")</f>
        <v/>
      </c>
      <c r="X128" s="72"/>
    </row>
    <row r="129">
      <c r="M129" s="34" t="s">
        <v>260</v>
      </c>
      <c r="N129" s="34" t="str">
        <f>IFERROR(__xludf.DUMMYFUNCTION("""COMPUTED_VALUE"""),"")</f>
        <v/>
      </c>
      <c r="X129" s="72"/>
    </row>
    <row r="130">
      <c r="M130" s="34" t="s">
        <v>260</v>
      </c>
      <c r="N130" s="34" t="str">
        <f>IFERROR(__xludf.DUMMYFUNCTION("""COMPUTED_VALUE"""),"")</f>
        <v/>
      </c>
      <c r="X130" s="72"/>
    </row>
    <row r="131">
      <c r="M131" s="34" t="s">
        <v>260</v>
      </c>
      <c r="N131" s="34" t="str">
        <f>IFERROR(__xludf.DUMMYFUNCTION("""COMPUTED_VALUE"""),"")</f>
        <v/>
      </c>
      <c r="X131" s="72"/>
    </row>
    <row r="132">
      <c r="M132" s="34" t="s">
        <v>260</v>
      </c>
      <c r="N132" s="34" t="str">
        <f>IFERROR(__xludf.DUMMYFUNCTION("""COMPUTED_VALUE"""),"")</f>
        <v/>
      </c>
      <c r="X132" s="72"/>
    </row>
    <row r="133">
      <c r="M133" s="34" t="s">
        <v>260</v>
      </c>
      <c r="N133" s="34" t="str">
        <f>IFERROR(__xludf.DUMMYFUNCTION("""COMPUTED_VALUE"""),"")</f>
        <v/>
      </c>
      <c r="X133" s="72"/>
    </row>
    <row r="134">
      <c r="M134" s="34" t="s">
        <v>260</v>
      </c>
      <c r="N134" s="34" t="str">
        <f>IFERROR(__xludf.DUMMYFUNCTION("""COMPUTED_VALUE"""),"")</f>
        <v/>
      </c>
      <c r="X134" s="72"/>
    </row>
    <row r="135">
      <c r="M135" s="34" t="s">
        <v>260</v>
      </c>
      <c r="N135" s="34" t="str">
        <f>IFERROR(__xludf.DUMMYFUNCTION("""COMPUTED_VALUE"""),"")</f>
        <v/>
      </c>
      <c r="X135" s="72"/>
    </row>
    <row r="136">
      <c r="M136" s="34" t="s">
        <v>260</v>
      </c>
      <c r="N136" s="34" t="str">
        <f>IFERROR(__xludf.DUMMYFUNCTION("""COMPUTED_VALUE"""),"")</f>
        <v/>
      </c>
      <c r="X136" s="72"/>
    </row>
    <row r="137">
      <c r="M137" s="34" t="s">
        <v>260</v>
      </c>
      <c r="N137" s="34" t="str">
        <f>IFERROR(__xludf.DUMMYFUNCTION("""COMPUTED_VALUE"""),"")</f>
        <v/>
      </c>
      <c r="X137" s="72"/>
    </row>
    <row r="138">
      <c r="M138" s="34" t="s">
        <v>260</v>
      </c>
      <c r="N138" s="34" t="str">
        <f>IFERROR(__xludf.DUMMYFUNCTION("""COMPUTED_VALUE"""),"")</f>
        <v/>
      </c>
      <c r="X138" s="72"/>
    </row>
    <row r="139">
      <c r="M139" s="34" t="s">
        <v>260</v>
      </c>
      <c r="N139" s="34" t="str">
        <f>IFERROR(__xludf.DUMMYFUNCTION("""COMPUTED_VALUE"""),"")</f>
        <v/>
      </c>
      <c r="X139" s="72"/>
    </row>
    <row r="140">
      <c r="M140" s="34" t="s">
        <v>260</v>
      </c>
      <c r="N140" s="34" t="str">
        <f>IFERROR(__xludf.DUMMYFUNCTION("""COMPUTED_VALUE"""),"")</f>
        <v/>
      </c>
      <c r="X140" s="72"/>
    </row>
    <row r="141">
      <c r="M141" s="34" t="s">
        <v>260</v>
      </c>
      <c r="N141" s="34" t="str">
        <f>IFERROR(__xludf.DUMMYFUNCTION("""COMPUTED_VALUE"""),"")</f>
        <v/>
      </c>
      <c r="X141" s="72"/>
    </row>
    <row r="142">
      <c r="M142" s="34" t="s">
        <v>260</v>
      </c>
      <c r="N142" s="34" t="str">
        <f>IFERROR(__xludf.DUMMYFUNCTION("""COMPUTED_VALUE"""),"")</f>
        <v/>
      </c>
      <c r="X142" s="72"/>
    </row>
    <row r="143">
      <c r="M143" s="34" t="s">
        <v>260</v>
      </c>
      <c r="N143" s="34" t="str">
        <f>IFERROR(__xludf.DUMMYFUNCTION("""COMPUTED_VALUE"""),"")</f>
        <v/>
      </c>
      <c r="X143" s="72"/>
    </row>
    <row r="144">
      <c r="M144" s="34" t="s">
        <v>260</v>
      </c>
      <c r="N144" s="34" t="str">
        <f>IFERROR(__xludf.DUMMYFUNCTION("""COMPUTED_VALUE"""),"")</f>
        <v/>
      </c>
      <c r="X144" s="72"/>
    </row>
    <row r="145">
      <c r="M145" s="34" t="s">
        <v>260</v>
      </c>
      <c r="N145" s="34" t="str">
        <f>IFERROR(__xludf.DUMMYFUNCTION("""COMPUTED_VALUE"""),"")</f>
        <v/>
      </c>
      <c r="X145" s="72"/>
    </row>
    <row r="146">
      <c r="M146" s="34" t="s">
        <v>260</v>
      </c>
      <c r="N146" s="34" t="str">
        <f>IFERROR(__xludf.DUMMYFUNCTION("""COMPUTED_VALUE"""),"")</f>
        <v/>
      </c>
      <c r="X146" s="72"/>
    </row>
    <row r="147">
      <c r="M147" s="34" t="s">
        <v>260</v>
      </c>
      <c r="N147" s="34" t="str">
        <f>IFERROR(__xludf.DUMMYFUNCTION("""COMPUTED_VALUE"""),"")</f>
        <v/>
      </c>
      <c r="X147" s="72"/>
    </row>
    <row r="148">
      <c r="M148" s="34" t="s">
        <v>260</v>
      </c>
      <c r="N148" s="34" t="str">
        <f>IFERROR(__xludf.DUMMYFUNCTION("""COMPUTED_VALUE"""),"")</f>
        <v/>
      </c>
      <c r="X148" s="72"/>
    </row>
    <row r="149">
      <c r="M149" s="34" t="s">
        <v>260</v>
      </c>
      <c r="N149" s="34" t="str">
        <f>IFERROR(__xludf.DUMMYFUNCTION("""COMPUTED_VALUE"""),"")</f>
        <v/>
      </c>
      <c r="X149" s="72"/>
    </row>
    <row r="150">
      <c r="M150" s="34" t="s">
        <v>260</v>
      </c>
      <c r="N150" s="34" t="str">
        <f>IFERROR(__xludf.DUMMYFUNCTION("""COMPUTED_VALUE"""),"")</f>
        <v/>
      </c>
      <c r="X150" s="72"/>
    </row>
    <row r="151">
      <c r="M151" s="34" t="s">
        <v>260</v>
      </c>
      <c r="N151" s="34" t="str">
        <f>IFERROR(__xludf.DUMMYFUNCTION("""COMPUTED_VALUE"""),"")</f>
        <v/>
      </c>
      <c r="X151" s="72"/>
    </row>
    <row r="152">
      <c r="M152" s="34" t="s">
        <v>260</v>
      </c>
      <c r="N152" s="34" t="str">
        <f>IFERROR(__xludf.DUMMYFUNCTION("""COMPUTED_VALUE"""),"")</f>
        <v/>
      </c>
      <c r="X152" s="72"/>
    </row>
    <row r="153">
      <c r="M153" s="34" t="s">
        <v>260</v>
      </c>
      <c r="N153" s="34" t="str">
        <f>IFERROR(__xludf.DUMMYFUNCTION("""COMPUTED_VALUE"""),"")</f>
        <v/>
      </c>
      <c r="X153" s="72"/>
    </row>
    <row r="154">
      <c r="M154" s="34" t="s">
        <v>260</v>
      </c>
      <c r="N154" s="34" t="str">
        <f>IFERROR(__xludf.DUMMYFUNCTION("""COMPUTED_VALUE"""),"")</f>
        <v/>
      </c>
      <c r="X154" s="72"/>
    </row>
    <row r="155">
      <c r="M155" s="34" t="s">
        <v>260</v>
      </c>
      <c r="N155" s="34" t="str">
        <f>IFERROR(__xludf.DUMMYFUNCTION("""COMPUTED_VALUE"""),"")</f>
        <v/>
      </c>
      <c r="X155" s="72"/>
    </row>
    <row r="156">
      <c r="M156" s="34" t="s">
        <v>260</v>
      </c>
      <c r="N156" s="34" t="str">
        <f>IFERROR(__xludf.DUMMYFUNCTION("""COMPUTED_VALUE"""),"")</f>
        <v/>
      </c>
      <c r="X156" s="72"/>
    </row>
    <row r="157">
      <c r="M157" s="34" t="s">
        <v>260</v>
      </c>
      <c r="N157" s="34" t="str">
        <f>IFERROR(__xludf.DUMMYFUNCTION("""COMPUTED_VALUE"""),"")</f>
        <v/>
      </c>
      <c r="X157" s="72"/>
    </row>
    <row r="158">
      <c r="M158" s="34" t="s">
        <v>260</v>
      </c>
      <c r="N158" s="34" t="str">
        <f>IFERROR(__xludf.DUMMYFUNCTION("""COMPUTED_VALUE"""),"")</f>
        <v/>
      </c>
      <c r="X158" s="72"/>
    </row>
    <row r="159">
      <c r="M159" s="34" t="s">
        <v>260</v>
      </c>
      <c r="N159" s="34" t="str">
        <f>IFERROR(__xludf.DUMMYFUNCTION("""COMPUTED_VALUE"""),"")</f>
        <v/>
      </c>
      <c r="X159" s="72"/>
    </row>
    <row r="160">
      <c r="M160" s="34" t="s">
        <v>260</v>
      </c>
      <c r="N160" s="34" t="str">
        <f>IFERROR(__xludf.DUMMYFUNCTION("""COMPUTED_VALUE"""),"")</f>
        <v/>
      </c>
      <c r="X160" s="72"/>
    </row>
    <row r="161">
      <c r="M161" s="34" t="s">
        <v>260</v>
      </c>
      <c r="N161" s="34" t="str">
        <f>IFERROR(__xludf.DUMMYFUNCTION("""COMPUTED_VALUE"""),"")</f>
        <v/>
      </c>
      <c r="X161" s="72"/>
    </row>
    <row r="162">
      <c r="M162" s="34" t="s">
        <v>260</v>
      </c>
      <c r="N162" s="34" t="str">
        <f>IFERROR(__xludf.DUMMYFUNCTION("""COMPUTED_VALUE"""),"")</f>
        <v/>
      </c>
      <c r="X162" s="72"/>
    </row>
    <row r="163">
      <c r="M163" s="34" t="s">
        <v>260</v>
      </c>
      <c r="N163" s="34" t="str">
        <f>IFERROR(__xludf.DUMMYFUNCTION("""COMPUTED_VALUE"""),"")</f>
        <v/>
      </c>
      <c r="X163" s="72"/>
    </row>
    <row r="164">
      <c r="M164" s="34" t="s">
        <v>260</v>
      </c>
      <c r="N164" s="34" t="str">
        <f>IFERROR(__xludf.DUMMYFUNCTION("""COMPUTED_VALUE"""),"")</f>
        <v/>
      </c>
      <c r="X164" s="72"/>
    </row>
    <row r="165">
      <c r="M165" s="34" t="s">
        <v>260</v>
      </c>
      <c r="N165" s="34" t="str">
        <f>IFERROR(__xludf.DUMMYFUNCTION("""COMPUTED_VALUE"""),"")</f>
        <v/>
      </c>
      <c r="X165" s="72"/>
    </row>
    <row r="166">
      <c r="M166" s="34" t="s">
        <v>260</v>
      </c>
      <c r="N166" s="34" t="str">
        <f>IFERROR(__xludf.DUMMYFUNCTION("""COMPUTED_VALUE"""),"")</f>
        <v/>
      </c>
      <c r="X166" s="72"/>
    </row>
    <row r="167">
      <c r="M167" s="34" t="s">
        <v>260</v>
      </c>
      <c r="N167" s="34" t="str">
        <f>IFERROR(__xludf.DUMMYFUNCTION("""COMPUTED_VALUE"""),"")</f>
        <v/>
      </c>
      <c r="X167" s="72"/>
    </row>
    <row r="168">
      <c r="M168" s="34" t="s">
        <v>260</v>
      </c>
      <c r="N168" s="34" t="str">
        <f>IFERROR(__xludf.DUMMYFUNCTION("""COMPUTED_VALUE"""),"")</f>
        <v/>
      </c>
      <c r="X168" s="72"/>
    </row>
    <row r="169">
      <c r="M169" s="34" t="s">
        <v>260</v>
      </c>
      <c r="N169" s="34" t="str">
        <f>IFERROR(__xludf.DUMMYFUNCTION("""COMPUTED_VALUE"""),"")</f>
        <v/>
      </c>
      <c r="X169" s="72"/>
    </row>
    <row r="170">
      <c r="M170" s="34" t="s">
        <v>260</v>
      </c>
      <c r="N170" s="34" t="str">
        <f>IFERROR(__xludf.DUMMYFUNCTION("""COMPUTED_VALUE"""),"")</f>
        <v/>
      </c>
      <c r="X170" s="72"/>
    </row>
    <row r="171">
      <c r="M171" s="34" t="s">
        <v>260</v>
      </c>
      <c r="N171" s="34" t="str">
        <f>IFERROR(__xludf.DUMMYFUNCTION("""COMPUTED_VALUE"""),"")</f>
        <v/>
      </c>
      <c r="X171" s="72"/>
    </row>
    <row r="172">
      <c r="M172" s="34" t="s">
        <v>260</v>
      </c>
      <c r="N172" s="34" t="str">
        <f>IFERROR(__xludf.DUMMYFUNCTION("""COMPUTED_VALUE"""),"")</f>
        <v/>
      </c>
      <c r="X172" s="72"/>
    </row>
    <row r="173">
      <c r="M173" s="34" t="s">
        <v>260</v>
      </c>
      <c r="N173" s="34" t="str">
        <f>IFERROR(__xludf.DUMMYFUNCTION("""COMPUTED_VALUE"""),"")</f>
        <v/>
      </c>
      <c r="X173" s="72"/>
    </row>
    <row r="174">
      <c r="M174" s="34" t="s">
        <v>260</v>
      </c>
      <c r="N174" s="34" t="str">
        <f>IFERROR(__xludf.DUMMYFUNCTION("""COMPUTED_VALUE"""),"")</f>
        <v/>
      </c>
      <c r="X174" s="72"/>
    </row>
    <row r="175">
      <c r="M175" s="34" t="s">
        <v>260</v>
      </c>
      <c r="N175" s="34" t="str">
        <f>IFERROR(__xludf.DUMMYFUNCTION("""COMPUTED_VALUE"""),"")</f>
        <v/>
      </c>
      <c r="X175" s="72"/>
    </row>
    <row r="176">
      <c r="M176" s="34" t="s">
        <v>260</v>
      </c>
      <c r="N176" s="34" t="str">
        <f>IFERROR(__xludf.DUMMYFUNCTION("""COMPUTED_VALUE"""),"")</f>
        <v/>
      </c>
      <c r="X176" s="72"/>
    </row>
    <row r="177">
      <c r="M177" s="34" t="s">
        <v>260</v>
      </c>
      <c r="N177" s="34" t="str">
        <f>IFERROR(__xludf.DUMMYFUNCTION("""COMPUTED_VALUE"""),"")</f>
        <v/>
      </c>
      <c r="X177" s="72"/>
    </row>
    <row r="178">
      <c r="M178" s="34" t="s">
        <v>260</v>
      </c>
      <c r="N178" s="34" t="str">
        <f>IFERROR(__xludf.DUMMYFUNCTION("""COMPUTED_VALUE"""),"")</f>
        <v/>
      </c>
      <c r="X178" s="72"/>
    </row>
    <row r="179">
      <c r="M179" s="34" t="s">
        <v>260</v>
      </c>
      <c r="N179" s="34" t="str">
        <f>IFERROR(__xludf.DUMMYFUNCTION("""COMPUTED_VALUE"""),"")</f>
        <v/>
      </c>
      <c r="X179" s="72"/>
    </row>
    <row r="180">
      <c r="M180" s="34" t="s">
        <v>260</v>
      </c>
      <c r="N180" s="34" t="str">
        <f>IFERROR(__xludf.DUMMYFUNCTION("""COMPUTED_VALUE"""),"")</f>
        <v/>
      </c>
      <c r="X180" s="72"/>
    </row>
    <row r="181">
      <c r="M181" s="34" t="s">
        <v>260</v>
      </c>
      <c r="N181" s="34" t="str">
        <f>IFERROR(__xludf.DUMMYFUNCTION("""COMPUTED_VALUE"""),"")</f>
        <v/>
      </c>
      <c r="X181" s="72"/>
    </row>
    <row r="182">
      <c r="M182" s="34" t="s">
        <v>260</v>
      </c>
      <c r="N182" s="34" t="str">
        <f>IFERROR(__xludf.DUMMYFUNCTION("""COMPUTED_VALUE"""),"")</f>
        <v/>
      </c>
      <c r="X182" s="72"/>
    </row>
    <row r="183">
      <c r="M183" s="34" t="s">
        <v>260</v>
      </c>
      <c r="N183" s="34" t="str">
        <f>IFERROR(__xludf.DUMMYFUNCTION("""COMPUTED_VALUE"""),"")</f>
        <v/>
      </c>
      <c r="X183" s="72"/>
    </row>
    <row r="184">
      <c r="M184" s="34" t="s">
        <v>260</v>
      </c>
      <c r="N184" s="34" t="str">
        <f>IFERROR(__xludf.DUMMYFUNCTION("""COMPUTED_VALUE"""),"")</f>
        <v/>
      </c>
      <c r="X184" s="72"/>
    </row>
    <row r="185">
      <c r="M185" s="34" t="s">
        <v>260</v>
      </c>
      <c r="N185" s="34" t="str">
        <f>IFERROR(__xludf.DUMMYFUNCTION("""COMPUTED_VALUE"""),"")</f>
        <v/>
      </c>
      <c r="X185" s="72"/>
    </row>
    <row r="186">
      <c r="M186" s="34" t="s">
        <v>260</v>
      </c>
      <c r="N186" s="34" t="str">
        <f>IFERROR(__xludf.DUMMYFUNCTION("""COMPUTED_VALUE"""),"")</f>
        <v/>
      </c>
      <c r="X186" s="72"/>
    </row>
    <row r="187">
      <c r="M187" s="34" t="s">
        <v>260</v>
      </c>
      <c r="N187" s="34" t="str">
        <f>IFERROR(__xludf.DUMMYFUNCTION("""COMPUTED_VALUE"""),"")</f>
        <v/>
      </c>
      <c r="X187" s="72"/>
    </row>
    <row r="188">
      <c r="M188" s="34" t="s">
        <v>260</v>
      </c>
      <c r="N188" s="34" t="str">
        <f>IFERROR(__xludf.DUMMYFUNCTION("""COMPUTED_VALUE"""),"")</f>
        <v/>
      </c>
      <c r="X188" s="72"/>
    </row>
    <row r="189">
      <c r="M189" s="34" t="s">
        <v>260</v>
      </c>
      <c r="N189" s="34" t="str">
        <f>IFERROR(__xludf.DUMMYFUNCTION("""COMPUTED_VALUE"""),"")</f>
        <v/>
      </c>
      <c r="X189" s="72"/>
    </row>
    <row r="190">
      <c r="M190" s="34" t="s">
        <v>260</v>
      </c>
      <c r="N190" s="34" t="str">
        <f>IFERROR(__xludf.DUMMYFUNCTION("""COMPUTED_VALUE"""),"")</f>
        <v/>
      </c>
      <c r="X190" s="72"/>
    </row>
    <row r="191">
      <c r="M191" s="34" t="s">
        <v>260</v>
      </c>
      <c r="N191" s="34" t="str">
        <f>IFERROR(__xludf.DUMMYFUNCTION("""COMPUTED_VALUE"""),"")</f>
        <v/>
      </c>
      <c r="X191" s="72"/>
    </row>
    <row r="192">
      <c r="M192" s="34" t="s">
        <v>260</v>
      </c>
      <c r="N192" s="34" t="str">
        <f>IFERROR(__xludf.DUMMYFUNCTION("""COMPUTED_VALUE"""),"")</f>
        <v/>
      </c>
      <c r="X192" s="72"/>
    </row>
    <row r="193">
      <c r="M193" s="34" t="s">
        <v>260</v>
      </c>
      <c r="N193" s="34" t="str">
        <f>IFERROR(__xludf.DUMMYFUNCTION("""COMPUTED_VALUE"""),"")</f>
        <v/>
      </c>
      <c r="X193" s="72"/>
    </row>
    <row r="194">
      <c r="M194" s="34" t="s">
        <v>260</v>
      </c>
      <c r="N194" s="34" t="str">
        <f>IFERROR(__xludf.DUMMYFUNCTION("""COMPUTED_VALUE"""),"")</f>
        <v/>
      </c>
      <c r="X194" s="72"/>
    </row>
    <row r="195">
      <c r="M195" s="34" t="s">
        <v>260</v>
      </c>
      <c r="N195" s="34" t="str">
        <f>IFERROR(__xludf.DUMMYFUNCTION("""COMPUTED_VALUE"""),"")</f>
        <v/>
      </c>
      <c r="X195" s="72"/>
    </row>
    <row r="196">
      <c r="M196" s="34" t="s">
        <v>260</v>
      </c>
      <c r="N196" s="34" t="str">
        <f>IFERROR(__xludf.DUMMYFUNCTION("""COMPUTED_VALUE"""),"")</f>
        <v/>
      </c>
      <c r="X196" s="72"/>
    </row>
    <row r="197">
      <c r="M197" s="34" t="s">
        <v>260</v>
      </c>
      <c r="N197" s="34" t="str">
        <f>IFERROR(__xludf.DUMMYFUNCTION("""COMPUTED_VALUE"""),"")</f>
        <v/>
      </c>
      <c r="X197" s="72"/>
    </row>
    <row r="198">
      <c r="M198" s="34" t="s">
        <v>260</v>
      </c>
      <c r="N198" s="34" t="str">
        <f>IFERROR(__xludf.DUMMYFUNCTION("""COMPUTED_VALUE"""),"")</f>
        <v/>
      </c>
      <c r="X198" s="72"/>
    </row>
    <row r="199">
      <c r="M199" s="34" t="s">
        <v>260</v>
      </c>
      <c r="N199" s="34" t="str">
        <f>IFERROR(__xludf.DUMMYFUNCTION("""COMPUTED_VALUE"""),"")</f>
        <v/>
      </c>
      <c r="X199" s="72"/>
    </row>
    <row r="200">
      <c r="M200" s="34" t="s">
        <v>260</v>
      </c>
      <c r="N200" s="34" t="str">
        <f>IFERROR(__xludf.DUMMYFUNCTION("""COMPUTED_VALUE"""),"")</f>
        <v/>
      </c>
      <c r="X200" s="72"/>
    </row>
    <row r="201">
      <c r="M201" s="34" t="s">
        <v>260</v>
      </c>
      <c r="N201" s="34" t="str">
        <f>IFERROR(__xludf.DUMMYFUNCTION("""COMPUTED_VALUE"""),"")</f>
        <v/>
      </c>
      <c r="X201" s="72"/>
    </row>
    <row r="202">
      <c r="M202" s="34" t="s">
        <v>260</v>
      </c>
      <c r="N202" s="34" t="str">
        <f>IFERROR(__xludf.DUMMYFUNCTION("""COMPUTED_VALUE"""),"")</f>
        <v/>
      </c>
      <c r="X202" s="72"/>
    </row>
    <row r="203">
      <c r="M203" s="34" t="s">
        <v>260</v>
      </c>
      <c r="N203" s="34" t="str">
        <f>IFERROR(__xludf.DUMMYFUNCTION("""COMPUTED_VALUE"""),"")</f>
        <v/>
      </c>
      <c r="X203" s="72"/>
    </row>
    <row r="204">
      <c r="M204" s="34" t="s">
        <v>260</v>
      </c>
      <c r="N204" s="34" t="str">
        <f>IFERROR(__xludf.DUMMYFUNCTION("""COMPUTED_VALUE"""),"")</f>
        <v/>
      </c>
      <c r="X204" s="72"/>
    </row>
    <row r="205">
      <c r="M205" s="34" t="s">
        <v>260</v>
      </c>
      <c r="N205" s="34" t="str">
        <f>IFERROR(__xludf.DUMMYFUNCTION("""COMPUTED_VALUE"""),"")</f>
        <v/>
      </c>
      <c r="X205" s="72"/>
    </row>
    <row r="206">
      <c r="M206" s="34" t="s">
        <v>260</v>
      </c>
      <c r="N206" s="34" t="str">
        <f>IFERROR(__xludf.DUMMYFUNCTION("""COMPUTED_VALUE"""),"")</f>
        <v/>
      </c>
      <c r="X206" s="72"/>
    </row>
    <row r="207">
      <c r="M207" s="34" t="s">
        <v>260</v>
      </c>
      <c r="N207" s="34" t="str">
        <f>IFERROR(__xludf.DUMMYFUNCTION("""COMPUTED_VALUE"""),"")</f>
        <v/>
      </c>
      <c r="X207" s="72"/>
    </row>
    <row r="208">
      <c r="M208" s="34" t="s">
        <v>260</v>
      </c>
      <c r="N208" s="34" t="str">
        <f>IFERROR(__xludf.DUMMYFUNCTION("""COMPUTED_VALUE"""),"")</f>
        <v/>
      </c>
      <c r="X208" s="72"/>
    </row>
    <row r="209">
      <c r="M209" s="34" t="s">
        <v>260</v>
      </c>
      <c r="N209" s="34" t="str">
        <f>IFERROR(__xludf.DUMMYFUNCTION("""COMPUTED_VALUE"""),"")</f>
        <v/>
      </c>
      <c r="X209" s="72"/>
    </row>
    <row r="210">
      <c r="M210" s="34" t="s">
        <v>260</v>
      </c>
      <c r="N210" s="34" t="str">
        <f>IFERROR(__xludf.DUMMYFUNCTION("""COMPUTED_VALUE"""),"")</f>
        <v/>
      </c>
      <c r="X210" s="72"/>
    </row>
    <row r="211">
      <c r="M211" s="34" t="s">
        <v>260</v>
      </c>
      <c r="N211" s="34" t="str">
        <f>IFERROR(__xludf.DUMMYFUNCTION("""COMPUTED_VALUE"""),"")</f>
        <v/>
      </c>
      <c r="X211" s="72"/>
    </row>
    <row r="212">
      <c r="M212" s="34" t="s">
        <v>260</v>
      </c>
      <c r="N212" s="34" t="str">
        <f>IFERROR(__xludf.DUMMYFUNCTION("""COMPUTED_VALUE"""),"")</f>
        <v/>
      </c>
      <c r="X212" s="72"/>
    </row>
    <row r="213">
      <c r="M213" s="34" t="s">
        <v>260</v>
      </c>
      <c r="N213" s="34" t="str">
        <f>IFERROR(__xludf.DUMMYFUNCTION("""COMPUTED_VALUE"""),"")</f>
        <v/>
      </c>
      <c r="X213" s="72"/>
    </row>
    <row r="214">
      <c r="M214" s="34" t="s">
        <v>260</v>
      </c>
      <c r="N214" s="34" t="str">
        <f>IFERROR(__xludf.DUMMYFUNCTION("""COMPUTED_VALUE"""),"")</f>
        <v/>
      </c>
      <c r="X214" s="72"/>
    </row>
    <row r="215">
      <c r="M215" s="34" t="s">
        <v>260</v>
      </c>
      <c r="N215" s="34" t="str">
        <f>IFERROR(__xludf.DUMMYFUNCTION("""COMPUTED_VALUE"""),"")</f>
        <v/>
      </c>
      <c r="X215" s="72"/>
    </row>
    <row r="216">
      <c r="M216" s="34" t="s">
        <v>260</v>
      </c>
      <c r="N216" s="34" t="str">
        <f>IFERROR(__xludf.DUMMYFUNCTION("""COMPUTED_VALUE"""),"")</f>
        <v/>
      </c>
      <c r="X216" s="72"/>
    </row>
    <row r="217">
      <c r="M217" s="34" t="s">
        <v>260</v>
      </c>
      <c r="N217" s="34" t="str">
        <f>IFERROR(__xludf.DUMMYFUNCTION("""COMPUTED_VALUE"""),"")</f>
        <v/>
      </c>
      <c r="X217" s="72"/>
    </row>
    <row r="218">
      <c r="M218" s="34" t="s">
        <v>260</v>
      </c>
      <c r="N218" s="34" t="str">
        <f>IFERROR(__xludf.DUMMYFUNCTION("""COMPUTED_VALUE"""),"")</f>
        <v/>
      </c>
      <c r="X218" s="72"/>
    </row>
    <row r="219">
      <c r="M219" s="34" t="s">
        <v>260</v>
      </c>
      <c r="N219" s="34" t="str">
        <f>IFERROR(__xludf.DUMMYFUNCTION("""COMPUTED_VALUE"""),"")</f>
        <v/>
      </c>
      <c r="X219" s="72"/>
    </row>
    <row r="220">
      <c r="M220" s="34" t="s">
        <v>260</v>
      </c>
      <c r="N220" s="34" t="str">
        <f>IFERROR(__xludf.DUMMYFUNCTION("""COMPUTED_VALUE"""),"")</f>
        <v/>
      </c>
      <c r="X220" s="72"/>
    </row>
    <row r="221">
      <c r="M221" s="34" t="s">
        <v>260</v>
      </c>
      <c r="N221" s="34" t="str">
        <f>IFERROR(__xludf.DUMMYFUNCTION("""COMPUTED_VALUE"""),"")</f>
        <v/>
      </c>
      <c r="X221" s="72"/>
    </row>
    <row r="222">
      <c r="M222" s="34" t="s">
        <v>260</v>
      </c>
      <c r="N222" s="34" t="str">
        <f>IFERROR(__xludf.DUMMYFUNCTION("""COMPUTED_VALUE"""),"")</f>
        <v/>
      </c>
      <c r="X222" s="72"/>
    </row>
    <row r="223">
      <c r="M223" s="34" t="s">
        <v>260</v>
      </c>
      <c r="N223" s="34" t="str">
        <f>IFERROR(__xludf.DUMMYFUNCTION("""COMPUTED_VALUE"""),"")</f>
        <v/>
      </c>
      <c r="X223" s="72"/>
    </row>
    <row r="224">
      <c r="M224" s="34" t="s">
        <v>260</v>
      </c>
      <c r="N224" s="34" t="str">
        <f>IFERROR(__xludf.DUMMYFUNCTION("""COMPUTED_VALUE"""),"")</f>
        <v/>
      </c>
      <c r="X224" s="72"/>
    </row>
    <row r="225">
      <c r="M225" s="34" t="s">
        <v>260</v>
      </c>
      <c r="N225" s="34" t="str">
        <f>IFERROR(__xludf.DUMMYFUNCTION("""COMPUTED_VALUE"""),"")</f>
        <v/>
      </c>
      <c r="X225" s="72"/>
    </row>
    <row r="226">
      <c r="M226" s="34" t="s">
        <v>260</v>
      </c>
      <c r="N226" s="34" t="str">
        <f>IFERROR(__xludf.DUMMYFUNCTION("""COMPUTED_VALUE"""),"")</f>
        <v/>
      </c>
      <c r="X226" s="72"/>
    </row>
    <row r="227">
      <c r="M227" s="34" t="s">
        <v>260</v>
      </c>
      <c r="N227" s="34" t="str">
        <f>IFERROR(__xludf.DUMMYFUNCTION("""COMPUTED_VALUE"""),"")</f>
        <v/>
      </c>
      <c r="X227" s="72"/>
    </row>
    <row r="228">
      <c r="M228" s="34" t="s">
        <v>260</v>
      </c>
      <c r="N228" s="34" t="str">
        <f>IFERROR(__xludf.DUMMYFUNCTION("""COMPUTED_VALUE"""),"")</f>
        <v/>
      </c>
      <c r="X228" s="72"/>
    </row>
    <row r="229">
      <c r="M229" s="34" t="s">
        <v>260</v>
      </c>
      <c r="N229" s="34" t="str">
        <f>IFERROR(__xludf.DUMMYFUNCTION("""COMPUTED_VALUE"""),"")</f>
        <v/>
      </c>
      <c r="X229" s="72"/>
    </row>
    <row r="230">
      <c r="M230" s="34" t="s">
        <v>260</v>
      </c>
      <c r="N230" s="34" t="str">
        <f>IFERROR(__xludf.DUMMYFUNCTION("""COMPUTED_VALUE"""),"")</f>
        <v/>
      </c>
      <c r="X230" s="72"/>
    </row>
    <row r="231">
      <c r="M231" s="34" t="s">
        <v>260</v>
      </c>
      <c r="N231" s="34" t="str">
        <f>IFERROR(__xludf.DUMMYFUNCTION("""COMPUTED_VALUE"""),"")</f>
        <v/>
      </c>
      <c r="X231" s="72"/>
    </row>
    <row r="232">
      <c r="M232" s="34" t="s">
        <v>260</v>
      </c>
      <c r="N232" s="34" t="str">
        <f>IFERROR(__xludf.DUMMYFUNCTION("""COMPUTED_VALUE"""),"")</f>
        <v/>
      </c>
      <c r="X232" s="72"/>
    </row>
    <row r="233">
      <c r="M233" s="34" t="s">
        <v>260</v>
      </c>
      <c r="N233" s="34" t="str">
        <f>IFERROR(__xludf.DUMMYFUNCTION("""COMPUTED_VALUE"""),"")</f>
        <v/>
      </c>
      <c r="X233" s="72"/>
    </row>
    <row r="234">
      <c r="M234" s="34" t="s">
        <v>260</v>
      </c>
      <c r="N234" s="34" t="str">
        <f>IFERROR(__xludf.DUMMYFUNCTION("""COMPUTED_VALUE"""),"")</f>
        <v/>
      </c>
      <c r="X234" s="72"/>
    </row>
    <row r="235">
      <c r="M235" s="34" t="s">
        <v>260</v>
      </c>
      <c r="N235" s="34" t="str">
        <f>IFERROR(__xludf.DUMMYFUNCTION("""COMPUTED_VALUE"""),"")</f>
        <v/>
      </c>
      <c r="X235" s="72"/>
    </row>
    <row r="236">
      <c r="M236" s="34" t="s">
        <v>260</v>
      </c>
      <c r="N236" s="34" t="str">
        <f>IFERROR(__xludf.DUMMYFUNCTION("""COMPUTED_VALUE"""),"")</f>
        <v/>
      </c>
      <c r="X236" s="72"/>
    </row>
    <row r="237">
      <c r="M237" s="34" t="s">
        <v>260</v>
      </c>
      <c r="N237" s="34" t="str">
        <f>IFERROR(__xludf.DUMMYFUNCTION("""COMPUTED_VALUE"""),"")</f>
        <v/>
      </c>
      <c r="X237" s="72"/>
    </row>
    <row r="238">
      <c r="M238" s="34" t="s">
        <v>260</v>
      </c>
      <c r="N238" s="34" t="str">
        <f>IFERROR(__xludf.DUMMYFUNCTION("""COMPUTED_VALUE"""),"")</f>
        <v/>
      </c>
      <c r="X238" s="72"/>
    </row>
    <row r="239">
      <c r="M239" s="34" t="s">
        <v>260</v>
      </c>
      <c r="N239" s="34" t="str">
        <f>IFERROR(__xludf.DUMMYFUNCTION("""COMPUTED_VALUE"""),"")</f>
        <v/>
      </c>
      <c r="X239" s="72"/>
    </row>
    <row r="240">
      <c r="M240" s="34" t="s">
        <v>260</v>
      </c>
      <c r="N240" s="34" t="str">
        <f>IFERROR(__xludf.DUMMYFUNCTION("""COMPUTED_VALUE"""),"")</f>
        <v/>
      </c>
      <c r="X240" s="72"/>
    </row>
    <row r="241">
      <c r="M241" s="34" t="s">
        <v>260</v>
      </c>
      <c r="N241" s="34" t="str">
        <f>IFERROR(__xludf.DUMMYFUNCTION("""COMPUTED_VALUE"""),"")</f>
        <v/>
      </c>
      <c r="X241" s="72"/>
    </row>
    <row r="242">
      <c r="M242" s="34" t="s">
        <v>260</v>
      </c>
      <c r="N242" s="34" t="str">
        <f>IFERROR(__xludf.DUMMYFUNCTION("""COMPUTED_VALUE"""),"")</f>
        <v/>
      </c>
      <c r="X242" s="72"/>
    </row>
    <row r="243">
      <c r="M243" s="34" t="s">
        <v>260</v>
      </c>
      <c r="N243" s="34" t="str">
        <f>IFERROR(__xludf.DUMMYFUNCTION("""COMPUTED_VALUE"""),"")</f>
        <v/>
      </c>
      <c r="X243" s="72"/>
    </row>
    <row r="244">
      <c r="M244" s="34" t="s">
        <v>260</v>
      </c>
      <c r="N244" s="34" t="str">
        <f>IFERROR(__xludf.DUMMYFUNCTION("""COMPUTED_VALUE"""),"")</f>
        <v/>
      </c>
      <c r="X244" s="72"/>
    </row>
    <row r="245">
      <c r="M245" s="34" t="s">
        <v>260</v>
      </c>
      <c r="N245" s="34" t="str">
        <f>IFERROR(__xludf.DUMMYFUNCTION("""COMPUTED_VALUE"""),"")</f>
        <v/>
      </c>
      <c r="X245" s="72"/>
    </row>
    <row r="246">
      <c r="M246" s="34" t="s">
        <v>260</v>
      </c>
      <c r="N246" s="34" t="str">
        <f>IFERROR(__xludf.DUMMYFUNCTION("""COMPUTED_VALUE"""),"")</f>
        <v/>
      </c>
      <c r="X246" s="72"/>
    </row>
    <row r="247">
      <c r="M247" s="34" t="s">
        <v>260</v>
      </c>
      <c r="N247" s="34" t="str">
        <f>IFERROR(__xludf.DUMMYFUNCTION("""COMPUTED_VALUE"""),"")</f>
        <v/>
      </c>
      <c r="X247" s="72"/>
    </row>
    <row r="248">
      <c r="M248" s="34" t="s">
        <v>260</v>
      </c>
      <c r="N248" s="34" t="str">
        <f>IFERROR(__xludf.DUMMYFUNCTION("""COMPUTED_VALUE"""),"")</f>
        <v/>
      </c>
      <c r="X248" s="72"/>
    </row>
    <row r="249">
      <c r="M249" s="34" t="s">
        <v>260</v>
      </c>
      <c r="N249" s="34" t="str">
        <f>IFERROR(__xludf.DUMMYFUNCTION("""COMPUTED_VALUE"""),"")</f>
        <v/>
      </c>
      <c r="X249" s="72"/>
    </row>
    <row r="250">
      <c r="M250" s="34" t="s">
        <v>260</v>
      </c>
      <c r="N250" s="34" t="str">
        <f>IFERROR(__xludf.DUMMYFUNCTION("""COMPUTED_VALUE"""),"")</f>
        <v/>
      </c>
      <c r="X250" s="72"/>
    </row>
    <row r="251">
      <c r="M251" s="34" t="s">
        <v>260</v>
      </c>
      <c r="N251" s="34" t="str">
        <f>IFERROR(__xludf.DUMMYFUNCTION("""COMPUTED_VALUE"""),"")</f>
        <v/>
      </c>
      <c r="X251" s="72"/>
    </row>
    <row r="252">
      <c r="M252" s="34" t="s">
        <v>260</v>
      </c>
      <c r="N252" s="34" t="str">
        <f>IFERROR(__xludf.DUMMYFUNCTION("""COMPUTED_VALUE"""),"")</f>
        <v/>
      </c>
      <c r="X252" s="72"/>
    </row>
    <row r="253">
      <c r="M253" s="34" t="s">
        <v>260</v>
      </c>
      <c r="N253" s="34" t="str">
        <f>IFERROR(__xludf.DUMMYFUNCTION("""COMPUTED_VALUE"""),"")</f>
        <v/>
      </c>
      <c r="X253" s="72"/>
    </row>
    <row r="254">
      <c r="M254" s="34" t="s">
        <v>260</v>
      </c>
      <c r="N254" s="34" t="str">
        <f>IFERROR(__xludf.DUMMYFUNCTION("""COMPUTED_VALUE"""),"")</f>
        <v/>
      </c>
      <c r="X254" s="72"/>
    </row>
    <row r="255">
      <c r="M255" s="34" t="s">
        <v>260</v>
      </c>
      <c r="N255" s="34" t="str">
        <f>IFERROR(__xludf.DUMMYFUNCTION("""COMPUTED_VALUE"""),"")</f>
        <v/>
      </c>
      <c r="X255" s="72"/>
    </row>
    <row r="256">
      <c r="M256" s="34" t="s">
        <v>260</v>
      </c>
      <c r="N256" s="34" t="str">
        <f>IFERROR(__xludf.DUMMYFUNCTION("""COMPUTED_VALUE"""),"")</f>
        <v/>
      </c>
      <c r="X256" s="72"/>
    </row>
    <row r="257">
      <c r="M257" s="34" t="s">
        <v>260</v>
      </c>
      <c r="N257" s="34" t="str">
        <f>IFERROR(__xludf.DUMMYFUNCTION("""COMPUTED_VALUE"""),"")</f>
        <v/>
      </c>
      <c r="X257" s="72"/>
    </row>
    <row r="258">
      <c r="M258" s="34" t="s">
        <v>260</v>
      </c>
      <c r="N258" s="34" t="str">
        <f>IFERROR(__xludf.DUMMYFUNCTION("""COMPUTED_VALUE"""),"")</f>
        <v/>
      </c>
      <c r="X258" s="72"/>
    </row>
    <row r="259">
      <c r="M259" s="34" t="s">
        <v>260</v>
      </c>
      <c r="N259" s="34" t="str">
        <f>IFERROR(__xludf.DUMMYFUNCTION("""COMPUTED_VALUE"""),"")</f>
        <v/>
      </c>
      <c r="X259" s="72"/>
    </row>
    <row r="260">
      <c r="M260" s="34" t="s">
        <v>260</v>
      </c>
      <c r="N260" s="34" t="str">
        <f>IFERROR(__xludf.DUMMYFUNCTION("""COMPUTED_VALUE"""),"")</f>
        <v/>
      </c>
      <c r="X260" s="72"/>
    </row>
    <row r="261">
      <c r="M261" s="34" t="s">
        <v>260</v>
      </c>
      <c r="N261" s="34" t="str">
        <f>IFERROR(__xludf.DUMMYFUNCTION("""COMPUTED_VALUE"""),"")</f>
        <v/>
      </c>
      <c r="X261" s="72"/>
    </row>
    <row r="262">
      <c r="M262" s="34" t="s">
        <v>260</v>
      </c>
      <c r="N262" s="34" t="str">
        <f>IFERROR(__xludf.DUMMYFUNCTION("""COMPUTED_VALUE"""),"")</f>
        <v/>
      </c>
      <c r="X262" s="72"/>
    </row>
    <row r="263">
      <c r="M263" s="34" t="s">
        <v>260</v>
      </c>
      <c r="N263" s="34" t="str">
        <f>IFERROR(__xludf.DUMMYFUNCTION("""COMPUTED_VALUE"""),"")</f>
        <v/>
      </c>
      <c r="X263" s="72"/>
    </row>
    <row r="264">
      <c r="M264" s="34" t="s">
        <v>260</v>
      </c>
      <c r="N264" s="34" t="str">
        <f>IFERROR(__xludf.DUMMYFUNCTION("""COMPUTED_VALUE"""),"")</f>
        <v/>
      </c>
      <c r="X264" s="72"/>
    </row>
    <row r="265">
      <c r="M265" s="34" t="s">
        <v>260</v>
      </c>
      <c r="N265" s="34" t="str">
        <f>IFERROR(__xludf.DUMMYFUNCTION("""COMPUTED_VALUE"""),"")</f>
        <v/>
      </c>
      <c r="X265" s="72"/>
    </row>
    <row r="266">
      <c r="M266" s="34" t="s">
        <v>260</v>
      </c>
      <c r="N266" s="34" t="str">
        <f>IFERROR(__xludf.DUMMYFUNCTION("""COMPUTED_VALUE"""),"")</f>
        <v/>
      </c>
      <c r="X266" s="72"/>
    </row>
    <row r="267">
      <c r="M267" s="34" t="s">
        <v>260</v>
      </c>
      <c r="N267" s="34" t="str">
        <f>IFERROR(__xludf.DUMMYFUNCTION("""COMPUTED_VALUE"""),"")</f>
        <v/>
      </c>
      <c r="X267" s="72"/>
    </row>
    <row r="268">
      <c r="M268" s="34" t="s">
        <v>260</v>
      </c>
      <c r="N268" s="34" t="str">
        <f>IFERROR(__xludf.DUMMYFUNCTION("""COMPUTED_VALUE"""),"")</f>
        <v/>
      </c>
      <c r="X268" s="72"/>
    </row>
    <row r="269">
      <c r="M269" s="34" t="s">
        <v>260</v>
      </c>
      <c r="N269" s="34" t="str">
        <f>IFERROR(__xludf.DUMMYFUNCTION("""COMPUTED_VALUE"""),"")</f>
        <v/>
      </c>
      <c r="X269" s="72"/>
    </row>
    <row r="270">
      <c r="M270" s="34" t="s">
        <v>260</v>
      </c>
      <c r="N270" s="34" t="str">
        <f>IFERROR(__xludf.DUMMYFUNCTION("""COMPUTED_VALUE"""),"")</f>
        <v/>
      </c>
      <c r="X270" s="72"/>
    </row>
    <row r="271">
      <c r="M271" s="34" t="s">
        <v>260</v>
      </c>
      <c r="N271" s="34" t="str">
        <f>IFERROR(__xludf.DUMMYFUNCTION("""COMPUTED_VALUE"""),"")</f>
        <v/>
      </c>
      <c r="X271" s="72"/>
    </row>
    <row r="272">
      <c r="M272" s="34" t="s">
        <v>260</v>
      </c>
      <c r="N272" s="34" t="str">
        <f>IFERROR(__xludf.DUMMYFUNCTION("""COMPUTED_VALUE"""),"")</f>
        <v/>
      </c>
      <c r="X272" s="72"/>
    </row>
    <row r="273">
      <c r="M273" s="34" t="s">
        <v>260</v>
      </c>
      <c r="N273" s="34" t="str">
        <f>IFERROR(__xludf.DUMMYFUNCTION("""COMPUTED_VALUE"""),"")</f>
        <v/>
      </c>
      <c r="X273" s="72"/>
    </row>
    <row r="274">
      <c r="M274" s="34" t="s">
        <v>260</v>
      </c>
      <c r="N274" s="34" t="str">
        <f>IFERROR(__xludf.DUMMYFUNCTION("""COMPUTED_VALUE"""),"")</f>
        <v/>
      </c>
      <c r="X274" s="72"/>
    </row>
    <row r="275">
      <c r="M275" s="34" t="s">
        <v>260</v>
      </c>
      <c r="N275" s="34" t="str">
        <f>IFERROR(__xludf.DUMMYFUNCTION("""COMPUTED_VALUE"""),"")</f>
        <v/>
      </c>
      <c r="X275" s="72"/>
    </row>
    <row r="276">
      <c r="M276" s="34" t="s">
        <v>260</v>
      </c>
      <c r="N276" s="34" t="str">
        <f>IFERROR(__xludf.DUMMYFUNCTION("""COMPUTED_VALUE"""),"")</f>
        <v/>
      </c>
      <c r="X276" s="72"/>
    </row>
    <row r="277">
      <c r="M277" s="34" t="s">
        <v>260</v>
      </c>
      <c r="N277" s="34" t="str">
        <f>IFERROR(__xludf.DUMMYFUNCTION("""COMPUTED_VALUE"""),"")</f>
        <v/>
      </c>
      <c r="X277" s="72"/>
    </row>
    <row r="278">
      <c r="M278" s="34" t="s">
        <v>260</v>
      </c>
      <c r="N278" s="34" t="str">
        <f>IFERROR(__xludf.DUMMYFUNCTION("""COMPUTED_VALUE"""),"")</f>
        <v/>
      </c>
      <c r="X278" s="72"/>
    </row>
    <row r="279">
      <c r="M279" s="34" t="s">
        <v>260</v>
      </c>
      <c r="N279" s="34" t="str">
        <f>IFERROR(__xludf.DUMMYFUNCTION("""COMPUTED_VALUE"""),"")</f>
        <v/>
      </c>
      <c r="X279" s="72"/>
    </row>
    <row r="280">
      <c r="M280" s="34" t="s">
        <v>260</v>
      </c>
      <c r="N280" s="34" t="str">
        <f>IFERROR(__xludf.DUMMYFUNCTION("""COMPUTED_VALUE"""),"")</f>
        <v/>
      </c>
      <c r="X280" s="72"/>
    </row>
    <row r="281">
      <c r="M281" s="34" t="s">
        <v>260</v>
      </c>
      <c r="N281" s="34" t="str">
        <f>IFERROR(__xludf.DUMMYFUNCTION("""COMPUTED_VALUE"""),"")</f>
        <v/>
      </c>
      <c r="X281" s="72"/>
    </row>
    <row r="282">
      <c r="M282" s="34" t="s">
        <v>260</v>
      </c>
      <c r="N282" s="34" t="str">
        <f>IFERROR(__xludf.DUMMYFUNCTION("""COMPUTED_VALUE"""),"")</f>
        <v/>
      </c>
      <c r="X282" s="72"/>
    </row>
    <row r="283">
      <c r="M283" s="34" t="s">
        <v>260</v>
      </c>
      <c r="N283" s="34" t="str">
        <f>IFERROR(__xludf.DUMMYFUNCTION("""COMPUTED_VALUE"""),"")</f>
        <v/>
      </c>
      <c r="X283" s="72"/>
    </row>
    <row r="284">
      <c r="M284" s="34" t="s">
        <v>260</v>
      </c>
      <c r="N284" s="34" t="str">
        <f>IFERROR(__xludf.DUMMYFUNCTION("""COMPUTED_VALUE"""),"")</f>
        <v/>
      </c>
      <c r="X284" s="72"/>
    </row>
    <row r="285">
      <c r="M285" s="34" t="s">
        <v>260</v>
      </c>
      <c r="N285" s="34" t="str">
        <f>IFERROR(__xludf.DUMMYFUNCTION("""COMPUTED_VALUE"""),"")</f>
        <v/>
      </c>
      <c r="X285" s="72"/>
    </row>
    <row r="286">
      <c r="M286" s="34" t="s">
        <v>260</v>
      </c>
      <c r="N286" s="34" t="str">
        <f>IFERROR(__xludf.DUMMYFUNCTION("""COMPUTED_VALUE"""),"")</f>
        <v/>
      </c>
      <c r="X286" s="72"/>
    </row>
    <row r="287">
      <c r="M287" s="34" t="s">
        <v>260</v>
      </c>
      <c r="N287" s="34" t="str">
        <f>IFERROR(__xludf.DUMMYFUNCTION("""COMPUTED_VALUE"""),"")</f>
        <v/>
      </c>
      <c r="X287" s="72"/>
    </row>
    <row r="288">
      <c r="M288" s="34" t="s">
        <v>260</v>
      </c>
      <c r="N288" s="34" t="str">
        <f>IFERROR(__xludf.DUMMYFUNCTION("""COMPUTED_VALUE"""),"")</f>
        <v/>
      </c>
      <c r="X288" s="72"/>
    </row>
    <row r="289">
      <c r="M289" s="34" t="s">
        <v>260</v>
      </c>
      <c r="N289" s="34" t="str">
        <f>IFERROR(__xludf.DUMMYFUNCTION("""COMPUTED_VALUE"""),"")</f>
        <v/>
      </c>
      <c r="X289" s="72"/>
    </row>
    <row r="290">
      <c r="M290" s="34" t="s">
        <v>260</v>
      </c>
      <c r="N290" s="34" t="str">
        <f>IFERROR(__xludf.DUMMYFUNCTION("""COMPUTED_VALUE"""),"")</f>
        <v/>
      </c>
      <c r="X290" s="72"/>
    </row>
    <row r="291">
      <c r="M291" s="34" t="s">
        <v>260</v>
      </c>
      <c r="N291" s="34" t="str">
        <f>IFERROR(__xludf.DUMMYFUNCTION("""COMPUTED_VALUE"""),"")</f>
        <v/>
      </c>
      <c r="X291" s="72"/>
    </row>
    <row r="292">
      <c r="M292" s="34" t="s">
        <v>260</v>
      </c>
      <c r="N292" s="34" t="str">
        <f>IFERROR(__xludf.DUMMYFUNCTION("""COMPUTED_VALUE"""),"")</f>
        <v/>
      </c>
      <c r="X292" s="72"/>
    </row>
    <row r="293">
      <c r="M293" s="34" t="s">
        <v>260</v>
      </c>
      <c r="N293" s="34" t="str">
        <f>IFERROR(__xludf.DUMMYFUNCTION("""COMPUTED_VALUE"""),"")</f>
        <v/>
      </c>
      <c r="X293" s="72"/>
    </row>
    <row r="294">
      <c r="M294" s="34" t="s">
        <v>260</v>
      </c>
      <c r="N294" s="34" t="str">
        <f>IFERROR(__xludf.DUMMYFUNCTION("""COMPUTED_VALUE"""),"")</f>
        <v/>
      </c>
      <c r="X294" s="72"/>
    </row>
    <row r="295">
      <c r="M295" s="34" t="s">
        <v>260</v>
      </c>
      <c r="N295" s="34" t="str">
        <f>IFERROR(__xludf.DUMMYFUNCTION("""COMPUTED_VALUE"""),"")</f>
        <v/>
      </c>
      <c r="X295" s="72"/>
    </row>
    <row r="296">
      <c r="M296" s="34" t="s">
        <v>260</v>
      </c>
      <c r="N296" s="34" t="str">
        <f>IFERROR(__xludf.DUMMYFUNCTION("""COMPUTED_VALUE"""),"")</f>
        <v/>
      </c>
      <c r="X296" s="72"/>
    </row>
    <row r="297">
      <c r="M297" s="34" t="s">
        <v>260</v>
      </c>
      <c r="N297" s="34" t="str">
        <f>IFERROR(__xludf.DUMMYFUNCTION("""COMPUTED_VALUE"""),"")</f>
        <v/>
      </c>
      <c r="X297" s="72"/>
    </row>
    <row r="298">
      <c r="M298" s="34" t="s">
        <v>260</v>
      </c>
      <c r="N298" s="34" t="str">
        <f>IFERROR(__xludf.DUMMYFUNCTION("""COMPUTED_VALUE"""),"")</f>
        <v/>
      </c>
      <c r="X298" s="72"/>
    </row>
    <row r="299">
      <c r="M299" s="34" t="s">
        <v>260</v>
      </c>
      <c r="N299" s="34" t="str">
        <f>IFERROR(__xludf.DUMMYFUNCTION("""COMPUTED_VALUE"""),"")</f>
        <v/>
      </c>
      <c r="X299" s="72"/>
    </row>
    <row r="300">
      <c r="M300" s="34" t="s">
        <v>260</v>
      </c>
      <c r="N300" s="34" t="str">
        <f>IFERROR(__xludf.DUMMYFUNCTION("""COMPUTED_VALUE"""),"")</f>
        <v/>
      </c>
      <c r="X300" s="72"/>
    </row>
    <row r="301">
      <c r="M301" s="34" t="s">
        <v>260</v>
      </c>
      <c r="N301" s="34" t="str">
        <f>IFERROR(__xludf.DUMMYFUNCTION("""COMPUTED_VALUE"""),"")</f>
        <v/>
      </c>
      <c r="X301" s="72"/>
    </row>
    <row r="302">
      <c r="M302" s="34" t="s">
        <v>260</v>
      </c>
      <c r="N302" s="34" t="str">
        <f>IFERROR(__xludf.DUMMYFUNCTION("""COMPUTED_VALUE"""),"")</f>
        <v/>
      </c>
      <c r="X302" s="72"/>
    </row>
    <row r="303">
      <c r="M303" s="34" t="s">
        <v>260</v>
      </c>
      <c r="N303" s="34" t="str">
        <f>IFERROR(__xludf.DUMMYFUNCTION("""COMPUTED_VALUE"""),"")</f>
        <v/>
      </c>
      <c r="X303" s="72"/>
    </row>
    <row r="304">
      <c r="M304" s="34" t="s">
        <v>260</v>
      </c>
      <c r="N304" s="34" t="str">
        <f>IFERROR(__xludf.DUMMYFUNCTION("""COMPUTED_VALUE"""),"")</f>
        <v/>
      </c>
      <c r="X304" s="72"/>
    </row>
    <row r="305">
      <c r="M305" s="34" t="s">
        <v>260</v>
      </c>
      <c r="N305" s="34" t="str">
        <f>IFERROR(__xludf.DUMMYFUNCTION("""COMPUTED_VALUE"""),"")</f>
        <v/>
      </c>
      <c r="X305" s="72"/>
    </row>
    <row r="306">
      <c r="M306" s="34" t="s">
        <v>260</v>
      </c>
      <c r="N306" s="34" t="str">
        <f>IFERROR(__xludf.DUMMYFUNCTION("""COMPUTED_VALUE"""),"")</f>
        <v/>
      </c>
      <c r="X306" s="72"/>
    </row>
    <row r="307">
      <c r="M307" s="34" t="s">
        <v>260</v>
      </c>
      <c r="N307" s="34" t="str">
        <f>IFERROR(__xludf.DUMMYFUNCTION("""COMPUTED_VALUE"""),"")</f>
        <v/>
      </c>
      <c r="X307" s="72"/>
    </row>
    <row r="308">
      <c r="M308" s="34" t="s">
        <v>260</v>
      </c>
      <c r="N308" s="34" t="str">
        <f>IFERROR(__xludf.DUMMYFUNCTION("""COMPUTED_VALUE"""),"")</f>
        <v/>
      </c>
      <c r="X308" s="72"/>
    </row>
    <row r="309">
      <c r="M309" s="34" t="s">
        <v>260</v>
      </c>
      <c r="N309" s="34" t="str">
        <f>IFERROR(__xludf.DUMMYFUNCTION("""COMPUTED_VALUE"""),"")</f>
        <v/>
      </c>
      <c r="X309" s="72"/>
    </row>
    <row r="310">
      <c r="M310" s="34" t="s">
        <v>260</v>
      </c>
      <c r="N310" s="34" t="str">
        <f>IFERROR(__xludf.DUMMYFUNCTION("""COMPUTED_VALUE"""),"")</f>
        <v/>
      </c>
      <c r="X310" s="72"/>
    </row>
    <row r="311">
      <c r="M311" s="34" t="s">
        <v>260</v>
      </c>
      <c r="N311" s="34" t="str">
        <f>IFERROR(__xludf.DUMMYFUNCTION("""COMPUTED_VALUE"""),"")</f>
        <v/>
      </c>
      <c r="X311" s="72"/>
    </row>
    <row r="312">
      <c r="M312" s="34" t="s">
        <v>260</v>
      </c>
      <c r="N312" s="34" t="str">
        <f>IFERROR(__xludf.DUMMYFUNCTION("""COMPUTED_VALUE"""),"")</f>
        <v/>
      </c>
      <c r="X312" s="72"/>
    </row>
    <row r="313">
      <c r="M313" s="34" t="s">
        <v>260</v>
      </c>
      <c r="N313" s="34" t="str">
        <f>IFERROR(__xludf.DUMMYFUNCTION("""COMPUTED_VALUE"""),"")</f>
        <v/>
      </c>
      <c r="X313" s="72"/>
    </row>
    <row r="314">
      <c r="M314" s="34" t="s">
        <v>260</v>
      </c>
      <c r="N314" s="34" t="str">
        <f>IFERROR(__xludf.DUMMYFUNCTION("""COMPUTED_VALUE"""),"")</f>
        <v/>
      </c>
      <c r="X314" s="72"/>
    </row>
    <row r="315">
      <c r="M315" s="34" t="s">
        <v>260</v>
      </c>
      <c r="N315" s="34" t="str">
        <f>IFERROR(__xludf.DUMMYFUNCTION("""COMPUTED_VALUE"""),"")</f>
        <v/>
      </c>
      <c r="X315" s="72"/>
    </row>
    <row r="316">
      <c r="M316" s="34" t="s">
        <v>260</v>
      </c>
      <c r="N316" s="34" t="str">
        <f>IFERROR(__xludf.DUMMYFUNCTION("""COMPUTED_VALUE"""),"")</f>
        <v/>
      </c>
      <c r="X316" s="72"/>
    </row>
    <row r="317">
      <c r="M317" s="34" t="s">
        <v>260</v>
      </c>
      <c r="N317" s="34" t="str">
        <f>IFERROR(__xludf.DUMMYFUNCTION("""COMPUTED_VALUE"""),"")</f>
        <v/>
      </c>
      <c r="X317" s="72"/>
    </row>
    <row r="318">
      <c r="M318" s="34" t="s">
        <v>260</v>
      </c>
      <c r="N318" s="34" t="str">
        <f>IFERROR(__xludf.DUMMYFUNCTION("""COMPUTED_VALUE"""),"")</f>
        <v/>
      </c>
      <c r="X318" s="72"/>
    </row>
    <row r="319">
      <c r="M319" s="34" t="s">
        <v>260</v>
      </c>
      <c r="N319" s="34" t="str">
        <f>IFERROR(__xludf.DUMMYFUNCTION("""COMPUTED_VALUE"""),"")</f>
        <v/>
      </c>
      <c r="X319" s="72"/>
    </row>
    <row r="320">
      <c r="M320" s="34" t="s">
        <v>260</v>
      </c>
      <c r="N320" s="34" t="str">
        <f>IFERROR(__xludf.DUMMYFUNCTION("""COMPUTED_VALUE"""),"")</f>
        <v/>
      </c>
      <c r="X320" s="72"/>
    </row>
    <row r="321">
      <c r="M321" s="34" t="s">
        <v>260</v>
      </c>
      <c r="N321" s="34" t="str">
        <f>IFERROR(__xludf.DUMMYFUNCTION("""COMPUTED_VALUE"""),"")</f>
        <v/>
      </c>
      <c r="X321" s="72"/>
    </row>
    <row r="322">
      <c r="M322" s="34" t="s">
        <v>260</v>
      </c>
      <c r="N322" s="34" t="str">
        <f>IFERROR(__xludf.DUMMYFUNCTION("""COMPUTED_VALUE"""),"")</f>
        <v/>
      </c>
      <c r="X322" s="72"/>
    </row>
    <row r="323">
      <c r="M323" s="34" t="s">
        <v>260</v>
      </c>
      <c r="N323" s="34" t="str">
        <f>IFERROR(__xludf.DUMMYFUNCTION("""COMPUTED_VALUE"""),"")</f>
        <v/>
      </c>
      <c r="X323" s="72"/>
    </row>
    <row r="324">
      <c r="M324" s="34" t="s">
        <v>260</v>
      </c>
      <c r="N324" s="34" t="str">
        <f>IFERROR(__xludf.DUMMYFUNCTION("""COMPUTED_VALUE"""),"")</f>
        <v/>
      </c>
      <c r="X324" s="72"/>
    </row>
    <row r="325">
      <c r="M325" s="34" t="s">
        <v>260</v>
      </c>
      <c r="N325" s="34" t="str">
        <f>IFERROR(__xludf.DUMMYFUNCTION("""COMPUTED_VALUE"""),"")</f>
        <v/>
      </c>
      <c r="X325" s="72"/>
    </row>
    <row r="326">
      <c r="M326" s="34" t="s">
        <v>260</v>
      </c>
      <c r="N326" s="34" t="str">
        <f>IFERROR(__xludf.DUMMYFUNCTION("""COMPUTED_VALUE"""),"")</f>
        <v/>
      </c>
      <c r="X326" s="72"/>
    </row>
    <row r="327">
      <c r="M327" s="34" t="s">
        <v>260</v>
      </c>
      <c r="N327" s="34" t="str">
        <f>IFERROR(__xludf.DUMMYFUNCTION("""COMPUTED_VALUE"""),"")</f>
        <v/>
      </c>
      <c r="X327" s="72"/>
    </row>
    <row r="328">
      <c r="M328" s="34" t="s">
        <v>260</v>
      </c>
      <c r="N328" s="34" t="str">
        <f>IFERROR(__xludf.DUMMYFUNCTION("""COMPUTED_VALUE"""),"")</f>
        <v/>
      </c>
      <c r="X328" s="72"/>
    </row>
    <row r="329">
      <c r="M329" s="34" t="s">
        <v>260</v>
      </c>
      <c r="N329" s="34" t="str">
        <f>IFERROR(__xludf.DUMMYFUNCTION("""COMPUTED_VALUE"""),"")</f>
        <v/>
      </c>
      <c r="X329" s="72"/>
    </row>
    <row r="330">
      <c r="M330" s="34" t="s">
        <v>260</v>
      </c>
      <c r="N330" s="34" t="str">
        <f>IFERROR(__xludf.DUMMYFUNCTION("""COMPUTED_VALUE"""),"")</f>
        <v/>
      </c>
      <c r="X330" s="72"/>
    </row>
    <row r="331">
      <c r="M331" s="34" t="s">
        <v>260</v>
      </c>
      <c r="N331" s="34" t="str">
        <f>IFERROR(__xludf.DUMMYFUNCTION("""COMPUTED_VALUE"""),"")</f>
        <v/>
      </c>
      <c r="X331" s="72"/>
    </row>
    <row r="332">
      <c r="M332" s="34" t="s">
        <v>260</v>
      </c>
      <c r="N332" s="34" t="str">
        <f>IFERROR(__xludf.DUMMYFUNCTION("""COMPUTED_VALUE"""),"")</f>
        <v/>
      </c>
      <c r="X332" s="72"/>
    </row>
    <row r="333">
      <c r="M333" s="34" t="s">
        <v>260</v>
      </c>
      <c r="N333" s="34" t="str">
        <f>IFERROR(__xludf.DUMMYFUNCTION("""COMPUTED_VALUE"""),"")</f>
        <v/>
      </c>
      <c r="X333" s="72"/>
    </row>
    <row r="334">
      <c r="M334" s="34" t="s">
        <v>260</v>
      </c>
      <c r="N334" s="34" t="str">
        <f>IFERROR(__xludf.DUMMYFUNCTION("""COMPUTED_VALUE"""),"")</f>
        <v/>
      </c>
      <c r="X334" s="72"/>
    </row>
    <row r="335">
      <c r="M335" s="34" t="s">
        <v>260</v>
      </c>
      <c r="N335" s="34" t="str">
        <f>IFERROR(__xludf.DUMMYFUNCTION("""COMPUTED_VALUE"""),"")</f>
        <v/>
      </c>
      <c r="X335" s="72"/>
    </row>
    <row r="336">
      <c r="M336" s="34" t="s">
        <v>260</v>
      </c>
      <c r="N336" s="34" t="str">
        <f>IFERROR(__xludf.DUMMYFUNCTION("""COMPUTED_VALUE"""),"")</f>
        <v/>
      </c>
      <c r="X336" s="72"/>
    </row>
    <row r="337">
      <c r="M337" s="34" t="s">
        <v>260</v>
      </c>
      <c r="N337" s="34" t="str">
        <f>IFERROR(__xludf.DUMMYFUNCTION("""COMPUTED_VALUE"""),"")</f>
        <v/>
      </c>
      <c r="X337" s="72"/>
    </row>
    <row r="338">
      <c r="M338" s="34" t="s">
        <v>260</v>
      </c>
      <c r="N338" s="34" t="str">
        <f>IFERROR(__xludf.DUMMYFUNCTION("""COMPUTED_VALUE"""),"")</f>
        <v/>
      </c>
      <c r="X338" s="72"/>
    </row>
    <row r="339">
      <c r="M339" s="34" t="s">
        <v>260</v>
      </c>
      <c r="N339" s="34" t="str">
        <f>IFERROR(__xludf.DUMMYFUNCTION("""COMPUTED_VALUE"""),"")</f>
        <v/>
      </c>
      <c r="X339" s="72"/>
    </row>
    <row r="340">
      <c r="M340" s="34" t="s">
        <v>260</v>
      </c>
      <c r="N340" s="34" t="str">
        <f>IFERROR(__xludf.DUMMYFUNCTION("""COMPUTED_VALUE"""),"")</f>
        <v/>
      </c>
      <c r="X340" s="72"/>
    </row>
    <row r="341">
      <c r="M341" s="34" t="s">
        <v>260</v>
      </c>
      <c r="N341" s="34" t="str">
        <f>IFERROR(__xludf.DUMMYFUNCTION("""COMPUTED_VALUE"""),"")</f>
        <v/>
      </c>
      <c r="X341" s="72"/>
    </row>
    <row r="342">
      <c r="M342" s="34" t="s">
        <v>260</v>
      </c>
      <c r="N342" s="34" t="str">
        <f>IFERROR(__xludf.DUMMYFUNCTION("""COMPUTED_VALUE"""),"")</f>
        <v/>
      </c>
      <c r="X342" s="72"/>
    </row>
    <row r="343">
      <c r="M343" s="34" t="s">
        <v>260</v>
      </c>
      <c r="N343" s="34" t="str">
        <f>IFERROR(__xludf.DUMMYFUNCTION("""COMPUTED_VALUE"""),"")</f>
        <v/>
      </c>
      <c r="X343" s="72"/>
    </row>
    <row r="344">
      <c r="M344" s="34" t="s">
        <v>260</v>
      </c>
      <c r="N344" s="34" t="str">
        <f>IFERROR(__xludf.DUMMYFUNCTION("""COMPUTED_VALUE"""),"")</f>
        <v/>
      </c>
      <c r="X344" s="72"/>
    </row>
    <row r="345">
      <c r="M345" s="34" t="s">
        <v>260</v>
      </c>
      <c r="N345" s="34" t="str">
        <f>IFERROR(__xludf.DUMMYFUNCTION("""COMPUTED_VALUE"""),"")</f>
        <v/>
      </c>
      <c r="X345" s="72"/>
    </row>
    <row r="346">
      <c r="M346" s="34" t="s">
        <v>260</v>
      </c>
      <c r="N346" s="34" t="str">
        <f>IFERROR(__xludf.DUMMYFUNCTION("""COMPUTED_VALUE"""),"")</f>
        <v/>
      </c>
      <c r="X346" s="72"/>
    </row>
    <row r="347">
      <c r="M347" s="34" t="s">
        <v>260</v>
      </c>
      <c r="N347" s="34" t="str">
        <f>IFERROR(__xludf.DUMMYFUNCTION("""COMPUTED_VALUE"""),"")</f>
        <v/>
      </c>
      <c r="X347" s="72"/>
    </row>
    <row r="348">
      <c r="M348" s="34" t="s">
        <v>260</v>
      </c>
      <c r="N348" s="34" t="str">
        <f>IFERROR(__xludf.DUMMYFUNCTION("""COMPUTED_VALUE"""),"")</f>
        <v/>
      </c>
      <c r="X348" s="72"/>
    </row>
    <row r="349">
      <c r="M349" s="34" t="s">
        <v>260</v>
      </c>
      <c r="N349" s="34" t="str">
        <f>IFERROR(__xludf.DUMMYFUNCTION("""COMPUTED_VALUE"""),"")</f>
        <v/>
      </c>
      <c r="X349" s="72"/>
    </row>
    <row r="350">
      <c r="M350" s="34" t="s">
        <v>260</v>
      </c>
      <c r="N350" s="34" t="str">
        <f>IFERROR(__xludf.DUMMYFUNCTION("""COMPUTED_VALUE"""),"")</f>
        <v/>
      </c>
      <c r="X350" s="72"/>
    </row>
    <row r="351">
      <c r="M351" s="34" t="s">
        <v>260</v>
      </c>
      <c r="N351" s="34" t="str">
        <f>IFERROR(__xludf.DUMMYFUNCTION("""COMPUTED_VALUE"""),"")</f>
        <v/>
      </c>
      <c r="X351" s="72"/>
    </row>
    <row r="352">
      <c r="M352" s="34" t="s">
        <v>260</v>
      </c>
      <c r="N352" s="34" t="str">
        <f>IFERROR(__xludf.DUMMYFUNCTION("""COMPUTED_VALUE"""),"")</f>
        <v/>
      </c>
      <c r="X352" s="72"/>
    </row>
    <row r="353">
      <c r="M353" s="34" t="s">
        <v>260</v>
      </c>
      <c r="N353" s="34" t="str">
        <f>IFERROR(__xludf.DUMMYFUNCTION("""COMPUTED_VALUE"""),"")</f>
        <v/>
      </c>
      <c r="X353" s="72"/>
    </row>
    <row r="354">
      <c r="M354" s="34" t="s">
        <v>260</v>
      </c>
      <c r="N354" s="34" t="str">
        <f>IFERROR(__xludf.DUMMYFUNCTION("""COMPUTED_VALUE"""),"")</f>
        <v/>
      </c>
      <c r="X354" s="72"/>
    </row>
    <row r="355">
      <c r="M355" s="34" t="s">
        <v>260</v>
      </c>
      <c r="N355" s="34" t="str">
        <f>IFERROR(__xludf.DUMMYFUNCTION("""COMPUTED_VALUE"""),"")</f>
        <v/>
      </c>
      <c r="X355" s="72"/>
    </row>
    <row r="356">
      <c r="M356" s="34" t="s">
        <v>260</v>
      </c>
      <c r="N356" s="34" t="str">
        <f>IFERROR(__xludf.DUMMYFUNCTION("""COMPUTED_VALUE"""),"")</f>
        <v/>
      </c>
      <c r="X356" s="72"/>
    </row>
    <row r="357">
      <c r="M357" s="34" t="s">
        <v>260</v>
      </c>
      <c r="N357" s="34" t="str">
        <f>IFERROR(__xludf.DUMMYFUNCTION("""COMPUTED_VALUE"""),"")</f>
        <v/>
      </c>
      <c r="X357" s="72"/>
    </row>
    <row r="358">
      <c r="M358" s="34" t="s">
        <v>260</v>
      </c>
      <c r="N358" s="34" t="str">
        <f>IFERROR(__xludf.DUMMYFUNCTION("""COMPUTED_VALUE"""),"")</f>
        <v/>
      </c>
      <c r="X358" s="72"/>
    </row>
    <row r="359">
      <c r="M359" s="34" t="s">
        <v>260</v>
      </c>
      <c r="N359" s="34" t="str">
        <f>IFERROR(__xludf.DUMMYFUNCTION("""COMPUTED_VALUE"""),"")</f>
        <v/>
      </c>
      <c r="X359" s="72"/>
    </row>
    <row r="360">
      <c r="M360" s="34" t="s">
        <v>260</v>
      </c>
      <c r="N360" s="34" t="str">
        <f>IFERROR(__xludf.DUMMYFUNCTION("""COMPUTED_VALUE"""),"")</f>
        <v/>
      </c>
      <c r="X360" s="72"/>
    </row>
    <row r="361">
      <c r="M361" s="34" t="s">
        <v>260</v>
      </c>
      <c r="N361" s="34" t="str">
        <f>IFERROR(__xludf.DUMMYFUNCTION("""COMPUTED_VALUE"""),"")</f>
        <v/>
      </c>
      <c r="X361" s="72"/>
    </row>
    <row r="362">
      <c r="M362" s="34" t="s">
        <v>260</v>
      </c>
      <c r="N362" s="34" t="str">
        <f>IFERROR(__xludf.DUMMYFUNCTION("""COMPUTED_VALUE"""),"")</f>
        <v/>
      </c>
      <c r="X362" s="72"/>
    </row>
    <row r="363">
      <c r="M363" s="34" t="s">
        <v>260</v>
      </c>
      <c r="N363" s="34" t="str">
        <f>IFERROR(__xludf.DUMMYFUNCTION("""COMPUTED_VALUE"""),"")</f>
        <v/>
      </c>
      <c r="X363" s="72"/>
    </row>
    <row r="364">
      <c r="M364" s="34" t="s">
        <v>260</v>
      </c>
      <c r="N364" s="34" t="str">
        <f>IFERROR(__xludf.DUMMYFUNCTION("""COMPUTED_VALUE"""),"")</f>
        <v/>
      </c>
      <c r="X364" s="72"/>
    </row>
    <row r="365">
      <c r="M365" s="34" t="s">
        <v>260</v>
      </c>
      <c r="N365" s="34" t="str">
        <f>IFERROR(__xludf.DUMMYFUNCTION("""COMPUTED_VALUE"""),"")</f>
        <v/>
      </c>
      <c r="X365" s="72"/>
    </row>
    <row r="366">
      <c r="M366" s="34" t="s">
        <v>260</v>
      </c>
      <c r="N366" s="34" t="str">
        <f>IFERROR(__xludf.DUMMYFUNCTION("""COMPUTED_VALUE"""),"")</f>
        <v/>
      </c>
      <c r="X366" s="72"/>
    </row>
    <row r="367">
      <c r="M367" s="34" t="s">
        <v>260</v>
      </c>
      <c r="N367" s="34" t="str">
        <f>IFERROR(__xludf.DUMMYFUNCTION("""COMPUTED_VALUE"""),"")</f>
        <v/>
      </c>
      <c r="X367" s="72"/>
    </row>
    <row r="368">
      <c r="M368" s="34" t="s">
        <v>260</v>
      </c>
      <c r="N368" s="34" t="str">
        <f>IFERROR(__xludf.DUMMYFUNCTION("""COMPUTED_VALUE"""),"")</f>
        <v/>
      </c>
      <c r="X368" s="72"/>
    </row>
    <row r="369">
      <c r="M369" s="34" t="s">
        <v>260</v>
      </c>
      <c r="N369" s="34" t="str">
        <f>IFERROR(__xludf.DUMMYFUNCTION("""COMPUTED_VALUE"""),"")</f>
        <v/>
      </c>
      <c r="X369" s="72"/>
    </row>
    <row r="370">
      <c r="M370" s="34" t="s">
        <v>260</v>
      </c>
      <c r="N370" s="34" t="str">
        <f>IFERROR(__xludf.DUMMYFUNCTION("""COMPUTED_VALUE"""),"")</f>
        <v/>
      </c>
      <c r="X370" s="72"/>
    </row>
    <row r="371">
      <c r="M371" s="34" t="s">
        <v>260</v>
      </c>
      <c r="N371" s="34" t="str">
        <f>IFERROR(__xludf.DUMMYFUNCTION("""COMPUTED_VALUE"""),"")</f>
        <v/>
      </c>
      <c r="X371" s="72"/>
    </row>
    <row r="372">
      <c r="M372" s="34" t="s">
        <v>260</v>
      </c>
      <c r="N372" s="34" t="str">
        <f>IFERROR(__xludf.DUMMYFUNCTION("""COMPUTED_VALUE"""),"")</f>
        <v/>
      </c>
      <c r="X372" s="72"/>
    </row>
    <row r="373">
      <c r="M373" s="34" t="s">
        <v>260</v>
      </c>
      <c r="N373" s="34" t="str">
        <f>IFERROR(__xludf.DUMMYFUNCTION("""COMPUTED_VALUE"""),"")</f>
        <v/>
      </c>
      <c r="X373" s="72"/>
    </row>
    <row r="374">
      <c r="M374" s="34" t="s">
        <v>260</v>
      </c>
      <c r="N374" s="34" t="str">
        <f>IFERROR(__xludf.DUMMYFUNCTION("""COMPUTED_VALUE"""),"")</f>
        <v/>
      </c>
      <c r="X374" s="72"/>
    </row>
    <row r="375">
      <c r="M375" s="34" t="s">
        <v>260</v>
      </c>
      <c r="N375" s="34" t="str">
        <f>IFERROR(__xludf.DUMMYFUNCTION("""COMPUTED_VALUE"""),"")</f>
        <v/>
      </c>
      <c r="X375" s="72"/>
    </row>
    <row r="376">
      <c r="M376" s="34" t="s">
        <v>260</v>
      </c>
      <c r="N376" s="34" t="str">
        <f>IFERROR(__xludf.DUMMYFUNCTION("""COMPUTED_VALUE"""),"")</f>
        <v/>
      </c>
      <c r="X376" s="72"/>
    </row>
    <row r="377">
      <c r="M377" s="34" t="s">
        <v>260</v>
      </c>
      <c r="N377" s="34" t="str">
        <f>IFERROR(__xludf.DUMMYFUNCTION("""COMPUTED_VALUE"""),"")</f>
        <v/>
      </c>
      <c r="X377" s="72"/>
    </row>
    <row r="378">
      <c r="M378" s="34" t="s">
        <v>260</v>
      </c>
      <c r="N378" s="34" t="str">
        <f>IFERROR(__xludf.DUMMYFUNCTION("""COMPUTED_VALUE"""),"")</f>
        <v/>
      </c>
      <c r="X378" s="72"/>
    </row>
    <row r="379">
      <c r="M379" s="34" t="s">
        <v>260</v>
      </c>
      <c r="N379" s="34" t="str">
        <f>IFERROR(__xludf.DUMMYFUNCTION("""COMPUTED_VALUE"""),"")</f>
        <v/>
      </c>
      <c r="X379" s="72"/>
    </row>
    <row r="380">
      <c r="M380" s="34" t="s">
        <v>260</v>
      </c>
      <c r="N380" s="34" t="str">
        <f>IFERROR(__xludf.DUMMYFUNCTION("""COMPUTED_VALUE"""),"")</f>
        <v/>
      </c>
      <c r="X380" s="72"/>
    </row>
    <row r="381">
      <c r="M381" s="34" t="s">
        <v>260</v>
      </c>
      <c r="N381" s="34" t="str">
        <f>IFERROR(__xludf.DUMMYFUNCTION("""COMPUTED_VALUE"""),"")</f>
        <v/>
      </c>
      <c r="X381" s="72"/>
    </row>
    <row r="382">
      <c r="M382" s="34" t="s">
        <v>260</v>
      </c>
      <c r="N382" s="34" t="str">
        <f>IFERROR(__xludf.DUMMYFUNCTION("""COMPUTED_VALUE"""),"")</f>
        <v/>
      </c>
      <c r="X382" s="72"/>
    </row>
    <row r="383">
      <c r="M383" s="34" t="s">
        <v>260</v>
      </c>
      <c r="N383" s="34" t="str">
        <f>IFERROR(__xludf.DUMMYFUNCTION("""COMPUTED_VALUE"""),"")</f>
        <v/>
      </c>
      <c r="X383" s="72"/>
    </row>
    <row r="384">
      <c r="M384" s="34" t="s">
        <v>260</v>
      </c>
      <c r="N384" s="34" t="str">
        <f>IFERROR(__xludf.DUMMYFUNCTION("""COMPUTED_VALUE"""),"")</f>
        <v/>
      </c>
      <c r="X384" s="72"/>
    </row>
    <row r="385">
      <c r="M385" s="34" t="s">
        <v>260</v>
      </c>
      <c r="N385" s="34" t="str">
        <f>IFERROR(__xludf.DUMMYFUNCTION("""COMPUTED_VALUE"""),"")</f>
        <v/>
      </c>
      <c r="X385" s="72"/>
    </row>
    <row r="386">
      <c r="M386" s="34" t="s">
        <v>260</v>
      </c>
      <c r="N386" s="34" t="str">
        <f>IFERROR(__xludf.DUMMYFUNCTION("""COMPUTED_VALUE"""),"")</f>
        <v/>
      </c>
      <c r="X386" s="72"/>
    </row>
    <row r="387">
      <c r="M387" s="34" t="s">
        <v>260</v>
      </c>
      <c r="N387" s="34" t="str">
        <f>IFERROR(__xludf.DUMMYFUNCTION("""COMPUTED_VALUE"""),"")</f>
        <v/>
      </c>
      <c r="X387" s="72"/>
    </row>
    <row r="388">
      <c r="M388" s="34" t="s">
        <v>260</v>
      </c>
      <c r="N388" s="34" t="str">
        <f>IFERROR(__xludf.DUMMYFUNCTION("""COMPUTED_VALUE"""),"")</f>
        <v/>
      </c>
      <c r="X388" s="72"/>
    </row>
    <row r="389">
      <c r="M389" s="34" t="s">
        <v>260</v>
      </c>
      <c r="N389" s="34" t="str">
        <f>IFERROR(__xludf.DUMMYFUNCTION("""COMPUTED_VALUE"""),"")</f>
        <v/>
      </c>
      <c r="X389" s="72"/>
    </row>
    <row r="390">
      <c r="M390" s="34" t="s">
        <v>260</v>
      </c>
      <c r="N390" s="34" t="str">
        <f>IFERROR(__xludf.DUMMYFUNCTION("""COMPUTED_VALUE"""),"")</f>
        <v/>
      </c>
      <c r="X390" s="72"/>
    </row>
    <row r="391">
      <c r="M391" s="34" t="s">
        <v>260</v>
      </c>
      <c r="N391" s="34" t="str">
        <f>IFERROR(__xludf.DUMMYFUNCTION("""COMPUTED_VALUE"""),"")</f>
        <v/>
      </c>
      <c r="X391" s="72"/>
    </row>
    <row r="392">
      <c r="M392" s="34" t="s">
        <v>260</v>
      </c>
      <c r="N392" s="34" t="str">
        <f>IFERROR(__xludf.DUMMYFUNCTION("""COMPUTED_VALUE"""),"")</f>
        <v/>
      </c>
      <c r="X392" s="72"/>
    </row>
    <row r="393">
      <c r="M393" s="34" t="s">
        <v>260</v>
      </c>
      <c r="N393" s="34" t="str">
        <f>IFERROR(__xludf.DUMMYFUNCTION("""COMPUTED_VALUE"""),"")</f>
        <v/>
      </c>
      <c r="X393" s="72"/>
    </row>
    <row r="394">
      <c r="M394" s="34" t="s">
        <v>260</v>
      </c>
      <c r="N394" s="34" t="str">
        <f>IFERROR(__xludf.DUMMYFUNCTION("""COMPUTED_VALUE"""),"")</f>
        <v/>
      </c>
      <c r="X394" s="72"/>
    </row>
    <row r="395">
      <c r="M395" s="34" t="s">
        <v>260</v>
      </c>
      <c r="N395" s="34" t="str">
        <f>IFERROR(__xludf.DUMMYFUNCTION("""COMPUTED_VALUE"""),"")</f>
        <v/>
      </c>
      <c r="X395" s="72"/>
    </row>
    <row r="396">
      <c r="M396" s="34" t="s">
        <v>260</v>
      </c>
      <c r="N396" s="34" t="str">
        <f>IFERROR(__xludf.DUMMYFUNCTION("""COMPUTED_VALUE"""),"")</f>
        <v/>
      </c>
      <c r="X396" s="72"/>
    </row>
    <row r="397">
      <c r="M397" s="34" t="s">
        <v>260</v>
      </c>
      <c r="N397" s="34" t="str">
        <f>IFERROR(__xludf.DUMMYFUNCTION("""COMPUTED_VALUE"""),"")</f>
        <v/>
      </c>
      <c r="X397" s="72"/>
    </row>
    <row r="398">
      <c r="M398" s="34" t="s">
        <v>260</v>
      </c>
      <c r="N398" s="34" t="str">
        <f>IFERROR(__xludf.DUMMYFUNCTION("""COMPUTED_VALUE"""),"")</f>
        <v/>
      </c>
      <c r="X398" s="72"/>
    </row>
    <row r="399">
      <c r="M399" s="34" t="s">
        <v>260</v>
      </c>
      <c r="N399" s="34" t="str">
        <f>IFERROR(__xludf.DUMMYFUNCTION("""COMPUTED_VALUE"""),"")</f>
        <v/>
      </c>
      <c r="X399" s="72"/>
    </row>
    <row r="400">
      <c r="M400" s="34" t="s">
        <v>260</v>
      </c>
      <c r="N400" s="34" t="str">
        <f>IFERROR(__xludf.DUMMYFUNCTION("""COMPUTED_VALUE"""),"")</f>
        <v/>
      </c>
      <c r="X400" s="72"/>
    </row>
    <row r="401">
      <c r="M401" s="34" t="s">
        <v>260</v>
      </c>
      <c r="N401" s="34" t="str">
        <f>IFERROR(__xludf.DUMMYFUNCTION("""COMPUTED_VALUE"""),"")</f>
        <v/>
      </c>
      <c r="X401" s="72"/>
    </row>
    <row r="402">
      <c r="M402" s="34" t="s">
        <v>260</v>
      </c>
      <c r="N402" s="34" t="str">
        <f>IFERROR(__xludf.DUMMYFUNCTION("""COMPUTED_VALUE"""),"")</f>
        <v/>
      </c>
      <c r="X402" s="72"/>
    </row>
    <row r="403">
      <c r="M403" s="34" t="s">
        <v>260</v>
      </c>
      <c r="N403" s="34" t="str">
        <f>IFERROR(__xludf.DUMMYFUNCTION("""COMPUTED_VALUE"""),"")</f>
        <v/>
      </c>
      <c r="X403" s="72"/>
    </row>
    <row r="404">
      <c r="M404" s="34" t="s">
        <v>260</v>
      </c>
      <c r="N404" s="34" t="str">
        <f>IFERROR(__xludf.DUMMYFUNCTION("""COMPUTED_VALUE"""),"")</f>
        <v/>
      </c>
      <c r="X404" s="72"/>
    </row>
    <row r="405">
      <c r="M405" s="34" t="s">
        <v>260</v>
      </c>
      <c r="N405" s="34" t="str">
        <f>IFERROR(__xludf.DUMMYFUNCTION("""COMPUTED_VALUE"""),"")</f>
        <v/>
      </c>
      <c r="X405" s="72"/>
    </row>
    <row r="406">
      <c r="M406" s="34" t="s">
        <v>260</v>
      </c>
      <c r="N406" s="34" t="str">
        <f>IFERROR(__xludf.DUMMYFUNCTION("""COMPUTED_VALUE"""),"")</f>
        <v/>
      </c>
      <c r="X406" s="72"/>
    </row>
    <row r="407">
      <c r="M407" s="34" t="s">
        <v>260</v>
      </c>
      <c r="N407" s="34" t="str">
        <f>IFERROR(__xludf.DUMMYFUNCTION("""COMPUTED_VALUE"""),"")</f>
        <v/>
      </c>
      <c r="X407" s="72"/>
    </row>
    <row r="408">
      <c r="M408" s="34" t="s">
        <v>260</v>
      </c>
      <c r="N408" s="34" t="str">
        <f>IFERROR(__xludf.DUMMYFUNCTION("""COMPUTED_VALUE"""),"")</f>
        <v/>
      </c>
      <c r="X408" s="72"/>
    </row>
    <row r="409">
      <c r="M409" s="34" t="s">
        <v>260</v>
      </c>
      <c r="N409" s="34" t="str">
        <f>IFERROR(__xludf.DUMMYFUNCTION("""COMPUTED_VALUE"""),"")</f>
        <v/>
      </c>
      <c r="X409" s="72"/>
    </row>
    <row r="410">
      <c r="M410" s="34" t="s">
        <v>260</v>
      </c>
      <c r="N410" s="34" t="str">
        <f>IFERROR(__xludf.DUMMYFUNCTION("""COMPUTED_VALUE"""),"")</f>
        <v/>
      </c>
      <c r="X410" s="72"/>
    </row>
    <row r="411">
      <c r="M411" s="34" t="s">
        <v>260</v>
      </c>
      <c r="N411" s="34" t="str">
        <f>IFERROR(__xludf.DUMMYFUNCTION("""COMPUTED_VALUE"""),"")</f>
        <v/>
      </c>
      <c r="X411" s="72"/>
    </row>
    <row r="412">
      <c r="M412" s="34" t="s">
        <v>260</v>
      </c>
      <c r="N412" s="34" t="str">
        <f>IFERROR(__xludf.DUMMYFUNCTION("""COMPUTED_VALUE"""),"")</f>
        <v/>
      </c>
      <c r="X412" s="72"/>
    </row>
    <row r="413">
      <c r="M413" s="34" t="s">
        <v>260</v>
      </c>
      <c r="N413" s="34" t="str">
        <f>IFERROR(__xludf.DUMMYFUNCTION("""COMPUTED_VALUE"""),"")</f>
        <v/>
      </c>
      <c r="X413" s="72"/>
    </row>
    <row r="414">
      <c r="M414" s="34" t="s">
        <v>260</v>
      </c>
      <c r="N414" s="34" t="str">
        <f>IFERROR(__xludf.DUMMYFUNCTION("""COMPUTED_VALUE"""),"")</f>
        <v/>
      </c>
      <c r="X414" s="72"/>
    </row>
    <row r="415">
      <c r="M415" s="34" t="s">
        <v>260</v>
      </c>
      <c r="N415" s="34" t="str">
        <f>IFERROR(__xludf.DUMMYFUNCTION("""COMPUTED_VALUE"""),"")</f>
        <v/>
      </c>
      <c r="X415" s="72"/>
    </row>
    <row r="416">
      <c r="M416" s="34" t="s">
        <v>260</v>
      </c>
      <c r="N416" s="34" t="str">
        <f>IFERROR(__xludf.DUMMYFUNCTION("""COMPUTED_VALUE"""),"")</f>
        <v/>
      </c>
      <c r="X416" s="72"/>
    </row>
    <row r="417">
      <c r="M417" s="34" t="s">
        <v>260</v>
      </c>
      <c r="N417" s="34" t="str">
        <f>IFERROR(__xludf.DUMMYFUNCTION("""COMPUTED_VALUE"""),"")</f>
        <v/>
      </c>
      <c r="X417" s="72"/>
    </row>
    <row r="418">
      <c r="M418" s="34" t="s">
        <v>260</v>
      </c>
      <c r="N418" s="34" t="str">
        <f>IFERROR(__xludf.DUMMYFUNCTION("""COMPUTED_VALUE"""),"")</f>
        <v/>
      </c>
      <c r="X418" s="72"/>
    </row>
    <row r="419">
      <c r="M419" s="34" t="s">
        <v>260</v>
      </c>
      <c r="N419" s="34" t="str">
        <f>IFERROR(__xludf.DUMMYFUNCTION("""COMPUTED_VALUE"""),"")</f>
        <v/>
      </c>
      <c r="X419" s="72"/>
    </row>
    <row r="420">
      <c r="M420" s="34" t="s">
        <v>260</v>
      </c>
      <c r="N420" s="34" t="str">
        <f>IFERROR(__xludf.DUMMYFUNCTION("""COMPUTED_VALUE"""),"")</f>
        <v/>
      </c>
      <c r="X420" s="72"/>
    </row>
    <row r="421">
      <c r="M421" s="34" t="s">
        <v>260</v>
      </c>
      <c r="N421" s="34" t="str">
        <f>IFERROR(__xludf.DUMMYFUNCTION("""COMPUTED_VALUE"""),"")</f>
        <v/>
      </c>
      <c r="X421" s="72"/>
    </row>
    <row r="422">
      <c r="M422" s="34" t="s">
        <v>260</v>
      </c>
      <c r="N422" s="34" t="str">
        <f>IFERROR(__xludf.DUMMYFUNCTION("""COMPUTED_VALUE"""),"")</f>
        <v/>
      </c>
      <c r="X422" s="72"/>
    </row>
    <row r="423">
      <c r="M423" s="34" t="s">
        <v>260</v>
      </c>
      <c r="N423" s="34" t="str">
        <f>IFERROR(__xludf.DUMMYFUNCTION("""COMPUTED_VALUE"""),"")</f>
        <v/>
      </c>
      <c r="X423" s="72"/>
    </row>
    <row r="424">
      <c r="M424" s="34" t="s">
        <v>260</v>
      </c>
      <c r="N424" s="34" t="str">
        <f>IFERROR(__xludf.DUMMYFUNCTION("""COMPUTED_VALUE"""),"")</f>
        <v/>
      </c>
      <c r="X424" s="72"/>
    </row>
    <row r="425">
      <c r="M425" s="34" t="s">
        <v>260</v>
      </c>
      <c r="N425" s="34" t="str">
        <f>IFERROR(__xludf.DUMMYFUNCTION("""COMPUTED_VALUE"""),"")</f>
        <v/>
      </c>
      <c r="X425" s="72"/>
    </row>
    <row r="426">
      <c r="M426" s="34" t="s">
        <v>260</v>
      </c>
      <c r="N426" s="34" t="str">
        <f>IFERROR(__xludf.DUMMYFUNCTION("""COMPUTED_VALUE"""),"")</f>
        <v/>
      </c>
      <c r="X426" s="72"/>
    </row>
    <row r="427">
      <c r="M427" s="34" t="s">
        <v>260</v>
      </c>
      <c r="N427" s="34" t="str">
        <f>IFERROR(__xludf.DUMMYFUNCTION("""COMPUTED_VALUE"""),"")</f>
        <v/>
      </c>
      <c r="X427" s="72"/>
    </row>
    <row r="428">
      <c r="M428" s="34" t="s">
        <v>260</v>
      </c>
      <c r="N428" s="34" t="str">
        <f>IFERROR(__xludf.DUMMYFUNCTION("""COMPUTED_VALUE"""),"")</f>
        <v/>
      </c>
      <c r="X428" s="72"/>
    </row>
    <row r="429">
      <c r="M429" s="34" t="s">
        <v>260</v>
      </c>
      <c r="N429" s="34" t="str">
        <f>IFERROR(__xludf.DUMMYFUNCTION("""COMPUTED_VALUE"""),"")</f>
        <v/>
      </c>
      <c r="X429" s="72"/>
    </row>
    <row r="430">
      <c r="M430" s="34" t="s">
        <v>260</v>
      </c>
      <c r="N430" s="34" t="str">
        <f>IFERROR(__xludf.DUMMYFUNCTION("""COMPUTED_VALUE"""),"")</f>
        <v/>
      </c>
      <c r="X430" s="72"/>
    </row>
    <row r="431">
      <c r="M431" s="34" t="s">
        <v>260</v>
      </c>
      <c r="N431" s="34" t="str">
        <f>IFERROR(__xludf.DUMMYFUNCTION("""COMPUTED_VALUE"""),"")</f>
        <v/>
      </c>
      <c r="X431" s="72"/>
    </row>
    <row r="432">
      <c r="M432" s="34" t="s">
        <v>260</v>
      </c>
      <c r="N432" s="34" t="str">
        <f>IFERROR(__xludf.DUMMYFUNCTION("""COMPUTED_VALUE"""),"")</f>
        <v/>
      </c>
      <c r="X432" s="72"/>
    </row>
    <row r="433">
      <c r="M433" s="34" t="s">
        <v>260</v>
      </c>
      <c r="N433" s="34" t="str">
        <f>IFERROR(__xludf.DUMMYFUNCTION("""COMPUTED_VALUE"""),"")</f>
        <v/>
      </c>
      <c r="X433" s="72"/>
    </row>
    <row r="434">
      <c r="M434" s="34" t="s">
        <v>260</v>
      </c>
      <c r="N434" s="34" t="str">
        <f>IFERROR(__xludf.DUMMYFUNCTION("""COMPUTED_VALUE"""),"")</f>
        <v/>
      </c>
      <c r="X434" s="72"/>
    </row>
    <row r="435">
      <c r="M435" s="34" t="s">
        <v>260</v>
      </c>
      <c r="N435" s="34" t="str">
        <f>IFERROR(__xludf.DUMMYFUNCTION("""COMPUTED_VALUE"""),"")</f>
        <v/>
      </c>
      <c r="X435" s="72"/>
    </row>
    <row r="436">
      <c r="M436" s="34" t="s">
        <v>260</v>
      </c>
      <c r="N436" s="34" t="str">
        <f>IFERROR(__xludf.DUMMYFUNCTION("""COMPUTED_VALUE"""),"")</f>
        <v/>
      </c>
      <c r="X436" s="72"/>
    </row>
    <row r="437">
      <c r="M437" s="34" t="s">
        <v>260</v>
      </c>
      <c r="N437" s="34" t="str">
        <f>IFERROR(__xludf.DUMMYFUNCTION("""COMPUTED_VALUE"""),"")</f>
        <v/>
      </c>
      <c r="X437" s="72"/>
    </row>
    <row r="438">
      <c r="M438" s="34" t="s">
        <v>260</v>
      </c>
      <c r="N438" s="34" t="str">
        <f>IFERROR(__xludf.DUMMYFUNCTION("""COMPUTED_VALUE"""),"")</f>
        <v/>
      </c>
      <c r="X438" s="72"/>
    </row>
    <row r="439">
      <c r="M439" s="34" t="s">
        <v>260</v>
      </c>
      <c r="N439" s="34" t="str">
        <f>IFERROR(__xludf.DUMMYFUNCTION("""COMPUTED_VALUE"""),"")</f>
        <v/>
      </c>
      <c r="X439" s="72"/>
    </row>
    <row r="440">
      <c r="M440" s="34" t="s">
        <v>260</v>
      </c>
      <c r="N440" s="34" t="str">
        <f>IFERROR(__xludf.DUMMYFUNCTION("""COMPUTED_VALUE"""),"")</f>
        <v/>
      </c>
      <c r="X440" s="72"/>
    </row>
    <row r="441">
      <c r="M441" s="34" t="s">
        <v>260</v>
      </c>
      <c r="N441" s="34" t="str">
        <f>IFERROR(__xludf.DUMMYFUNCTION("""COMPUTED_VALUE"""),"")</f>
        <v/>
      </c>
      <c r="X441" s="72"/>
    </row>
    <row r="442">
      <c r="M442" s="34" t="s">
        <v>260</v>
      </c>
      <c r="N442" s="34" t="str">
        <f>IFERROR(__xludf.DUMMYFUNCTION("""COMPUTED_VALUE"""),"")</f>
        <v/>
      </c>
      <c r="X442" s="72"/>
    </row>
    <row r="443">
      <c r="M443" s="34" t="s">
        <v>260</v>
      </c>
      <c r="N443" s="34" t="str">
        <f>IFERROR(__xludf.DUMMYFUNCTION("""COMPUTED_VALUE"""),"")</f>
        <v/>
      </c>
      <c r="X443" s="72"/>
    </row>
    <row r="444">
      <c r="M444" s="34" t="s">
        <v>260</v>
      </c>
      <c r="N444" s="34" t="str">
        <f>IFERROR(__xludf.DUMMYFUNCTION("""COMPUTED_VALUE"""),"")</f>
        <v/>
      </c>
      <c r="X444" s="72"/>
    </row>
    <row r="445">
      <c r="M445" s="34" t="s">
        <v>260</v>
      </c>
      <c r="N445" s="34" t="str">
        <f>IFERROR(__xludf.DUMMYFUNCTION("""COMPUTED_VALUE"""),"")</f>
        <v/>
      </c>
      <c r="X445" s="72"/>
    </row>
    <row r="446">
      <c r="M446" s="34" t="s">
        <v>260</v>
      </c>
      <c r="N446" s="34" t="str">
        <f>IFERROR(__xludf.DUMMYFUNCTION("""COMPUTED_VALUE"""),"")</f>
        <v/>
      </c>
      <c r="X446" s="72"/>
    </row>
    <row r="447">
      <c r="M447" s="34" t="s">
        <v>260</v>
      </c>
      <c r="N447" s="34" t="str">
        <f>IFERROR(__xludf.DUMMYFUNCTION("""COMPUTED_VALUE"""),"")</f>
        <v/>
      </c>
      <c r="X447" s="72"/>
    </row>
    <row r="448">
      <c r="M448" s="34" t="s">
        <v>260</v>
      </c>
      <c r="N448" s="34" t="str">
        <f>IFERROR(__xludf.DUMMYFUNCTION("""COMPUTED_VALUE"""),"")</f>
        <v/>
      </c>
      <c r="X448" s="72"/>
    </row>
    <row r="449">
      <c r="M449" s="34" t="s">
        <v>260</v>
      </c>
      <c r="N449" s="34" t="str">
        <f>IFERROR(__xludf.DUMMYFUNCTION("""COMPUTED_VALUE"""),"")</f>
        <v/>
      </c>
      <c r="X449" s="72"/>
    </row>
    <row r="450">
      <c r="M450" s="34" t="s">
        <v>260</v>
      </c>
      <c r="N450" s="34" t="str">
        <f>IFERROR(__xludf.DUMMYFUNCTION("""COMPUTED_VALUE"""),"")</f>
        <v/>
      </c>
      <c r="X450" s="72"/>
    </row>
    <row r="451">
      <c r="M451" s="34" t="s">
        <v>260</v>
      </c>
      <c r="N451" s="34" t="str">
        <f>IFERROR(__xludf.DUMMYFUNCTION("""COMPUTED_VALUE"""),"")</f>
        <v/>
      </c>
      <c r="X451" s="72"/>
    </row>
    <row r="452">
      <c r="M452" s="34" t="s">
        <v>260</v>
      </c>
      <c r="N452" s="34" t="str">
        <f>IFERROR(__xludf.DUMMYFUNCTION("""COMPUTED_VALUE"""),"")</f>
        <v/>
      </c>
      <c r="X452" s="72"/>
    </row>
    <row r="453">
      <c r="M453" s="34" t="s">
        <v>260</v>
      </c>
      <c r="N453" s="34" t="str">
        <f>IFERROR(__xludf.DUMMYFUNCTION("""COMPUTED_VALUE"""),"")</f>
        <v/>
      </c>
      <c r="X453" s="72"/>
    </row>
    <row r="454">
      <c r="M454" s="34" t="s">
        <v>260</v>
      </c>
      <c r="N454" s="34" t="str">
        <f>IFERROR(__xludf.DUMMYFUNCTION("""COMPUTED_VALUE"""),"")</f>
        <v/>
      </c>
      <c r="X454" s="72"/>
    </row>
    <row r="455">
      <c r="M455" s="34" t="s">
        <v>260</v>
      </c>
      <c r="N455" s="34" t="str">
        <f>IFERROR(__xludf.DUMMYFUNCTION("""COMPUTED_VALUE"""),"")</f>
        <v/>
      </c>
      <c r="X455" s="72"/>
    </row>
    <row r="456">
      <c r="M456" s="34" t="s">
        <v>260</v>
      </c>
      <c r="N456" s="34" t="str">
        <f>IFERROR(__xludf.DUMMYFUNCTION("""COMPUTED_VALUE"""),"")</f>
        <v/>
      </c>
      <c r="X456" s="72"/>
    </row>
    <row r="457">
      <c r="M457" s="34" t="s">
        <v>260</v>
      </c>
      <c r="N457" s="34" t="str">
        <f>IFERROR(__xludf.DUMMYFUNCTION("""COMPUTED_VALUE"""),"")</f>
        <v/>
      </c>
      <c r="X457" s="72"/>
    </row>
    <row r="458">
      <c r="M458" s="34" t="s">
        <v>260</v>
      </c>
      <c r="N458" s="34" t="str">
        <f>IFERROR(__xludf.DUMMYFUNCTION("""COMPUTED_VALUE"""),"")</f>
        <v/>
      </c>
      <c r="X458" s="72"/>
    </row>
    <row r="459">
      <c r="M459" s="34" t="s">
        <v>260</v>
      </c>
      <c r="N459" s="34" t="str">
        <f>IFERROR(__xludf.DUMMYFUNCTION("""COMPUTED_VALUE"""),"")</f>
        <v/>
      </c>
      <c r="X459" s="72"/>
    </row>
    <row r="460">
      <c r="M460" s="34" t="s">
        <v>260</v>
      </c>
      <c r="N460" s="34" t="str">
        <f>IFERROR(__xludf.DUMMYFUNCTION("""COMPUTED_VALUE"""),"")</f>
        <v/>
      </c>
      <c r="X460" s="72"/>
    </row>
    <row r="461">
      <c r="M461" s="34" t="s">
        <v>260</v>
      </c>
      <c r="N461" s="34" t="str">
        <f>IFERROR(__xludf.DUMMYFUNCTION("""COMPUTED_VALUE"""),"")</f>
        <v/>
      </c>
      <c r="X461" s="72"/>
    </row>
    <row r="462">
      <c r="M462" s="34" t="s">
        <v>260</v>
      </c>
      <c r="N462" s="34" t="str">
        <f>IFERROR(__xludf.DUMMYFUNCTION("""COMPUTED_VALUE"""),"")</f>
        <v/>
      </c>
      <c r="X462" s="72"/>
    </row>
    <row r="463">
      <c r="M463" s="34" t="s">
        <v>260</v>
      </c>
      <c r="N463" s="34" t="str">
        <f>IFERROR(__xludf.DUMMYFUNCTION("""COMPUTED_VALUE"""),"")</f>
        <v/>
      </c>
      <c r="X463" s="72"/>
    </row>
    <row r="464">
      <c r="M464" s="34" t="s">
        <v>260</v>
      </c>
      <c r="N464" s="34" t="str">
        <f>IFERROR(__xludf.DUMMYFUNCTION("""COMPUTED_VALUE"""),"")</f>
        <v/>
      </c>
      <c r="X464" s="72"/>
    </row>
    <row r="465">
      <c r="M465" s="34" t="s">
        <v>260</v>
      </c>
      <c r="N465" s="34" t="str">
        <f>IFERROR(__xludf.DUMMYFUNCTION("""COMPUTED_VALUE"""),"")</f>
        <v/>
      </c>
      <c r="X465" s="72"/>
    </row>
    <row r="466">
      <c r="M466" s="34" t="s">
        <v>260</v>
      </c>
      <c r="N466" s="34" t="str">
        <f>IFERROR(__xludf.DUMMYFUNCTION("""COMPUTED_VALUE"""),"")</f>
        <v/>
      </c>
      <c r="X466" s="72"/>
    </row>
    <row r="467">
      <c r="M467" s="34" t="s">
        <v>260</v>
      </c>
      <c r="N467" s="34" t="str">
        <f>IFERROR(__xludf.DUMMYFUNCTION("""COMPUTED_VALUE"""),"")</f>
        <v/>
      </c>
      <c r="X467" s="72"/>
    </row>
    <row r="468">
      <c r="M468" s="34" t="s">
        <v>260</v>
      </c>
      <c r="N468" s="34" t="str">
        <f>IFERROR(__xludf.DUMMYFUNCTION("""COMPUTED_VALUE"""),"")</f>
        <v/>
      </c>
      <c r="X468" s="72"/>
    </row>
    <row r="469">
      <c r="M469" s="34" t="s">
        <v>260</v>
      </c>
      <c r="N469" s="34" t="str">
        <f>IFERROR(__xludf.DUMMYFUNCTION("""COMPUTED_VALUE"""),"")</f>
        <v/>
      </c>
      <c r="X469" s="72"/>
    </row>
    <row r="470">
      <c r="M470" s="34" t="s">
        <v>260</v>
      </c>
      <c r="N470" s="34" t="str">
        <f>IFERROR(__xludf.DUMMYFUNCTION("""COMPUTED_VALUE"""),"")</f>
        <v/>
      </c>
      <c r="X470" s="72"/>
    </row>
    <row r="471">
      <c r="M471" s="34" t="s">
        <v>260</v>
      </c>
      <c r="N471" s="34" t="str">
        <f>IFERROR(__xludf.DUMMYFUNCTION("""COMPUTED_VALUE"""),"")</f>
        <v/>
      </c>
      <c r="X471" s="72"/>
    </row>
    <row r="472">
      <c r="M472" s="34" t="s">
        <v>260</v>
      </c>
      <c r="N472" s="34" t="str">
        <f>IFERROR(__xludf.DUMMYFUNCTION("""COMPUTED_VALUE"""),"")</f>
        <v/>
      </c>
      <c r="X472" s="72"/>
    </row>
    <row r="473">
      <c r="M473" s="34" t="s">
        <v>260</v>
      </c>
      <c r="N473" s="34" t="str">
        <f>IFERROR(__xludf.DUMMYFUNCTION("""COMPUTED_VALUE"""),"")</f>
        <v/>
      </c>
      <c r="X473" s="72"/>
    </row>
    <row r="474">
      <c r="M474" s="34" t="s">
        <v>260</v>
      </c>
      <c r="N474" s="34" t="str">
        <f>IFERROR(__xludf.DUMMYFUNCTION("""COMPUTED_VALUE"""),"")</f>
        <v/>
      </c>
      <c r="X474" s="72"/>
    </row>
    <row r="475">
      <c r="M475" s="34" t="s">
        <v>260</v>
      </c>
      <c r="N475" s="34" t="str">
        <f>IFERROR(__xludf.DUMMYFUNCTION("""COMPUTED_VALUE"""),"")</f>
        <v/>
      </c>
      <c r="X475" s="72"/>
    </row>
    <row r="476">
      <c r="M476" s="34" t="s">
        <v>260</v>
      </c>
      <c r="N476" s="34" t="str">
        <f>IFERROR(__xludf.DUMMYFUNCTION("""COMPUTED_VALUE"""),"")</f>
        <v/>
      </c>
      <c r="X476" s="72"/>
    </row>
    <row r="477">
      <c r="M477" s="34" t="s">
        <v>260</v>
      </c>
      <c r="N477" s="34" t="str">
        <f>IFERROR(__xludf.DUMMYFUNCTION("""COMPUTED_VALUE"""),"")</f>
        <v/>
      </c>
      <c r="X477" s="72"/>
    </row>
    <row r="478">
      <c r="M478" s="34" t="s">
        <v>260</v>
      </c>
      <c r="N478" s="34" t="str">
        <f>IFERROR(__xludf.DUMMYFUNCTION("""COMPUTED_VALUE"""),"")</f>
        <v/>
      </c>
      <c r="X478" s="72"/>
    </row>
    <row r="479">
      <c r="M479" s="34" t="s">
        <v>260</v>
      </c>
      <c r="N479" s="34" t="str">
        <f>IFERROR(__xludf.DUMMYFUNCTION("""COMPUTED_VALUE"""),"")</f>
        <v/>
      </c>
      <c r="X479" s="72"/>
    </row>
    <row r="480">
      <c r="M480" s="34" t="s">
        <v>260</v>
      </c>
      <c r="N480" s="34" t="str">
        <f>IFERROR(__xludf.DUMMYFUNCTION("""COMPUTED_VALUE"""),"")</f>
        <v/>
      </c>
      <c r="X480" s="72"/>
    </row>
    <row r="481">
      <c r="M481" s="34" t="s">
        <v>260</v>
      </c>
      <c r="N481" s="34" t="str">
        <f>IFERROR(__xludf.DUMMYFUNCTION("""COMPUTED_VALUE"""),"")</f>
        <v/>
      </c>
      <c r="X481" s="72"/>
    </row>
    <row r="482">
      <c r="M482" s="34" t="s">
        <v>260</v>
      </c>
      <c r="N482" s="34" t="str">
        <f>IFERROR(__xludf.DUMMYFUNCTION("""COMPUTED_VALUE"""),"")</f>
        <v/>
      </c>
      <c r="X482" s="72"/>
    </row>
    <row r="483">
      <c r="M483" s="34" t="s">
        <v>260</v>
      </c>
      <c r="N483" s="34" t="str">
        <f>IFERROR(__xludf.DUMMYFUNCTION("""COMPUTED_VALUE"""),"")</f>
        <v/>
      </c>
      <c r="X483" s="72"/>
    </row>
    <row r="484">
      <c r="M484" s="34" t="s">
        <v>260</v>
      </c>
      <c r="N484" s="34" t="str">
        <f>IFERROR(__xludf.DUMMYFUNCTION("""COMPUTED_VALUE"""),"")</f>
        <v/>
      </c>
      <c r="X484" s="72"/>
    </row>
    <row r="485">
      <c r="M485" s="34" t="s">
        <v>260</v>
      </c>
      <c r="N485" s="34" t="str">
        <f>IFERROR(__xludf.DUMMYFUNCTION("""COMPUTED_VALUE"""),"")</f>
        <v/>
      </c>
      <c r="X485" s="72"/>
    </row>
    <row r="486">
      <c r="M486" s="34" t="s">
        <v>260</v>
      </c>
      <c r="N486" s="34" t="str">
        <f>IFERROR(__xludf.DUMMYFUNCTION("""COMPUTED_VALUE"""),"")</f>
        <v/>
      </c>
      <c r="X486" s="72"/>
    </row>
    <row r="487">
      <c r="M487" s="34" t="s">
        <v>260</v>
      </c>
      <c r="N487" s="34" t="str">
        <f>IFERROR(__xludf.DUMMYFUNCTION("""COMPUTED_VALUE"""),"")</f>
        <v/>
      </c>
      <c r="X487" s="72"/>
    </row>
    <row r="488">
      <c r="M488" s="34" t="s">
        <v>260</v>
      </c>
      <c r="N488" s="34" t="str">
        <f>IFERROR(__xludf.DUMMYFUNCTION("""COMPUTED_VALUE"""),"")</f>
        <v/>
      </c>
      <c r="X488" s="72"/>
    </row>
    <row r="489">
      <c r="M489" s="34" t="s">
        <v>260</v>
      </c>
      <c r="N489" s="34" t="str">
        <f>IFERROR(__xludf.DUMMYFUNCTION("""COMPUTED_VALUE"""),"")</f>
        <v/>
      </c>
      <c r="X489" s="72"/>
    </row>
    <row r="490">
      <c r="M490" s="34" t="s">
        <v>260</v>
      </c>
      <c r="N490" s="34" t="str">
        <f>IFERROR(__xludf.DUMMYFUNCTION("""COMPUTED_VALUE"""),"")</f>
        <v/>
      </c>
      <c r="X490" s="72"/>
    </row>
    <row r="491">
      <c r="M491" s="34" t="s">
        <v>260</v>
      </c>
      <c r="N491" s="34" t="str">
        <f>IFERROR(__xludf.DUMMYFUNCTION("""COMPUTED_VALUE"""),"")</f>
        <v/>
      </c>
      <c r="X491" s="72"/>
    </row>
    <row r="492">
      <c r="M492" s="34" t="s">
        <v>260</v>
      </c>
      <c r="N492" s="34" t="str">
        <f>IFERROR(__xludf.DUMMYFUNCTION("""COMPUTED_VALUE"""),"")</f>
        <v/>
      </c>
      <c r="X492" s="72"/>
    </row>
    <row r="493">
      <c r="M493" s="34" t="s">
        <v>260</v>
      </c>
      <c r="N493" s="34" t="str">
        <f>IFERROR(__xludf.DUMMYFUNCTION("""COMPUTED_VALUE"""),"")</f>
        <v/>
      </c>
      <c r="X493" s="72"/>
    </row>
    <row r="494">
      <c r="M494" s="34" t="s">
        <v>260</v>
      </c>
      <c r="N494" s="34" t="str">
        <f>IFERROR(__xludf.DUMMYFUNCTION("""COMPUTED_VALUE"""),"")</f>
        <v/>
      </c>
      <c r="X494" s="72"/>
    </row>
    <row r="495">
      <c r="M495" s="34" t="s">
        <v>260</v>
      </c>
      <c r="N495" s="34" t="str">
        <f>IFERROR(__xludf.DUMMYFUNCTION("""COMPUTED_VALUE"""),"")</f>
        <v/>
      </c>
      <c r="X495" s="72"/>
    </row>
    <row r="496">
      <c r="M496" s="34" t="s">
        <v>260</v>
      </c>
      <c r="N496" s="34" t="str">
        <f>IFERROR(__xludf.DUMMYFUNCTION("""COMPUTED_VALUE"""),"")</f>
        <v/>
      </c>
      <c r="X496" s="72"/>
    </row>
    <row r="497">
      <c r="M497" s="34" t="s">
        <v>260</v>
      </c>
      <c r="N497" s="34" t="str">
        <f>IFERROR(__xludf.DUMMYFUNCTION("""COMPUTED_VALUE"""),"")</f>
        <v/>
      </c>
      <c r="X497" s="72"/>
    </row>
    <row r="498">
      <c r="M498" s="34" t="s">
        <v>260</v>
      </c>
      <c r="N498" s="34" t="str">
        <f>IFERROR(__xludf.DUMMYFUNCTION("""COMPUTED_VALUE"""),"")</f>
        <v/>
      </c>
      <c r="X498" s="72"/>
    </row>
    <row r="499">
      <c r="M499" s="34" t="s">
        <v>260</v>
      </c>
      <c r="N499" s="34" t="str">
        <f>IFERROR(__xludf.DUMMYFUNCTION("""COMPUTED_VALUE"""),"")</f>
        <v/>
      </c>
      <c r="X499" s="72"/>
    </row>
    <row r="500">
      <c r="M500" s="34" t="s">
        <v>260</v>
      </c>
      <c r="N500" s="34" t="str">
        <f>IFERROR(__xludf.DUMMYFUNCTION("""COMPUTED_VALUE"""),"")</f>
        <v/>
      </c>
      <c r="X500" s="72"/>
    </row>
    <row r="501">
      <c r="M501" s="34" t="s">
        <v>260</v>
      </c>
      <c r="N501" s="34" t="str">
        <f>IFERROR(__xludf.DUMMYFUNCTION("""COMPUTED_VALUE"""),"")</f>
        <v/>
      </c>
      <c r="X501" s="72"/>
    </row>
    <row r="502">
      <c r="M502" s="34" t="s">
        <v>260</v>
      </c>
      <c r="N502" s="34" t="str">
        <f>IFERROR(__xludf.DUMMYFUNCTION("""COMPUTED_VALUE"""),"")</f>
        <v/>
      </c>
      <c r="X502" s="72"/>
    </row>
    <row r="503">
      <c r="M503" s="34" t="s">
        <v>260</v>
      </c>
      <c r="N503" s="34" t="str">
        <f>IFERROR(__xludf.DUMMYFUNCTION("""COMPUTED_VALUE"""),"")</f>
        <v/>
      </c>
      <c r="X503" s="72"/>
    </row>
    <row r="504">
      <c r="M504" s="34" t="s">
        <v>260</v>
      </c>
      <c r="N504" s="34" t="str">
        <f>IFERROR(__xludf.DUMMYFUNCTION("""COMPUTED_VALUE"""),"")</f>
        <v/>
      </c>
      <c r="X504" s="72"/>
    </row>
    <row r="505">
      <c r="M505" s="34" t="s">
        <v>260</v>
      </c>
      <c r="N505" s="34" t="str">
        <f>IFERROR(__xludf.DUMMYFUNCTION("""COMPUTED_VALUE"""),"")</f>
        <v/>
      </c>
      <c r="X505" s="72"/>
    </row>
    <row r="506">
      <c r="M506" s="34" t="s">
        <v>260</v>
      </c>
      <c r="N506" s="34" t="str">
        <f>IFERROR(__xludf.DUMMYFUNCTION("""COMPUTED_VALUE"""),"")</f>
        <v/>
      </c>
      <c r="X506" s="72"/>
    </row>
    <row r="507">
      <c r="M507" s="34" t="s">
        <v>260</v>
      </c>
      <c r="N507" s="34" t="str">
        <f>IFERROR(__xludf.DUMMYFUNCTION("""COMPUTED_VALUE"""),"")</f>
        <v/>
      </c>
      <c r="X507" s="72"/>
    </row>
    <row r="508">
      <c r="M508" s="34" t="s">
        <v>260</v>
      </c>
      <c r="N508" s="34" t="str">
        <f>IFERROR(__xludf.DUMMYFUNCTION("""COMPUTED_VALUE"""),"")</f>
        <v/>
      </c>
      <c r="X508" s="72"/>
    </row>
    <row r="509">
      <c r="M509" s="34" t="s">
        <v>260</v>
      </c>
      <c r="N509" s="34" t="str">
        <f>IFERROR(__xludf.DUMMYFUNCTION("""COMPUTED_VALUE"""),"")</f>
        <v/>
      </c>
      <c r="X509" s="72"/>
    </row>
    <row r="510">
      <c r="M510" s="34" t="s">
        <v>260</v>
      </c>
      <c r="N510" s="34" t="str">
        <f>IFERROR(__xludf.DUMMYFUNCTION("""COMPUTED_VALUE"""),"")</f>
        <v/>
      </c>
      <c r="X510" s="72"/>
    </row>
    <row r="511">
      <c r="M511" s="34" t="s">
        <v>260</v>
      </c>
      <c r="N511" s="34" t="str">
        <f>IFERROR(__xludf.DUMMYFUNCTION("""COMPUTED_VALUE"""),"")</f>
        <v/>
      </c>
      <c r="X511" s="72"/>
    </row>
    <row r="512">
      <c r="M512" s="34" t="s">
        <v>260</v>
      </c>
      <c r="N512" s="34" t="str">
        <f>IFERROR(__xludf.DUMMYFUNCTION("""COMPUTED_VALUE"""),"")</f>
        <v/>
      </c>
      <c r="X512" s="72"/>
    </row>
    <row r="513">
      <c r="M513" s="34" t="s">
        <v>260</v>
      </c>
      <c r="N513" s="34" t="str">
        <f>IFERROR(__xludf.DUMMYFUNCTION("""COMPUTED_VALUE"""),"")</f>
        <v/>
      </c>
      <c r="X513" s="72"/>
    </row>
    <row r="514">
      <c r="M514" s="34" t="s">
        <v>260</v>
      </c>
      <c r="N514" s="34" t="str">
        <f>IFERROR(__xludf.DUMMYFUNCTION("""COMPUTED_VALUE"""),"")</f>
        <v/>
      </c>
      <c r="X514" s="72"/>
    </row>
    <row r="515">
      <c r="M515" s="34" t="s">
        <v>260</v>
      </c>
      <c r="N515" s="34" t="str">
        <f>IFERROR(__xludf.DUMMYFUNCTION("""COMPUTED_VALUE"""),"")</f>
        <v/>
      </c>
      <c r="X515" s="72"/>
    </row>
    <row r="516">
      <c r="M516" s="34" t="s">
        <v>260</v>
      </c>
      <c r="N516" s="34" t="str">
        <f>IFERROR(__xludf.DUMMYFUNCTION("""COMPUTED_VALUE"""),"")</f>
        <v/>
      </c>
      <c r="X516" s="72"/>
    </row>
    <row r="517">
      <c r="M517" s="34" t="s">
        <v>260</v>
      </c>
      <c r="N517" s="34" t="str">
        <f>IFERROR(__xludf.DUMMYFUNCTION("""COMPUTED_VALUE"""),"")</f>
        <v/>
      </c>
      <c r="X517" s="72"/>
    </row>
    <row r="518">
      <c r="M518" s="34" t="s">
        <v>260</v>
      </c>
      <c r="N518" s="34" t="str">
        <f>IFERROR(__xludf.DUMMYFUNCTION("""COMPUTED_VALUE"""),"")</f>
        <v/>
      </c>
      <c r="X518" s="72"/>
    </row>
    <row r="519">
      <c r="M519" s="34" t="s">
        <v>260</v>
      </c>
      <c r="N519" s="34" t="str">
        <f>IFERROR(__xludf.DUMMYFUNCTION("""COMPUTED_VALUE"""),"")</f>
        <v/>
      </c>
      <c r="X519" s="72"/>
    </row>
    <row r="520">
      <c r="M520" s="34" t="s">
        <v>260</v>
      </c>
      <c r="N520" s="34" t="str">
        <f>IFERROR(__xludf.DUMMYFUNCTION("""COMPUTED_VALUE"""),"")</f>
        <v/>
      </c>
      <c r="X520" s="72"/>
    </row>
    <row r="521">
      <c r="M521" s="34" t="s">
        <v>260</v>
      </c>
      <c r="N521" s="34" t="str">
        <f>IFERROR(__xludf.DUMMYFUNCTION("""COMPUTED_VALUE"""),"")</f>
        <v/>
      </c>
      <c r="X521" s="72"/>
    </row>
    <row r="522">
      <c r="M522" s="34" t="s">
        <v>260</v>
      </c>
      <c r="N522" s="34" t="str">
        <f>IFERROR(__xludf.DUMMYFUNCTION("""COMPUTED_VALUE"""),"")</f>
        <v/>
      </c>
      <c r="X522" s="72"/>
    </row>
    <row r="523">
      <c r="M523" s="34" t="s">
        <v>260</v>
      </c>
      <c r="N523" s="34" t="str">
        <f>IFERROR(__xludf.DUMMYFUNCTION("""COMPUTED_VALUE"""),"")</f>
        <v/>
      </c>
      <c r="X523" s="72"/>
    </row>
    <row r="524">
      <c r="M524" s="34" t="s">
        <v>260</v>
      </c>
      <c r="N524" s="34" t="str">
        <f>IFERROR(__xludf.DUMMYFUNCTION("""COMPUTED_VALUE"""),"")</f>
        <v/>
      </c>
      <c r="X524" s="72"/>
    </row>
    <row r="525">
      <c r="M525" s="34" t="s">
        <v>260</v>
      </c>
      <c r="N525" s="34" t="str">
        <f>IFERROR(__xludf.DUMMYFUNCTION("""COMPUTED_VALUE"""),"")</f>
        <v/>
      </c>
      <c r="X525" s="72"/>
    </row>
    <row r="526">
      <c r="M526" s="34" t="s">
        <v>260</v>
      </c>
      <c r="N526" s="34" t="str">
        <f>IFERROR(__xludf.DUMMYFUNCTION("""COMPUTED_VALUE"""),"")</f>
        <v/>
      </c>
      <c r="X526" s="72"/>
    </row>
    <row r="527">
      <c r="M527" s="34" t="s">
        <v>260</v>
      </c>
      <c r="N527" s="34" t="str">
        <f>IFERROR(__xludf.DUMMYFUNCTION("""COMPUTED_VALUE"""),"")</f>
        <v/>
      </c>
      <c r="X527" s="72"/>
    </row>
    <row r="528">
      <c r="M528" s="34" t="s">
        <v>260</v>
      </c>
      <c r="N528" s="34" t="str">
        <f>IFERROR(__xludf.DUMMYFUNCTION("""COMPUTED_VALUE"""),"")</f>
        <v/>
      </c>
      <c r="X528" s="72"/>
    </row>
    <row r="529">
      <c r="M529" s="34" t="s">
        <v>260</v>
      </c>
      <c r="N529" s="34" t="str">
        <f>IFERROR(__xludf.DUMMYFUNCTION("""COMPUTED_VALUE"""),"")</f>
        <v/>
      </c>
      <c r="X529" s="72"/>
    </row>
    <row r="530">
      <c r="M530" s="34" t="s">
        <v>260</v>
      </c>
      <c r="N530" s="34" t="str">
        <f>IFERROR(__xludf.DUMMYFUNCTION("""COMPUTED_VALUE"""),"")</f>
        <v/>
      </c>
      <c r="X530" s="72"/>
    </row>
    <row r="531">
      <c r="M531" s="34" t="s">
        <v>260</v>
      </c>
      <c r="N531" s="34" t="str">
        <f>IFERROR(__xludf.DUMMYFUNCTION("""COMPUTED_VALUE"""),"")</f>
        <v/>
      </c>
      <c r="X531" s="72"/>
    </row>
    <row r="532">
      <c r="M532" s="34" t="s">
        <v>260</v>
      </c>
      <c r="N532" s="34" t="str">
        <f>IFERROR(__xludf.DUMMYFUNCTION("""COMPUTED_VALUE"""),"")</f>
        <v/>
      </c>
      <c r="X532" s="72"/>
    </row>
    <row r="533">
      <c r="M533" s="34" t="s">
        <v>260</v>
      </c>
      <c r="N533" s="34" t="str">
        <f>IFERROR(__xludf.DUMMYFUNCTION("""COMPUTED_VALUE"""),"")</f>
        <v/>
      </c>
      <c r="X533" s="72"/>
    </row>
    <row r="534">
      <c r="M534" s="34" t="s">
        <v>260</v>
      </c>
      <c r="N534" s="34" t="str">
        <f>IFERROR(__xludf.DUMMYFUNCTION("""COMPUTED_VALUE"""),"")</f>
        <v/>
      </c>
      <c r="X534" s="72"/>
    </row>
    <row r="535">
      <c r="M535" s="34" t="s">
        <v>260</v>
      </c>
      <c r="N535" s="34" t="str">
        <f>IFERROR(__xludf.DUMMYFUNCTION("""COMPUTED_VALUE"""),"")</f>
        <v/>
      </c>
      <c r="X535" s="72"/>
    </row>
    <row r="536">
      <c r="M536" s="34" t="s">
        <v>260</v>
      </c>
      <c r="N536" s="34" t="str">
        <f>IFERROR(__xludf.DUMMYFUNCTION("""COMPUTED_VALUE"""),"")</f>
        <v/>
      </c>
      <c r="X536" s="72"/>
    </row>
    <row r="537">
      <c r="M537" s="34" t="s">
        <v>260</v>
      </c>
      <c r="N537" s="34" t="str">
        <f>IFERROR(__xludf.DUMMYFUNCTION("""COMPUTED_VALUE"""),"")</f>
        <v/>
      </c>
      <c r="X537" s="72"/>
    </row>
    <row r="538">
      <c r="M538" s="34" t="s">
        <v>260</v>
      </c>
      <c r="N538" s="34" t="str">
        <f>IFERROR(__xludf.DUMMYFUNCTION("""COMPUTED_VALUE"""),"")</f>
        <v/>
      </c>
      <c r="X538" s="72"/>
    </row>
    <row r="539">
      <c r="M539" s="34" t="s">
        <v>260</v>
      </c>
      <c r="N539" s="34" t="str">
        <f>IFERROR(__xludf.DUMMYFUNCTION("""COMPUTED_VALUE"""),"")</f>
        <v/>
      </c>
      <c r="X539" s="72"/>
    </row>
    <row r="540">
      <c r="M540" s="34" t="s">
        <v>260</v>
      </c>
      <c r="N540" s="34" t="str">
        <f>IFERROR(__xludf.DUMMYFUNCTION("""COMPUTED_VALUE"""),"")</f>
        <v/>
      </c>
      <c r="X540" s="72"/>
    </row>
    <row r="541">
      <c r="M541" s="34" t="s">
        <v>260</v>
      </c>
      <c r="N541" s="34" t="str">
        <f>IFERROR(__xludf.DUMMYFUNCTION("""COMPUTED_VALUE"""),"")</f>
        <v/>
      </c>
      <c r="X541" s="72"/>
    </row>
    <row r="542">
      <c r="M542" s="34" t="s">
        <v>260</v>
      </c>
      <c r="N542" s="34" t="str">
        <f>IFERROR(__xludf.DUMMYFUNCTION("""COMPUTED_VALUE"""),"")</f>
        <v/>
      </c>
      <c r="X542" s="72"/>
    </row>
    <row r="543">
      <c r="M543" s="34" t="s">
        <v>260</v>
      </c>
      <c r="N543" s="34" t="str">
        <f>IFERROR(__xludf.DUMMYFUNCTION("""COMPUTED_VALUE"""),"")</f>
        <v/>
      </c>
      <c r="X543" s="72"/>
    </row>
    <row r="544">
      <c r="M544" s="34" t="s">
        <v>260</v>
      </c>
      <c r="N544" s="34" t="str">
        <f>IFERROR(__xludf.DUMMYFUNCTION("""COMPUTED_VALUE"""),"")</f>
        <v/>
      </c>
      <c r="X544" s="72"/>
    </row>
    <row r="545">
      <c r="M545" s="34" t="s">
        <v>260</v>
      </c>
      <c r="N545" s="34" t="str">
        <f>IFERROR(__xludf.DUMMYFUNCTION("""COMPUTED_VALUE"""),"")</f>
        <v/>
      </c>
      <c r="X545" s="72"/>
    </row>
    <row r="546">
      <c r="M546" s="34" t="s">
        <v>260</v>
      </c>
      <c r="N546" s="34" t="str">
        <f>IFERROR(__xludf.DUMMYFUNCTION("""COMPUTED_VALUE"""),"")</f>
        <v/>
      </c>
      <c r="X546" s="72"/>
    </row>
    <row r="547">
      <c r="M547" s="34" t="s">
        <v>260</v>
      </c>
      <c r="N547" s="34" t="str">
        <f>IFERROR(__xludf.DUMMYFUNCTION("""COMPUTED_VALUE"""),"")</f>
        <v/>
      </c>
      <c r="X547" s="72"/>
    </row>
    <row r="548">
      <c r="M548" s="34" t="s">
        <v>260</v>
      </c>
      <c r="N548" s="34" t="str">
        <f>IFERROR(__xludf.DUMMYFUNCTION("""COMPUTED_VALUE"""),"")</f>
        <v/>
      </c>
      <c r="X548" s="72"/>
    </row>
    <row r="549">
      <c r="M549" s="34" t="s">
        <v>260</v>
      </c>
      <c r="N549" s="34" t="str">
        <f>IFERROR(__xludf.DUMMYFUNCTION("""COMPUTED_VALUE"""),"")</f>
        <v/>
      </c>
      <c r="X549" s="72"/>
    </row>
    <row r="550">
      <c r="M550" s="34" t="s">
        <v>260</v>
      </c>
      <c r="N550" s="34" t="str">
        <f>IFERROR(__xludf.DUMMYFUNCTION("""COMPUTED_VALUE"""),"")</f>
        <v/>
      </c>
      <c r="X550" s="72"/>
    </row>
    <row r="551">
      <c r="M551" s="34" t="s">
        <v>260</v>
      </c>
      <c r="N551" s="34" t="str">
        <f>IFERROR(__xludf.DUMMYFUNCTION("""COMPUTED_VALUE"""),"")</f>
        <v/>
      </c>
      <c r="X551" s="72"/>
    </row>
    <row r="552">
      <c r="M552" s="34" t="s">
        <v>260</v>
      </c>
      <c r="N552" s="34" t="str">
        <f>IFERROR(__xludf.DUMMYFUNCTION("""COMPUTED_VALUE"""),"")</f>
        <v/>
      </c>
      <c r="X552" s="72"/>
    </row>
    <row r="553">
      <c r="M553" s="34" t="s">
        <v>260</v>
      </c>
      <c r="N553" s="34" t="str">
        <f>IFERROR(__xludf.DUMMYFUNCTION("""COMPUTED_VALUE"""),"")</f>
        <v/>
      </c>
      <c r="X553" s="72"/>
    </row>
    <row r="554">
      <c r="M554" s="34" t="s">
        <v>260</v>
      </c>
      <c r="N554" s="34" t="str">
        <f>IFERROR(__xludf.DUMMYFUNCTION("""COMPUTED_VALUE"""),"")</f>
        <v/>
      </c>
      <c r="X554" s="72"/>
    </row>
    <row r="555">
      <c r="M555" s="34" t="s">
        <v>260</v>
      </c>
      <c r="N555" s="34" t="str">
        <f>IFERROR(__xludf.DUMMYFUNCTION("""COMPUTED_VALUE"""),"")</f>
        <v/>
      </c>
      <c r="X555" s="72"/>
    </row>
    <row r="556">
      <c r="M556" s="34" t="s">
        <v>260</v>
      </c>
      <c r="N556" s="34" t="str">
        <f>IFERROR(__xludf.DUMMYFUNCTION("""COMPUTED_VALUE"""),"")</f>
        <v/>
      </c>
      <c r="X556" s="72"/>
    </row>
    <row r="557">
      <c r="M557" s="34" t="s">
        <v>260</v>
      </c>
      <c r="N557" s="34" t="str">
        <f>IFERROR(__xludf.DUMMYFUNCTION("""COMPUTED_VALUE"""),"")</f>
        <v/>
      </c>
      <c r="X557" s="72"/>
    </row>
    <row r="558">
      <c r="M558" s="34" t="s">
        <v>260</v>
      </c>
      <c r="N558" s="34" t="str">
        <f>IFERROR(__xludf.DUMMYFUNCTION("""COMPUTED_VALUE"""),"")</f>
        <v/>
      </c>
      <c r="X558" s="72"/>
    </row>
    <row r="559">
      <c r="M559" s="34" t="s">
        <v>260</v>
      </c>
      <c r="N559" s="34" t="str">
        <f>IFERROR(__xludf.DUMMYFUNCTION("""COMPUTED_VALUE"""),"")</f>
        <v/>
      </c>
      <c r="X559" s="72"/>
    </row>
    <row r="560">
      <c r="M560" s="34" t="s">
        <v>260</v>
      </c>
      <c r="N560" s="34" t="str">
        <f>IFERROR(__xludf.DUMMYFUNCTION("""COMPUTED_VALUE"""),"")</f>
        <v/>
      </c>
      <c r="X560" s="72"/>
    </row>
    <row r="561">
      <c r="M561" s="34" t="s">
        <v>260</v>
      </c>
      <c r="N561" s="34" t="str">
        <f>IFERROR(__xludf.DUMMYFUNCTION("""COMPUTED_VALUE"""),"")</f>
        <v/>
      </c>
      <c r="X561" s="72"/>
    </row>
    <row r="562">
      <c r="M562" s="34" t="s">
        <v>260</v>
      </c>
      <c r="N562" s="34" t="str">
        <f>IFERROR(__xludf.DUMMYFUNCTION("""COMPUTED_VALUE"""),"")</f>
        <v/>
      </c>
      <c r="X562" s="72"/>
    </row>
    <row r="563">
      <c r="M563" s="34" t="s">
        <v>260</v>
      </c>
      <c r="N563" s="34" t="str">
        <f>IFERROR(__xludf.DUMMYFUNCTION("""COMPUTED_VALUE"""),"")</f>
        <v/>
      </c>
      <c r="X563" s="72"/>
    </row>
    <row r="564">
      <c r="M564" s="34" t="s">
        <v>260</v>
      </c>
      <c r="N564" s="34" t="str">
        <f>IFERROR(__xludf.DUMMYFUNCTION("""COMPUTED_VALUE"""),"")</f>
        <v/>
      </c>
      <c r="X564" s="72"/>
    </row>
    <row r="565">
      <c r="M565" s="34" t="s">
        <v>260</v>
      </c>
      <c r="N565" s="34" t="str">
        <f>IFERROR(__xludf.DUMMYFUNCTION("""COMPUTED_VALUE"""),"")</f>
        <v/>
      </c>
      <c r="X565" s="72"/>
    </row>
    <row r="566">
      <c r="M566" s="34" t="s">
        <v>260</v>
      </c>
      <c r="N566" s="34" t="str">
        <f>IFERROR(__xludf.DUMMYFUNCTION("""COMPUTED_VALUE"""),"")</f>
        <v/>
      </c>
      <c r="X566" s="72"/>
    </row>
    <row r="567">
      <c r="M567" s="34" t="s">
        <v>260</v>
      </c>
      <c r="N567" s="34" t="str">
        <f>IFERROR(__xludf.DUMMYFUNCTION("""COMPUTED_VALUE"""),"")</f>
        <v/>
      </c>
      <c r="X567" s="72"/>
    </row>
    <row r="568">
      <c r="M568" s="34" t="s">
        <v>260</v>
      </c>
      <c r="N568" s="34" t="str">
        <f>IFERROR(__xludf.DUMMYFUNCTION("""COMPUTED_VALUE"""),"")</f>
        <v/>
      </c>
      <c r="X568" s="72"/>
    </row>
    <row r="569">
      <c r="M569" s="34" t="s">
        <v>260</v>
      </c>
      <c r="N569" s="34" t="str">
        <f>IFERROR(__xludf.DUMMYFUNCTION("""COMPUTED_VALUE"""),"")</f>
        <v/>
      </c>
      <c r="X569" s="72"/>
    </row>
    <row r="570">
      <c r="M570" s="34" t="s">
        <v>260</v>
      </c>
      <c r="N570" s="34" t="str">
        <f>IFERROR(__xludf.DUMMYFUNCTION("""COMPUTED_VALUE"""),"")</f>
        <v/>
      </c>
      <c r="X570" s="72"/>
    </row>
    <row r="571">
      <c r="M571" s="34" t="s">
        <v>260</v>
      </c>
      <c r="N571" s="34" t="str">
        <f>IFERROR(__xludf.DUMMYFUNCTION("""COMPUTED_VALUE"""),"")</f>
        <v/>
      </c>
      <c r="X571" s="72"/>
    </row>
    <row r="572">
      <c r="M572" s="34" t="s">
        <v>260</v>
      </c>
      <c r="N572" s="34" t="str">
        <f>IFERROR(__xludf.DUMMYFUNCTION("""COMPUTED_VALUE"""),"")</f>
        <v/>
      </c>
      <c r="X572" s="72"/>
    </row>
    <row r="573">
      <c r="M573" s="34" t="s">
        <v>260</v>
      </c>
      <c r="N573" s="34" t="str">
        <f>IFERROR(__xludf.DUMMYFUNCTION("""COMPUTED_VALUE"""),"")</f>
        <v/>
      </c>
      <c r="X573" s="72"/>
    </row>
    <row r="574">
      <c r="M574" s="34" t="s">
        <v>260</v>
      </c>
      <c r="N574" s="34" t="str">
        <f>IFERROR(__xludf.DUMMYFUNCTION("""COMPUTED_VALUE"""),"")</f>
        <v/>
      </c>
      <c r="X574" s="72"/>
    </row>
    <row r="575">
      <c r="M575" s="34" t="s">
        <v>260</v>
      </c>
      <c r="N575" s="34" t="str">
        <f>IFERROR(__xludf.DUMMYFUNCTION("""COMPUTED_VALUE"""),"")</f>
        <v/>
      </c>
      <c r="X575" s="72"/>
    </row>
    <row r="576">
      <c r="M576" s="34" t="s">
        <v>260</v>
      </c>
      <c r="N576" s="34" t="str">
        <f>IFERROR(__xludf.DUMMYFUNCTION("""COMPUTED_VALUE"""),"")</f>
        <v/>
      </c>
      <c r="X576" s="72"/>
    </row>
    <row r="577">
      <c r="M577" s="34" t="s">
        <v>260</v>
      </c>
      <c r="N577" s="34" t="str">
        <f>IFERROR(__xludf.DUMMYFUNCTION("""COMPUTED_VALUE"""),"")</f>
        <v/>
      </c>
      <c r="X577" s="72"/>
    </row>
    <row r="578">
      <c r="M578" s="34" t="s">
        <v>260</v>
      </c>
      <c r="N578" s="34" t="str">
        <f>IFERROR(__xludf.DUMMYFUNCTION("""COMPUTED_VALUE"""),"")</f>
        <v/>
      </c>
      <c r="X578" s="72"/>
    </row>
    <row r="579">
      <c r="M579" s="34" t="s">
        <v>260</v>
      </c>
      <c r="N579" s="34" t="str">
        <f>IFERROR(__xludf.DUMMYFUNCTION("""COMPUTED_VALUE"""),"")</f>
        <v/>
      </c>
      <c r="X579" s="72"/>
    </row>
    <row r="580">
      <c r="M580" s="34" t="s">
        <v>260</v>
      </c>
      <c r="N580" s="34" t="str">
        <f>IFERROR(__xludf.DUMMYFUNCTION("""COMPUTED_VALUE"""),"")</f>
        <v/>
      </c>
      <c r="X580" s="72"/>
    </row>
    <row r="581">
      <c r="M581" s="34" t="s">
        <v>260</v>
      </c>
      <c r="N581" s="34" t="str">
        <f>IFERROR(__xludf.DUMMYFUNCTION("""COMPUTED_VALUE"""),"")</f>
        <v/>
      </c>
      <c r="X581" s="72"/>
    </row>
    <row r="582">
      <c r="M582" s="34" t="s">
        <v>260</v>
      </c>
      <c r="N582" s="34" t="str">
        <f>IFERROR(__xludf.DUMMYFUNCTION("""COMPUTED_VALUE"""),"")</f>
        <v/>
      </c>
      <c r="X582" s="72"/>
    </row>
    <row r="583">
      <c r="M583" s="34" t="s">
        <v>260</v>
      </c>
      <c r="N583" s="34" t="str">
        <f>IFERROR(__xludf.DUMMYFUNCTION("""COMPUTED_VALUE"""),"")</f>
        <v/>
      </c>
      <c r="X583" s="72"/>
    </row>
    <row r="584">
      <c r="M584" s="34" t="s">
        <v>260</v>
      </c>
      <c r="N584" s="34" t="str">
        <f>IFERROR(__xludf.DUMMYFUNCTION("""COMPUTED_VALUE"""),"")</f>
        <v/>
      </c>
      <c r="X584" s="72"/>
    </row>
    <row r="585">
      <c r="M585" s="34" t="s">
        <v>260</v>
      </c>
      <c r="N585" s="34" t="str">
        <f>IFERROR(__xludf.DUMMYFUNCTION("""COMPUTED_VALUE"""),"")</f>
        <v/>
      </c>
      <c r="X585" s="72"/>
    </row>
    <row r="586">
      <c r="M586" s="34" t="s">
        <v>260</v>
      </c>
      <c r="N586" s="34" t="str">
        <f>IFERROR(__xludf.DUMMYFUNCTION("""COMPUTED_VALUE"""),"")</f>
        <v/>
      </c>
      <c r="X586" s="72"/>
    </row>
    <row r="587">
      <c r="M587" s="34" t="s">
        <v>260</v>
      </c>
      <c r="N587" s="34" t="str">
        <f>IFERROR(__xludf.DUMMYFUNCTION("""COMPUTED_VALUE"""),"")</f>
        <v/>
      </c>
      <c r="X587" s="72"/>
    </row>
    <row r="588">
      <c r="M588" s="34" t="s">
        <v>260</v>
      </c>
      <c r="N588" s="34" t="str">
        <f>IFERROR(__xludf.DUMMYFUNCTION("""COMPUTED_VALUE"""),"")</f>
        <v/>
      </c>
      <c r="X588" s="72"/>
    </row>
    <row r="589">
      <c r="M589" s="34" t="s">
        <v>260</v>
      </c>
      <c r="N589" s="34" t="str">
        <f>IFERROR(__xludf.DUMMYFUNCTION("""COMPUTED_VALUE"""),"")</f>
        <v/>
      </c>
      <c r="X589" s="72"/>
    </row>
    <row r="590">
      <c r="M590" s="34" t="s">
        <v>260</v>
      </c>
      <c r="N590" s="34" t="str">
        <f>IFERROR(__xludf.DUMMYFUNCTION("""COMPUTED_VALUE"""),"")</f>
        <v/>
      </c>
      <c r="X590" s="72"/>
    </row>
    <row r="591">
      <c r="M591" s="34" t="s">
        <v>260</v>
      </c>
      <c r="N591" s="34" t="str">
        <f>IFERROR(__xludf.DUMMYFUNCTION("""COMPUTED_VALUE"""),"")</f>
        <v/>
      </c>
      <c r="X591" s="72"/>
    </row>
    <row r="592">
      <c r="M592" s="34" t="s">
        <v>260</v>
      </c>
      <c r="N592" s="34" t="str">
        <f>IFERROR(__xludf.DUMMYFUNCTION("""COMPUTED_VALUE"""),"")</f>
        <v/>
      </c>
      <c r="X592" s="72"/>
    </row>
    <row r="593">
      <c r="M593" s="34" t="s">
        <v>260</v>
      </c>
      <c r="N593" s="34" t="str">
        <f>IFERROR(__xludf.DUMMYFUNCTION("""COMPUTED_VALUE"""),"")</f>
        <v/>
      </c>
      <c r="X593" s="72"/>
    </row>
    <row r="594">
      <c r="M594" s="34" t="s">
        <v>260</v>
      </c>
      <c r="N594" s="34" t="str">
        <f>IFERROR(__xludf.DUMMYFUNCTION("""COMPUTED_VALUE"""),"")</f>
        <v/>
      </c>
      <c r="X594" s="72"/>
    </row>
    <row r="595">
      <c r="M595" s="34" t="s">
        <v>260</v>
      </c>
      <c r="N595" s="34" t="str">
        <f>IFERROR(__xludf.DUMMYFUNCTION("""COMPUTED_VALUE"""),"")</f>
        <v/>
      </c>
      <c r="X595" s="72"/>
    </row>
    <row r="596">
      <c r="M596" s="34" t="s">
        <v>260</v>
      </c>
      <c r="N596" s="34" t="str">
        <f>IFERROR(__xludf.DUMMYFUNCTION("""COMPUTED_VALUE"""),"")</f>
        <v/>
      </c>
      <c r="X596" s="72"/>
    </row>
    <row r="597">
      <c r="M597" s="34" t="s">
        <v>260</v>
      </c>
      <c r="N597" s="34" t="str">
        <f>IFERROR(__xludf.DUMMYFUNCTION("""COMPUTED_VALUE"""),"")</f>
        <v/>
      </c>
      <c r="X597" s="72"/>
    </row>
    <row r="598">
      <c r="M598" s="34" t="s">
        <v>260</v>
      </c>
      <c r="N598" s="34" t="str">
        <f>IFERROR(__xludf.DUMMYFUNCTION("""COMPUTED_VALUE"""),"")</f>
        <v/>
      </c>
      <c r="X598" s="72"/>
    </row>
    <row r="599">
      <c r="M599" s="34" t="s">
        <v>260</v>
      </c>
      <c r="N599" s="34" t="str">
        <f>IFERROR(__xludf.DUMMYFUNCTION("""COMPUTED_VALUE"""),"")</f>
        <v/>
      </c>
      <c r="X599" s="72"/>
    </row>
    <row r="600">
      <c r="M600" s="34" t="s">
        <v>260</v>
      </c>
      <c r="N600" s="34" t="str">
        <f>IFERROR(__xludf.DUMMYFUNCTION("""COMPUTED_VALUE"""),"")</f>
        <v/>
      </c>
      <c r="X600" s="72"/>
    </row>
    <row r="601">
      <c r="M601" s="34" t="s">
        <v>260</v>
      </c>
      <c r="N601" s="34" t="str">
        <f>IFERROR(__xludf.DUMMYFUNCTION("""COMPUTED_VALUE"""),"")</f>
        <v/>
      </c>
      <c r="X601" s="72"/>
    </row>
    <row r="602">
      <c r="M602" s="34" t="s">
        <v>260</v>
      </c>
      <c r="N602" s="34" t="str">
        <f>IFERROR(__xludf.DUMMYFUNCTION("""COMPUTED_VALUE"""),"")</f>
        <v/>
      </c>
      <c r="X602" s="72"/>
    </row>
    <row r="603">
      <c r="M603" s="34" t="s">
        <v>260</v>
      </c>
      <c r="N603" s="34" t="str">
        <f>IFERROR(__xludf.DUMMYFUNCTION("""COMPUTED_VALUE"""),"")</f>
        <v/>
      </c>
      <c r="X603" s="72"/>
    </row>
    <row r="604">
      <c r="M604" s="34" t="s">
        <v>260</v>
      </c>
      <c r="N604" s="34" t="str">
        <f>IFERROR(__xludf.DUMMYFUNCTION("""COMPUTED_VALUE"""),"")</f>
        <v/>
      </c>
      <c r="X604" s="72"/>
    </row>
    <row r="605">
      <c r="M605" s="34" t="s">
        <v>260</v>
      </c>
      <c r="N605" s="34" t="str">
        <f>IFERROR(__xludf.DUMMYFUNCTION("""COMPUTED_VALUE"""),"")</f>
        <v/>
      </c>
      <c r="X605" s="72"/>
    </row>
    <row r="606">
      <c r="M606" s="34" t="s">
        <v>260</v>
      </c>
      <c r="N606" s="34" t="str">
        <f>IFERROR(__xludf.DUMMYFUNCTION("""COMPUTED_VALUE"""),"")</f>
        <v/>
      </c>
      <c r="X606" s="72"/>
    </row>
    <row r="607">
      <c r="M607" s="34" t="s">
        <v>260</v>
      </c>
      <c r="N607" s="34" t="str">
        <f>IFERROR(__xludf.DUMMYFUNCTION("""COMPUTED_VALUE"""),"")</f>
        <v/>
      </c>
      <c r="X607" s="72"/>
    </row>
    <row r="608">
      <c r="M608" s="34" t="s">
        <v>260</v>
      </c>
      <c r="N608" s="34" t="str">
        <f>IFERROR(__xludf.DUMMYFUNCTION("""COMPUTED_VALUE"""),"")</f>
        <v/>
      </c>
      <c r="X608" s="72"/>
    </row>
    <row r="609">
      <c r="M609" s="34" t="s">
        <v>260</v>
      </c>
      <c r="N609" s="34" t="str">
        <f>IFERROR(__xludf.DUMMYFUNCTION("""COMPUTED_VALUE"""),"")</f>
        <v/>
      </c>
      <c r="X609" s="72"/>
    </row>
    <row r="610">
      <c r="M610" s="34" t="s">
        <v>260</v>
      </c>
      <c r="N610" s="34" t="str">
        <f>IFERROR(__xludf.DUMMYFUNCTION("""COMPUTED_VALUE"""),"")</f>
        <v/>
      </c>
      <c r="X610" s="72"/>
    </row>
    <row r="611">
      <c r="M611" s="34" t="s">
        <v>260</v>
      </c>
      <c r="N611" s="34" t="str">
        <f>IFERROR(__xludf.DUMMYFUNCTION("""COMPUTED_VALUE"""),"")</f>
        <v/>
      </c>
      <c r="X611" s="72"/>
    </row>
    <row r="612">
      <c r="M612" s="34" t="s">
        <v>260</v>
      </c>
      <c r="N612" s="34" t="str">
        <f>IFERROR(__xludf.DUMMYFUNCTION("""COMPUTED_VALUE"""),"")</f>
        <v/>
      </c>
      <c r="X612" s="72"/>
    </row>
    <row r="613">
      <c r="M613" s="34" t="s">
        <v>260</v>
      </c>
      <c r="N613" s="34" t="str">
        <f>IFERROR(__xludf.DUMMYFUNCTION("""COMPUTED_VALUE"""),"")</f>
        <v/>
      </c>
      <c r="X613" s="72"/>
    </row>
    <row r="614">
      <c r="M614" s="34" t="s">
        <v>260</v>
      </c>
      <c r="N614" s="34" t="str">
        <f>IFERROR(__xludf.DUMMYFUNCTION("""COMPUTED_VALUE"""),"")</f>
        <v/>
      </c>
      <c r="X614" s="72"/>
    </row>
    <row r="615">
      <c r="M615" s="34" t="s">
        <v>260</v>
      </c>
      <c r="N615" s="34" t="str">
        <f>IFERROR(__xludf.DUMMYFUNCTION("""COMPUTED_VALUE"""),"")</f>
        <v/>
      </c>
      <c r="X615" s="72"/>
    </row>
    <row r="616">
      <c r="M616" s="34" t="s">
        <v>260</v>
      </c>
      <c r="N616" s="34" t="str">
        <f>IFERROR(__xludf.DUMMYFUNCTION("""COMPUTED_VALUE"""),"")</f>
        <v/>
      </c>
      <c r="X616" s="72"/>
    </row>
    <row r="617">
      <c r="M617" s="34" t="s">
        <v>260</v>
      </c>
      <c r="N617" s="34" t="str">
        <f>IFERROR(__xludf.DUMMYFUNCTION("""COMPUTED_VALUE"""),"")</f>
        <v/>
      </c>
      <c r="X617" s="72"/>
    </row>
    <row r="618">
      <c r="M618" s="34" t="s">
        <v>260</v>
      </c>
      <c r="N618" s="34" t="str">
        <f>IFERROR(__xludf.DUMMYFUNCTION("""COMPUTED_VALUE"""),"")</f>
        <v/>
      </c>
      <c r="X618" s="72"/>
    </row>
    <row r="619">
      <c r="M619" s="34" t="s">
        <v>260</v>
      </c>
      <c r="N619" s="34" t="str">
        <f>IFERROR(__xludf.DUMMYFUNCTION("""COMPUTED_VALUE"""),"")</f>
        <v/>
      </c>
      <c r="X619" s="72"/>
    </row>
    <row r="620">
      <c r="M620" s="34" t="s">
        <v>260</v>
      </c>
      <c r="N620" s="34" t="str">
        <f>IFERROR(__xludf.DUMMYFUNCTION("""COMPUTED_VALUE"""),"")</f>
        <v/>
      </c>
      <c r="X620" s="72"/>
    </row>
    <row r="621">
      <c r="M621" s="34" t="s">
        <v>260</v>
      </c>
      <c r="N621" s="34" t="str">
        <f>IFERROR(__xludf.DUMMYFUNCTION("""COMPUTED_VALUE"""),"")</f>
        <v/>
      </c>
      <c r="X621" s="72"/>
    </row>
    <row r="622">
      <c r="M622" s="34" t="s">
        <v>260</v>
      </c>
      <c r="N622" s="34" t="str">
        <f>IFERROR(__xludf.DUMMYFUNCTION("""COMPUTED_VALUE"""),"")</f>
        <v/>
      </c>
      <c r="X622" s="72"/>
    </row>
    <row r="623">
      <c r="M623" s="34" t="s">
        <v>260</v>
      </c>
      <c r="N623" s="34" t="str">
        <f>IFERROR(__xludf.DUMMYFUNCTION("""COMPUTED_VALUE"""),"")</f>
        <v/>
      </c>
      <c r="X623" s="72"/>
    </row>
    <row r="624">
      <c r="M624" s="34" t="s">
        <v>260</v>
      </c>
      <c r="N624" s="34" t="str">
        <f>IFERROR(__xludf.DUMMYFUNCTION("""COMPUTED_VALUE"""),"")</f>
        <v/>
      </c>
      <c r="X624" s="72"/>
    </row>
    <row r="625">
      <c r="M625" s="34" t="s">
        <v>260</v>
      </c>
      <c r="N625" s="34" t="str">
        <f>IFERROR(__xludf.DUMMYFUNCTION("""COMPUTED_VALUE"""),"")</f>
        <v/>
      </c>
      <c r="X625" s="72"/>
    </row>
    <row r="626">
      <c r="M626" s="34" t="s">
        <v>260</v>
      </c>
      <c r="N626" s="34" t="str">
        <f>IFERROR(__xludf.DUMMYFUNCTION("""COMPUTED_VALUE"""),"")</f>
        <v/>
      </c>
      <c r="X626" s="72"/>
    </row>
    <row r="627">
      <c r="M627" s="34" t="s">
        <v>260</v>
      </c>
      <c r="N627" s="34" t="str">
        <f>IFERROR(__xludf.DUMMYFUNCTION("""COMPUTED_VALUE"""),"")</f>
        <v/>
      </c>
      <c r="X627" s="72"/>
    </row>
    <row r="628">
      <c r="M628" s="34" t="s">
        <v>260</v>
      </c>
      <c r="N628" s="34" t="str">
        <f>IFERROR(__xludf.DUMMYFUNCTION("""COMPUTED_VALUE"""),"")</f>
        <v/>
      </c>
      <c r="X628" s="72"/>
    </row>
    <row r="629">
      <c r="M629" s="34" t="s">
        <v>260</v>
      </c>
      <c r="N629" s="34" t="str">
        <f>IFERROR(__xludf.DUMMYFUNCTION("""COMPUTED_VALUE"""),"")</f>
        <v/>
      </c>
      <c r="X629" s="72"/>
    </row>
    <row r="630">
      <c r="M630" s="34" t="s">
        <v>260</v>
      </c>
      <c r="N630" s="34" t="str">
        <f>IFERROR(__xludf.DUMMYFUNCTION("""COMPUTED_VALUE"""),"")</f>
        <v/>
      </c>
      <c r="X630" s="72"/>
    </row>
    <row r="631">
      <c r="M631" s="34" t="s">
        <v>260</v>
      </c>
      <c r="N631" s="34" t="str">
        <f>IFERROR(__xludf.DUMMYFUNCTION("""COMPUTED_VALUE"""),"")</f>
        <v/>
      </c>
      <c r="X631" s="72"/>
    </row>
    <row r="632">
      <c r="M632" s="34" t="s">
        <v>260</v>
      </c>
      <c r="N632" s="34" t="str">
        <f>IFERROR(__xludf.DUMMYFUNCTION("""COMPUTED_VALUE"""),"")</f>
        <v/>
      </c>
      <c r="X632" s="72"/>
    </row>
    <row r="633">
      <c r="M633" s="34" t="s">
        <v>260</v>
      </c>
      <c r="N633" s="34" t="str">
        <f>IFERROR(__xludf.DUMMYFUNCTION("""COMPUTED_VALUE"""),"")</f>
        <v/>
      </c>
      <c r="X633" s="72"/>
    </row>
    <row r="634">
      <c r="M634" s="34" t="s">
        <v>260</v>
      </c>
      <c r="N634" s="34" t="str">
        <f>IFERROR(__xludf.DUMMYFUNCTION("""COMPUTED_VALUE"""),"")</f>
        <v/>
      </c>
      <c r="X634" s="72"/>
    </row>
    <row r="635">
      <c r="M635" s="34" t="s">
        <v>260</v>
      </c>
      <c r="N635" s="34" t="str">
        <f>IFERROR(__xludf.DUMMYFUNCTION("""COMPUTED_VALUE"""),"")</f>
        <v/>
      </c>
      <c r="X635" s="72"/>
    </row>
    <row r="636">
      <c r="M636" s="34" t="s">
        <v>260</v>
      </c>
      <c r="N636" s="34" t="str">
        <f>IFERROR(__xludf.DUMMYFUNCTION("""COMPUTED_VALUE"""),"")</f>
        <v/>
      </c>
      <c r="X636" s="72"/>
    </row>
    <row r="637">
      <c r="M637" s="34" t="s">
        <v>260</v>
      </c>
      <c r="N637" s="34" t="str">
        <f>IFERROR(__xludf.DUMMYFUNCTION("""COMPUTED_VALUE"""),"")</f>
        <v/>
      </c>
      <c r="X637" s="72"/>
    </row>
    <row r="638">
      <c r="M638" s="34" t="s">
        <v>260</v>
      </c>
      <c r="N638" s="34" t="str">
        <f>IFERROR(__xludf.DUMMYFUNCTION("""COMPUTED_VALUE"""),"")</f>
        <v/>
      </c>
      <c r="X638" s="72"/>
    </row>
    <row r="639">
      <c r="M639" s="34" t="s">
        <v>260</v>
      </c>
      <c r="N639" s="34" t="str">
        <f>IFERROR(__xludf.DUMMYFUNCTION("""COMPUTED_VALUE"""),"")</f>
        <v/>
      </c>
      <c r="X639" s="72"/>
    </row>
    <row r="640">
      <c r="M640" s="34" t="s">
        <v>260</v>
      </c>
      <c r="N640" s="34" t="str">
        <f>IFERROR(__xludf.DUMMYFUNCTION("""COMPUTED_VALUE"""),"")</f>
        <v/>
      </c>
      <c r="X640" s="72"/>
    </row>
    <row r="641">
      <c r="M641" s="34" t="s">
        <v>260</v>
      </c>
      <c r="N641" s="34" t="str">
        <f>IFERROR(__xludf.DUMMYFUNCTION("""COMPUTED_VALUE"""),"")</f>
        <v/>
      </c>
      <c r="X641" s="72"/>
    </row>
    <row r="642">
      <c r="M642" s="34" t="s">
        <v>260</v>
      </c>
      <c r="N642" s="34" t="str">
        <f>IFERROR(__xludf.DUMMYFUNCTION("""COMPUTED_VALUE"""),"")</f>
        <v/>
      </c>
      <c r="X642" s="72"/>
    </row>
    <row r="643">
      <c r="M643" s="34" t="s">
        <v>260</v>
      </c>
      <c r="N643" s="34" t="str">
        <f>IFERROR(__xludf.DUMMYFUNCTION("""COMPUTED_VALUE"""),"")</f>
        <v/>
      </c>
      <c r="X643" s="72"/>
    </row>
    <row r="644">
      <c r="M644" s="34" t="s">
        <v>260</v>
      </c>
      <c r="N644" s="34" t="str">
        <f>IFERROR(__xludf.DUMMYFUNCTION("""COMPUTED_VALUE"""),"")</f>
        <v/>
      </c>
      <c r="X644" s="72"/>
    </row>
    <row r="645">
      <c r="M645" s="34" t="s">
        <v>260</v>
      </c>
      <c r="N645" s="34" t="str">
        <f>IFERROR(__xludf.DUMMYFUNCTION("""COMPUTED_VALUE"""),"")</f>
        <v/>
      </c>
      <c r="X645" s="72"/>
    </row>
    <row r="646">
      <c r="M646" s="34" t="s">
        <v>260</v>
      </c>
      <c r="N646" s="34" t="str">
        <f>IFERROR(__xludf.DUMMYFUNCTION("""COMPUTED_VALUE"""),"")</f>
        <v/>
      </c>
      <c r="X646" s="72"/>
    </row>
    <row r="647">
      <c r="M647" s="34" t="s">
        <v>260</v>
      </c>
      <c r="N647" s="34" t="str">
        <f>IFERROR(__xludf.DUMMYFUNCTION("""COMPUTED_VALUE"""),"")</f>
        <v/>
      </c>
      <c r="X647" s="72"/>
    </row>
    <row r="648">
      <c r="M648" s="34" t="s">
        <v>260</v>
      </c>
      <c r="N648" s="34" t="str">
        <f>IFERROR(__xludf.DUMMYFUNCTION("""COMPUTED_VALUE"""),"")</f>
        <v/>
      </c>
      <c r="X648" s="72"/>
    </row>
    <row r="649">
      <c r="M649" s="34" t="s">
        <v>260</v>
      </c>
      <c r="N649" s="34" t="str">
        <f>IFERROR(__xludf.DUMMYFUNCTION("""COMPUTED_VALUE"""),"")</f>
        <v/>
      </c>
      <c r="X649" s="72"/>
    </row>
    <row r="650">
      <c r="M650" s="34" t="s">
        <v>260</v>
      </c>
      <c r="N650" s="34" t="str">
        <f>IFERROR(__xludf.DUMMYFUNCTION("""COMPUTED_VALUE"""),"")</f>
        <v/>
      </c>
      <c r="X650" s="72"/>
    </row>
    <row r="651">
      <c r="M651" s="34" t="s">
        <v>260</v>
      </c>
      <c r="N651" s="34" t="str">
        <f>IFERROR(__xludf.DUMMYFUNCTION("""COMPUTED_VALUE"""),"")</f>
        <v/>
      </c>
      <c r="X651" s="72"/>
    </row>
    <row r="652">
      <c r="M652" s="34" t="s">
        <v>260</v>
      </c>
      <c r="N652" s="34" t="str">
        <f>IFERROR(__xludf.DUMMYFUNCTION("""COMPUTED_VALUE"""),"")</f>
        <v/>
      </c>
      <c r="X652" s="72"/>
    </row>
    <row r="653">
      <c r="M653" s="34" t="s">
        <v>260</v>
      </c>
      <c r="N653" s="34" t="str">
        <f>IFERROR(__xludf.DUMMYFUNCTION("""COMPUTED_VALUE"""),"")</f>
        <v/>
      </c>
      <c r="X653" s="72"/>
    </row>
    <row r="654">
      <c r="M654" s="34" t="s">
        <v>260</v>
      </c>
      <c r="N654" s="34" t="str">
        <f>IFERROR(__xludf.DUMMYFUNCTION("""COMPUTED_VALUE"""),"")</f>
        <v/>
      </c>
      <c r="X654" s="72"/>
    </row>
    <row r="655">
      <c r="M655" s="34" t="s">
        <v>260</v>
      </c>
      <c r="N655" s="34" t="str">
        <f>IFERROR(__xludf.DUMMYFUNCTION("""COMPUTED_VALUE"""),"")</f>
        <v/>
      </c>
      <c r="X655" s="72"/>
    </row>
    <row r="656">
      <c r="M656" s="34" t="s">
        <v>260</v>
      </c>
      <c r="N656" s="34" t="str">
        <f>IFERROR(__xludf.DUMMYFUNCTION("""COMPUTED_VALUE"""),"")</f>
        <v/>
      </c>
      <c r="X656" s="72"/>
    </row>
    <row r="657">
      <c r="M657" s="34" t="s">
        <v>260</v>
      </c>
      <c r="N657" s="34" t="str">
        <f>IFERROR(__xludf.DUMMYFUNCTION("""COMPUTED_VALUE"""),"")</f>
        <v/>
      </c>
      <c r="X657" s="72"/>
    </row>
    <row r="658">
      <c r="M658" s="34" t="s">
        <v>260</v>
      </c>
      <c r="N658" s="34" t="str">
        <f>IFERROR(__xludf.DUMMYFUNCTION("""COMPUTED_VALUE"""),"")</f>
        <v/>
      </c>
      <c r="X658" s="72"/>
    </row>
    <row r="659">
      <c r="M659" s="34" t="s">
        <v>260</v>
      </c>
      <c r="N659" s="34" t="str">
        <f>IFERROR(__xludf.DUMMYFUNCTION("""COMPUTED_VALUE"""),"")</f>
        <v/>
      </c>
      <c r="X659" s="72"/>
    </row>
    <row r="660">
      <c r="M660" s="34" t="s">
        <v>260</v>
      </c>
      <c r="N660" s="34" t="str">
        <f>IFERROR(__xludf.DUMMYFUNCTION("""COMPUTED_VALUE"""),"")</f>
        <v/>
      </c>
      <c r="X660" s="72"/>
    </row>
    <row r="661">
      <c r="M661" s="34" t="s">
        <v>260</v>
      </c>
      <c r="N661" s="34" t="str">
        <f>IFERROR(__xludf.DUMMYFUNCTION("""COMPUTED_VALUE"""),"")</f>
        <v/>
      </c>
      <c r="X661" s="72"/>
    </row>
    <row r="662">
      <c r="M662" s="34" t="s">
        <v>260</v>
      </c>
      <c r="N662" s="34" t="str">
        <f>IFERROR(__xludf.DUMMYFUNCTION("""COMPUTED_VALUE"""),"")</f>
        <v/>
      </c>
      <c r="X662" s="72"/>
    </row>
    <row r="663">
      <c r="M663" s="34" t="s">
        <v>260</v>
      </c>
      <c r="N663" s="34" t="str">
        <f>IFERROR(__xludf.DUMMYFUNCTION("""COMPUTED_VALUE"""),"")</f>
        <v/>
      </c>
      <c r="X663" s="72"/>
    </row>
    <row r="664">
      <c r="M664" s="34" t="s">
        <v>260</v>
      </c>
      <c r="N664" s="34" t="str">
        <f>IFERROR(__xludf.DUMMYFUNCTION("""COMPUTED_VALUE"""),"")</f>
        <v/>
      </c>
      <c r="X664" s="72"/>
    </row>
    <row r="665">
      <c r="M665" s="34" t="s">
        <v>260</v>
      </c>
      <c r="N665" s="34" t="str">
        <f>IFERROR(__xludf.DUMMYFUNCTION("""COMPUTED_VALUE"""),"")</f>
        <v/>
      </c>
      <c r="X665" s="72"/>
    </row>
    <row r="666">
      <c r="M666" s="34" t="s">
        <v>260</v>
      </c>
      <c r="N666" s="34" t="str">
        <f>IFERROR(__xludf.DUMMYFUNCTION("""COMPUTED_VALUE"""),"")</f>
        <v/>
      </c>
      <c r="X666" s="72"/>
    </row>
    <row r="667">
      <c r="M667" s="34" t="s">
        <v>260</v>
      </c>
      <c r="N667" s="34" t="str">
        <f>IFERROR(__xludf.DUMMYFUNCTION("""COMPUTED_VALUE"""),"")</f>
        <v/>
      </c>
      <c r="X667" s="72"/>
    </row>
    <row r="668">
      <c r="M668" s="34" t="s">
        <v>260</v>
      </c>
      <c r="N668" s="34" t="str">
        <f>IFERROR(__xludf.DUMMYFUNCTION("""COMPUTED_VALUE"""),"")</f>
        <v/>
      </c>
      <c r="X668" s="72"/>
    </row>
    <row r="669">
      <c r="M669" s="34" t="s">
        <v>260</v>
      </c>
      <c r="N669" s="34" t="str">
        <f>IFERROR(__xludf.DUMMYFUNCTION("""COMPUTED_VALUE"""),"")</f>
        <v/>
      </c>
      <c r="X669" s="72"/>
    </row>
    <row r="670">
      <c r="M670" s="34" t="s">
        <v>260</v>
      </c>
      <c r="N670" s="34" t="str">
        <f>IFERROR(__xludf.DUMMYFUNCTION("""COMPUTED_VALUE"""),"")</f>
        <v/>
      </c>
      <c r="X670" s="72"/>
    </row>
    <row r="671">
      <c r="M671" s="34" t="s">
        <v>260</v>
      </c>
      <c r="N671" s="34" t="str">
        <f>IFERROR(__xludf.DUMMYFUNCTION("""COMPUTED_VALUE"""),"")</f>
        <v/>
      </c>
      <c r="X671" s="72"/>
    </row>
    <row r="672">
      <c r="M672" s="34" t="s">
        <v>260</v>
      </c>
      <c r="N672" s="34" t="str">
        <f>IFERROR(__xludf.DUMMYFUNCTION("""COMPUTED_VALUE"""),"")</f>
        <v/>
      </c>
      <c r="X672" s="72"/>
    </row>
    <row r="673">
      <c r="M673" s="34" t="s">
        <v>260</v>
      </c>
      <c r="N673" s="34" t="str">
        <f>IFERROR(__xludf.DUMMYFUNCTION("""COMPUTED_VALUE"""),"")</f>
        <v/>
      </c>
      <c r="X673" s="72"/>
    </row>
    <row r="674">
      <c r="M674" s="34" t="s">
        <v>260</v>
      </c>
      <c r="N674" s="34" t="str">
        <f>IFERROR(__xludf.DUMMYFUNCTION("""COMPUTED_VALUE"""),"")</f>
        <v/>
      </c>
      <c r="X674" s="72"/>
    </row>
    <row r="675">
      <c r="M675" s="34" t="s">
        <v>260</v>
      </c>
      <c r="N675" s="34" t="str">
        <f>IFERROR(__xludf.DUMMYFUNCTION("""COMPUTED_VALUE"""),"")</f>
        <v/>
      </c>
      <c r="X675" s="72"/>
    </row>
    <row r="676">
      <c r="M676" s="34" t="s">
        <v>260</v>
      </c>
      <c r="N676" s="34" t="str">
        <f>IFERROR(__xludf.DUMMYFUNCTION("""COMPUTED_VALUE"""),"")</f>
        <v/>
      </c>
      <c r="X676" s="72"/>
    </row>
    <row r="677">
      <c r="M677" s="34" t="s">
        <v>260</v>
      </c>
      <c r="N677" s="34" t="str">
        <f>IFERROR(__xludf.DUMMYFUNCTION("""COMPUTED_VALUE"""),"")</f>
        <v/>
      </c>
      <c r="X677" s="72"/>
    </row>
    <row r="678">
      <c r="M678" s="34" t="s">
        <v>260</v>
      </c>
      <c r="N678" s="34" t="str">
        <f>IFERROR(__xludf.DUMMYFUNCTION("""COMPUTED_VALUE"""),"")</f>
        <v/>
      </c>
      <c r="X678" s="72"/>
    </row>
    <row r="679">
      <c r="M679" s="34" t="s">
        <v>260</v>
      </c>
      <c r="N679" s="34" t="str">
        <f>IFERROR(__xludf.DUMMYFUNCTION("""COMPUTED_VALUE"""),"")</f>
        <v/>
      </c>
      <c r="X679" s="72"/>
    </row>
    <row r="680">
      <c r="M680" s="34" t="s">
        <v>260</v>
      </c>
      <c r="N680" s="34" t="str">
        <f>IFERROR(__xludf.DUMMYFUNCTION("""COMPUTED_VALUE"""),"")</f>
        <v/>
      </c>
      <c r="X680" s="72"/>
    </row>
    <row r="681">
      <c r="M681" s="34" t="s">
        <v>260</v>
      </c>
      <c r="N681" s="34" t="str">
        <f>IFERROR(__xludf.DUMMYFUNCTION("""COMPUTED_VALUE"""),"")</f>
        <v/>
      </c>
      <c r="X681" s="72"/>
    </row>
    <row r="682">
      <c r="M682" s="34" t="s">
        <v>260</v>
      </c>
      <c r="N682" s="34" t="str">
        <f>IFERROR(__xludf.DUMMYFUNCTION("""COMPUTED_VALUE"""),"")</f>
        <v/>
      </c>
      <c r="X682" s="72"/>
    </row>
    <row r="683">
      <c r="M683" s="34" t="s">
        <v>260</v>
      </c>
      <c r="N683" s="34" t="str">
        <f>IFERROR(__xludf.DUMMYFUNCTION("""COMPUTED_VALUE"""),"")</f>
        <v/>
      </c>
      <c r="X683" s="72"/>
    </row>
    <row r="684">
      <c r="M684" s="34" t="s">
        <v>260</v>
      </c>
      <c r="N684" s="34" t="str">
        <f>IFERROR(__xludf.DUMMYFUNCTION("""COMPUTED_VALUE"""),"")</f>
        <v/>
      </c>
      <c r="X684" s="72"/>
    </row>
    <row r="685">
      <c r="M685" s="34" t="s">
        <v>260</v>
      </c>
      <c r="N685" s="34" t="str">
        <f>IFERROR(__xludf.DUMMYFUNCTION("""COMPUTED_VALUE"""),"")</f>
        <v/>
      </c>
      <c r="X685" s="72"/>
    </row>
    <row r="686">
      <c r="M686" s="34" t="s">
        <v>260</v>
      </c>
      <c r="N686" s="34" t="str">
        <f>IFERROR(__xludf.DUMMYFUNCTION("""COMPUTED_VALUE"""),"")</f>
        <v/>
      </c>
      <c r="X686" s="72"/>
    </row>
    <row r="687">
      <c r="M687" s="34" t="s">
        <v>260</v>
      </c>
      <c r="N687" s="34" t="str">
        <f>IFERROR(__xludf.DUMMYFUNCTION("""COMPUTED_VALUE"""),"")</f>
        <v/>
      </c>
      <c r="X687" s="72"/>
    </row>
    <row r="688">
      <c r="M688" s="34" t="s">
        <v>260</v>
      </c>
      <c r="N688" s="34" t="str">
        <f>IFERROR(__xludf.DUMMYFUNCTION("""COMPUTED_VALUE"""),"")</f>
        <v/>
      </c>
      <c r="X688" s="72"/>
    </row>
    <row r="689">
      <c r="M689" s="34" t="s">
        <v>260</v>
      </c>
      <c r="N689" s="34" t="str">
        <f>IFERROR(__xludf.DUMMYFUNCTION("""COMPUTED_VALUE"""),"")</f>
        <v/>
      </c>
      <c r="X689" s="72"/>
    </row>
    <row r="690">
      <c r="M690" s="34" t="s">
        <v>260</v>
      </c>
      <c r="N690" s="34" t="str">
        <f>IFERROR(__xludf.DUMMYFUNCTION("""COMPUTED_VALUE"""),"")</f>
        <v/>
      </c>
      <c r="X690" s="72"/>
    </row>
    <row r="691">
      <c r="M691" s="34" t="s">
        <v>260</v>
      </c>
      <c r="N691" s="34" t="str">
        <f>IFERROR(__xludf.DUMMYFUNCTION("""COMPUTED_VALUE"""),"")</f>
        <v/>
      </c>
      <c r="X691" s="72"/>
    </row>
    <row r="692">
      <c r="M692" s="34" t="s">
        <v>260</v>
      </c>
      <c r="N692" s="34" t="str">
        <f>IFERROR(__xludf.DUMMYFUNCTION("""COMPUTED_VALUE"""),"")</f>
        <v/>
      </c>
      <c r="X692" s="72"/>
    </row>
    <row r="693">
      <c r="M693" s="34" t="s">
        <v>260</v>
      </c>
      <c r="N693" s="34" t="str">
        <f>IFERROR(__xludf.DUMMYFUNCTION("""COMPUTED_VALUE"""),"")</f>
        <v/>
      </c>
      <c r="X693" s="72"/>
    </row>
    <row r="694">
      <c r="M694" s="34" t="s">
        <v>260</v>
      </c>
      <c r="N694" s="34" t="str">
        <f>IFERROR(__xludf.DUMMYFUNCTION("""COMPUTED_VALUE"""),"")</f>
        <v/>
      </c>
      <c r="X694" s="72"/>
    </row>
    <row r="695">
      <c r="M695" s="34" t="s">
        <v>260</v>
      </c>
      <c r="N695" s="34" t="str">
        <f>IFERROR(__xludf.DUMMYFUNCTION("""COMPUTED_VALUE"""),"")</f>
        <v/>
      </c>
      <c r="X695" s="72"/>
    </row>
    <row r="696">
      <c r="M696" s="34" t="s">
        <v>260</v>
      </c>
      <c r="N696" s="34" t="str">
        <f>IFERROR(__xludf.DUMMYFUNCTION("""COMPUTED_VALUE"""),"")</f>
        <v/>
      </c>
      <c r="X696" s="72"/>
    </row>
    <row r="697">
      <c r="M697" s="34" t="s">
        <v>260</v>
      </c>
      <c r="N697" s="34" t="str">
        <f>IFERROR(__xludf.DUMMYFUNCTION("""COMPUTED_VALUE"""),"")</f>
        <v/>
      </c>
      <c r="X697" s="72"/>
    </row>
    <row r="698">
      <c r="M698" s="34" t="s">
        <v>260</v>
      </c>
      <c r="N698" s="34" t="str">
        <f>IFERROR(__xludf.DUMMYFUNCTION("""COMPUTED_VALUE"""),"")</f>
        <v/>
      </c>
      <c r="X698" s="72"/>
    </row>
    <row r="699">
      <c r="M699" s="34" t="s">
        <v>260</v>
      </c>
      <c r="N699" s="34" t="str">
        <f>IFERROR(__xludf.DUMMYFUNCTION("""COMPUTED_VALUE"""),"")</f>
        <v/>
      </c>
      <c r="X699" s="72"/>
    </row>
    <row r="700">
      <c r="M700" s="34" t="s">
        <v>260</v>
      </c>
      <c r="N700" s="34" t="str">
        <f>IFERROR(__xludf.DUMMYFUNCTION("""COMPUTED_VALUE"""),"")</f>
        <v/>
      </c>
      <c r="X700" s="72"/>
    </row>
    <row r="701">
      <c r="M701" s="34" t="s">
        <v>260</v>
      </c>
      <c r="N701" s="34" t="str">
        <f>IFERROR(__xludf.DUMMYFUNCTION("""COMPUTED_VALUE"""),"")</f>
        <v/>
      </c>
      <c r="X701" s="72"/>
    </row>
    <row r="702">
      <c r="M702" s="34" t="s">
        <v>260</v>
      </c>
      <c r="N702" s="34" t="str">
        <f>IFERROR(__xludf.DUMMYFUNCTION("""COMPUTED_VALUE"""),"")</f>
        <v/>
      </c>
      <c r="X702" s="72"/>
    </row>
    <row r="703">
      <c r="M703" s="34" t="s">
        <v>260</v>
      </c>
      <c r="N703" s="34" t="str">
        <f>IFERROR(__xludf.DUMMYFUNCTION("""COMPUTED_VALUE"""),"")</f>
        <v/>
      </c>
      <c r="X703" s="72"/>
    </row>
    <row r="704">
      <c r="M704" s="34" t="s">
        <v>260</v>
      </c>
      <c r="N704" s="34" t="str">
        <f>IFERROR(__xludf.DUMMYFUNCTION("""COMPUTED_VALUE"""),"")</f>
        <v/>
      </c>
      <c r="X704" s="72"/>
    </row>
    <row r="705">
      <c r="M705" s="34" t="s">
        <v>260</v>
      </c>
      <c r="N705" s="34" t="str">
        <f>IFERROR(__xludf.DUMMYFUNCTION("""COMPUTED_VALUE"""),"")</f>
        <v/>
      </c>
      <c r="X705" s="72"/>
    </row>
    <row r="706">
      <c r="M706" s="34" t="s">
        <v>260</v>
      </c>
      <c r="N706" s="34" t="str">
        <f>IFERROR(__xludf.DUMMYFUNCTION("""COMPUTED_VALUE"""),"")</f>
        <v/>
      </c>
      <c r="X706" s="72"/>
    </row>
    <row r="707">
      <c r="M707" s="34" t="s">
        <v>260</v>
      </c>
      <c r="N707" s="34" t="str">
        <f>IFERROR(__xludf.DUMMYFUNCTION("""COMPUTED_VALUE"""),"")</f>
        <v/>
      </c>
      <c r="X707" s="72"/>
    </row>
    <row r="708">
      <c r="M708" s="34" t="s">
        <v>260</v>
      </c>
      <c r="N708" s="34" t="str">
        <f>IFERROR(__xludf.DUMMYFUNCTION("""COMPUTED_VALUE"""),"")</f>
        <v/>
      </c>
      <c r="X708" s="72"/>
    </row>
    <row r="709">
      <c r="M709" s="34" t="s">
        <v>260</v>
      </c>
      <c r="N709" s="34" t="str">
        <f>IFERROR(__xludf.DUMMYFUNCTION("""COMPUTED_VALUE"""),"")</f>
        <v/>
      </c>
      <c r="X709" s="72"/>
    </row>
    <row r="710">
      <c r="M710" s="34" t="s">
        <v>260</v>
      </c>
      <c r="N710" s="34" t="str">
        <f>IFERROR(__xludf.DUMMYFUNCTION("""COMPUTED_VALUE"""),"")</f>
        <v/>
      </c>
      <c r="X710" s="72"/>
    </row>
    <row r="711">
      <c r="M711" s="34" t="s">
        <v>260</v>
      </c>
      <c r="N711" s="34" t="str">
        <f>IFERROR(__xludf.DUMMYFUNCTION("""COMPUTED_VALUE"""),"")</f>
        <v/>
      </c>
      <c r="X711" s="72"/>
    </row>
    <row r="712">
      <c r="M712" s="34" t="s">
        <v>260</v>
      </c>
      <c r="N712" s="34" t="str">
        <f>IFERROR(__xludf.DUMMYFUNCTION("""COMPUTED_VALUE"""),"")</f>
        <v/>
      </c>
      <c r="X712" s="72"/>
    </row>
    <row r="713">
      <c r="M713" s="34" t="s">
        <v>260</v>
      </c>
      <c r="N713" s="34" t="str">
        <f>IFERROR(__xludf.DUMMYFUNCTION("""COMPUTED_VALUE"""),"")</f>
        <v/>
      </c>
      <c r="X713" s="72"/>
    </row>
    <row r="714">
      <c r="M714" s="34" t="s">
        <v>260</v>
      </c>
      <c r="N714" s="34" t="str">
        <f>IFERROR(__xludf.DUMMYFUNCTION("""COMPUTED_VALUE"""),"")</f>
        <v/>
      </c>
      <c r="X714" s="72"/>
    </row>
    <row r="715">
      <c r="M715" s="34" t="s">
        <v>260</v>
      </c>
      <c r="N715" s="34" t="str">
        <f>IFERROR(__xludf.DUMMYFUNCTION("""COMPUTED_VALUE"""),"")</f>
        <v/>
      </c>
      <c r="X715" s="72"/>
    </row>
    <row r="716">
      <c r="M716" s="34" t="s">
        <v>260</v>
      </c>
      <c r="N716" s="34" t="str">
        <f>IFERROR(__xludf.DUMMYFUNCTION("""COMPUTED_VALUE"""),"")</f>
        <v/>
      </c>
      <c r="X716" s="72"/>
    </row>
    <row r="717">
      <c r="M717" s="34" t="s">
        <v>260</v>
      </c>
      <c r="N717" s="34" t="str">
        <f>IFERROR(__xludf.DUMMYFUNCTION("""COMPUTED_VALUE"""),"")</f>
        <v/>
      </c>
      <c r="X717" s="72"/>
    </row>
    <row r="718">
      <c r="M718" s="34" t="s">
        <v>260</v>
      </c>
      <c r="N718" s="34" t="str">
        <f>IFERROR(__xludf.DUMMYFUNCTION("""COMPUTED_VALUE"""),"")</f>
        <v/>
      </c>
      <c r="X718" s="72"/>
    </row>
    <row r="719">
      <c r="M719" s="34" t="s">
        <v>260</v>
      </c>
      <c r="N719" s="34" t="str">
        <f>IFERROR(__xludf.DUMMYFUNCTION("""COMPUTED_VALUE"""),"")</f>
        <v/>
      </c>
      <c r="X719" s="72"/>
    </row>
    <row r="720">
      <c r="M720" s="34" t="s">
        <v>260</v>
      </c>
      <c r="N720" s="34" t="str">
        <f>IFERROR(__xludf.DUMMYFUNCTION("""COMPUTED_VALUE"""),"")</f>
        <v/>
      </c>
      <c r="X720" s="72"/>
    </row>
    <row r="721">
      <c r="M721" s="34" t="s">
        <v>260</v>
      </c>
      <c r="N721" s="34" t="str">
        <f>IFERROR(__xludf.DUMMYFUNCTION("""COMPUTED_VALUE"""),"")</f>
        <v/>
      </c>
      <c r="X721" s="72"/>
    </row>
    <row r="722">
      <c r="M722" s="34" t="s">
        <v>260</v>
      </c>
      <c r="N722" s="34" t="str">
        <f>IFERROR(__xludf.DUMMYFUNCTION("""COMPUTED_VALUE"""),"")</f>
        <v/>
      </c>
      <c r="X722" s="72"/>
    </row>
    <row r="723">
      <c r="M723" s="34" t="s">
        <v>260</v>
      </c>
      <c r="N723" s="34" t="str">
        <f>IFERROR(__xludf.DUMMYFUNCTION("""COMPUTED_VALUE"""),"")</f>
        <v/>
      </c>
      <c r="X723" s="72"/>
    </row>
    <row r="724">
      <c r="M724" s="34" t="s">
        <v>260</v>
      </c>
      <c r="N724" s="34" t="str">
        <f>IFERROR(__xludf.DUMMYFUNCTION("""COMPUTED_VALUE"""),"")</f>
        <v/>
      </c>
      <c r="X724" s="72"/>
    </row>
    <row r="725">
      <c r="M725" s="34" t="s">
        <v>260</v>
      </c>
      <c r="N725" s="34" t="str">
        <f>IFERROR(__xludf.DUMMYFUNCTION("""COMPUTED_VALUE"""),"")</f>
        <v/>
      </c>
      <c r="X725" s="72"/>
    </row>
    <row r="726">
      <c r="M726" s="34" t="s">
        <v>260</v>
      </c>
      <c r="N726" s="34" t="str">
        <f>IFERROR(__xludf.DUMMYFUNCTION("""COMPUTED_VALUE"""),"")</f>
        <v/>
      </c>
      <c r="X726" s="72"/>
    </row>
    <row r="727">
      <c r="M727" s="34" t="s">
        <v>260</v>
      </c>
      <c r="N727" s="34" t="str">
        <f>IFERROR(__xludf.DUMMYFUNCTION("""COMPUTED_VALUE"""),"")</f>
        <v/>
      </c>
      <c r="X727" s="72"/>
    </row>
    <row r="728">
      <c r="M728" s="34" t="s">
        <v>260</v>
      </c>
      <c r="N728" s="34" t="str">
        <f>IFERROR(__xludf.DUMMYFUNCTION("""COMPUTED_VALUE"""),"")</f>
        <v/>
      </c>
      <c r="X728" s="72"/>
    </row>
    <row r="729">
      <c r="M729" s="34" t="s">
        <v>260</v>
      </c>
      <c r="N729" s="34" t="str">
        <f>IFERROR(__xludf.DUMMYFUNCTION("""COMPUTED_VALUE"""),"")</f>
        <v/>
      </c>
      <c r="X729" s="72"/>
    </row>
    <row r="730">
      <c r="M730" s="34" t="s">
        <v>260</v>
      </c>
      <c r="N730" s="34" t="str">
        <f>IFERROR(__xludf.DUMMYFUNCTION("""COMPUTED_VALUE"""),"")</f>
        <v/>
      </c>
      <c r="X730" s="72"/>
    </row>
    <row r="731">
      <c r="M731" s="34" t="s">
        <v>260</v>
      </c>
      <c r="N731" s="34" t="str">
        <f>IFERROR(__xludf.DUMMYFUNCTION("""COMPUTED_VALUE"""),"")</f>
        <v/>
      </c>
      <c r="X731" s="72"/>
    </row>
    <row r="732">
      <c r="M732" s="34" t="s">
        <v>260</v>
      </c>
      <c r="N732" s="34" t="str">
        <f>IFERROR(__xludf.DUMMYFUNCTION("""COMPUTED_VALUE"""),"")</f>
        <v/>
      </c>
      <c r="X732" s="72"/>
    </row>
    <row r="733">
      <c r="M733" s="34" t="s">
        <v>260</v>
      </c>
      <c r="N733" s="34" t="str">
        <f>IFERROR(__xludf.DUMMYFUNCTION("""COMPUTED_VALUE"""),"")</f>
        <v/>
      </c>
      <c r="X733" s="72"/>
    </row>
    <row r="734">
      <c r="M734" s="34" t="s">
        <v>260</v>
      </c>
      <c r="N734" s="34" t="str">
        <f>IFERROR(__xludf.DUMMYFUNCTION("""COMPUTED_VALUE"""),"")</f>
        <v/>
      </c>
      <c r="X734" s="72"/>
    </row>
    <row r="735">
      <c r="M735" s="34" t="s">
        <v>260</v>
      </c>
      <c r="N735" s="34" t="str">
        <f>IFERROR(__xludf.DUMMYFUNCTION("""COMPUTED_VALUE"""),"")</f>
        <v/>
      </c>
      <c r="X735" s="72"/>
    </row>
    <row r="736">
      <c r="M736" s="34" t="s">
        <v>260</v>
      </c>
      <c r="N736" s="34" t="str">
        <f>IFERROR(__xludf.DUMMYFUNCTION("""COMPUTED_VALUE"""),"")</f>
        <v/>
      </c>
      <c r="X736" s="72"/>
    </row>
    <row r="737">
      <c r="M737" s="34" t="s">
        <v>260</v>
      </c>
      <c r="N737" s="34" t="str">
        <f>IFERROR(__xludf.DUMMYFUNCTION("""COMPUTED_VALUE"""),"")</f>
        <v/>
      </c>
      <c r="X737" s="72"/>
    </row>
    <row r="738">
      <c r="M738" s="34" t="s">
        <v>260</v>
      </c>
      <c r="N738" s="34" t="str">
        <f>IFERROR(__xludf.DUMMYFUNCTION("""COMPUTED_VALUE"""),"")</f>
        <v/>
      </c>
      <c r="X738" s="72"/>
    </row>
    <row r="739">
      <c r="M739" s="34" t="s">
        <v>260</v>
      </c>
      <c r="N739" s="34" t="str">
        <f>IFERROR(__xludf.DUMMYFUNCTION("""COMPUTED_VALUE"""),"")</f>
        <v/>
      </c>
      <c r="X739" s="72"/>
    </row>
    <row r="740">
      <c r="M740" s="34" t="s">
        <v>260</v>
      </c>
      <c r="N740" s="34" t="str">
        <f>IFERROR(__xludf.DUMMYFUNCTION("""COMPUTED_VALUE"""),"")</f>
        <v/>
      </c>
      <c r="X740" s="72"/>
    </row>
    <row r="741">
      <c r="M741" s="34" t="s">
        <v>260</v>
      </c>
      <c r="N741" s="34" t="str">
        <f>IFERROR(__xludf.DUMMYFUNCTION("""COMPUTED_VALUE"""),"")</f>
        <v/>
      </c>
      <c r="X741" s="72"/>
    </row>
    <row r="742">
      <c r="M742" s="34" t="s">
        <v>260</v>
      </c>
      <c r="N742" s="34" t="str">
        <f>IFERROR(__xludf.DUMMYFUNCTION("""COMPUTED_VALUE"""),"")</f>
        <v/>
      </c>
      <c r="X742" s="72"/>
    </row>
    <row r="743">
      <c r="M743" s="34" t="s">
        <v>260</v>
      </c>
      <c r="N743" s="34" t="str">
        <f>IFERROR(__xludf.DUMMYFUNCTION("""COMPUTED_VALUE"""),"")</f>
        <v/>
      </c>
      <c r="X743" s="72"/>
    </row>
    <row r="744">
      <c r="M744" s="34" t="s">
        <v>260</v>
      </c>
      <c r="N744" s="34" t="str">
        <f>IFERROR(__xludf.DUMMYFUNCTION("""COMPUTED_VALUE"""),"")</f>
        <v/>
      </c>
      <c r="X744" s="72"/>
    </row>
    <row r="745">
      <c r="M745" s="34" t="s">
        <v>260</v>
      </c>
      <c r="N745" s="34" t="str">
        <f>IFERROR(__xludf.DUMMYFUNCTION("""COMPUTED_VALUE"""),"")</f>
        <v/>
      </c>
      <c r="X745" s="72"/>
    </row>
    <row r="746">
      <c r="M746" s="34" t="s">
        <v>260</v>
      </c>
      <c r="N746" s="34" t="str">
        <f>IFERROR(__xludf.DUMMYFUNCTION("""COMPUTED_VALUE"""),"")</f>
        <v/>
      </c>
      <c r="X746" s="72"/>
    </row>
    <row r="747">
      <c r="M747" s="34" t="s">
        <v>260</v>
      </c>
      <c r="N747" s="34" t="str">
        <f>IFERROR(__xludf.DUMMYFUNCTION("""COMPUTED_VALUE"""),"")</f>
        <v/>
      </c>
      <c r="X747" s="72"/>
    </row>
    <row r="748">
      <c r="M748" s="34" t="s">
        <v>260</v>
      </c>
      <c r="N748" s="34" t="str">
        <f>IFERROR(__xludf.DUMMYFUNCTION("""COMPUTED_VALUE"""),"")</f>
        <v/>
      </c>
      <c r="X748" s="72"/>
    </row>
    <row r="749">
      <c r="M749" s="34" t="s">
        <v>260</v>
      </c>
      <c r="N749" s="34" t="str">
        <f>IFERROR(__xludf.DUMMYFUNCTION("""COMPUTED_VALUE"""),"")</f>
        <v/>
      </c>
      <c r="X749" s="72"/>
    </row>
    <row r="750">
      <c r="M750" s="34" t="s">
        <v>260</v>
      </c>
      <c r="N750" s="34" t="str">
        <f>IFERROR(__xludf.DUMMYFUNCTION("""COMPUTED_VALUE"""),"")</f>
        <v/>
      </c>
      <c r="X750" s="72"/>
    </row>
    <row r="751">
      <c r="M751" s="34" t="s">
        <v>260</v>
      </c>
      <c r="N751" s="34" t="str">
        <f>IFERROR(__xludf.DUMMYFUNCTION("""COMPUTED_VALUE"""),"")</f>
        <v/>
      </c>
      <c r="X751" s="72"/>
    </row>
    <row r="752">
      <c r="M752" s="34" t="s">
        <v>260</v>
      </c>
      <c r="N752" s="34" t="str">
        <f>IFERROR(__xludf.DUMMYFUNCTION("""COMPUTED_VALUE"""),"")</f>
        <v/>
      </c>
      <c r="X752" s="72"/>
    </row>
    <row r="753">
      <c r="M753" s="34" t="s">
        <v>260</v>
      </c>
      <c r="N753" s="34" t="str">
        <f>IFERROR(__xludf.DUMMYFUNCTION("""COMPUTED_VALUE"""),"")</f>
        <v/>
      </c>
      <c r="X753" s="72"/>
    </row>
    <row r="754">
      <c r="M754" s="34" t="s">
        <v>260</v>
      </c>
      <c r="N754" s="34" t="str">
        <f>IFERROR(__xludf.DUMMYFUNCTION("""COMPUTED_VALUE"""),"")</f>
        <v/>
      </c>
      <c r="X754" s="72"/>
    </row>
    <row r="755">
      <c r="M755" s="34" t="s">
        <v>260</v>
      </c>
      <c r="N755" s="34" t="str">
        <f>IFERROR(__xludf.DUMMYFUNCTION("""COMPUTED_VALUE"""),"")</f>
        <v/>
      </c>
      <c r="X755" s="72"/>
    </row>
    <row r="756">
      <c r="M756" s="34" t="s">
        <v>260</v>
      </c>
      <c r="N756" s="34" t="str">
        <f>IFERROR(__xludf.DUMMYFUNCTION("""COMPUTED_VALUE"""),"")</f>
        <v/>
      </c>
      <c r="X756" s="72"/>
    </row>
    <row r="757">
      <c r="M757" s="34" t="s">
        <v>260</v>
      </c>
      <c r="N757" s="34" t="str">
        <f>IFERROR(__xludf.DUMMYFUNCTION("""COMPUTED_VALUE"""),"")</f>
        <v/>
      </c>
      <c r="X757" s="72"/>
    </row>
    <row r="758">
      <c r="M758" s="34" t="s">
        <v>260</v>
      </c>
      <c r="N758" s="34" t="str">
        <f>IFERROR(__xludf.DUMMYFUNCTION("""COMPUTED_VALUE"""),"")</f>
        <v/>
      </c>
      <c r="X758" s="72"/>
    </row>
    <row r="759">
      <c r="M759" s="34" t="s">
        <v>260</v>
      </c>
      <c r="N759" s="34" t="str">
        <f>IFERROR(__xludf.DUMMYFUNCTION("""COMPUTED_VALUE"""),"")</f>
        <v/>
      </c>
      <c r="X759" s="72"/>
    </row>
    <row r="760">
      <c r="M760" s="34" t="s">
        <v>260</v>
      </c>
      <c r="N760" s="34" t="str">
        <f>IFERROR(__xludf.DUMMYFUNCTION("""COMPUTED_VALUE"""),"")</f>
        <v/>
      </c>
      <c r="X760" s="72"/>
    </row>
    <row r="761">
      <c r="M761" s="34" t="s">
        <v>260</v>
      </c>
      <c r="N761" s="34" t="str">
        <f>IFERROR(__xludf.DUMMYFUNCTION("""COMPUTED_VALUE"""),"")</f>
        <v/>
      </c>
      <c r="X761" s="72"/>
    </row>
    <row r="762">
      <c r="M762" s="34" t="s">
        <v>260</v>
      </c>
      <c r="N762" s="34" t="str">
        <f>IFERROR(__xludf.DUMMYFUNCTION("""COMPUTED_VALUE"""),"")</f>
        <v/>
      </c>
      <c r="X762" s="72"/>
    </row>
    <row r="763">
      <c r="M763" s="34" t="s">
        <v>260</v>
      </c>
      <c r="N763" s="34" t="str">
        <f>IFERROR(__xludf.DUMMYFUNCTION("""COMPUTED_VALUE"""),"")</f>
        <v/>
      </c>
      <c r="X763" s="72"/>
    </row>
    <row r="764">
      <c r="M764" s="34" t="s">
        <v>260</v>
      </c>
      <c r="N764" s="34" t="str">
        <f>IFERROR(__xludf.DUMMYFUNCTION("""COMPUTED_VALUE"""),"")</f>
        <v/>
      </c>
      <c r="X764" s="72"/>
    </row>
    <row r="765">
      <c r="M765" s="34" t="s">
        <v>260</v>
      </c>
      <c r="N765" s="34" t="str">
        <f>IFERROR(__xludf.DUMMYFUNCTION("""COMPUTED_VALUE"""),"")</f>
        <v/>
      </c>
      <c r="X765" s="72"/>
    </row>
    <row r="766">
      <c r="M766" s="34" t="s">
        <v>260</v>
      </c>
      <c r="N766" s="34" t="str">
        <f>IFERROR(__xludf.DUMMYFUNCTION("""COMPUTED_VALUE"""),"")</f>
        <v/>
      </c>
      <c r="X766" s="72"/>
    </row>
    <row r="767">
      <c r="M767" s="34" t="s">
        <v>260</v>
      </c>
      <c r="N767" s="34" t="str">
        <f>IFERROR(__xludf.DUMMYFUNCTION("""COMPUTED_VALUE"""),"")</f>
        <v/>
      </c>
      <c r="X767" s="72"/>
    </row>
    <row r="768">
      <c r="M768" s="34" t="s">
        <v>260</v>
      </c>
      <c r="N768" s="34" t="str">
        <f>IFERROR(__xludf.DUMMYFUNCTION("""COMPUTED_VALUE"""),"")</f>
        <v/>
      </c>
      <c r="X768" s="72"/>
    </row>
    <row r="769">
      <c r="M769" s="34" t="s">
        <v>260</v>
      </c>
      <c r="N769" s="34" t="str">
        <f>IFERROR(__xludf.DUMMYFUNCTION("""COMPUTED_VALUE"""),"")</f>
        <v/>
      </c>
      <c r="X769" s="72"/>
    </row>
    <row r="770">
      <c r="M770" s="34" t="s">
        <v>260</v>
      </c>
      <c r="N770" s="34" t="str">
        <f>IFERROR(__xludf.DUMMYFUNCTION("""COMPUTED_VALUE"""),"")</f>
        <v/>
      </c>
      <c r="X770" s="72"/>
    </row>
    <row r="771">
      <c r="M771" s="34" t="s">
        <v>260</v>
      </c>
      <c r="N771" s="34" t="str">
        <f>IFERROR(__xludf.DUMMYFUNCTION("""COMPUTED_VALUE"""),"")</f>
        <v/>
      </c>
      <c r="X771" s="72"/>
    </row>
    <row r="772">
      <c r="M772" s="34" t="s">
        <v>260</v>
      </c>
      <c r="N772" s="34" t="str">
        <f>IFERROR(__xludf.DUMMYFUNCTION("""COMPUTED_VALUE"""),"")</f>
        <v/>
      </c>
      <c r="X772" s="72"/>
    </row>
    <row r="773">
      <c r="M773" s="34" t="s">
        <v>260</v>
      </c>
      <c r="N773" s="34" t="str">
        <f>IFERROR(__xludf.DUMMYFUNCTION("""COMPUTED_VALUE"""),"")</f>
        <v/>
      </c>
      <c r="X773" s="72"/>
    </row>
    <row r="774">
      <c r="M774" s="34" t="s">
        <v>260</v>
      </c>
      <c r="N774" s="34" t="str">
        <f>IFERROR(__xludf.DUMMYFUNCTION("""COMPUTED_VALUE"""),"")</f>
        <v/>
      </c>
      <c r="X774" s="72"/>
    </row>
    <row r="775">
      <c r="M775" s="34" t="s">
        <v>260</v>
      </c>
      <c r="N775" s="34" t="str">
        <f>IFERROR(__xludf.DUMMYFUNCTION("""COMPUTED_VALUE"""),"")</f>
        <v/>
      </c>
      <c r="X775" s="72"/>
    </row>
    <row r="776">
      <c r="M776" s="34" t="s">
        <v>260</v>
      </c>
      <c r="N776" s="34" t="str">
        <f>IFERROR(__xludf.DUMMYFUNCTION("""COMPUTED_VALUE"""),"")</f>
        <v/>
      </c>
      <c r="X776" s="72"/>
    </row>
    <row r="777">
      <c r="M777" s="34" t="s">
        <v>260</v>
      </c>
      <c r="N777" s="34" t="str">
        <f>IFERROR(__xludf.DUMMYFUNCTION("""COMPUTED_VALUE"""),"")</f>
        <v/>
      </c>
      <c r="X777" s="72"/>
    </row>
    <row r="778">
      <c r="M778" s="34" t="s">
        <v>260</v>
      </c>
      <c r="N778" s="34" t="str">
        <f>IFERROR(__xludf.DUMMYFUNCTION("""COMPUTED_VALUE"""),"")</f>
        <v/>
      </c>
      <c r="X778" s="72"/>
    </row>
    <row r="779">
      <c r="M779" s="34" t="s">
        <v>260</v>
      </c>
      <c r="N779" s="34" t="str">
        <f>IFERROR(__xludf.DUMMYFUNCTION("""COMPUTED_VALUE"""),"")</f>
        <v/>
      </c>
      <c r="X779" s="72"/>
    </row>
    <row r="780">
      <c r="M780" s="34" t="s">
        <v>260</v>
      </c>
      <c r="N780" s="34" t="str">
        <f>IFERROR(__xludf.DUMMYFUNCTION("""COMPUTED_VALUE"""),"")</f>
        <v/>
      </c>
      <c r="X780" s="72"/>
    </row>
    <row r="781">
      <c r="M781" s="34" t="s">
        <v>260</v>
      </c>
      <c r="N781" s="34" t="str">
        <f>IFERROR(__xludf.DUMMYFUNCTION("""COMPUTED_VALUE"""),"")</f>
        <v/>
      </c>
      <c r="X781" s="72"/>
    </row>
    <row r="782">
      <c r="M782" s="34" t="s">
        <v>260</v>
      </c>
      <c r="N782" s="34" t="str">
        <f>IFERROR(__xludf.DUMMYFUNCTION("""COMPUTED_VALUE"""),"")</f>
        <v/>
      </c>
      <c r="X782" s="72"/>
    </row>
    <row r="783">
      <c r="M783" s="34" t="s">
        <v>260</v>
      </c>
      <c r="N783" s="34" t="str">
        <f>IFERROR(__xludf.DUMMYFUNCTION("""COMPUTED_VALUE"""),"")</f>
        <v/>
      </c>
      <c r="X783" s="72"/>
    </row>
    <row r="784">
      <c r="M784" s="34" t="s">
        <v>260</v>
      </c>
      <c r="N784" s="34" t="str">
        <f>IFERROR(__xludf.DUMMYFUNCTION("""COMPUTED_VALUE"""),"")</f>
        <v/>
      </c>
      <c r="X784" s="72"/>
    </row>
    <row r="785">
      <c r="M785" s="34" t="s">
        <v>260</v>
      </c>
      <c r="N785" s="34" t="str">
        <f>IFERROR(__xludf.DUMMYFUNCTION("""COMPUTED_VALUE"""),"")</f>
        <v/>
      </c>
      <c r="X785" s="72"/>
    </row>
    <row r="786">
      <c r="M786" s="34" t="s">
        <v>260</v>
      </c>
      <c r="N786" s="34" t="str">
        <f>IFERROR(__xludf.DUMMYFUNCTION("""COMPUTED_VALUE"""),"")</f>
        <v/>
      </c>
      <c r="X786" s="72"/>
    </row>
    <row r="787">
      <c r="M787" s="34" t="s">
        <v>260</v>
      </c>
      <c r="N787" s="34" t="str">
        <f>IFERROR(__xludf.DUMMYFUNCTION("""COMPUTED_VALUE"""),"")</f>
        <v/>
      </c>
      <c r="X787" s="72"/>
    </row>
    <row r="788">
      <c r="M788" s="34" t="s">
        <v>260</v>
      </c>
      <c r="N788" s="34" t="str">
        <f>IFERROR(__xludf.DUMMYFUNCTION("""COMPUTED_VALUE"""),"")</f>
        <v/>
      </c>
      <c r="X788" s="72"/>
    </row>
    <row r="789">
      <c r="M789" s="34" t="s">
        <v>260</v>
      </c>
      <c r="N789" s="34" t="str">
        <f>IFERROR(__xludf.DUMMYFUNCTION("""COMPUTED_VALUE"""),"")</f>
        <v/>
      </c>
      <c r="X789" s="72"/>
    </row>
    <row r="790">
      <c r="M790" s="34" t="s">
        <v>260</v>
      </c>
      <c r="N790" s="34" t="str">
        <f>IFERROR(__xludf.DUMMYFUNCTION("""COMPUTED_VALUE"""),"")</f>
        <v/>
      </c>
      <c r="X790" s="72"/>
    </row>
    <row r="791">
      <c r="M791" s="34" t="s">
        <v>260</v>
      </c>
      <c r="N791" s="34" t="str">
        <f>IFERROR(__xludf.DUMMYFUNCTION("""COMPUTED_VALUE"""),"")</f>
        <v/>
      </c>
      <c r="X791" s="72"/>
    </row>
    <row r="792">
      <c r="M792" s="34" t="s">
        <v>260</v>
      </c>
      <c r="N792" s="34" t="str">
        <f>IFERROR(__xludf.DUMMYFUNCTION("""COMPUTED_VALUE"""),"")</f>
        <v/>
      </c>
      <c r="X792" s="72"/>
    </row>
    <row r="793">
      <c r="M793" s="34" t="s">
        <v>260</v>
      </c>
      <c r="N793" s="34" t="str">
        <f>IFERROR(__xludf.DUMMYFUNCTION("""COMPUTED_VALUE"""),"")</f>
        <v/>
      </c>
      <c r="X793" s="72"/>
    </row>
    <row r="794">
      <c r="M794" s="34" t="s">
        <v>260</v>
      </c>
      <c r="N794" s="34" t="str">
        <f>IFERROR(__xludf.DUMMYFUNCTION("""COMPUTED_VALUE"""),"")</f>
        <v/>
      </c>
      <c r="X794" s="72"/>
    </row>
    <row r="795">
      <c r="M795" s="34" t="s">
        <v>260</v>
      </c>
      <c r="N795" s="34" t="str">
        <f>IFERROR(__xludf.DUMMYFUNCTION("""COMPUTED_VALUE"""),"")</f>
        <v/>
      </c>
      <c r="X795" s="72"/>
    </row>
    <row r="796">
      <c r="M796" s="34" t="s">
        <v>260</v>
      </c>
      <c r="N796" s="34" t="str">
        <f>IFERROR(__xludf.DUMMYFUNCTION("""COMPUTED_VALUE"""),"")</f>
        <v/>
      </c>
      <c r="X796" s="72"/>
    </row>
    <row r="797">
      <c r="M797" s="34" t="s">
        <v>260</v>
      </c>
      <c r="N797" s="34" t="str">
        <f>IFERROR(__xludf.DUMMYFUNCTION("""COMPUTED_VALUE"""),"")</f>
        <v/>
      </c>
      <c r="X797" s="72"/>
    </row>
    <row r="798">
      <c r="M798" s="34" t="s">
        <v>260</v>
      </c>
      <c r="N798" s="34" t="str">
        <f>IFERROR(__xludf.DUMMYFUNCTION("""COMPUTED_VALUE"""),"")</f>
        <v/>
      </c>
      <c r="X798" s="72"/>
    </row>
    <row r="799">
      <c r="M799" s="34" t="s">
        <v>260</v>
      </c>
      <c r="N799" s="34" t="str">
        <f>IFERROR(__xludf.DUMMYFUNCTION("""COMPUTED_VALUE"""),"")</f>
        <v/>
      </c>
      <c r="X799" s="72"/>
    </row>
    <row r="800">
      <c r="M800" s="34" t="s">
        <v>260</v>
      </c>
      <c r="N800" s="34" t="str">
        <f>IFERROR(__xludf.DUMMYFUNCTION("""COMPUTED_VALUE"""),"")</f>
        <v/>
      </c>
      <c r="X800" s="72"/>
    </row>
    <row r="801">
      <c r="M801" s="34" t="s">
        <v>260</v>
      </c>
      <c r="N801" s="34" t="str">
        <f>IFERROR(__xludf.DUMMYFUNCTION("""COMPUTED_VALUE"""),"")</f>
        <v/>
      </c>
      <c r="X801" s="72"/>
    </row>
    <row r="802">
      <c r="M802" s="34" t="s">
        <v>260</v>
      </c>
      <c r="N802" s="34" t="str">
        <f>IFERROR(__xludf.DUMMYFUNCTION("""COMPUTED_VALUE"""),"")</f>
        <v/>
      </c>
      <c r="X802" s="72"/>
    </row>
    <row r="803">
      <c r="M803" s="34" t="s">
        <v>260</v>
      </c>
      <c r="N803" s="34" t="str">
        <f>IFERROR(__xludf.DUMMYFUNCTION("""COMPUTED_VALUE"""),"")</f>
        <v/>
      </c>
      <c r="X803" s="72"/>
    </row>
    <row r="804">
      <c r="M804" s="34" t="s">
        <v>260</v>
      </c>
      <c r="N804" s="34" t="str">
        <f>IFERROR(__xludf.DUMMYFUNCTION("""COMPUTED_VALUE"""),"")</f>
        <v/>
      </c>
      <c r="X804" s="72"/>
    </row>
    <row r="805">
      <c r="M805" s="34" t="s">
        <v>260</v>
      </c>
      <c r="N805" s="34" t="str">
        <f>IFERROR(__xludf.DUMMYFUNCTION("""COMPUTED_VALUE"""),"")</f>
        <v/>
      </c>
      <c r="X805" s="72"/>
    </row>
    <row r="806">
      <c r="M806" s="34" t="s">
        <v>260</v>
      </c>
      <c r="N806" s="34" t="str">
        <f>IFERROR(__xludf.DUMMYFUNCTION("""COMPUTED_VALUE"""),"")</f>
        <v/>
      </c>
      <c r="X806" s="72"/>
    </row>
    <row r="807">
      <c r="M807" s="34" t="s">
        <v>260</v>
      </c>
      <c r="N807" s="34" t="str">
        <f>IFERROR(__xludf.DUMMYFUNCTION("""COMPUTED_VALUE"""),"")</f>
        <v/>
      </c>
      <c r="X807" s="72"/>
    </row>
    <row r="808">
      <c r="M808" s="34" t="s">
        <v>260</v>
      </c>
      <c r="N808" s="34" t="str">
        <f>IFERROR(__xludf.DUMMYFUNCTION("""COMPUTED_VALUE"""),"")</f>
        <v/>
      </c>
      <c r="X808" s="72"/>
    </row>
    <row r="809">
      <c r="M809" s="34" t="s">
        <v>260</v>
      </c>
      <c r="N809" s="34" t="str">
        <f>IFERROR(__xludf.DUMMYFUNCTION("""COMPUTED_VALUE"""),"")</f>
        <v/>
      </c>
      <c r="X809" s="72"/>
    </row>
    <row r="810">
      <c r="M810" s="34" t="s">
        <v>260</v>
      </c>
      <c r="N810" s="34" t="str">
        <f>IFERROR(__xludf.DUMMYFUNCTION("""COMPUTED_VALUE"""),"")</f>
        <v/>
      </c>
      <c r="X810" s="72"/>
    </row>
    <row r="811">
      <c r="M811" s="34" t="s">
        <v>260</v>
      </c>
      <c r="N811" s="34" t="str">
        <f>IFERROR(__xludf.DUMMYFUNCTION("""COMPUTED_VALUE"""),"")</f>
        <v/>
      </c>
      <c r="X811" s="72"/>
    </row>
    <row r="812">
      <c r="M812" s="34" t="s">
        <v>260</v>
      </c>
      <c r="N812" s="34" t="str">
        <f>IFERROR(__xludf.DUMMYFUNCTION("""COMPUTED_VALUE"""),"")</f>
        <v/>
      </c>
      <c r="X812" s="72"/>
    </row>
    <row r="813">
      <c r="M813" s="34" t="s">
        <v>260</v>
      </c>
      <c r="N813" s="34" t="str">
        <f>IFERROR(__xludf.DUMMYFUNCTION("""COMPUTED_VALUE"""),"")</f>
        <v/>
      </c>
      <c r="X813" s="72"/>
    </row>
    <row r="814">
      <c r="M814" s="34" t="s">
        <v>260</v>
      </c>
      <c r="N814" s="34" t="str">
        <f>IFERROR(__xludf.DUMMYFUNCTION("""COMPUTED_VALUE"""),"")</f>
        <v/>
      </c>
      <c r="X814" s="72"/>
    </row>
    <row r="815">
      <c r="M815" s="34" t="s">
        <v>260</v>
      </c>
      <c r="N815" s="34" t="str">
        <f>IFERROR(__xludf.DUMMYFUNCTION("""COMPUTED_VALUE"""),"")</f>
        <v/>
      </c>
      <c r="X815" s="72"/>
    </row>
    <row r="816">
      <c r="M816" s="34" t="s">
        <v>260</v>
      </c>
      <c r="N816" s="34" t="str">
        <f>IFERROR(__xludf.DUMMYFUNCTION("""COMPUTED_VALUE"""),"")</f>
        <v/>
      </c>
      <c r="X816" s="72"/>
    </row>
    <row r="817">
      <c r="M817" s="34" t="s">
        <v>260</v>
      </c>
      <c r="N817" s="34" t="str">
        <f>IFERROR(__xludf.DUMMYFUNCTION("""COMPUTED_VALUE"""),"")</f>
        <v/>
      </c>
      <c r="X817" s="72"/>
    </row>
    <row r="818">
      <c r="M818" s="34" t="s">
        <v>260</v>
      </c>
      <c r="N818" s="34" t="str">
        <f>IFERROR(__xludf.DUMMYFUNCTION("""COMPUTED_VALUE"""),"")</f>
        <v/>
      </c>
      <c r="X818" s="72"/>
    </row>
    <row r="819">
      <c r="M819" s="34" t="s">
        <v>260</v>
      </c>
      <c r="N819" s="34" t="str">
        <f>IFERROR(__xludf.DUMMYFUNCTION("""COMPUTED_VALUE"""),"")</f>
        <v/>
      </c>
      <c r="X819" s="72"/>
    </row>
    <row r="820">
      <c r="M820" s="34" t="s">
        <v>260</v>
      </c>
      <c r="N820" s="34" t="str">
        <f>IFERROR(__xludf.DUMMYFUNCTION("""COMPUTED_VALUE"""),"")</f>
        <v/>
      </c>
      <c r="X820" s="72"/>
    </row>
    <row r="821">
      <c r="M821" s="34" t="s">
        <v>260</v>
      </c>
      <c r="N821" s="34" t="str">
        <f>IFERROR(__xludf.DUMMYFUNCTION("""COMPUTED_VALUE"""),"")</f>
        <v/>
      </c>
      <c r="X821" s="72"/>
    </row>
    <row r="822">
      <c r="M822" s="34" t="s">
        <v>260</v>
      </c>
      <c r="N822" s="34" t="str">
        <f>IFERROR(__xludf.DUMMYFUNCTION("""COMPUTED_VALUE"""),"")</f>
        <v/>
      </c>
      <c r="X822" s="72"/>
    </row>
    <row r="823">
      <c r="M823" s="34" t="s">
        <v>260</v>
      </c>
      <c r="N823" s="34" t="str">
        <f>IFERROR(__xludf.DUMMYFUNCTION("""COMPUTED_VALUE"""),"")</f>
        <v/>
      </c>
      <c r="X823" s="72"/>
    </row>
    <row r="824">
      <c r="M824" s="34" t="s">
        <v>260</v>
      </c>
      <c r="N824" s="34" t="str">
        <f>IFERROR(__xludf.DUMMYFUNCTION("""COMPUTED_VALUE"""),"")</f>
        <v/>
      </c>
      <c r="X824" s="72"/>
    </row>
    <row r="825">
      <c r="M825" s="34" t="s">
        <v>260</v>
      </c>
      <c r="N825" s="34" t="str">
        <f>IFERROR(__xludf.DUMMYFUNCTION("""COMPUTED_VALUE"""),"")</f>
        <v/>
      </c>
      <c r="X825" s="72"/>
    </row>
    <row r="826">
      <c r="M826" s="34" t="s">
        <v>260</v>
      </c>
      <c r="N826" s="34" t="str">
        <f>IFERROR(__xludf.DUMMYFUNCTION("""COMPUTED_VALUE"""),"")</f>
        <v/>
      </c>
      <c r="X826" s="72"/>
    </row>
    <row r="827">
      <c r="M827" s="34" t="s">
        <v>260</v>
      </c>
      <c r="N827" s="34" t="str">
        <f>IFERROR(__xludf.DUMMYFUNCTION("""COMPUTED_VALUE"""),"")</f>
        <v/>
      </c>
      <c r="X827" s="72"/>
    </row>
    <row r="828">
      <c r="M828" s="34" t="s">
        <v>260</v>
      </c>
      <c r="N828" s="34" t="str">
        <f>IFERROR(__xludf.DUMMYFUNCTION("""COMPUTED_VALUE"""),"")</f>
        <v/>
      </c>
      <c r="X828" s="72"/>
    </row>
    <row r="829">
      <c r="M829" s="34" t="s">
        <v>260</v>
      </c>
      <c r="N829" s="34" t="str">
        <f>IFERROR(__xludf.DUMMYFUNCTION("""COMPUTED_VALUE"""),"")</f>
        <v/>
      </c>
      <c r="X829" s="72"/>
    </row>
    <row r="830">
      <c r="M830" s="34" t="s">
        <v>260</v>
      </c>
      <c r="N830" s="34" t="str">
        <f>IFERROR(__xludf.DUMMYFUNCTION("""COMPUTED_VALUE"""),"")</f>
        <v/>
      </c>
      <c r="X830" s="72"/>
    </row>
    <row r="831">
      <c r="M831" s="34" t="s">
        <v>260</v>
      </c>
      <c r="N831" s="34" t="str">
        <f>IFERROR(__xludf.DUMMYFUNCTION("""COMPUTED_VALUE"""),"")</f>
        <v/>
      </c>
      <c r="X831" s="72"/>
    </row>
    <row r="832">
      <c r="M832" s="34" t="s">
        <v>260</v>
      </c>
      <c r="N832" s="34" t="str">
        <f>IFERROR(__xludf.DUMMYFUNCTION("""COMPUTED_VALUE"""),"")</f>
        <v/>
      </c>
      <c r="X832" s="72"/>
    </row>
    <row r="833">
      <c r="M833" s="34" t="s">
        <v>260</v>
      </c>
      <c r="N833" s="34" t="str">
        <f>IFERROR(__xludf.DUMMYFUNCTION("""COMPUTED_VALUE"""),"")</f>
        <v/>
      </c>
      <c r="X833" s="72"/>
    </row>
    <row r="834">
      <c r="M834" s="34" t="s">
        <v>260</v>
      </c>
      <c r="N834" s="34" t="str">
        <f>IFERROR(__xludf.DUMMYFUNCTION("""COMPUTED_VALUE"""),"")</f>
        <v/>
      </c>
      <c r="X834" s="72"/>
    </row>
    <row r="835">
      <c r="M835" s="34" t="s">
        <v>260</v>
      </c>
      <c r="N835" s="34" t="str">
        <f>IFERROR(__xludf.DUMMYFUNCTION("""COMPUTED_VALUE"""),"")</f>
        <v/>
      </c>
      <c r="X835" s="72"/>
    </row>
    <row r="836">
      <c r="M836" s="34" t="s">
        <v>260</v>
      </c>
      <c r="N836" s="34" t="str">
        <f>IFERROR(__xludf.DUMMYFUNCTION("""COMPUTED_VALUE"""),"")</f>
        <v/>
      </c>
      <c r="X836" s="72"/>
    </row>
    <row r="837">
      <c r="M837" s="34" t="s">
        <v>260</v>
      </c>
      <c r="N837" s="34" t="str">
        <f>IFERROR(__xludf.DUMMYFUNCTION("""COMPUTED_VALUE"""),"")</f>
        <v/>
      </c>
      <c r="X837" s="72"/>
    </row>
    <row r="838">
      <c r="M838" s="34" t="s">
        <v>260</v>
      </c>
      <c r="N838" s="34" t="str">
        <f>IFERROR(__xludf.DUMMYFUNCTION("""COMPUTED_VALUE"""),"")</f>
        <v/>
      </c>
      <c r="X838" s="72"/>
    </row>
    <row r="839">
      <c r="M839" s="34" t="s">
        <v>260</v>
      </c>
      <c r="N839" s="34" t="str">
        <f>IFERROR(__xludf.DUMMYFUNCTION("""COMPUTED_VALUE"""),"")</f>
        <v/>
      </c>
      <c r="X839" s="72"/>
    </row>
    <row r="840">
      <c r="M840" s="34" t="s">
        <v>260</v>
      </c>
      <c r="N840" s="34" t="str">
        <f>IFERROR(__xludf.DUMMYFUNCTION("""COMPUTED_VALUE"""),"")</f>
        <v/>
      </c>
      <c r="X840" s="72"/>
    </row>
    <row r="841">
      <c r="M841" s="34" t="s">
        <v>260</v>
      </c>
      <c r="N841" s="34" t="str">
        <f>IFERROR(__xludf.DUMMYFUNCTION("""COMPUTED_VALUE"""),"")</f>
        <v/>
      </c>
      <c r="X841" s="72"/>
    </row>
    <row r="842">
      <c r="M842" s="34" t="s">
        <v>260</v>
      </c>
      <c r="N842" s="34" t="str">
        <f>IFERROR(__xludf.DUMMYFUNCTION("""COMPUTED_VALUE"""),"")</f>
        <v/>
      </c>
      <c r="X842" s="72"/>
    </row>
    <row r="843">
      <c r="M843" s="34" t="s">
        <v>260</v>
      </c>
      <c r="N843" s="34" t="str">
        <f>IFERROR(__xludf.DUMMYFUNCTION("""COMPUTED_VALUE"""),"")</f>
        <v/>
      </c>
      <c r="X843" s="72"/>
    </row>
    <row r="844">
      <c r="M844" s="34" t="s">
        <v>260</v>
      </c>
      <c r="N844" s="34" t="str">
        <f>IFERROR(__xludf.DUMMYFUNCTION("""COMPUTED_VALUE"""),"")</f>
        <v/>
      </c>
      <c r="X844" s="72"/>
    </row>
    <row r="845">
      <c r="M845" s="34" t="s">
        <v>260</v>
      </c>
      <c r="N845" s="34" t="str">
        <f>IFERROR(__xludf.DUMMYFUNCTION("""COMPUTED_VALUE"""),"")</f>
        <v/>
      </c>
      <c r="X845" s="72"/>
    </row>
    <row r="846">
      <c r="M846" s="34" t="s">
        <v>260</v>
      </c>
      <c r="N846" s="34" t="str">
        <f>IFERROR(__xludf.DUMMYFUNCTION("""COMPUTED_VALUE"""),"")</f>
        <v/>
      </c>
      <c r="X846" s="72"/>
    </row>
    <row r="847">
      <c r="M847" s="34" t="s">
        <v>260</v>
      </c>
      <c r="N847" s="34" t="str">
        <f>IFERROR(__xludf.DUMMYFUNCTION("""COMPUTED_VALUE"""),"")</f>
        <v/>
      </c>
      <c r="X847" s="72"/>
    </row>
    <row r="848">
      <c r="M848" s="34" t="s">
        <v>260</v>
      </c>
      <c r="N848" s="34" t="str">
        <f>IFERROR(__xludf.DUMMYFUNCTION("""COMPUTED_VALUE"""),"")</f>
        <v/>
      </c>
      <c r="X848" s="72"/>
    </row>
    <row r="849">
      <c r="M849" s="34" t="s">
        <v>260</v>
      </c>
      <c r="N849" s="34" t="str">
        <f>IFERROR(__xludf.DUMMYFUNCTION("""COMPUTED_VALUE"""),"")</f>
        <v/>
      </c>
      <c r="X849" s="72"/>
    </row>
    <row r="850">
      <c r="M850" s="34" t="s">
        <v>260</v>
      </c>
      <c r="N850" s="34" t="str">
        <f>IFERROR(__xludf.DUMMYFUNCTION("""COMPUTED_VALUE"""),"")</f>
        <v/>
      </c>
      <c r="X850" s="72"/>
    </row>
    <row r="851">
      <c r="M851" s="34" t="s">
        <v>260</v>
      </c>
      <c r="N851" s="34" t="str">
        <f>IFERROR(__xludf.DUMMYFUNCTION("""COMPUTED_VALUE"""),"")</f>
        <v/>
      </c>
      <c r="X851" s="72"/>
    </row>
    <row r="852">
      <c r="M852" s="34" t="s">
        <v>260</v>
      </c>
      <c r="N852" s="34" t="str">
        <f>IFERROR(__xludf.DUMMYFUNCTION("""COMPUTED_VALUE"""),"")</f>
        <v/>
      </c>
      <c r="X852" s="72"/>
    </row>
    <row r="853">
      <c r="M853" s="34" t="s">
        <v>260</v>
      </c>
      <c r="N853" s="34" t="str">
        <f>IFERROR(__xludf.DUMMYFUNCTION("""COMPUTED_VALUE"""),"")</f>
        <v/>
      </c>
      <c r="X853" s="72"/>
    </row>
    <row r="854">
      <c r="M854" s="34" t="s">
        <v>260</v>
      </c>
      <c r="N854" s="34" t="str">
        <f>IFERROR(__xludf.DUMMYFUNCTION("""COMPUTED_VALUE"""),"")</f>
        <v/>
      </c>
      <c r="X854" s="72"/>
    </row>
    <row r="855">
      <c r="M855" s="34" t="s">
        <v>260</v>
      </c>
      <c r="N855" s="34" t="str">
        <f>IFERROR(__xludf.DUMMYFUNCTION("""COMPUTED_VALUE"""),"")</f>
        <v/>
      </c>
      <c r="X855" s="72"/>
    </row>
    <row r="856">
      <c r="M856" s="34" t="s">
        <v>260</v>
      </c>
      <c r="N856" s="34" t="str">
        <f>IFERROR(__xludf.DUMMYFUNCTION("""COMPUTED_VALUE"""),"")</f>
        <v/>
      </c>
      <c r="X856" s="72"/>
    </row>
    <row r="857">
      <c r="M857" s="34" t="s">
        <v>260</v>
      </c>
      <c r="N857" s="34" t="str">
        <f>IFERROR(__xludf.DUMMYFUNCTION("""COMPUTED_VALUE"""),"")</f>
        <v/>
      </c>
      <c r="X857" s="72"/>
    </row>
    <row r="858">
      <c r="M858" s="34" t="s">
        <v>260</v>
      </c>
      <c r="N858" s="34" t="str">
        <f>IFERROR(__xludf.DUMMYFUNCTION("""COMPUTED_VALUE"""),"")</f>
        <v/>
      </c>
      <c r="X858" s="72"/>
    </row>
    <row r="859">
      <c r="M859" s="34" t="s">
        <v>260</v>
      </c>
      <c r="N859" s="34" t="str">
        <f>IFERROR(__xludf.DUMMYFUNCTION("""COMPUTED_VALUE"""),"")</f>
        <v/>
      </c>
      <c r="X859" s="72"/>
    </row>
    <row r="860">
      <c r="M860" s="34" t="s">
        <v>260</v>
      </c>
      <c r="N860" s="34" t="str">
        <f>IFERROR(__xludf.DUMMYFUNCTION("""COMPUTED_VALUE"""),"")</f>
        <v/>
      </c>
      <c r="X860" s="72"/>
    </row>
    <row r="861">
      <c r="M861" s="34" t="s">
        <v>260</v>
      </c>
      <c r="N861" s="34" t="str">
        <f>IFERROR(__xludf.DUMMYFUNCTION("""COMPUTED_VALUE"""),"")</f>
        <v/>
      </c>
      <c r="X861" s="72"/>
    </row>
    <row r="862">
      <c r="M862" s="34" t="s">
        <v>260</v>
      </c>
      <c r="N862" s="34" t="str">
        <f>IFERROR(__xludf.DUMMYFUNCTION("""COMPUTED_VALUE"""),"")</f>
        <v/>
      </c>
      <c r="X862" s="72"/>
    </row>
    <row r="863">
      <c r="M863" s="34" t="s">
        <v>260</v>
      </c>
      <c r="N863" s="34" t="str">
        <f>IFERROR(__xludf.DUMMYFUNCTION("""COMPUTED_VALUE"""),"")</f>
        <v/>
      </c>
      <c r="X863" s="72"/>
    </row>
    <row r="864">
      <c r="M864" s="34" t="s">
        <v>260</v>
      </c>
      <c r="N864" s="34" t="str">
        <f>IFERROR(__xludf.DUMMYFUNCTION("""COMPUTED_VALUE"""),"")</f>
        <v/>
      </c>
      <c r="X864" s="72"/>
    </row>
    <row r="865">
      <c r="M865" s="34" t="s">
        <v>260</v>
      </c>
      <c r="N865" s="34" t="str">
        <f>IFERROR(__xludf.DUMMYFUNCTION("""COMPUTED_VALUE"""),"")</f>
        <v/>
      </c>
      <c r="X865" s="72"/>
    </row>
    <row r="866">
      <c r="M866" s="34" t="s">
        <v>260</v>
      </c>
      <c r="N866" s="34" t="str">
        <f>IFERROR(__xludf.DUMMYFUNCTION("""COMPUTED_VALUE"""),"")</f>
        <v/>
      </c>
      <c r="X866" s="72"/>
    </row>
    <row r="867">
      <c r="M867" s="34" t="s">
        <v>260</v>
      </c>
      <c r="N867" s="34" t="str">
        <f>IFERROR(__xludf.DUMMYFUNCTION("""COMPUTED_VALUE"""),"")</f>
        <v/>
      </c>
      <c r="X867" s="72"/>
    </row>
    <row r="868">
      <c r="M868" s="34" t="s">
        <v>260</v>
      </c>
      <c r="N868" s="34" t="str">
        <f>IFERROR(__xludf.DUMMYFUNCTION("""COMPUTED_VALUE"""),"")</f>
        <v/>
      </c>
      <c r="X868" s="72"/>
    </row>
    <row r="869">
      <c r="M869" s="34" t="s">
        <v>260</v>
      </c>
      <c r="N869" s="34" t="str">
        <f>IFERROR(__xludf.DUMMYFUNCTION("""COMPUTED_VALUE"""),"")</f>
        <v/>
      </c>
      <c r="X869" s="72"/>
    </row>
    <row r="870">
      <c r="M870" s="34" t="s">
        <v>260</v>
      </c>
      <c r="N870" s="34" t="str">
        <f>IFERROR(__xludf.DUMMYFUNCTION("""COMPUTED_VALUE"""),"")</f>
        <v/>
      </c>
      <c r="X870" s="72"/>
    </row>
    <row r="871">
      <c r="M871" s="34" t="s">
        <v>260</v>
      </c>
      <c r="N871" s="34" t="str">
        <f>IFERROR(__xludf.DUMMYFUNCTION("""COMPUTED_VALUE"""),"")</f>
        <v/>
      </c>
      <c r="X871" s="72"/>
    </row>
    <row r="872">
      <c r="M872" s="34" t="s">
        <v>260</v>
      </c>
      <c r="N872" s="34" t="str">
        <f>IFERROR(__xludf.DUMMYFUNCTION("""COMPUTED_VALUE"""),"")</f>
        <v/>
      </c>
      <c r="X872" s="72"/>
    </row>
    <row r="873">
      <c r="M873" s="34" t="s">
        <v>260</v>
      </c>
      <c r="N873" s="34" t="str">
        <f>IFERROR(__xludf.DUMMYFUNCTION("""COMPUTED_VALUE"""),"")</f>
        <v/>
      </c>
      <c r="X873" s="72"/>
    </row>
    <row r="874">
      <c r="M874" s="34" t="s">
        <v>260</v>
      </c>
      <c r="N874" s="34" t="str">
        <f>IFERROR(__xludf.DUMMYFUNCTION("""COMPUTED_VALUE"""),"")</f>
        <v/>
      </c>
      <c r="X874" s="72"/>
    </row>
    <row r="875">
      <c r="M875" s="34" t="s">
        <v>260</v>
      </c>
      <c r="N875" s="34" t="str">
        <f>IFERROR(__xludf.DUMMYFUNCTION("""COMPUTED_VALUE"""),"")</f>
        <v/>
      </c>
      <c r="X875" s="72"/>
    </row>
    <row r="876">
      <c r="M876" s="34" t="s">
        <v>260</v>
      </c>
      <c r="N876" s="34" t="str">
        <f>IFERROR(__xludf.DUMMYFUNCTION("""COMPUTED_VALUE"""),"")</f>
        <v/>
      </c>
      <c r="X876" s="72"/>
    </row>
    <row r="877">
      <c r="M877" s="34" t="s">
        <v>260</v>
      </c>
      <c r="N877" s="34" t="str">
        <f>IFERROR(__xludf.DUMMYFUNCTION("""COMPUTED_VALUE"""),"")</f>
        <v/>
      </c>
      <c r="X877" s="72"/>
    </row>
    <row r="878">
      <c r="M878" s="34" t="s">
        <v>260</v>
      </c>
      <c r="N878" s="34" t="str">
        <f>IFERROR(__xludf.DUMMYFUNCTION("""COMPUTED_VALUE"""),"")</f>
        <v/>
      </c>
      <c r="X878" s="72"/>
    </row>
    <row r="879">
      <c r="M879" s="34" t="s">
        <v>260</v>
      </c>
      <c r="N879" s="34" t="str">
        <f>IFERROR(__xludf.DUMMYFUNCTION("""COMPUTED_VALUE"""),"")</f>
        <v/>
      </c>
      <c r="X879" s="72"/>
    </row>
    <row r="880">
      <c r="M880" s="34" t="s">
        <v>260</v>
      </c>
      <c r="N880" s="34" t="str">
        <f>IFERROR(__xludf.DUMMYFUNCTION("""COMPUTED_VALUE"""),"")</f>
        <v/>
      </c>
      <c r="X880" s="72"/>
    </row>
    <row r="881">
      <c r="M881" s="34" t="s">
        <v>260</v>
      </c>
      <c r="N881" s="34" t="str">
        <f>IFERROR(__xludf.DUMMYFUNCTION("""COMPUTED_VALUE"""),"")</f>
        <v/>
      </c>
      <c r="X881" s="72"/>
    </row>
    <row r="882">
      <c r="M882" s="34" t="s">
        <v>260</v>
      </c>
      <c r="N882" s="34" t="str">
        <f>IFERROR(__xludf.DUMMYFUNCTION("""COMPUTED_VALUE"""),"")</f>
        <v/>
      </c>
      <c r="X882" s="72"/>
    </row>
    <row r="883">
      <c r="M883" s="34" t="s">
        <v>260</v>
      </c>
      <c r="N883" s="34" t="str">
        <f>IFERROR(__xludf.DUMMYFUNCTION("""COMPUTED_VALUE"""),"")</f>
        <v/>
      </c>
      <c r="X883" s="72"/>
    </row>
    <row r="884">
      <c r="M884" s="34" t="s">
        <v>260</v>
      </c>
      <c r="N884" s="34" t="str">
        <f>IFERROR(__xludf.DUMMYFUNCTION("""COMPUTED_VALUE"""),"")</f>
        <v/>
      </c>
      <c r="X884" s="72"/>
    </row>
    <row r="885">
      <c r="M885" s="34" t="s">
        <v>260</v>
      </c>
      <c r="N885" s="34" t="str">
        <f>IFERROR(__xludf.DUMMYFUNCTION("""COMPUTED_VALUE"""),"")</f>
        <v/>
      </c>
      <c r="X885" s="72"/>
    </row>
    <row r="886">
      <c r="M886" s="34" t="s">
        <v>260</v>
      </c>
      <c r="N886" s="34" t="str">
        <f>IFERROR(__xludf.DUMMYFUNCTION("""COMPUTED_VALUE"""),"")</f>
        <v/>
      </c>
      <c r="X886" s="72"/>
    </row>
    <row r="887">
      <c r="M887" s="34" t="s">
        <v>260</v>
      </c>
      <c r="N887" s="34" t="str">
        <f>IFERROR(__xludf.DUMMYFUNCTION("""COMPUTED_VALUE"""),"")</f>
        <v/>
      </c>
      <c r="X887" s="72"/>
    </row>
    <row r="888">
      <c r="M888" s="34" t="s">
        <v>260</v>
      </c>
      <c r="N888" s="34" t="str">
        <f>IFERROR(__xludf.DUMMYFUNCTION("""COMPUTED_VALUE"""),"")</f>
        <v/>
      </c>
      <c r="X888" s="72"/>
    </row>
    <row r="889">
      <c r="M889" s="34" t="s">
        <v>260</v>
      </c>
      <c r="N889" s="34" t="str">
        <f>IFERROR(__xludf.DUMMYFUNCTION("""COMPUTED_VALUE"""),"")</f>
        <v/>
      </c>
      <c r="X889" s="72"/>
    </row>
    <row r="890">
      <c r="M890" s="34" t="s">
        <v>260</v>
      </c>
      <c r="N890" s="34" t="str">
        <f>IFERROR(__xludf.DUMMYFUNCTION("""COMPUTED_VALUE"""),"")</f>
        <v/>
      </c>
      <c r="X890" s="72"/>
    </row>
    <row r="891">
      <c r="M891" s="34" t="s">
        <v>260</v>
      </c>
      <c r="N891" s="34" t="str">
        <f>IFERROR(__xludf.DUMMYFUNCTION("""COMPUTED_VALUE"""),"")</f>
        <v/>
      </c>
      <c r="X891" s="72"/>
    </row>
    <row r="892">
      <c r="M892" s="34" t="s">
        <v>260</v>
      </c>
      <c r="N892" s="34" t="str">
        <f>IFERROR(__xludf.DUMMYFUNCTION("""COMPUTED_VALUE"""),"")</f>
        <v/>
      </c>
      <c r="X892" s="72"/>
    </row>
    <row r="893">
      <c r="M893" s="34" t="s">
        <v>260</v>
      </c>
      <c r="N893" s="34" t="str">
        <f>IFERROR(__xludf.DUMMYFUNCTION("""COMPUTED_VALUE"""),"")</f>
        <v/>
      </c>
      <c r="X893" s="72"/>
    </row>
    <row r="894">
      <c r="M894" s="34" t="s">
        <v>260</v>
      </c>
      <c r="N894" s="34" t="str">
        <f>IFERROR(__xludf.DUMMYFUNCTION("""COMPUTED_VALUE"""),"")</f>
        <v/>
      </c>
      <c r="X894" s="72"/>
    </row>
    <row r="895">
      <c r="M895" s="34" t="s">
        <v>260</v>
      </c>
      <c r="N895" s="34" t="str">
        <f>IFERROR(__xludf.DUMMYFUNCTION("""COMPUTED_VALUE"""),"")</f>
        <v/>
      </c>
      <c r="X895" s="72"/>
    </row>
    <row r="896">
      <c r="M896" s="34" t="s">
        <v>260</v>
      </c>
      <c r="N896" s="34" t="str">
        <f>IFERROR(__xludf.DUMMYFUNCTION("""COMPUTED_VALUE"""),"")</f>
        <v/>
      </c>
      <c r="X896" s="72"/>
    </row>
    <row r="897">
      <c r="M897" s="34" t="s">
        <v>260</v>
      </c>
      <c r="N897" s="34" t="str">
        <f>IFERROR(__xludf.DUMMYFUNCTION("""COMPUTED_VALUE"""),"")</f>
        <v/>
      </c>
      <c r="X897" s="72"/>
    </row>
    <row r="898">
      <c r="M898" s="34" t="s">
        <v>260</v>
      </c>
      <c r="N898" s="34" t="str">
        <f>IFERROR(__xludf.DUMMYFUNCTION("""COMPUTED_VALUE"""),"")</f>
        <v/>
      </c>
      <c r="X898" s="72"/>
    </row>
    <row r="899">
      <c r="M899" s="34" t="s">
        <v>260</v>
      </c>
      <c r="N899" s="34" t="str">
        <f>IFERROR(__xludf.DUMMYFUNCTION("""COMPUTED_VALUE"""),"")</f>
        <v/>
      </c>
      <c r="X899" s="72"/>
    </row>
    <row r="900">
      <c r="M900" s="34" t="s">
        <v>260</v>
      </c>
      <c r="N900" s="34" t="str">
        <f>IFERROR(__xludf.DUMMYFUNCTION("""COMPUTED_VALUE"""),"")</f>
        <v/>
      </c>
      <c r="X900" s="72"/>
    </row>
    <row r="901">
      <c r="M901" s="34" t="s">
        <v>260</v>
      </c>
      <c r="N901" s="34" t="str">
        <f>IFERROR(__xludf.DUMMYFUNCTION("""COMPUTED_VALUE"""),"")</f>
        <v/>
      </c>
      <c r="X901" s="72"/>
    </row>
    <row r="902">
      <c r="M902" s="34" t="s">
        <v>260</v>
      </c>
      <c r="N902" s="34" t="str">
        <f>IFERROR(__xludf.DUMMYFUNCTION("""COMPUTED_VALUE"""),"")</f>
        <v/>
      </c>
      <c r="X902" s="72"/>
    </row>
    <row r="903">
      <c r="M903" s="34" t="s">
        <v>260</v>
      </c>
      <c r="N903" s="34" t="str">
        <f>IFERROR(__xludf.DUMMYFUNCTION("""COMPUTED_VALUE"""),"")</f>
        <v/>
      </c>
      <c r="X903" s="72"/>
    </row>
    <row r="904">
      <c r="M904" s="34" t="s">
        <v>260</v>
      </c>
      <c r="N904" s="34" t="str">
        <f>IFERROR(__xludf.DUMMYFUNCTION("""COMPUTED_VALUE"""),"")</f>
        <v/>
      </c>
      <c r="X904" s="72"/>
    </row>
    <row r="905">
      <c r="M905" s="34" t="s">
        <v>260</v>
      </c>
      <c r="N905" s="34" t="str">
        <f>IFERROR(__xludf.DUMMYFUNCTION("""COMPUTED_VALUE"""),"")</f>
        <v/>
      </c>
      <c r="X905" s="72"/>
    </row>
    <row r="906">
      <c r="M906" s="34" t="s">
        <v>260</v>
      </c>
      <c r="N906" s="34" t="str">
        <f>IFERROR(__xludf.DUMMYFUNCTION("""COMPUTED_VALUE"""),"")</f>
        <v/>
      </c>
      <c r="X906" s="72"/>
    </row>
    <row r="907">
      <c r="M907" s="34" t="s">
        <v>260</v>
      </c>
      <c r="N907" s="34" t="str">
        <f>IFERROR(__xludf.DUMMYFUNCTION("""COMPUTED_VALUE"""),"")</f>
        <v/>
      </c>
      <c r="X907" s="72"/>
    </row>
    <row r="908">
      <c r="M908" s="34" t="s">
        <v>260</v>
      </c>
      <c r="N908" s="34" t="str">
        <f>IFERROR(__xludf.DUMMYFUNCTION("""COMPUTED_VALUE"""),"")</f>
        <v/>
      </c>
      <c r="X908" s="72"/>
    </row>
    <row r="909">
      <c r="M909" s="34" t="s">
        <v>260</v>
      </c>
      <c r="N909" s="34" t="str">
        <f>IFERROR(__xludf.DUMMYFUNCTION("""COMPUTED_VALUE"""),"")</f>
        <v/>
      </c>
      <c r="X909" s="72"/>
    </row>
    <row r="910">
      <c r="M910" s="34" t="s">
        <v>260</v>
      </c>
      <c r="N910" s="34" t="str">
        <f>IFERROR(__xludf.DUMMYFUNCTION("""COMPUTED_VALUE"""),"")</f>
        <v/>
      </c>
      <c r="X910" s="72"/>
    </row>
    <row r="911">
      <c r="M911" s="34" t="s">
        <v>260</v>
      </c>
      <c r="N911" s="34" t="str">
        <f>IFERROR(__xludf.DUMMYFUNCTION("""COMPUTED_VALUE"""),"")</f>
        <v/>
      </c>
      <c r="X911" s="72"/>
    </row>
    <row r="912">
      <c r="M912" s="34" t="s">
        <v>260</v>
      </c>
      <c r="N912" s="34" t="str">
        <f>IFERROR(__xludf.DUMMYFUNCTION("""COMPUTED_VALUE"""),"")</f>
        <v/>
      </c>
      <c r="X912" s="72"/>
    </row>
    <row r="913">
      <c r="M913" s="34" t="s">
        <v>260</v>
      </c>
      <c r="N913" s="34" t="str">
        <f>IFERROR(__xludf.DUMMYFUNCTION("""COMPUTED_VALUE"""),"")</f>
        <v/>
      </c>
      <c r="X913" s="72"/>
    </row>
    <row r="914">
      <c r="M914" s="34" t="s">
        <v>260</v>
      </c>
      <c r="N914" s="34" t="str">
        <f>IFERROR(__xludf.DUMMYFUNCTION("""COMPUTED_VALUE"""),"")</f>
        <v/>
      </c>
      <c r="X914" s="72"/>
    </row>
    <row r="915">
      <c r="M915" s="34" t="s">
        <v>260</v>
      </c>
      <c r="N915" s="34" t="str">
        <f>IFERROR(__xludf.DUMMYFUNCTION("""COMPUTED_VALUE"""),"")</f>
        <v/>
      </c>
      <c r="X915" s="72"/>
    </row>
    <row r="916">
      <c r="M916" s="34" t="s">
        <v>260</v>
      </c>
      <c r="N916" s="34" t="str">
        <f>IFERROR(__xludf.DUMMYFUNCTION("""COMPUTED_VALUE"""),"")</f>
        <v/>
      </c>
      <c r="X916" s="72"/>
    </row>
    <row r="917">
      <c r="M917" s="34" t="s">
        <v>260</v>
      </c>
      <c r="N917" s="34" t="str">
        <f>IFERROR(__xludf.DUMMYFUNCTION("""COMPUTED_VALUE"""),"")</f>
        <v/>
      </c>
      <c r="X917" s="72"/>
    </row>
    <row r="918">
      <c r="M918" s="34" t="s">
        <v>260</v>
      </c>
      <c r="N918" s="34" t="str">
        <f>IFERROR(__xludf.DUMMYFUNCTION("""COMPUTED_VALUE"""),"")</f>
        <v/>
      </c>
      <c r="X918" s="72"/>
    </row>
    <row r="919">
      <c r="M919" s="34" t="s">
        <v>260</v>
      </c>
      <c r="N919" s="34" t="str">
        <f>IFERROR(__xludf.DUMMYFUNCTION("""COMPUTED_VALUE"""),"")</f>
        <v/>
      </c>
      <c r="X919" s="72"/>
    </row>
    <row r="920">
      <c r="M920" s="34" t="s">
        <v>260</v>
      </c>
      <c r="N920" s="34" t="str">
        <f>IFERROR(__xludf.DUMMYFUNCTION("""COMPUTED_VALUE"""),"")</f>
        <v/>
      </c>
      <c r="X920" s="72"/>
    </row>
    <row r="921">
      <c r="M921" s="34" t="s">
        <v>260</v>
      </c>
      <c r="N921" s="34" t="str">
        <f>IFERROR(__xludf.DUMMYFUNCTION("""COMPUTED_VALUE"""),"")</f>
        <v/>
      </c>
      <c r="X921" s="72"/>
    </row>
    <row r="922">
      <c r="M922" s="34" t="s">
        <v>260</v>
      </c>
      <c r="N922" s="34" t="str">
        <f>IFERROR(__xludf.DUMMYFUNCTION("""COMPUTED_VALUE"""),"")</f>
        <v/>
      </c>
      <c r="X922" s="72"/>
    </row>
    <row r="923">
      <c r="M923" s="34" t="s">
        <v>260</v>
      </c>
      <c r="N923" s="34" t="str">
        <f>IFERROR(__xludf.DUMMYFUNCTION("""COMPUTED_VALUE"""),"")</f>
        <v/>
      </c>
      <c r="X923" s="72"/>
    </row>
    <row r="924">
      <c r="M924" s="34" t="s">
        <v>260</v>
      </c>
      <c r="N924" s="34" t="str">
        <f>IFERROR(__xludf.DUMMYFUNCTION("""COMPUTED_VALUE"""),"")</f>
        <v/>
      </c>
      <c r="X924" s="72"/>
    </row>
    <row r="925">
      <c r="M925" s="34" t="s">
        <v>260</v>
      </c>
      <c r="N925" s="34" t="str">
        <f>IFERROR(__xludf.DUMMYFUNCTION("""COMPUTED_VALUE"""),"")</f>
        <v/>
      </c>
      <c r="X925" s="72"/>
    </row>
    <row r="926">
      <c r="M926" s="34" t="s">
        <v>260</v>
      </c>
      <c r="N926" s="34" t="str">
        <f>IFERROR(__xludf.DUMMYFUNCTION("""COMPUTED_VALUE"""),"")</f>
        <v/>
      </c>
      <c r="X926" s="72"/>
    </row>
    <row r="927">
      <c r="M927" s="34" t="s">
        <v>260</v>
      </c>
      <c r="N927" s="34" t="str">
        <f>IFERROR(__xludf.DUMMYFUNCTION("""COMPUTED_VALUE"""),"")</f>
        <v/>
      </c>
      <c r="X927" s="72"/>
    </row>
    <row r="928">
      <c r="M928" s="34" t="s">
        <v>260</v>
      </c>
      <c r="N928" s="34" t="str">
        <f>IFERROR(__xludf.DUMMYFUNCTION("""COMPUTED_VALUE"""),"")</f>
        <v/>
      </c>
      <c r="X928" s="72"/>
    </row>
    <row r="929">
      <c r="M929" s="34" t="s">
        <v>260</v>
      </c>
      <c r="N929" s="34" t="str">
        <f>IFERROR(__xludf.DUMMYFUNCTION("""COMPUTED_VALUE"""),"")</f>
        <v/>
      </c>
      <c r="X929" s="72"/>
    </row>
    <row r="930">
      <c r="M930" s="34" t="s">
        <v>260</v>
      </c>
      <c r="N930" s="34" t="str">
        <f>IFERROR(__xludf.DUMMYFUNCTION("""COMPUTED_VALUE"""),"")</f>
        <v/>
      </c>
      <c r="X930" s="72"/>
    </row>
    <row r="931">
      <c r="M931" s="34" t="s">
        <v>260</v>
      </c>
      <c r="N931" s="34" t="str">
        <f>IFERROR(__xludf.DUMMYFUNCTION("""COMPUTED_VALUE"""),"")</f>
        <v/>
      </c>
      <c r="X931" s="72"/>
    </row>
    <row r="932">
      <c r="M932" s="34" t="s">
        <v>260</v>
      </c>
      <c r="N932" s="34" t="str">
        <f>IFERROR(__xludf.DUMMYFUNCTION("""COMPUTED_VALUE"""),"")</f>
        <v/>
      </c>
      <c r="X932" s="72"/>
    </row>
    <row r="933">
      <c r="M933" s="34" t="s">
        <v>260</v>
      </c>
      <c r="N933" s="34" t="str">
        <f>IFERROR(__xludf.DUMMYFUNCTION("""COMPUTED_VALUE"""),"")</f>
        <v/>
      </c>
      <c r="X933" s="72"/>
    </row>
    <row r="934">
      <c r="M934" s="34" t="s">
        <v>260</v>
      </c>
      <c r="N934" s="34" t="str">
        <f>IFERROR(__xludf.DUMMYFUNCTION("""COMPUTED_VALUE"""),"")</f>
        <v/>
      </c>
      <c r="X934" s="72"/>
    </row>
    <row r="935">
      <c r="M935" s="34" t="s">
        <v>260</v>
      </c>
      <c r="N935" s="34" t="str">
        <f>IFERROR(__xludf.DUMMYFUNCTION("""COMPUTED_VALUE"""),"")</f>
        <v/>
      </c>
      <c r="X935" s="72"/>
    </row>
    <row r="936">
      <c r="M936" s="34" t="s">
        <v>260</v>
      </c>
      <c r="N936" s="34" t="str">
        <f>IFERROR(__xludf.DUMMYFUNCTION("""COMPUTED_VALUE"""),"")</f>
        <v/>
      </c>
      <c r="X936" s="72"/>
    </row>
    <row r="937">
      <c r="M937" s="34" t="s">
        <v>260</v>
      </c>
      <c r="N937" s="34" t="str">
        <f>IFERROR(__xludf.DUMMYFUNCTION("""COMPUTED_VALUE"""),"")</f>
        <v/>
      </c>
      <c r="X937" s="72"/>
    </row>
    <row r="938">
      <c r="M938" s="34" t="s">
        <v>260</v>
      </c>
      <c r="N938" s="34" t="str">
        <f>IFERROR(__xludf.DUMMYFUNCTION("""COMPUTED_VALUE"""),"")</f>
        <v/>
      </c>
      <c r="X938" s="72"/>
    </row>
    <row r="939">
      <c r="M939" s="34" t="s">
        <v>260</v>
      </c>
      <c r="N939" s="34" t="str">
        <f>IFERROR(__xludf.DUMMYFUNCTION("""COMPUTED_VALUE"""),"")</f>
        <v/>
      </c>
      <c r="X939" s="72"/>
    </row>
    <row r="940">
      <c r="M940" s="34" t="s">
        <v>260</v>
      </c>
      <c r="N940" s="34" t="str">
        <f>IFERROR(__xludf.DUMMYFUNCTION("""COMPUTED_VALUE"""),"")</f>
        <v/>
      </c>
      <c r="X940" s="72"/>
    </row>
    <row r="941">
      <c r="M941" s="34" t="s">
        <v>260</v>
      </c>
      <c r="N941" s="34" t="str">
        <f>IFERROR(__xludf.DUMMYFUNCTION("""COMPUTED_VALUE"""),"")</f>
        <v/>
      </c>
      <c r="X941" s="72"/>
    </row>
    <row r="942">
      <c r="M942" s="34" t="s">
        <v>260</v>
      </c>
      <c r="N942" s="34" t="str">
        <f>IFERROR(__xludf.DUMMYFUNCTION("""COMPUTED_VALUE"""),"")</f>
        <v/>
      </c>
      <c r="X942" s="72"/>
    </row>
    <row r="943">
      <c r="M943" s="34" t="s">
        <v>260</v>
      </c>
      <c r="N943" s="34" t="str">
        <f>IFERROR(__xludf.DUMMYFUNCTION("""COMPUTED_VALUE"""),"")</f>
        <v/>
      </c>
      <c r="X943" s="72"/>
    </row>
    <row r="944">
      <c r="M944" s="34" t="s">
        <v>260</v>
      </c>
      <c r="N944" s="34" t="str">
        <f>IFERROR(__xludf.DUMMYFUNCTION("""COMPUTED_VALUE"""),"")</f>
        <v/>
      </c>
      <c r="X944" s="72"/>
    </row>
    <row r="945">
      <c r="M945" s="34" t="s">
        <v>260</v>
      </c>
      <c r="N945" s="34" t="str">
        <f>IFERROR(__xludf.DUMMYFUNCTION("""COMPUTED_VALUE"""),"")</f>
        <v/>
      </c>
      <c r="X945" s="72"/>
    </row>
    <row r="946">
      <c r="M946" s="34" t="s">
        <v>260</v>
      </c>
      <c r="N946" s="34" t="str">
        <f>IFERROR(__xludf.DUMMYFUNCTION("""COMPUTED_VALUE"""),"")</f>
        <v/>
      </c>
      <c r="X946" s="72"/>
    </row>
    <row r="947">
      <c r="M947" s="34" t="s">
        <v>260</v>
      </c>
      <c r="N947" s="34" t="str">
        <f>IFERROR(__xludf.DUMMYFUNCTION("""COMPUTED_VALUE"""),"")</f>
        <v/>
      </c>
      <c r="X947" s="72"/>
    </row>
    <row r="948">
      <c r="M948" s="34" t="s">
        <v>260</v>
      </c>
      <c r="N948" s="34" t="str">
        <f>IFERROR(__xludf.DUMMYFUNCTION("""COMPUTED_VALUE"""),"")</f>
        <v/>
      </c>
      <c r="X948" s="72"/>
    </row>
    <row r="949">
      <c r="M949" s="34" t="s">
        <v>260</v>
      </c>
      <c r="N949" s="34" t="str">
        <f>IFERROR(__xludf.DUMMYFUNCTION("""COMPUTED_VALUE"""),"")</f>
        <v/>
      </c>
      <c r="X949" s="72"/>
    </row>
    <row r="950">
      <c r="M950" s="34" t="s">
        <v>260</v>
      </c>
      <c r="N950" s="34" t="str">
        <f>IFERROR(__xludf.DUMMYFUNCTION("""COMPUTED_VALUE"""),"")</f>
        <v/>
      </c>
      <c r="X950" s="72"/>
    </row>
    <row r="951">
      <c r="M951" s="34" t="s">
        <v>260</v>
      </c>
      <c r="N951" s="34" t="str">
        <f>IFERROR(__xludf.DUMMYFUNCTION("""COMPUTED_VALUE"""),"")</f>
        <v/>
      </c>
      <c r="X951" s="72"/>
    </row>
    <row r="952">
      <c r="M952" s="34" t="s">
        <v>260</v>
      </c>
      <c r="N952" s="34" t="str">
        <f>IFERROR(__xludf.DUMMYFUNCTION("""COMPUTED_VALUE"""),"")</f>
        <v/>
      </c>
      <c r="X952" s="72"/>
    </row>
    <row r="953">
      <c r="M953" s="34" t="s">
        <v>260</v>
      </c>
      <c r="N953" s="34" t="str">
        <f>IFERROR(__xludf.DUMMYFUNCTION("""COMPUTED_VALUE"""),"")</f>
        <v/>
      </c>
      <c r="X953" s="72"/>
    </row>
    <row r="954">
      <c r="M954" s="34" t="s">
        <v>260</v>
      </c>
      <c r="N954" s="34" t="str">
        <f>IFERROR(__xludf.DUMMYFUNCTION("""COMPUTED_VALUE"""),"")</f>
        <v/>
      </c>
      <c r="X954" s="72"/>
    </row>
    <row r="955">
      <c r="M955" s="34" t="s">
        <v>260</v>
      </c>
      <c r="N955" s="34" t="str">
        <f>IFERROR(__xludf.DUMMYFUNCTION("""COMPUTED_VALUE"""),"")</f>
        <v/>
      </c>
      <c r="X955" s="72"/>
    </row>
    <row r="956">
      <c r="M956" s="34" t="s">
        <v>260</v>
      </c>
      <c r="N956" s="34" t="str">
        <f>IFERROR(__xludf.DUMMYFUNCTION("""COMPUTED_VALUE"""),"")</f>
        <v/>
      </c>
      <c r="X956" s="72"/>
    </row>
    <row r="957">
      <c r="M957" s="34" t="s">
        <v>260</v>
      </c>
      <c r="N957" s="34" t="str">
        <f>IFERROR(__xludf.DUMMYFUNCTION("""COMPUTED_VALUE"""),"")</f>
        <v/>
      </c>
      <c r="X957" s="72"/>
    </row>
    <row r="958">
      <c r="M958" s="34" t="s">
        <v>260</v>
      </c>
      <c r="N958" s="34" t="str">
        <f>IFERROR(__xludf.DUMMYFUNCTION("""COMPUTED_VALUE"""),"")</f>
        <v/>
      </c>
      <c r="X958" s="72"/>
    </row>
    <row r="959">
      <c r="M959" s="34" t="s">
        <v>260</v>
      </c>
      <c r="N959" s="34" t="str">
        <f>IFERROR(__xludf.DUMMYFUNCTION("""COMPUTED_VALUE"""),"")</f>
        <v/>
      </c>
      <c r="X959" s="72"/>
    </row>
    <row r="960">
      <c r="M960" s="34" t="s">
        <v>260</v>
      </c>
      <c r="N960" s="34" t="str">
        <f>IFERROR(__xludf.DUMMYFUNCTION("""COMPUTED_VALUE"""),"")</f>
        <v/>
      </c>
      <c r="X960" s="72"/>
    </row>
    <row r="961">
      <c r="M961" s="34" t="s">
        <v>260</v>
      </c>
      <c r="N961" s="34" t="str">
        <f>IFERROR(__xludf.DUMMYFUNCTION("""COMPUTED_VALUE"""),"")</f>
        <v/>
      </c>
      <c r="X961" s="72"/>
    </row>
    <row r="962">
      <c r="M962" s="34" t="s">
        <v>260</v>
      </c>
      <c r="N962" s="34" t="str">
        <f>IFERROR(__xludf.DUMMYFUNCTION("""COMPUTED_VALUE"""),"")</f>
        <v/>
      </c>
      <c r="X962" s="72"/>
    </row>
    <row r="963">
      <c r="M963" s="34" t="s">
        <v>260</v>
      </c>
      <c r="N963" s="34" t="str">
        <f>IFERROR(__xludf.DUMMYFUNCTION("""COMPUTED_VALUE"""),"")</f>
        <v/>
      </c>
      <c r="X963" s="72"/>
    </row>
    <row r="964">
      <c r="M964" s="34" t="s">
        <v>260</v>
      </c>
      <c r="N964" s="34" t="str">
        <f>IFERROR(__xludf.DUMMYFUNCTION("""COMPUTED_VALUE"""),"")</f>
        <v/>
      </c>
      <c r="X964" s="72"/>
    </row>
    <row r="965">
      <c r="M965" s="34" t="s">
        <v>260</v>
      </c>
      <c r="N965" s="34" t="str">
        <f>IFERROR(__xludf.DUMMYFUNCTION("""COMPUTED_VALUE"""),"")</f>
        <v/>
      </c>
      <c r="X965" s="72"/>
    </row>
    <row r="966">
      <c r="M966" s="34" t="s">
        <v>260</v>
      </c>
      <c r="N966" s="34" t="str">
        <f>IFERROR(__xludf.DUMMYFUNCTION("""COMPUTED_VALUE"""),"")</f>
        <v/>
      </c>
      <c r="X966" s="72"/>
    </row>
    <row r="967">
      <c r="M967" s="34" t="s">
        <v>260</v>
      </c>
      <c r="N967" s="34" t="str">
        <f>IFERROR(__xludf.DUMMYFUNCTION("""COMPUTED_VALUE"""),"")</f>
        <v/>
      </c>
      <c r="X967" s="72"/>
    </row>
    <row r="968">
      <c r="M968" s="34" t="s">
        <v>260</v>
      </c>
      <c r="N968" s="34" t="str">
        <f>IFERROR(__xludf.DUMMYFUNCTION("""COMPUTED_VALUE"""),"")</f>
        <v/>
      </c>
      <c r="X968" s="72"/>
    </row>
    <row r="969">
      <c r="M969" s="34" t="s">
        <v>260</v>
      </c>
      <c r="N969" s="34" t="str">
        <f>IFERROR(__xludf.DUMMYFUNCTION("""COMPUTED_VALUE"""),"")</f>
        <v/>
      </c>
      <c r="X969" s="72"/>
    </row>
    <row r="970">
      <c r="M970" s="34" t="s">
        <v>260</v>
      </c>
      <c r="N970" s="34" t="str">
        <f>IFERROR(__xludf.DUMMYFUNCTION("""COMPUTED_VALUE"""),"")</f>
        <v/>
      </c>
      <c r="X970" s="72"/>
    </row>
    <row r="971">
      <c r="M971" s="34" t="s">
        <v>260</v>
      </c>
      <c r="N971" s="34" t="str">
        <f>IFERROR(__xludf.DUMMYFUNCTION("""COMPUTED_VALUE"""),"")</f>
        <v/>
      </c>
      <c r="X971" s="72"/>
    </row>
    <row r="972">
      <c r="M972" s="34" t="s">
        <v>260</v>
      </c>
      <c r="N972" s="34" t="str">
        <f>IFERROR(__xludf.DUMMYFUNCTION("""COMPUTED_VALUE"""),"")</f>
        <v/>
      </c>
      <c r="X972" s="72"/>
    </row>
    <row r="973">
      <c r="M973" s="34" t="s">
        <v>260</v>
      </c>
      <c r="N973" s="34" t="str">
        <f>IFERROR(__xludf.DUMMYFUNCTION("""COMPUTED_VALUE"""),"")</f>
        <v/>
      </c>
      <c r="X973" s="72"/>
    </row>
    <row r="974">
      <c r="M974" s="34" t="s">
        <v>260</v>
      </c>
      <c r="N974" s="34" t="str">
        <f>IFERROR(__xludf.DUMMYFUNCTION("""COMPUTED_VALUE"""),"")</f>
        <v/>
      </c>
      <c r="X974" s="72"/>
    </row>
    <row r="975">
      <c r="M975" s="34" t="s">
        <v>260</v>
      </c>
      <c r="N975" s="34" t="str">
        <f>IFERROR(__xludf.DUMMYFUNCTION("""COMPUTED_VALUE"""),"")</f>
        <v/>
      </c>
      <c r="X975" s="72"/>
    </row>
    <row r="976">
      <c r="M976" s="34" t="s">
        <v>260</v>
      </c>
      <c r="N976" s="34" t="str">
        <f>IFERROR(__xludf.DUMMYFUNCTION("""COMPUTED_VALUE"""),"")</f>
        <v/>
      </c>
      <c r="X976" s="72"/>
    </row>
    <row r="977">
      <c r="M977" s="34" t="s">
        <v>260</v>
      </c>
      <c r="N977" s="34" t="str">
        <f>IFERROR(__xludf.DUMMYFUNCTION("""COMPUTED_VALUE"""),"")</f>
        <v/>
      </c>
      <c r="X977" s="72"/>
    </row>
    <row r="978">
      <c r="M978" s="34" t="s">
        <v>260</v>
      </c>
      <c r="N978" s="34" t="str">
        <f>IFERROR(__xludf.DUMMYFUNCTION("""COMPUTED_VALUE"""),"")</f>
        <v/>
      </c>
      <c r="X978" s="72"/>
    </row>
    <row r="979">
      <c r="M979" s="34" t="s">
        <v>260</v>
      </c>
      <c r="N979" s="34" t="str">
        <f>IFERROR(__xludf.DUMMYFUNCTION("""COMPUTED_VALUE"""),"")</f>
        <v/>
      </c>
      <c r="X979" s="72"/>
    </row>
    <row r="980">
      <c r="M980" s="34" t="s">
        <v>260</v>
      </c>
      <c r="N980" s="34" t="str">
        <f>IFERROR(__xludf.DUMMYFUNCTION("""COMPUTED_VALUE"""),"")</f>
        <v/>
      </c>
      <c r="X980" s="72"/>
    </row>
    <row r="981">
      <c r="M981" s="34" t="s">
        <v>260</v>
      </c>
      <c r="N981" s="34" t="str">
        <f>IFERROR(__xludf.DUMMYFUNCTION("""COMPUTED_VALUE"""),"")</f>
        <v/>
      </c>
      <c r="X981" s="72"/>
    </row>
    <row r="982">
      <c r="M982" s="34" t="s">
        <v>260</v>
      </c>
      <c r="N982" s="34" t="str">
        <f>IFERROR(__xludf.DUMMYFUNCTION("""COMPUTED_VALUE"""),"")</f>
        <v/>
      </c>
      <c r="X982" s="72"/>
    </row>
    <row r="983">
      <c r="M983" s="34" t="s">
        <v>260</v>
      </c>
      <c r="N983" s="34" t="str">
        <f>IFERROR(__xludf.DUMMYFUNCTION("""COMPUTED_VALUE"""),"")</f>
        <v/>
      </c>
      <c r="X983" s="72"/>
    </row>
    <row r="984">
      <c r="M984" s="34" t="s">
        <v>260</v>
      </c>
      <c r="N984" s="34" t="str">
        <f>IFERROR(__xludf.DUMMYFUNCTION("""COMPUTED_VALUE"""),"")</f>
        <v/>
      </c>
      <c r="X984" s="72"/>
    </row>
    <row r="985">
      <c r="M985" s="34" t="s">
        <v>260</v>
      </c>
      <c r="N985" s="34" t="str">
        <f>IFERROR(__xludf.DUMMYFUNCTION("""COMPUTED_VALUE"""),"")</f>
        <v/>
      </c>
      <c r="X985" s="72"/>
    </row>
    <row r="986">
      <c r="M986" s="34" t="s">
        <v>260</v>
      </c>
      <c r="N986" s="34" t="str">
        <f>IFERROR(__xludf.DUMMYFUNCTION("""COMPUTED_VALUE"""),"")</f>
        <v/>
      </c>
      <c r="X986" s="72"/>
    </row>
    <row r="987">
      <c r="M987" s="34" t="s">
        <v>260</v>
      </c>
      <c r="N987" s="34" t="str">
        <f>IFERROR(__xludf.DUMMYFUNCTION("""COMPUTED_VALUE"""),"")</f>
        <v/>
      </c>
      <c r="X987" s="72"/>
    </row>
    <row r="988">
      <c r="M988" s="34" t="s">
        <v>260</v>
      </c>
      <c r="N988" s="34" t="str">
        <f>IFERROR(__xludf.DUMMYFUNCTION("""COMPUTED_VALUE"""),"")</f>
        <v/>
      </c>
      <c r="X988" s="72"/>
    </row>
    <row r="989">
      <c r="M989" s="34" t="s">
        <v>260</v>
      </c>
      <c r="N989" s="34" t="str">
        <f>IFERROR(__xludf.DUMMYFUNCTION("""COMPUTED_VALUE"""),"")</f>
        <v/>
      </c>
      <c r="X989" s="72"/>
    </row>
    <row r="990">
      <c r="M990" s="34" t="s">
        <v>260</v>
      </c>
      <c r="N990" s="34" t="str">
        <f>IFERROR(__xludf.DUMMYFUNCTION("""COMPUTED_VALUE"""),"")</f>
        <v/>
      </c>
      <c r="X990" s="72"/>
    </row>
    <row r="991">
      <c r="M991" s="34" t="s">
        <v>260</v>
      </c>
      <c r="N991" s="34" t="str">
        <f>IFERROR(__xludf.DUMMYFUNCTION("""COMPUTED_VALUE"""),"")</f>
        <v/>
      </c>
      <c r="X991" s="72"/>
    </row>
    <row r="992">
      <c r="M992" s="34" t="s">
        <v>260</v>
      </c>
      <c r="N992" s="34" t="str">
        <f>IFERROR(__xludf.DUMMYFUNCTION("""COMPUTED_VALUE"""),"")</f>
        <v/>
      </c>
      <c r="X992" s="72"/>
    </row>
    <row r="993">
      <c r="M993" s="34" t="s">
        <v>260</v>
      </c>
      <c r="N993" s="34" t="str">
        <f>IFERROR(__xludf.DUMMYFUNCTION("""COMPUTED_VALUE"""),"")</f>
        <v/>
      </c>
      <c r="X993" s="72"/>
    </row>
    <row r="994">
      <c r="M994" s="34" t="s">
        <v>260</v>
      </c>
      <c r="N994" s="34" t="str">
        <f>IFERROR(__xludf.DUMMYFUNCTION("""COMPUTED_VALUE"""),"")</f>
        <v/>
      </c>
      <c r="X994" s="72"/>
    </row>
    <row r="995">
      <c r="M995" s="34" t="s">
        <v>260</v>
      </c>
      <c r="N995" s="34" t="str">
        <f>IFERROR(__xludf.DUMMYFUNCTION("""COMPUTED_VALUE"""),"")</f>
        <v/>
      </c>
      <c r="X995" s="72"/>
    </row>
    <row r="996">
      <c r="M996" s="34" t="s">
        <v>260</v>
      </c>
      <c r="N996" s="34" t="str">
        <f>IFERROR(__xludf.DUMMYFUNCTION("""COMPUTED_VALUE"""),"")</f>
        <v/>
      </c>
      <c r="X996" s="72"/>
    </row>
    <row r="997">
      <c r="M997" s="34" t="s">
        <v>260</v>
      </c>
      <c r="N997" s="34" t="str">
        <f>IFERROR(__xludf.DUMMYFUNCTION("""COMPUTED_VALUE"""),"")</f>
        <v/>
      </c>
      <c r="X997" s="72"/>
    </row>
    <row r="998">
      <c r="M998" s="34" t="s">
        <v>260</v>
      </c>
      <c r="N998" s="34" t="str">
        <f>IFERROR(__xludf.DUMMYFUNCTION("""COMPUTED_VALUE"""),"")</f>
        <v/>
      </c>
      <c r="X998" s="72"/>
    </row>
    <row r="999">
      <c r="M999" s="34" t="s">
        <v>260</v>
      </c>
      <c r="N999" s="34" t="str">
        <f>IFERROR(__xludf.DUMMYFUNCTION("""COMPUTED_VALUE"""),"")</f>
        <v/>
      </c>
      <c r="X999" s="72"/>
    </row>
    <row r="1000">
      <c r="M1000" s="34" t="s">
        <v>260</v>
      </c>
      <c r="N1000" s="34" t="str">
        <f>IFERROR(__xludf.DUMMYFUNCTION("""COMPUTED_VALUE"""),"")</f>
        <v/>
      </c>
      <c r="X1000" s="7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  <c r="P1" s="36"/>
      <c r="Q1" s="73"/>
    </row>
    <row r="2">
      <c r="A2" s="39">
        <v>1.0</v>
      </c>
      <c r="B2" s="39" t="s">
        <v>488</v>
      </c>
      <c r="C2" s="40" t="s">
        <v>18</v>
      </c>
      <c r="D2" s="40" t="s">
        <v>489</v>
      </c>
      <c r="E2" s="40" t="s">
        <v>20</v>
      </c>
      <c r="F2" s="41" t="s">
        <v>21</v>
      </c>
      <c r="G2" s="41">
        <v>28.0</v>
      </c>
      <c r="H2" s="41" t="s">
        <v>22</v>
      </c>
      <c r="I2" s="42">
        <v>1.0</v>
      </c>
      <c r="J2" s="43"/>
      <c r="K2" s="44">
        <v>3055.44</v>
      </c>
      <c r="L2" s="44">
        <v>3055.44</v>
      </c>
      <c r="M2" s="42">
        <v>0.0</v>
      </c>
      <c r="N2" s="44">
        <v>3055.44</v>
      </c>
      <c r="O2" s="46"/>
      <c r="P2" s="36"/>
      <c r="Q2" s="36"/>
    </row>
    <row r="3">
      <c r="A3" s="42" t="s">
        <v>23</v>
      </c>
      <c r="B3" s="41" t="s">
        <v>490</v>
      </c>
      <c r="C3" s="40" t="s">
        <v>18</v>
      </c>
      <c r="D3" s="40" t="s">
        <v>491</v>
      </c>
      <c r="E3" s="46"/>
      <c r="F3" s="41">
        <v>36.0</v>
      </c>
      <c r="G3" s="41" t="s">
        <v>21</v>
      </c>
      <c r="H3" s="41" t="s">
        <v>22</v>
      </c>
      <c r="I3" s="42">
        <v>1.0</v>
      </c>
      <c r="J3" s="43"/>
      <c r="K3" s="44">
        <v>1035.39</v>
      </c>
      <c r="L3" s="44">
        <v>1035.39</v>
      </c>
      <c r="M3" s="42">
        <v>0.0</v>
      </c>
      <c r="N3" s="44">
        <v>1035.39</v>
      </c>
      <c r="O3" s="40" t="s">
        <v>26</v>
      </c>
      <c r="P3" s="36"/>
      <c r="Q3" s="36"/>
    </row>
    <row r="4">
      <c r="A4" s="42">
        <v>1.1</v>
      </c>
      <c r="B4" s="41" t="s">
        <v>492</v>
      </c>
      <c r="C4" s="40" t="s">
        <v>18</v>
      </c>
      <c r="D4" s="40" t="s">
        <v>493</v>
      </c>
      <c r="E4" s="46"/>
      <c r="F4" s="41" t="s">
        <v>21</v>
      </c>
      <c r="G4" s="41">
        <v>14.0</v>
      </c>
      <c r="H4" s="41" t="s">
        <v>29</v>
      </c>
      <c r="I4" s="42">
        <v>1.0</v>
      </c>
      <c r="J4" s="43"/>
      <c r="K4" s="42">
        <v>0.0</v>
      </c>
      <c r="L4" s="42">
        <v>0.0</v>
      </c>
      <c r="M4" s="42">
        <v>0.0</v>
      </c>
      <c r="N4" s="42">
        <v>0.0</v>
      </c>
      <c r="O4" s="46"/>
      <c r="P4" s="36"/>
      <c r="Q4" s="36"/>
    </row>
    <row r="5">
      <c r="A5" s="42">
        <v>1.2</v>
      </c>
      <c r="B5" s="41" t="s">
        <v>494</v>
      </c>
      <c r="C5" s="40" t="s">
        <v>18</v>
      </c>
      <c r="D5" s="40" t="s">
        <v>495</v>
      </c>
      <c r="E5" s="46"/>
      <c r="F5" s="41" t="s">
        <v>21</v>
      </c>
      <c r="G5" s="41">
        <v>28.0</v>
      </c>
      <c r="H5" s="41" t="s">
        <v>29</v>
      </c>
      <c r="I5" s="42">
        <v>1.0</v>
      </c>
      <c r="J5" s="43"/>
      <c r="K5" s="42">
        <v>0.0</v>
      </c>
      <c r="L5" s="42">
        <v>0.0</v>
      </c>
      <c r="M5" s="42">
        <v>0.0</v>
      </c>
      <c r="N5" s="42">
        <v>0.0</v>
      </c>
      <c r="O5" s="46"/>
      <c r="P5" s="36"/>
      <c r="Q5" s="36"/>
    </row>
    <row r="6">
      <c r="A6" s="42">
        <v>1.3</v>
      </c>
      <c r="B6" s="41" t="s">
        <v>285</v>
      </c>
      <c r="C6" s="40" t="s">
        <v>18</v>
      </c>
      <c r="D6" s="40" t="s">
        <v>286</v>
      </c>
      <c r="E6" s="46"/>
      <c r="F6" s="41" t="s">
        <v>21</v>
      </c>
      <c r="G6" s="41">
        <v>14.0</v>
      </c>
      <c r="H6" s="41" t="s">
        <v>22</v>
      </c>
      <c r="I6" s="42">
        <v>1.0</v>
      </c>
      <c r="J6" s="43"/>
      <c r="K6" s="42">
        <v>0.0</v>
      </c>
      <c r="L6" s="42">
        <v>0.0</v>
      </c>
      <c r="M6" s="42">
        <v>0.0</v>
      </c>
      <c r="N6" s="42">
        <v>0.0</v>
      </c>
      <c r="O6" s="46"/>
      <c r="P6" s="36"/>
      <c r="Q6" s="36"/>
    </row>
    <row r="7">
      <c r="A7" s="42">
        <v>1.4</v>
      </c>
      <c r="B7" s="41" t="s">
        <v>496</v>
      </c>
      <c r="C7" s="40" t="s">
        <v>18</v>
      </c>
      <c r="D7" s="40" t="s">
        <v>497</v>
      </c>
      <c r="E7" s="46"/>
      <c r="F7" s="41" t="s">
        <v>21</v>
      </c>
      <c r="G7" s="41">
        <v>14.0</v>
      </c>
      <c r="H7" s="41" t="s">
        <v>22</v>
      </c>
      <c r="I7" s="42">
        <v>1.0</v>
      </c>
      <c r="J7" s="43"/>
      <c r="K7" s="42">
        <v>0.0</v>
      </c>
      <c r="L7" s="42">
        <v>0.0</v>
      </c>
      <c r="M7" s="42">
        <v>0.0</v>
      </c>
      <c r="N7" s="42">
        <v>0.0</v>
      </c>
      <c r="O7" s="46"/>
      <c r="P7" s="36"/>
      <c r="Q7" s="36"/>
    </row>
    <row r="8">
      <c r="A8" s="42">
        <v>1.5</v>
      </c>
      <c r="B8" s="41" t="s">
        <v>498</v>
      </c>
      <c r="C8" s="40" t="s">
        <v>18</v>
      </c>
      <c r="D8" s="40" t="s">
        <v>499</v>
      </c>
      <c r="E8" s="46"/>
      <c r="F8" s="41" t="s">
        <v>21</v>
      </c>
      <c r="G8" s="41">
        <v>28.0</v>
      </c>
      <c r="H8" s="41" t="s">
        <v>22</v>
      </c>
      <c r="I8" s="42">
        <v>1.0</v>
      </c>
      <c r="J8" s="43"/>
      <c r="K8" s="42">
        <v>0.0</v>
      </c>
      <c r="L8" s="42">
        <v>0.0</v>
      </c>
      <c r="M8" s="42">
        <v>0.0</v>
      </c>
      <c r="N8" s="42">
        <v>0.0</v>
      </c>
      <c r="O8" s="46"/>
      <c r="P8" s="36"/>
      <c r="Q8" s="36"/>
    </row>
    <row r="9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50" t="s">
        <v>63</v>
      </c>
      <c r="N9" s="51">
        <v>4090.83</v>
      </c>
      <c r="O9" s="52"/>
      <c r="P9" s="36"/>
      <c r="Q9" s="36"/>
    </row>
    <row r="10">
      <c r="A10" s="56"/>
      <c r="B10" s="56"/>
      <c r="C10" s="38" t="s">
        <v>500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</row>
    <row r="11">
      <c r="A11" s="39">
        <v>2.0</v>
      </c>
      <c r="B11" s="39" t="s">
        <v>501</v>
      </c>
      <c r="C11" s="40" t="s">
        <v>29</v>
      </c>
      <c r="D11" s="40" t="s">
        <v>502</v>
      </c>
      <c r="E11" s="40" t="s">
        <v>20</v>
      </c>
      <c r="F11" s="41" t="s">
        <v>21</v>
      </c>
      <c r="G11" s="41">
        <v>4.0</v>
      </c>
      <c r="H11" s="41" t="s">
        <v>22</v>
      </c>
      <c r="I11" s="42">
        <v>1.0</v>
      </c>
      <c r="J11" s="43"/>
      <c r="K11" s="42">
        <v>0.0</v>
      </c>
      <c r="L11" s="42">
        <v>0.0</v>
      </c>
      <c r="M11" s="42">
        <v>0.0</v>
      </c>
      <c r="N11" s="42">
        <v>0.0</v>
      </c>
      <c r="O11" s="46"/>
      <c r="P11" s="36"/>
      <c r="Q11" s="36"/>
    </row>
    <row r="12">
      <c r="A12" s="42">
        <v>2.1</v>
      </c>
      <c r="B12" s="41" t="s">
        <v>503</v>
      </c>
      <c r="C12" s="40" t="s">
        <v>29</v>
      </c>
      <c r="D12" s="40" t="s">
        <v>504</v>
      </c>
      <c r="E12" s="46"/>
      <c r="F12" s="41" t="s">
        <v>21</v>
      </c>
      <c r="G12" s="41" t="s">
        <v>21</v>
      </c>
      <c r="H12" s="41" t="s">
        <v>22</v>
      </c>
      <c r="I12" s="42">
        <v>1.0</v>
      </c>
      <c r="J12" s="43"/>
      <c r="K12" s="42">
        <v>148.61</v>
      </c>
      <c r="L12" s="44">
        <v>5349.96</v>
      </c>
      <c r="M12" s="42">
        <v>0.0</v>
      </c>
      <c r="N12" s="44">
        <v>5349.96</v>
      </c>
      <c r="O12" s="46"/>
      <c r="P12" s="36"/>
      <c r="Q12" s="36"/>
    </row>
    <row r="13">
      <c r="A13" s="42">
        <v>2.2</v>
      </c>
      <c r="B13" s="41" t="s">
        <v>505</v>
      </c>
      <c r="C13" s="40" t="s">
        <v>18</v>
      </c>
      <c r="D13" s="40" t="s">
        <v>506</v>
      </c>
      <c r="E13" s="46"/>
      <c r="F13" s="41" t="s">
        <v>21</v>
      </c>
      <c r="G13" s="41">
        <v>3.0</v>
      </c>
      <c r="H13" s="41" t="s">
        <v>22</v>
      </c>
      <c r="I13" s="42">
        <v>1.0</v>
      </c>
      <c r="J13" s="43"/>
      <c r="K13" s="42">
        <v>30.65</v>
      </c>
      <c r="L13" s="44">
        <v>1103.4</v>
      </c>
      <c r="M13" s="42">
        <v>0.0</v>
      </c>
      <c r="N13" s="44">
        <v>1103.4</v>
      </c>
      <c r="O13" s="46"/>
      <c r="P13" s="36"/>
      <c r="Q13" s="36"/>
    </row>
    <row r="14">
      <c r="A14" s="42">
        <v>2.3</v>
      </c>
      <c r="B14" s="41" t="s">
        <v>507</v>
      </c>
      <c r="C14" s="40" t="s">
        <v>29</v>
      </c>
      <c r="D14" s="40" t="s">
        <v>508</v>
      </c>
      <c r="E14" s="46"/>
      <c r="F14" s="41" t="s">
        <v>21</v>
      </c>
      <c r="G14" s="41">
        <v>2.0</v>
      </c>
      <c r="H14" s="41" t="s">
        <v>22</v>
      </c>
      <c r="I14" s="42">
        <v>1.0</v>
      </c>
      <c r="J14" s="43"/>
      <c r="K14" s="42">
        <v>0.0</v>
      </c>
      <c r="L14" s="42">
        <v>0.0</v>
      </c>
      <c r="M14" s="42">
        <v>0.0</v>
      </c>
      <c r="N14" s="42">
        <v>0.0</v>
      </c>
      <c r="O14" s="46"/>
      <c r="P14" s="36"/>
      <c r="Q14" s="36"/>
    </row>
    <row r="15">
      <c r="A15" s="42">
        <v>2.4</v>
      </c>
      <c r="B15" s="41" t="s">
        <v>509</v>
      </c>
      <c r="C15" s="40" t="s">
        <v>29</v>
      </c>
      <c r="D15" s="40" t="s">
        <v>510</v>
      </c>
      <c r="E15" s="46"/>
      <c r="F15" s="41" t="s">
        <v>21</v>
      </c>
      <c r="G15" s="41">
        <v>3.0</v>
      </c>
      <c r="H15" s="41" t="s">
        <v>22</v>
      </c>
      <c r="I15" s="42">
        <v>1.0</v>
      </c>
      <c r="J15" s="43"/>
      <c r="K15" s="42">
        <v>0.0</v>
      </c>
      <c r="L15" s="42">
        <v>0.0</v>
      </c>
      <c r="M15" s="42">
        <v>0.0</v>
      </c>
      <c r="N15" s="42">
        <v>0.0</v>
      </c>
      <c r="O15" s="46"/>
      <c r="P15" s="36"/>
      <c r="Q15" s="36"/>
    </row>
    <row r="16">
      <c r="A16" s="42">
        <v>2.5</v>
      </c>
      <c r="B16" s="41" t="s">
        <v>511</v>
      </c>
      <c r="C16" s="40" t="s">
        <v>29</v>
      </c>
      <c r="D16" s="40" t="s">
        <v>431</v>
      </c>
      <c r="E16" s="46"/>
      <c r="F16" s="41" t="s">
        <v>21</v>
      </c>
      <c r="G16" s="41">
        <v>3.0</v>
      </c>
      <c r="H16" s="41" t="s">
        <v>22</v>
      </c>
      <c r="I16" s="42">
        <v>1.0</v>
      </c>
      <c r="J16" s="43"/>
      <c r="K16" s="42">
        <v>0.0</v>
      </c>
      <c r="L16" s="42">
        <v>0.0</v>
      </c>
      <c r="M16" s="42">
        <v>0.0</v>
      </c>
      <c r="N16" s="42">
        <v>0.0</v>
      </c>
      <c r="O16" s="46"/>
      <c r="P16" s="36"/>
      <c r="Q16" s="36"/>
    </row>
    <row r="17">
      <c r="A17" s="42">
        <v>2.6</v>
      </c>
      <c r="B17" s="41" t="s">
        <v>512</v>
      </c>
      <c r="C17" s="40" t="s">
        <v>29</v>
      </c>
      <c r="D17" s="40" t="s">
        <v>513</v>
      </c>
      <c r="E17" s="46"/>
      <c r="F17" s="41" t="s">
        <v>21</v>
      </c>
      <c r="G17" s="41">
        <v>3.0</v>
      </c>
      <c r="H17" s="41" t="s">
        <v>22</v>
      </c>
      <c r="I17" s="42">
        <v>1.0</v>
      </c>
      <c r="J17" s="43"/>
      <c r="K17" s="42">
        <v>0.0</v>
      </c>
      <c r="L17" s="42">
        <v>0.0</v>
      </c>
      <c r="M17" s="42">
        <v>0.0</v>
      </c>
      <c r="N17" s="42">
        <v>0.0</v>
      </c>
      <c r="O17" s="46"/>
      <c r="P17" s="36"/>
      <c r="Q17" s="36"/>
    </row>
    <row r="18">
      <c r="A18" s="42">
        <v>2.7</v>
      </c>
      <c r="B18" s="41" t="s">
        <v>514</v>
      </c>
      <c r="C18" s="40" t="s">
        <v>29</v>
      </c>
      <c r="D18" s="40" t="s">
        <v>515</v>
      </c>
      <c r="E18" s="46"/>
      <c r="F18" s="41" t="s">
        <v>21</v>
      </c>
      <c r="G18" s="41">
        <v>3.0</v>
      </c>
      <c r="H18" s="41" t="s">
        <v>22</v>
      </c>
      <c r="I18" s="42">
        <v>1.0</v>
      </c>
      <c r="J18" s="43"/>
      <c r="K18" s="42">
        <v>0.0</v>
      </c>
      <c r="L18" s="42">
        <v>0.0</v>
      </c>
      <c r="M18" s="42">
        <v>0.0</v>
      </c>
      <c r="N18" s="42">
        <v>0.0</v>
      </c>
      <c r="O18" s="46"/>
      <c r="P18" s="36"/>
      <c r="Q18" s="36"/>
    </row>
    <row r="19">
      <c r="A19" s="42">
        <v>2.8</v>
      </c>
      <c r="B19" s="41" t="s">
        <v>516</v>
      </c>
      <c r="C19" s="40" t="s">
        <v>29</v>
      </c>
      <c r="D19" s="40" t="s">
        <v>517</v>
      </c>
      <c r="E19" s="46"/>
      <c r="F19" s="41" t="s">
        <v>21</v>
      </c>
      <c r="G19" s="41">
        <v>3.0</v>
      </c>
      <c r="H19" s="41" t="s">
        <v>22</v>
      </c>
      <c r="I19" s="42">
        <v>1.0</v>
      </c>
      <c r="J19" s="43"/>
      <c r="K19" s="42">
        <v>0.0</v>
      </c>
      <c r="L19" s="42">
        <v>0.0</v>
      </c>
      <c r="M19" s="42">
        <v>0.0</v>
      </c>
      <c r="N19" s="42">
        <v>0.0</v>
      </c>
      <c r="O19" s="46"/>
      <c r="P19" s="36"/>
      <c r="Q19" s="36"/>
    </row>
    <row r="20">
      <c r="A20" s="42">
        <v>2.9</v>
      </c>
      <c r="B20" s="41" t="s">
        <v>518</v>
      </c>
      <c r="C20" s="40" t="s">
        <v>29</v>
      </c>
      <c r="D20" s="40" t="s">
        <v>519</v>
      </c>
      <c r="E20" s="46"/>
      <c r="F20" s="41" t="s">
        <v>21</v>
      </c>
      <c r="G20" s="41">
        <v>2.0</v>
      </c>
      <c r="H20" s="41" t="s">
        <v>22</v>
      </c>
      <c r="I20" s="42">
        <v>1.0</v>
      </c>
      <c r="J20" s="43"/>
      <c r="K20" s="42">
        <v>0.0</v>
      </c>
      <c r="L20" s="42">
        <v>0.0</v>
      </c>
      <c r="M20" s="42">
        <v>0.0</v>
      </c>
      <c r="N20" s="42">
        <v>0.0</v>
      </c>
      <c r="O20" s="46"/>
      <c r="P20" s="36"/>
      <c r="Q20" s="36"/>
    </row>
    <row r="21">
      <c r="A21" s="42">
        <v>2.1</v>
      </c>
      <c r="B21" s="41" t="s">
        <v>520</v>
      </c>
      <c r="C21" s="40" t="s">
        <v>18</v>
      </c>
      <c r="D21" s="40" t="s">
        <v>521</v>
      </c>
      <c r="E21" s="46"/>
      <c r="F21" s="41" t="s">
        <v>21</v>
      </c>
      <c r="G21" s="41">
        <v>2.0</v>
      </c>
      <c r="H21" s="41" t="s">
        <v>22</v>
      </c>
      <c r="I21" s="42">
        <v>1.0</v>
      </c>
      <c r="J21" s="43"/>
      <c r="K21" s="42">
        <v>0.0</v>
      </c>
      <c r="L21" s="42">
        <v>0.0</v>
      </c>
      <c r="M21" s="42">
        <v>0.0</v>
      </c>
      <c r="N21" s="42">
        <v>0.0</v>
      </c>
      <c r="O21" s="46"/>
      <c r="P21" s="36"/>
      <c r="Q21" s="36"/>
    </row>
    <row r="22">
      <c r="A22" s="42">
        <v>2.11</v>
      </c>
      <c r="B22" s="41" t="s">
        <v>522</v>
      </c>
      <c r="C22" s="40" t="s">
        <v>18</v>
      </c>
      <c r="D22" s="40" t="s">
        <v>523</v>
      </c>
      <c r="E22" s="46"/>
      <c r="F22" s="41" t="s">
        <v>21</v>
      </c>
      <c r="G22" s="41">
        <v>2.0</v>
      </c>
      <c r="H22" s="41" t="s">
        <v>22</v>
      </c>
      <c r="I22" s="42">
        <v>1.0</v>
      </c>
      <c r="J22" s="43"/>
      <c r="K22" s="42">
        <v>0.0</v>
      </c>
      <c r="L22" s="42">
        <v>0.0</v>
      </c>
      <c r="M22" s="42">
        <v>0.0</v>
      </c>
      <c r="N22" s="42">
        <v>0.0</v>
      </c>
      <c r="O22" s="46"/>
      <c r="P22" s="36"/>
      <c r="Q22" s="36"/>
    </row>
    <row r="23">
      <c r="A23" s="48"/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50" t="s">
        <v>63</v>
      </c>
      <c r="N23" s="51">
        <v>6453.36</v>
      </c>
      <c r="O23" s="52"/>
      <c r="P23" s="36"/>
      <c r="Q23" s="36"/>
    </row>
    <row r="24">
      <c r="A24" s="39">
        <v>3.0</v>
      </c>
      <c r="B24" s="39" t="s">
        <v>524</v>
      </c>
      <c r="C24" s="40" t="s">
        <v>18</v>
      </c>
      <c r="D24" s="40" t="s">
        <v>525</v>
      </c>
      <c r="E24" s="40" t="s">
        <v>20</v>
      </c>
      <c r="F24" s="41" t="s">
        <v>21</v>
      </c>
      <c r="G24" s="41">
        <v>63.0</v>
      </c>
      <c r="H24" s="41" t="s">
        <v>22</v>
      </c>
      <c r="I24" s="42">
        <v>1.0</v>
      </c>
      <c r="J24" s="43"/>
      <c r="K24" s="44">
        <v>1989.86</v>
      </c>
      <c r="L24" s="44">
        <v>1989.86</v>
      </c>
      <c r="M24" s="42">
        <v>0.0</v>
      </c>
      <c r="N24" s="44">
        <v>1989.86</v>
      </c>
      <c r="O24" s="46"/>
      <c r="P24" s="36"/>
      <c r="Q24" s="36"/>
    </row>
    <row r="25">
      <c r="A25" s="42" t="s">
        <v>83</v>
      </c>
      <c r="B25" s="41" t="s">
        <v>526</v>
      </c>
      <c r="C25" s="40" t="s">
        <v>18</v>
      </c>
      <c r="D25" s="40" t="s">
        <v>527</v>
      </c>
      <c r="E25" s="46"/>
      <c r="F25" s="41">
        <v>36.0</v>
      </c>
      <c r="G25" s="41" t="s">
        <v>21</v>
      </c>
      <c r="H25" s="41" t="s">
        <v>22</v>
      </c>
      <c r="I25" s="42">
        <v>1.0</v>
      </c>
      <c r="J25" s="43"/>
      <c r="K25" s="42">
        <v>676.5</v>
      </c>
      <c r="L25" s="42">
        <v>676.5</v>
      </c>
      <c r="M25" s="42">
        <v>0.0</v>
      </c>
      <c r="N25" s="42">
        <v>676.5</v>
      </c>
      <c r="O25" s="40" t="s">
        <v>26</v>
      </c>
      <c r="P25" s="36"/>
      <c r="Q25" s="36"/>
    </row>
    <row r="26">
      <c r="A26" s="42">
        <v>3.1</v>
      </c>
      <c r="B26" s="41" t="s">
        <v>492</v>
      </c>
      <c r="C26" s="40" t="s">
        <v>18</v>
      </c>
      <c r="D26" s="40" t="s">
        <v>493</v>
      </c>
      <c r="E26" s="46"/>
      <c r="F26" s="41" t="s">
        <v>21</v>
      </c>
      <c r="G26" s="41">
        <v>14.0</v>
      </c>
      <c r="H26" s="41" t="s">
        <v>29</v>
      </c>
      <c r="I26" s="42">
        <v>1.0</v>
      </c>
      <c r="J26" s="43"/>
      <c r="K26" s="42">
        <v>0.0</v>
      </c>
      <c r="L26" s="42">
        <v>0.0</v>
      </c>
      <c r="M26" s="42">
        <v>0.0</v>
      </c>
      <c r="N26" s="42">
        <v>0.0</v>
      </c>
      <c r="O26" s="46"/>
      <c r="P26" s="36"/>
      <c r="Q26" s="36"/>
    </row>
    <row r="27">
      <c r="A27" s="42">
        <v>3.2</v>
      </c>
      <c r="B27" s="41" t="s">
        <v>528</v>
      </c>
      <c r="C27" s="40" t="s">
        <v>18</v>
      </c>
      <c r="D27" s="40" t="s">
        <v>529</v>
      </c>
      <c r="E27" s="46"/>
      <c r="F27" s="41" t="s">
        <v>21</v>
      </c>
      <c r="G27" s="41">
        <v>28.0</v>
      </c>
      <c r="H27" s="41" t="s">
        <v>29</v>
      </c>
      <c r="I27" s="42">
        <v>1.0</v>
      </c>
      <c r="J27" s="43"/>
      <c r="K27" s="42">
        <v>0.0</v>
      </c>
      <c r="L27" s="42">
        <v>0.0</v>
      </c>
      <c r="M27" s="42">
        <v>0.0</v>
      </c>
      <c r="N27" s="42">
        <v>0.0</v>
      </c>
      <c r="O27" s="46"/>
      <c r="P27" s="36"/>
      <c r="Q27" s="36"/>
    </row>
    <row r="28">
      <c r="A28" s="42">
        <v>3.3</v>
      </c>
      <c r="B28" s="41" t="s">
        <v>494</v>
      </c>
      <c r="C28" s="40" t="s">
        <v>18</v>
      </c>
      <c r="D28" s="40" t="s">
        <v>495</v>
      </c>
      <c r="E28" s="46"/>
      <c r="F28" s="41" t="s">
        <v>21</v>
      </c>
      <c r="G28" s="41">
        <v>28.0</v>
      </c>
      <c r="H28" s="41" t="s">
        <v>29</v>
      </c>
      <c r="I28" s="42">
        <v>1.0</v>
      </c>
      <c r="J28" s="43"/>
      <c r="K28" s="42">
        <v>0.0</v>
      </c>
      <c r="L28" s="42">
        <v>0.0</v>
      </c>
      <c r="M28" s="42">
        <v>0.0</v>
      </c>
      <c r="N28" s="42">
        <v>0.0</v>
      </c>
      <c r="O28" s="46"/>
      <c r="P28" s="36"/>
      <c r="Q28" s="36"/>
    </row>
    <row r="29">
      <c r="A29" s="42">
        <v>3.4</v>
      </c>
      <c r="B29" s="41" t="s">
        <v>285</v>
      </c>
      <c r="C29" s="40" t="s">
        <v>18</v>
      </c>
      <c r="D29" s="40" t="s">
        <v>286</v>
      </c>
      <c r="E29" s="46"/>
      <c r="F29" s="41" t="s">
        <v>21</v>
      </c>
      <c r="G29" s="41">
        <v>14.0</v>
      </c>
      <c r="H29" s="41" t="s">
        <v>22</v>
      </c>
      <c r="I29" s="42">
        <v>1.0</v>
      </c>
      <c r="J29" s="43"/>
      <c r="K29" s="42">
        <v>0.0</v>
      </c>
      <c r="L29" s="42">
        <v>0.0</v>
      </c>
      <c r="M29" s="42">
        <v>0.0</v>
      </c>
      <c r="N29" s="42">
        <v>0.0</v>
      </c>
      <c r="O29" s="46"/>
      <c r="P29" s="36"/>
      <c r="Q29" s="36"/>
    </row>
    <row r="30">
      <c r="A30" s="42">
        <v>3.5</v>
      </c>
      <c r="B30" s="41" t="s">
        <v>496</v>
      </c>
      <c r="C30" s="40" t="s">
        <v>18</v>
      </c>
      <c r="D30" s="40" t="s">
        <v>497</v>
      </c>
      <c r="E30" s="46"/>
      <c r="F30" s="41" t="s">
        <v>21</v>
      </c>
      <c r="G30" s="41">
        <v>14.0</v>
      </c>
      <c r="H30" s="41" t="s">
        <v>22</v>
      </c>
      <c r="I30" s="42">
        <v>1.0</v>
      </c>
      <c r="J30" s="43"/>
      <c r="K30" s="42">
        <v>0.0</v>
      </c>
      <c r="L30" s="42">
        <v>0.0</v>
      </c>
      <c r="M30" s="42">
        <v>0.0</v>
      </c>
      <c r="N30" s="42">
        <v>0.0</v>
      </c>
      <c r="O30" s="46"/>
      <c r="P30" s="36"/>
      <c r="Q30" s="36"/>
    </row>
    <row r="31">
      <c r="A31" s="42">
        <v>3.6</v>
      </c>
      <c r="B31" s="41" t="s">
        <v>498</v>
      </c>
      <c r="C31" s="40" t="s">
        <v>18</v>
      </c>
      <c r="D31" s="40" t="s">
        <v>499</v>
      </c>
      <c r="E31" s="46"/>
      <c r="F31" s="41" t="s">
        <v>21</v>
      </c>
      <c r="G31" s="41">
        <v>28.0</v>
      </c>
      <c r="H31" s="41" t="s">
        <v>22</v>
      </c>
      <c r="I31" s="42">
        <v>1.0</v>
      </c>
      <c r="J31" s="43"/>
      <c r="K31" s="42">
        <v>0.0</v>
      </c>
      <c r="L31" s="42">
        <v>0.0</v>
      </c>
      <c r="M31" s="42">
        <v>0.0</v>
      </c>
      <c r="N31" s="42">
        <v>0.0</v>
      </c>
      <c r="O31" s="46"/>
      <c r="P31" s="36"/>
      <c r="Q31" s="36"/>
    </row>
    <row r="32">
      <c r="A32" s="42">
        <v>3.7</v>
      </c>
      <c r="B32" s="41" t="s">
        <v>530</v>
      </c>
      <c r="C32" s="40" t="s">
        <v>18</v>
      </c>
      <c r="D32" s="40" t="s">
        <v>531</v>
      </c>
      <c r="E32" s="46"/>
      <c r="F32" s="41" t="s">
        <v>21</v>
      </c>
      <c r="G32" s="41">
        <v>28.0</v>
      </c>
      <c r="H32" s="41" t="s">
        <v>29</v>
      </c>
      <c r="I32" s="42">
        <v>1.0</v>
      </c>
      <c r="J32" s="43"/>
      <c r="K32" s="42">
        <v>0.0</v>
      </c>
      <c r="L32" s="42">
        <v>0.0</v>
      </c>
      <c r="M32" s="42">
        <v>0.0</v>
      </c>
      <c r="N32" s="42">
        <v>0.0</v>
      </c>
      <c r="O32" s="46"/>
      <c r="P32" s="36"/>
      <c r="Q32" s="36"/>
    </row>
    <row r="33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50" t="s">
        <v>63</v>
      </c>
      <c r="N33" s="51">
        <v>2666.36</v>
      </c>
      <c r="O33" s="52"/>
      <c r="P33" s="36"/>
      <c r="Q33" s="36"/>
    </row>
    <row r="34">
      <c r="A34" s="56"/>
      <c r="B34" s="56"/>
      <c r="C34" s="38" t="s">
        <v>532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</row>
    <row r="35">
      <c r="A35" s="39">
        <v>4.0</v>
      </c>
      <c r="B35" s="39" t="s">
        <v>501</v>
      </c>
      <c r="C35" s="40" t="s">
        <v>29</v>
      </c>
      <c r="D35" s="40" t="s">
        <v>502</v>
      </c>
      <c r="E35" s="40" t="s">
        <v>20</v>
      </c>
      <c r="F35" s="41" t="s">
        <v>21</v>
      </c>
      <c r="G35" s="41">
        <v>4.0</v>
      </c>
      <c r="H35" s="41" t="s">
        <v>22</v>
      </c>
      <c r="I35" s="42">
        <v>1.0</v>
      </c>
      <c r="J35" s="43"/>
      <c r="K35" s="42">
        <v>0.0</v>
      </c>
      <c r="L35" s="42">
        <v>0.0</v>
      </c>
      <c r="M35" s="42">
        <v>0.0</v>
      </c>
      <c r="N35" s="42">
        <v>0.0</v>
      </c>
      <c r="O35" s="46"/>
      <c r="P35" s="36"/>
      <c r="Q35" s="36"/>
    </row>
    <row r="36">
      <c r="A36" s="42">
        <v>4.1</v>
      </c>
      <c r="B36" s="41" t="s">
        <v>503</v>
      </c>
      <c r="C36" s="40" t="s">
        <v>29</v>
      </c>
      <c r="D36" s="40" t="s">
        <v>504</v>
      </c>
      <c r="E36" s="46"/>
      <c r="F36" s="41" t="s">
        <v>21</v>
      </c>
      <c r="G36" s="41" t="s">
        <v>21</v>
      </c>
      <c r="H36" s="41" t="s">
        <v>22</v>
      </c>
      <c r="I36" s="42">
        <v>1.0</v>
      </c>
      <c r="J36" s="43"/>
      <c r="K36" s="42">
        <v>148.61</v>
      </c>
      <c r="L36" s="44">
        <v>5349.96</v>
      </c>
      <c r="M36" s="42">
        <v>0.0</v>
      </c>
      <c r="N36" s="44">
        <v>5349.96</v>
      </c>
      <c r="O36" s="46"/>
      <c r="P36" s="36"/>
      <c r="Q36" s="36"/>
    </row>
    <row r="37">
      <c r="A37" s="42">
        <v>4.2</v>
      </c>
      <c r="B37" s="41" t="s">
        <v>505</v>
      </c>
      <c r="C37" s="40" t="s">
        <v>18</v>
      </c>
      <c r="D37" s="40" t="s">
        <v>506</v>
      </c>
      <c r="E37" s="46"/>
      <c r="F37" s="41" t="s">
        <v>21</v>
      </c>
      <c r="G37" s="41">
        <v>3.0</v>
      </c>
      <c r="H37" s="41" t="s">
        <v>22</v>
      </c>
      <c r="I37" s="42">
        <v>1.0</v>
      </c>
      <c r="J37" s="43"/>
      <c r="K37" s="42">
        <v>30.65</v>
      </c>
      <c r="L37" s="44">
        <v>1103.4</v>
      </c>
      <c r="M37" s="42">
        <v>0.0</v>
      </c>
      <c r="N37" s="44">
        <v>1103.4</v>
      </c>
      <c r="O37" s="46"/>
      <c r="P37" s="36"/>
      <c r="Q37" s="36"/>
    </row>
    <row r="38">
      <c r="A38" s="42">
        <v>4.3</v>
      </c>
      <c r="B38" s="41" t="s">
        <v>507</v>
      </c>
      <c r="C38" s="40" t="s">
        <v>29</v>
      </c>
      <c r="D38" s="40" t="s">
        <v>508</v>
      </c>
      <c r="E38" s="46"/>
      <c r="F38" s="41" t="s">
        <v>21</v>
      </c>
      <c r="G38" s="41">
        <v>2.0</v>
      </c>
      <c r="H38" s="41" t="s">
        <v>22</v>
      </c>
      <c r="I38" s="42">
        <v>1.0</v>
      </c>
      <c r="J38" s="43"/>
      <c r="K38" s="42">
        <v>0.0</v>
      </c>
      <c r="L38" s="42">
        <v>0.0</v>
      </c>
      <c r="M38" s="42">
        <v>0.0</v>
      </c>
      <c r="N38" s="42">
        <v>0.0</v>
      </c>
      <c r="O38" s="46"/>
      <c r="P38" s="36"/>
      <c r="Q38" s="36"/>
    </row>
    <row r="39">
      <c r="A39" s="42">
        <v>4.4</v>
      </c>
      <c r="B39" s="41" t="s">
        <v>509</v>
      </c>
      <c r="C39" s="40" t="s">
        <v>29</v>
      </c>
      <c r="D39" s="40" t="s">
        <v>510</v>
      </c>
      <c r="E39" s="46"/>
      <c r="F39" s="41" t="s">
        <v>21</v>
      </c>
      <c r="G39" s="41">
        <v>3.0</v>
      </c>
      <c r="H39" s="41" t="s">
        <v>22</v>
      </c>
      <c r="I39" s="42">
        <v>1.0</v>
      </c>
      <c r="J39" s="43"/>
      <c r="K39" s="42">
        <v>0.0</v>
      </c>
      <c r="L39" s="42">
        <v>0.0</v>
      </c>
      <c r="M39" s="42">
        <v>0.0</v>
      </c>
      <c r="N39" s="42">
        <v>0.0</v>
      </c>
      <c r="O39" s="46"/>
      <c r="P39" s="36"/>
      <c r="Q39" s="36"/>
    </row>
    <row r="40">
      <c r="A40" s="42">
        <v>4.5</v>
      </c>
      <c r="B40" s="41" t="s">
        <v>511</v>
      </c>
      <c r="C40" s="40" t="s">
        <v>29</v>
      </c>
      <c r="D40" s="40" t="s">
        <v>431</v>
      </c>
      <c r="E40" s="46"/>
      <c r="F40" s="41" t="s">
        <v>21</v>
      </c>
      <c r="G40" s="41">
        <v>3.0</v>
      </c>
      <c r="H40" s="41" t="s">
        <v>22</v>
      </c>
      <c r="I40" s="42">
        <v>1.0</v>
      </c>
      <c r="J40" s="43"/>
      <c r="K40" s="42">
        <v>0.0</v>
      </c>
      <c r="L40" s="42">
        <v>0.0</v>
      </c>
      <c r="M40" s="42">
        <v>0.0</v>
      </c>
      <c r="N40" s="42">
        <v>0.0</v>
      </c>
      <c r="O40" s="46"/>
      <c r="P40" s="36"/>
      <c r="Q40" s="36"/>
    </row>
    <row r="41">
      <c r="A41" s="42">
        <v>4.6</v>
      </c>
      <c r="B41" s="41" t="s">
        <v>520</v>
      </c>
      <c r="C41" s="40" t="s">
        <v>18</v>
      </c>
      <c r="D41" s="40" t="s">
        <v>521</v>
      </c>
      <c r="E41" s="46"/>
      <c r="F41" s="41" t="s">
        <v>21</v>
      </c>
      <c r="G41" s="41">
        <v>2.0</v>
      </c>
      <c r="H41" s="41" t="s">
        <v>22</v>
      </c>
      <c r="I41" s="42">
        <v>1.0</v>
      </c>
      <c r="J41" s="43"/>
      <c r="K41" s="42">
        <v>0.0</v>
      </c>
      <c r="L41" s="42">
        <v>0.0</v>
      </c>
      <c r="M41" s="42">
        <v>0.0</v>
      </c>
      <c r="N41" s="42">
        <v>0.0</v>
      </c>
      <c r="O41" s="46"/>
      <c r="P41" s="36"/>
      <c r="Q41" s="36"/>
    </row>
    <row r="42">
      <c r="A42" s="42">
        <v>4.7</v>
      </c>
      <c r="B42" s="41" t="s">
        <v>522</v>
      </c>
      <c r="C42" s="40" t="s">
        <v>18</v>
      </c>
      <c r="D42" s="40" t="s">
        <v>523</v>
      </c>
      <c r="E42" s="46"/>
      <c r="F42" s="41" t="s">
        <v>21</v>
      </c>
      <c r="G42" s="41">
        <v>2.0</v>
      </c>
      <c r="H42" s="41" t="s">
        <v>22</v>
      </c>
      <c r="I42" s="42">
        <v>1.0</v>
      </c>
      <c r="J42" s="43"/>
      <c r="K42" s="42">
        <v>0.0</v>
      </c>
      <c r="L42" s="42">
        <v>0.0</v>
      </c>
      <c r="M42" s="42">
        <v>0.0</v>
      </c>
      <c r="N42" s="42">
        <v>0.0</v>
      </c>
      <c r="O42" s="46"/>
      <c r="P42" s="36"/>
      <c r="Q42" s="36"/>
    </row>
    <row r="43">
      <c r="A43" s="42">
        <v>4.8</v>
      </c>
      <c r="B43" s="41" t="s">
        <v>533</v>
      </c>
      <c r="C43" s="40" t="s">
        <v>29</v>
      </c>
      <c r="D43" s="40" t="s">
        <v>534</v>
      </c>
      <c r="E43" s="46"/>
      <c r="F43" s="41" t="s">
        <v>21</v>
      </c>
      <c r="G43" s="41">
        <v>3.0</v>
      </c>
      <c r="H43" s="41" t="s">
        <v>22</v>
      </c>
      <c r="I43" s="42">
        <v>1.0</v>
      </c>
      <c r="J43" s="43"/>
      <c r="K43" s="42">
        <v>0.0</v>
      </c>
      <c r="L43" s="42">
        <v>0.0</v>
      </c>
      <c r="M43" s="42">
        <v>0.0</v>
      </c>
      <c r="N43" s="42">
        <v>0.0</v>
      </c>
      <c r="O43" s="46"/>
      <c r="P43" s="36"/>
      <c r="Q43" s="36"/>
    </row>
    <row r="44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50" t="s">
        <v>63</v>
      </c>
      <c r="N44" s="51">
        <v>6453.36</v>
      </c>
      <c r="O44" s="52"/>
      <c r="P44" s="36"/>
      <c r="Q44" s="36"/>
    </row>
    <row r="45">
      <c r="A45" s="39">
        <v>5.0</v>
      </c>
      <c r="B45" s="39" t="s">
        <v>535</v>
      </c>
      <c r="C45" s="40" t="s">
        <v>18</v>
      </c>
      <c r="D45" s="40" t="s">
        <v>536</v>
      </c>
      <c r="E45" s="40" t="s">
        <v>20</v>
      </c>
      <c r="F45" s="41" t="s">
        <v>21</v>
      </c>
      <c r="G45" s="41">
        <v>28.0</v>
      </c>
      <c r="H45" s="41" t="s">
        <v>22</v>
      </c>
      <c r="I45" s="42">
        <v>1.0</v>
      </c>
      <c r="J45" s="43"/>
      <c r="K45" s="44">
        <v>1656.08</v>
      </c>
      <c r="L45" s="44">
        <v>1656.08</v>
      </c>
      <c r="M45" s="42">
        <v>0.0</v>
      </c>
      <c r="N45" s="44">
        <v>1656.08</v>
      </c>
      <c r="O45" s="46"/>
      <c r="P45" s="36"/>
      <c r="Q45" s="36"/>
    </row>
    <row r="46">
      <c r="A46" s="42" t="s">
        <v>117</v>
      </c>
      <c r="B46" s="41" t="s">
        <v>537</v>
      </c>
      <c r="C46" s="40" t="s">
        <v>18</v>
      </c>
      <c r="D46" s="40" t="s">
        <v>538</v>
      </c>
      <c r="E46" s="46"/>
      <c r="F46" s="41">
        <v>36.0</v>
      </c>
      <c r="G46" s="41" t="s">
        <v>21</v>
      </c>
      <c r="H46" s="41" t="s">
        <v>22</v>
      </c>
      <c r="I46" s="42">
        <v>1.0</v>
      </c>
      <c r="J46" s="43"/>
      <c r="K46" s="42">
        <v>561.0</v>
      </c>
      <c r="L46" s="42">
        <v>561.0</v>
      </c>
      <c r="M46" s="42">
        <v>0.0</v>
      </c>
      <c r="N46" s="42">
        <v>561.0</v>
      </c>
      <c r="O46" s="40" t="s">
        <v>26</v>
      </c>
      <c r="P46" s="36"/>
      <c r="Q46" s="36"/>
    </row>
    <row r="47">
      <c r="A47" s="42">
        <v>5.1</v>
      </c>
      <c r="B47" s="41" t="s">
        <v>492</v>
      </c>
      <c r="C47" s="40" t="s">
        <v>18</v>
      </c>
      <c r="D47" s="40" t="s">
        <v>493</v>
      </c>
      <c r="E47" s="46"/>
      <c r="F47" s="41" t="s">
        <v>21</v>
      </c>
      <c r="G47" s="41">
        <v>14.0</v>
      </c>
      <c r="H47" s="41" t="s">
        <v>29</v>
      </c>
      <c r="I47" s="42">
        <v>1.0</v>
      </c>
      <c r="J47" s="43"/>
      <c r="K47" s="42">
        <v>0.0</v>
      </c>
      <c r="L47" s="42">
        <v>0.0</v>
      </c>
      <c r="M47" s="42">
        <v>0.0</v>
      </c>
      <c r="N47" s="42">
        <v>0.0</v>
      </c>
      <c r="O47" s="46"/>
      <c r="P47" s="36"/>
      <c r="Q47" s="36"/>
    </row>
    <row r="48">
      <c r="A48" s="42">
        <v>5.2</v>
      </c>
      <c r="B48" s="41" t="s">
        <v>539</v>
      </c>
      <c r="C48" s="40" t="s">
        <v>18</v>
      </c>
      <c r="D48" s="40" t="s">
        <v>540</v>
      </c>
      <c r="E48" s="46"/>
      <c r="F48" s="41" t="s">
        <v>21</v>
      </c>
      <c r="G48" s="41">
        <v>3.0</v>
      </c>
      <c r="H48" s="41" t="s">
        <v>29</v>
      </c>
      <c r="I48" s="42">
        <v>1.0</v>
      </c>
      <c r="J48" s="43"/>
      <c r="K48" s="42">
        <v>0.0</v>
      </c>
      <c r="L48" s="42">
        <v>0.0</v>
      </c>
      <c r="M48" s="42">
        <v>0.0</v>
      </c>
      <c r="N48" s="42">
        <v>0.0</v>
      </c>
      <c r="O48" s="46"/>
      <c r="P48" s="36"/>
      <c r="Q48" s="36"/>
    </row>
    <row r="49">
      <c r="A49" s="42">
        <v>5.3</v>
      </c>
      <c r="B49" s="41" t="s">
        <v>285</v>
      </c>
      <c r="C49" s="40" t="s">
        <v>18</v>
      </c>
      <c r="D49" s="40" t="s">
        <v>286</v>
      </c>
      <c r="E49" s="46"/>
      <c r="F49" s="41" t="s">
        <v>21</v>
      </c>
      <c r="G49" s="41">
        <v>14.0</v>
      </c>
      <c r="H49" s="41" t="s">
        <v>22</v>
      </c>
      <c r="I49" s="42">
        <v>1.0</v>
      </c>
      <c r="J49" s="43"/>
      <c r="K49" s="42">
        <v>0.0</v>
      </c>
      <c r="L49" s="42">
        <v>0.0</v>
      </c>
      <c r="M49" s="42">
        <v>0.0</v>
      </c>
      <c r="N49" s="42">
        <v>0.0</v>
      </c>
      <c r="O49" s="46"/>
      <c r="P49" s="36"/>
      <c r="Q49" s="36"/>
    </row>
    <row r="50">
      <c r="A50" s="42">
        <v>5.4</v>
      </c>
      <c r="B50" s="41" t="s">
        <v>498</v>
      </c>
      <c r="C50" s="40" t="s">
        <v>18</v>
      </c>
      <c r="D50" s="40" t="s">
        <v>499</v>
      </c>
      <c r="E50" s="46"/>
      <c r="F50" s="41" t="s">
        <v>21</v>
      </c>
      <c r="G50" s="41">
        <v>28.0</v>
      </c>
      <c r="H50" s="41" t="s">
        <v>22</v>
      </c>
      <c r="I50" s="42">
        <v>1.0</v>
      </c>
      <c r="J50" s="43"/>
      <c r="K50" s="42">
        <v>0.0</v>
      </c>
      <c r="L50" s="42">
        <v>0.0</v>
      </c>
      <c r="M50" s="42">
        <v>0.0</v>
      </c>
      <c r="N50" s="42">
        <v>0.0</v>
      </c>
      <c r="O50" s="46"/>
      <c r="P50" s="36"/>
      <c r="Q50" s="36"/>
    </row>
    <row r="51">
      <c r="A51" s="42">
        <v>5.5</v>
      </c>
      <c r="B51" s="41" t="s">
        <v>530</v>
      </c>
      <c r="C51" s="40" t="s">
        <v>18</v>
      </c>
      <c r="D51" s="40" t="s">
        <v>531</v>
      </c>
      <c r="E51" s="46"/>
      <c r="F51" s="41" t="s">
        <v>21</v>
      </c>
      <c r="G51" s="41">
        <v>28.0</v>
      </c>
      <c r="H51" s="41" t="s">
        <v>29</v>
      </c>
      <c r="I51" s="42">
        <v>1.0</v>
      </c>
      <c r="J51" s="43"/>
      <c r="K51" s="42">
        <v>0.0</v>
      </c>
      <c r="L51" s="42">
        <v>0.0</v>
      </c>
      <c r="M51" s="42">
        <v>0.0</v>
      </c>
      <c r="N51" s="42">
        <v>0.0</v>
      </c>
      <c r="O51" s="46"/>
      <c r="P51" s="36"/>
      <c r="Q51" s="36"/>
    </row>
    <row r="52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50" t="s">
        <v>63</v>
      </c>
      <c r="N52" s="51">
        <v>2217.08</v>
      </c>
      <c r="O52" s="52"/>
      <c r="P52" s="36"/>
      <c r="Q52" s="36"/>
    </row>
    <row r="53">
      <c r="A53" s="56"/>
      <c r="B53" s="56"/>
      <c r="C53" s="38" t="s">
        <v>541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</row>
    <row r="54">
      <c r="A54" s="39">
        <v>6.0</v>
      </c>
      <c r="B54" s="39" t="s">
        <v>501</v>
      </c>
      <c r="C54" s="40" t="s">
        <v>29</v>
      </c>
      <c r="D54" s="40" t="s">
        <v>502</v>
      </c>
      <c r="E54" s="40" t="s">
        <v>20</v>
      </c>
      <c r="F54" s="41" t="s">
        <v>21</v>
      </c>
      <c r="G54" s="41">
        <v>4.0</v>
      </c>
      <c r="H54" s="41" t="s">
        <v>22</v>
      </c>
      <c r="I54" s="42">
        <v>1.0</v>
      </c>
      <c r="J54" s="43"/>
      <c r="K54" s="42">
        <v>0.0</v>
      </c>
      <c r="L54" s="42">
        <v>0.0</v>
      </c>
      <c r="M54" s="42">
        <v>0.0</v>
      </c>
      <c r="N54" s="42">
        <v>0.0</v>
      </c>
      <c r="O54" s="46"/>
      <c r="P54" s="36"/>
      <c r="Q54" s="36"/>
    </row>
    <row r="55">
      <c r="A55" s="42">
        <v>6.1</v>
      </c>
      <c r="B55" s="41" t="s">
        <v>503</v>
      </c>
      <c r="C55" s="40" t="s">
        <v>29</v>
      </c>
      <c r="D55" s="40" t="s">
        <v>504</v>
      </c>
      <c r="E55" s="46"/>
      <c r="F55" s="41" t="s">
        <v>21</v>
      </c>
      <c r="G55" s="41" t="s">
        <v>21</v>
      </c>
      <c r="H55" s="41" t="s">
        <v>22</v>
      </c>
      <c r="I55" s="42">
        <v>1.0</v>
      </c>
      <c r="J55" s="43"/>
      <c r="K55" s="42">
        <v>148.61</v>
      </c>
      <c r="L55" s="44">
        <v>5349.96</v>
      </c>
      <c r="M55" s="42">
        <v>0.0</v>
      </c>
      <c r="N55" s="44">
        <v>5349.96</v>
      </c>
      <c r="O55" s="46"/>
      <c r="P55" s="36"/>
      <c r="Q55" s="36"/>
    </row>
    <row r="56">
      <c r="A56" s="42">
        <v>6.2</v>
      </c>
      <c r="B56" s="41" t="s">
        <v>505</v>
      </c>
      <c r="C56" s="40" t="s">
        <v>18</v>
      </c>
      <c r="D56" s="40" t="s">
        <v>506</v>
      </c>
      <c r="E56" s="46"/>
      <c r="F56" s="41" t="s">
        <v>21</v>
      </c>
      <c r="G56" s="41">
        <v>3.0</v>
      </c>
      <c r="H56" s="41" t="s">
        <v>22</v>
      </c>
      <c r="I56" s="42">
        <v>1.0</v>
      </c>
      <c r="J56" s="43"/>
      <c r="K56" s="42">
        <v>30.65</v>
      </c>
      <c r="L56" s="44">
        <v>1103.4</v>
      </c>
      <c r="M56" s="42">
        <v>0.0</v>
      </c>
      <c r="N56" s="44">
        <v>1103.4</v>
      </c>
      <c r="O56" s="46"/>
      <c r="P56" s="36"/>
      <c r="Q56" s="36"/>
    </row>
    <row r="57">
      <c r="A57" s="42">
        <v>6.3</v>
      </c>
      <c r="B57" s="41" t="s">
        <v>507</v>
      </c>
      <c r="C57" s="40" t="s">
        <v>29</v>
      </c>
      <c r="D57" s="40" t="s">
        <v>508</v>
      </c>
      <c r="E57" s="46"/>
      <c r="F57" s="41" t="s">
        <v>21</v>
      </c>
      <c r="G57" s="41">
        <v>2.0</v>
      </c>
      <c r="H57" s="41" t="s">
        <v>22</v>
      </c>
      <c r="I57" s="42">
        <v>1.0</v>
      </c>
      <c r="J57" s="43"/>
      <c r="K57" s="42">
        <v>0.0</v>
      </c>
      <c r="L57" s="42">
        <v>0.0</v>
      </c>
      <c r="M57" s="42">
        <v>0.0</v>
      </c>
      <c r="N57" s="42">
        <v>0.0</v>
      </c>
      <c r="O57" s="46"/>
      <c r="P57" s="36"/>
      <c r="Q57" s="36"/>
    </row>
    <row r="58">
      <c r="A58" s="42">
        <v>6.4</v>
      </c>
      <c r="B58" s="41" t="s">
        <v>509</v>
      </c>
      <c r="C58" s="40" t="s">
        <v>29</v>
      </c>
      <c r="D58" s="40" t="s">
        <v>510</v>
      </c>
      <c r="E58" s="46"/>
      <c r="F58" s="41" t="s">
        <v>21</v>
      </c>
      <c r="G58" s="41">
        <v>3.0</v>
      </c>
      <c r="H58" s="41" t="s">
        <v>22</v>
      </c>
      <c r="I58" s="42">
        <v>1.0</v>
      </c>
      <c r="J58" s="43"/>
      <c r="K58" s="42">
        <v>0.0</v>
      </c>
      <c r="L58" s="42">
        <v>0.0</v>
      </c>
      <c r="M58" s="42">
        <v>0.0</v>
      </c>
      <c r="N58" s="42">
        <v>0.0</v>
      </c>
      <c r="O58" s="46"/>
      <c r="P58" s="36"/>
      <c r="Q58" s="36"/>
    </row>
    <row r="59">
      <c r="A59" s="42">
        <v>6.5</v>
      </c>
      <c r="B59" s="41" t="s">
        <v>511</v>
      </c>
      <c r="C59" s="40" t="s">
        <v>29</v>
      </c>
      <c r="D59" s="40" t="s">
        <v>431</v>
      </c>
      <c r="E59" s="46"/>
      <c r="F59" s="41" t="s">
        <v>21</v>
      </c>
      <c r="G59" s="41">
        <v>3.0</v>
      </c>
      <c r="H59" s="41" t="s">
        <v>22</v>
      </c>
      <c r="I59" s="42">
        <v>1.0</v>
      </c>
      <c r="J59" s="43"/>
      <c r="K59" s="42">
        <v>0.0</v>
      </c>
      <c r="L59" s="42">
        <v>0.0</v>
      </c>
      <c r="M59" s="42">
        <v>0.0</v>
      </c>
      <c r="N59" s="42">
        <v>0.0</v>
      </c>
      <c r="O59" s="46"/>
      <c r="P59" s="36"/>
      <c r="Q59" s="36"/>
    </row>
    <row r="60">
      <c r="A60" s="42">
        <v>6.6</v>
      </c>
      <c r="B60" s="41" t="s">
        <v>542</v>
      </c>
      <c r="C60" s="40" t="s">
        <v>29</v>
      </c>
      <c r="D60" s="40" t="s">
        <v>543</v>
      </c>
      <c r="E60" s="46"/>
      <c r="F60" s="41" t="s">
        <v>21</v>
      </c>
      <c r="G60" s="41">
        <v>3.0</v>
      </c>
      <c r="H60" s="41" t="s">
        <v>22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  <c r="P60" s="36"/>
      <c r="Q60" s="36"/>
    </row>
    <row r="61">
      <c r="A61" s="42">
        <v>6.7</v>
      </c>
      <c r="B61" s="41" t="s">
        <v>544</v>
      </c>
      <c r="C61" s="40" t="s">
        <v>29</v>
      </c>
      <c r="D61" s="40" t="s">
        <v>545</v>
      </c>
      <c r="E61" s="46"/>
      <c r="F61" s="41" t="s">
        <v>21</v>
      </c>
      <c r="G61" s="41">
        <v>3.0</v>
      </c>
      <c r="H61" s="41" t="s">
        <v>22</v>
      </c>
      <c r="I61" s="42">
        <v>1.0</v>
      </c>
      <c r="J61" s="43"/>
      <c r="K61" s="42">
        <v>0.0</v>
      </c>
      <c r="L61" s="42">
        <v>0.0</v>
      </c>
      <c r="M61" s="42">
        <v>0.0</v>
      </c>
      <c r="N61" s="42">
        <v>0.0</v>
      </c>
      <c r="O61" s="46"/>
      <c r="P61" s="36"/>
      <c r="Q61" s="36"/>
    </row>
    <row r="62">
      <c r="A62" s="42">
        <v>6.8</v>
      </c>
      <c r="B62" s="41" t="s">
        <v>546</v>
      </c>
      <c r="C62" s="40" t="s">
        <v>29</v>
      </c>
      <c r="D62" s="40" t="s">
        <v>547</v>
      </c>
      <c r="E62" s="46"/>
      <c r="F62" s="41" t="s">
        <v>21</v>
      </c>
      <c r="G62" s="41">
        <v>3.0</v>
      </c>
      <c r="H62" s="41" t="s">
        <v>22</v>
      </c>
      <c r="I62" s="42">
        <v>1.0</v>
      </c>
      <c r="J62" s="43"/>
      <c r="K62" s="42">
        <v>0.0</v>
      </c>
      <c r="L62" s="42">
        <v>0.0</v>
      </c>
      <c r="M62" s="42">
        <v>0.0</v>
      </c>
      <c r="N62" s="42">
        <v>0.0</v>
      </c>
      <c r="O62" s="46"/>
      <c r="P62" s="36"/>
      <c r="Q62" s="36"/>
    </row>
    <row r="63">
      <c r="A63" s="42">
        <v>6.9</v>
      </c>
      <c r="B63" s="41" t="s">
        <v>518</v>
      </c>
      <c r="C63" s="40" t="s">
        <v>29</v>
      </c>
      <c r="D63" s="40" t="s">
        <v>519</v>
      </c>
      <c r="E63" s="46"/>
      <c r="F63" s="41" t="s">
        <v>21</v>
      </c>
      <c r="G63" s="41">
        <v>2.0</v>
      </c>
      <c r="H63" s="41" t="s">
        <v>22</v>
      </c>
      <c r="I63" s="42">
        <v>1.0</v>
      </c>
      <c r="J63" s="43"/>
      <c r="K63" s="42">
        <v>0.0</v>
      </c>
      <c r="L63" s="42">
        <v>0.0</v>
      </c>
      <c r="M63" s="42">
        <v>0.0</v>
      </c>
      <c r="N63" s="42">
        <v>0.0</v>
      </c>
      <c r="O63" s="46"/>
      <c r="P63" s="36"/>
      <c r="Q63" s="36"/>
    </row>
    <row r="64">
      <c r="A64" s="42">
        <v>6.1</v>
      </c>
      <c r="B64" s="41" t="s">
        <v>520</v>
      </c>
      <c r="C64" s="40" t="s">
        <v>18</v>
      </c>
      <c r="D64" s="40" t="s">
        <v>521</v>
      </c>
      <c r="E64" s="46"/>
      <c r="F64" s="41" t="s">
        <v>21</v>
      </c>
      <c r="G64" s="41">
        <v>2.0</v>
      </c>
      <c r="H64" s="41" t="s">
        <v>22</v>
      </c>
      <c r="I64" s="42">
        <v>1.0</v>
      </c>
      <c r="J64" s="43"/>
      <c r="K64" s="42">
        <v>0.0</v>
      </c>
      <c r="L64" s="42">
        <v>0.0</v>
      </c>
      <c r="M64" s="42">
        <v>0.0</v>
      </c>
      <c r="N64" s="42">
        <v>0.0</v>
      </c>
      <c r="O64" s="46"/>
      <c r="P64" s="36"/>
      <c r="Q64" s="36"/>
    </row>
    <row r="65">
      <c r="A65" s="42">
        <v>6.11</v>
      </c>
      <c r="B65" s="41" t="s">
        <v>522</v>
      </c>
      <c r="C65" s="40" t="s">
        <v>18</v>
      </c>
      <c r="D65" s="40" t="s">
        <v>523</v>
      </c>
      <c r="E65" s="46"/>
      <c r="F65" s="41" t="s">
        <v>21</v>
      </c>
      <c r="G65" s="41">
        <v>2.0</v>
      </c>
      <c r="H65" s="41" t="s">
        <v>22</v>
      </c>
      <c r="I65" s="42">
        <v>1.0</v>
      </c>
      <c r="J65" s="43"/>
      <c r="K65" s="42">
        <v>0.0</v>
      </c>
      <c r="L65" s="42">
        <v>0.0</v>
      </c>
      <c r="M65" s="42">
        <v>0.0</v>
      </c>
      <c r="N65" s="42">
        <v>0.0</v>
      </c>
      <c r="O65" s="46"/>
      <c r="P65" s="36"/>
      <c r="Q65" s="36"/>
    </row>
    <row r="66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50" t="s">
        <v>63</v>
      </c>
      <c r="N66" s="51">
        <v>6453.36</v>
      </c>
      <c r="O66" s="52"/>
      <c r="P66" s="36"/>
      <c r="Q66" s="36"/>
    </row>
    <row r="67">
      <c r="A67" s="39">
        <v>7.0</v>
      </c>
      <c r="B67" s="39" t="s">
        <v>548</v>
      </c>
      <c r="C67" s="40" t="s">
        <v>18</v>
      </c>
      <c r="D67" s="40" t="s">
        <v>549</v>
      </c>
      <c r="E67" s="40" t="s">
        <v>20</v>
      </c>
      <c r="F67" s="41" t="s">
        <v>21</v>
      </c>
      <c r="G67" s="41">
        <v>56.0</v>
      </c>
      <c r="H67" s="41" t="s">
        <v>22</v>
      </c>
      <c r="I67" s="42">
        <v>1.0</v>
      </c>
      <c r="J67" s="43"/>
      <c r="K67" s="44">
        <v>2113.49</v>
      </c>
      <c r="L67" s="44">
        <v>2113.49</v>
      </c>
      <c r="M67" s="42">
        <v>0.0</v>
      </c>
      <c r="N67" s="44">
        <v>2113.49</v>
      </c>
      <c r="O67" s="46"/>
      <c r="P67" s="36"/>
      <c r="Q67" s="36"/>
    </row>
    <row r="68">
      <c r="A68" s="42" t="s">
        <v>141</v>
      </c>
      <c r="B68" s="41" t="s">
        <v>550</v>
      </c>
      <c r="C68" s="40" t="s">
        <v>18</v>
      </c>
      <c r="D68" s="40" t="s">
        <v>551</v>
      </c>
      <c r="E68" s="46"/>
      <c r="F68" s="41">
        <v>36.0</v>
      </c>
      <c r="G68" s="41" t="s">
        <v>21</v>
      </c>
      <c r="H68" s="41" t="s">
        <v>22</v>
      </c>
      <c r="I68" s="42">
        <v>1.0</v>
      </c>
      <c r="J68" s="43"/>
      <c r="K68" s="42">
        <v>688.89</v>
      </c>
      <c r="L68" s="42">
        <v>688.89</v>
      </c>
      <c r="M68" s="42">
        <v>0.0</v>
      </c>
      <c r="N68" s="42">
        <v>688.89</v>
      </c>
      <c r="O68" s="40" t="s">
        <v>26</v>
      </c>
      <c r="P68" s="36"/>
      <c r="Q68" s="36"/>
    </row>
    <row r="69">
      <c r="A69" s="42">
        <v>7.1</v>
      </c>
      <c r="B69" s="41" t="s">
        <v>528</v>
      </c>
      <c r="C69" s="40" t="s">
        <v>18</v>
      </c>
      <c r="D69" s="40" t="s">
        <v>529</v>
      </c>
      <c r="E69" s="46"/>
      <c r="F69" s="41" t="s">
        <v>21</v>
      </c>
      <c r="G69" s="41">
        <v>28.0</v>
      </c>
      <c r="H69" s="41" t="s">
        <v>29</v>
      </c>
      <c r="I69" s="42">
        <v>2.0</v>
      </c>
      <c r="J69" s="43"/>
      <c r="K69" s="42">
        <v>0.0</v>
      </c>
      <c r="L69" s="42">
        <v>0.0</v>
      </c>
      <c r="M69" s="42">
        <v>0.0</v>
      </c>
      <c r="N69" s="42">
        <v>0.0</v>
      </c>
      <c r="O69" s="46"/>
      <c r="P69" s="36"/>
      <c r="Q69" s="36"/>
    </row>
    <row r="70">
      <c r="A70" s="42">
        <v>7.2</v>
      </c>
      <c r="B70" s="41" t="s">
        <v>552</v>
      </c>
      <c r="C70" s="40" t="s">
        <v>18</v>
      </c>
      <c r="D70" s="40" t="s">
        <v>553</v>
      </c>
      <c r="E70" s="46"/>
      <c r="F70" s="41" t="s">
        <v>21</v>
      </c>
      <c r="G70" s="41">
        <v>14.0</v>
      </c>
      <c r="H70" s="41" t="s">
        <v>29</v>
      </c>
      <c r="I70" s="42">
        <v>1.0</v>
      </c>
      <c r="J70" s="43"/>
      <c r="K70" s="42">
        <v>0.0</v>
      </c>
      <c r="L70" s="42">
        <v>0.0</v>
      </c>
      <c r="M70" s="42">
        <v>0.0</v>
      </c>
      <c r="N70" s="42">
        <v>0.0</v>
      </c>
      <c r="O70" s="46"/>
      <c r="P70" s="36"/>
      <c r="Q70" s="36"/>
    </row>
    <row r="71">
      <c r="A71" s="42">
        <v>7.3</v>
      </c>
      <c r="B71" s="41" t="s">
        <v>539</v>
      </c>
      <c r="C71" s="40" t="s">
        <v>18</v>
      </c>
      <c r="D71" s="40" t="s">
        <v>540</v>
      </c>
      <c r="E71" s="46"/>
      <c r="F71" s="41" t="s">
        <v>21</v>
      </c>
      <c r="G71" s="41">
        <v>3.0</v>
      </c>
      <c r="H71" s="41" t="s">
        <v>29</v>
      </c>
      <c r="I71" s="42">
        <v>1.0</v>
      </c>
      <c r="J71" s="43"/>
      <c r="K71" s="42">
        <v>0.0</v>
      </c>
      <c r="L71" s="42">
        <v>0.0</v>
      </c>
      <c r="M71" s="42">
        <v>0.0</v>
      </c>
      <c r="N71" s="42">
        <v>0.0</v>
      </c>
      <c r="O71" s="46"/>
      <c r="P71" s="36"/>
      <c r="Q71" s="36"/>
    </row>
    <row r="72">
      <c r="A72" s="42">
        <v>7.4</v>
      </c>
      <c r="B72" s="41" t="s">
        <v>554</v>
      </c>
      <c r="C72" s="40" t="s">
        <v>18</v>
      </c>
      <c r="D72" s="40" t="s">
        <v>555</v>
      </c>
      <c r="E72" s="46"/>
      <c r="F72" s="41" t="s">
        <v>21</v>
      </c>
      <c r="G72" s="41">
        <v>28.0</v>
      </c>
      <c r="H72" s="41" t="s">
        <v>22</v>
      </c>
      <c r="I72" s="42">
        <v>1.0</v>
      </c>
      <c r="J72" s="43"/>
      <c r="K72" s="42">
        <v>0.0</v>
      </c>
      <c r="L72" s="42">
        <v>0.0</v>
      </c>
      <c r="M72" s="42">
        <v>0.0</v>
      </c>
      <c r="N72" s="42">
        <v>0.0</v>
      </c>
      <c r="O72" s="46"/>
      <c r="P72" s="36"/>
      <c r="Q72" s="36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50" t="s">
        <v>63</v>
      </c>
      <c r="N73" s="51">
        <v>2802.38</v>
      </c>
      <c r="O73" s="52"/>
      <c r="P73" s="36"/>
      <c r="Q73" s="36"/>
    </row>
    <row r="74">
      <c r="A74" s="56"/>
      <c r="B74" s="56"/>
      <c r="C74" s="38" t="s">
        <v>556</v>
      </c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</row>
    <row r="75">
      <c r="A75" s="39">
        <v>8.0</v>
      </c>
      <c r="B75" s="39" t="s">
        <v>501</v>
      </c>
      <c r="C75" s="40" t="s">
        <v>29</v>
      </c>
      <c r="D75" s="40" t="s">
        <v>502</v>
      </c>
      <c r="E75" s="40" t="s">
        <v>20</v>
      </c>
      <c r="F75" s="41" t="s">
        <v>21</v>
      </c>
      <c r="G75" s="41">
        <v>4.0</v>
      </c>
      <c r="H75" s="41" t="s">
        <v>22</v>
      </c>
      <c r="I75" s="42">
        <v>1.0</v>
      </c>
      <c r="J75" s="43"/>
      <c r="K75" s="42">
        <v>0.0</v>
      </c>
      <c r="L75" s="42">
        <v>0.0</v>
      </c>
      <c r="M75" s="42">
        <v>0.0</v>
      </c>
      <c r="N75" s="42">
        <v>0.0</v>
      </c>
      <c r="O75" s="46"/>
      <c r="P75" s="36"/>
      <c r="Q75" s="36"/>
    </row>
    <row r="76">
      <c r="A76" s="42">
        <v>8.1</v>
      </c>
      <c r="B76" s="41" t="s">
        <v>533</v>
      </c>
      <c r="C76" s="40" t="s">
        <v>29</v>
      </c>
      <c r="D76" s="40" t="s">
        <v>534</v>
      </c>
      <c r="E76" s="46"/>
      <c r="F76" s="41" t="s">
        <v>21</v>
      </c>
      <c r="G76" s="41">
        <v>3.0</v>
      </c>
      <c r="H76" s="41" t="s">
        <v>22</v>
      </c>
      <c r="I76" s="42">
        <v>1.0</v>
      </c>
      <c r="J76" s="43"/>
      <c r="K76" s="42">
        <v>0.0</v>
      </c>
      <c r="L76" s="42">
        <v>0.0</v>
      </c>
      <c r="M76" s="42">
        <v>0.0</v>
      </c>
      <c r="N76" s="42">
        <v>0.0</v>
      </c>
      <c r="O76" s="46"/>
      <c r="P76" s="36"/>
      <c r="Q76" s="36"/>
    </row>
    <row r="77">
      <c r="A77" s="42">
        <v>8.2</v>
      </c>
      <c r="B77" s="41" t="s">
        <v>520</v>
      </c>
      <c r="C77" s="40" t="s">
        <v>18</v>
      </c>
      <c r="D77" s="40" t="s">
        <v>521</v>
      </c>
      <c r="E77" s="46"/>
      <c r="F77" s="41" t="s">
        <v>21</v>
      </c>
      <c r="G77" s="41">
        <v>2.0</v>
      </c>
      <c r="H77" s="41" t="s">
        <v>22</v>
      </c>
      <c r="I77" s="42">
        <v>1.0</v>
      </c>
      <c r="J77" s="43"/>
      <c r="K77" s="42">
        <v>0.0</v>
      </c>
      <c r="L77" s="42">
        <v>0.0</v>
      </c>
      <c r="M77" s="42">
        <v>0.0</v>
      </c>
      <c r="N77" s="42">
        <v>0.0</v>
      </c>
      <c r="O77" s="46"/>
      <c r="P77" s="36"/>
      <c r="Q77" s="36"/>
    </row>
    <row r="78">
      <c r="A78" s="42">
        <v>8.3</v>
      </c>
      <c r="B78" s="41" t="s">
        <v>503</v>
      </c>
      <c r="C78" s="40" t="s">
        <v>29</v>
      </c>
      <c r="D78" s="40" t="s">
        <v>504</v>
      </c>
      <c r="E78" s="46"/>
      <c r="F78" s="41" t="s">
        <v>21</v>
      </c>
      <c r="G78" s="41" t="s">
        <v>21</v>
      </c>
      <c r="H78" s="41" t="s">
        <v>22</v>
      </c>
      <c r="I78" s="42">
        <v>1.0</v>
      </c>
      <c r="J78" s="43"/>
      <c r="K78" s="42">
        <v>148.61</v>
      </c>
      <c r="L78" s="44">
        <v>5349.96</v>
      </c>
      <c r="M78" s="42">
        <v>0.0</v>
      </c>
      <c r="N78" s="44">
        <v>5349.96</v>
      </c>
      <c r="O78" s="46"/>
      <c r="P78" s="36"/>
      <c r="Q78" s="36"/>
    </row>
    <row r="79">
      <c r="A79" s="42">
        <v>8.4</v>
      </c>
      <c r="B79" s="41" t="s">
        <v>505</v>
      </c>
      <c r="C79" s="40" t="s">
        <v>18</v>
      </c>
      <c r="D79" s="40" t="s">
        <v>506</v>
      </c>
      <c r="E79" s="46"/>
      <c r="F79" s="41" t="s">
        <v>21</v>
      </c>
      <c r="G79" s="41">
        <v>3.0</v>
      </c>
      <c r="H79" s="41" t="s">
        <v>22</v>
      </c>
      <c r="I79" s="42">
        <v>1.0</v>
      </c>
      <c r="J79" s="43"/>
      <c r="K79" s="42">
        <v>30.65</v>
      </c>
      <c r="L79" s="44">
        <v>1103.4</v>
      </c>
      <c r="M79" s="42">
        <v>0.0</v>
      </c>
      <c r="N79" s="44">
        <v>1103.4</v>
      </c>
      <c r="O79" s="46"/>
      <c r="P79" s="36"/>
      <c r="Q79" s="36"/>
    </row>
    <row r="80">
      <c r="A80" s="42">
        <v>8.5</v>
      </c>
      <c r="B80" s="41" t="s">
        <v>507</v>
      </c>
      <c r="C80" s="40" t="s">
        <v>29</v>
      </c>
      <c r="D80" s="40" t="s">
        <v>508</v>
      </c>
      <c r="E80" s="46"/>
      <c r="F80" s="41" t="s">
        <v>21</v>
      </c>
      <c r="G80" s="41">
        <v>2.0</v>
      </c>
      <c r="H80" s="41" t="s">
        <v>22</v>
      </c>
      <c r="I80" s="42">
        <v>1.0</v>
      </c>
      <c r="J80" s="43"/>
      <c r="K80" s="42">
        <v>0.0</v>
      </c>
      <c r="L80" s="42">
        <v>0.0</v>
      </c>
      <c r="M80" s="42">
        <v>0.0</v>
      </c>
      <c r="N80" s="42">
        <v>0.0</v>
      </c>
      <c r="O80" s="46"/>
      <c r="P80" s="36"/>
      <c r="Q80" s="36"/>
    </row>
    <row r="81">
      <c r="A81" s="42">
        <v>8.60000000000001</v>
      </c>
      <c r="B81" s="41" t="s">
        <v>509</v>
      </c>
      <c r="C81" s="40" t="s">
        <v>29</v>
      </c>
      <c r="D81" s="40" t="s">
        <v>510</v>
      </c>
      <c r="E81" s="46"/>
      <c r="F81" s="41" t="s">
        <v>21</v>
      </c>
      <c r="G81" s="41">
        <v>3.0</v>
      </c>
      <c r="H81" s="41" t="s">
        <v>22</v>
      </c>
      <c r="I81" s="42">
        <v>1.0</v>
      </c>
      <c r="J81" s="43"/>
      <c r="K81" s="42">
        <v>0.0</v>
      </c>
      <c r="L81" s="42">
        <v>0.0</v>
      </c>
      <c r="M81" s="42">
        <v>0.0</v>
      </c>
      <c r="N81" s="42">
        <v>0.0</v>
      </c>
      <c r="O81" s="46"/>
      <c r="P81" s="36"/>
      <c r="Q81" s="36"/>
    </row>
    <row r="82">
      <c r="A82" s="42">
        <v>8.70000000000001</v>
      </c>
      <c r="B82" s="41" t="s">
        <v>522</v>
      </c>
      <c r="C82" s="40" t="s">
        <v>18</v>
      </c>
      <c r="D82" s="40" t="s">
        <v>523</v>
      </c>
      <c r="E82" s="46"/>
      <c r="F82" s="41" t="s">
        <v>21</v>
      </c>
      <c r="G82" s="41">
        <v>2.0</v>
      </c>
      <c r="H82" s="41" t="s">
        <v>22</v>
      </c>
      <c r="I82" s="42">
        <v>1.0</v>
      </c>
      <c r="J82" s="43"/>
      <c r="K82" s="42">
        <v>0.0</v>
      </c>
      <c r="L82" s="42">
        <v>0.0</v>
      </c>
      <c r="M82" s="42">
        <v>0.0</v>
      </c>
      <c r="N82" s="42">
        <v>0.0</v>
      </c>
      <c r="O82" s="46"/>
      <c r="P82" s="36"/>
      <c r="Q82" s="36"/>
    </row>
    <row r="83">
      <c r="A83" s="42">
        <v>8.80000000000001</v>
      </c>
      <c r="B83" s="41" t="s">
        <v>511</v>
      </c>
      <c r="C83" s="40" t="s">
        <v>29</v>
      </c>
      <c r="D83" s="40" t="s">
        <v>431</v>
      </c>
      <c r="E83" s="46"/>
      <c r="F83" s="41" t="s">
        <v>21</v>
      </c>
      <c r="G83" s="41">
        <v>3.0</v>
      </c>
      <c r="H83" s="41" t="s">
        <v>22</v>
      </c>
      <c r="I83" s="42">
        <v>1.0</v>
      </c>
      <c r="J83" s="43"/>
      <c r="K83" s="42">
        <v>0.0</v>
      </c>
      <c r="L83" s="42">
        <v>0.0</v>
      </c>
      <c r="M83" s="42">
        <v>0.0</v>
      </c>
      <c r="N83" s="42">
        <v>0.0</v>
      </c>
      <c r="O83" s="46"/>
      <c r="P83" s="36"/>
      <c r="Q83" s="36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50" t="s">
        <v>63</v>
      </c>
      <c r="N84" s="51">
        <v>6453.36</v>
      </c>
      <c r="O84" s="52"/>
      <c r="P84" s="36"/>
      <c r="Q84" s="36"/>
    </row>
    <row r="85">
      <c r="A85" s="39">
        <v>9.0</v>
      </c>
      <c r="B85" s="39" t="s">
        <v>557</v>
      </c>
      <c r="C85" s="40" t="s">
        <v>18</v>
      </c>
      <c r="D85" s="40" t="s">
        <v>558</v>
      </c>
      <c r="E85" s="40" t="s">
        <v>20</v>
      </c>
      <c r="F85" s="41" t="s">
        <v>21</v>
      </c>
      <c r="G85" s="41">
        <v>63.0</v>
      </c>
      <c r="H85" s="41" t="s">
        <v>22</v>
      </c>
      <c r="I85" s="42">
        <v>1.0</v>
      </c>
      <c r="J85" s="43"/>
      <c r="K85" s="44">
        <v>2490.27</v>
      </c>
      <c r="L85" s="44">
        <v>2490.27</v>
      </c>
      <c r="M85" s="42">
        <v>0.0</v>
      </c>
      <c r="N85" s="44">
        <v>2490.27</v>
      </c>
      <c r="O85" s="46"/>
      <c r="P85" s="36"/>
      <c r="Q85" s="36"/>
    </row>
    <row r="86">
      <c r="A86" s="42" t="s">
        <v>151</v>
      </c>
      <c r="B86" s="41" t="s">
        <v>559</v>
      </c>
      <c r="C86" s="40" t="s">
        <v>18</v>
      </c>
      <c r="D86" s="40" t="s">
        <v>560</v>
      </c>
      <c r="E86" s="46"/>
      <c r="F86" s="41">
        <v>12.0</v>
      </c>
      <c r="G86" s="41" t="s">
        <v>21</v>
      </c>
      <c r="H86" s="41" t="s">
        <v>22</v>
      </c>
      <c r="I86" s="42">
        <v>1.0</v>
      </c>
      <c r="J86" s="43"/>
      <c r="K86" s="42">
        <v>352.0</v>
      </c>
      <c r="L86" s="42">
        <v>352.0</v>
      </c>
      <c r="M86" s="42">
        <v>0.0</v>
      </c>
      <c r="N86" s="42">
        <v>352.0</v>
      </c>
      <c r="O86" s="40" t="s">
        <v>26</v>
      </c>
      <c r="P86" s="36"/>
      <c r="Q86" s="36"/>
    </row>
    <row r="87">
      <c r="A87" s="42">
        <v>9.1</v>
      </c>
      <c r="B87" s="41" t="s">
        <v>492</v>
      </c>
      <c r="C87" s="40" t="s">
        <v>18</v>
      </c>
      <c r="D87" s="40" t="s">
        <v>493</v>
      </c>
      <c r="E87" s="46"/>
      <c r="F87" s="41" t="s">
        <v>21</v>
      </c>
      <c r="G87" s="41">
        <v>14.0</v>
      </c>
      <c r="H87" s="41" t="s">
        <v>29</v>
      </c>
      <c r="I87" s="42">
        <v>1.0</v>
      </c>
      <c r="J87" s="43"/>
      <c r="K87" s="42">
        <v>0.0</v>
      </c>
      <c r="L87" s="42">
        <v>0.0</v>
      </c>
      <c r="M87" s="42">
        <v>0.0</v>
      </c>
      <c r="N87" s="42">
        <v>0.0</v>
      </c>
      <c r="O87" s="46"/>
      <c r="P87" s="36"/>
      <c r="Q87" s="36"/>
    </row>
    <row r="88">
      <c r="A88" s="42">
        <v>9.2</v>
      </c>
      <c r="B88" s="41" t="s">
        <v>494</v>
      </c>
      <c r="C88" s="40" t="s">
        <v>18</v>
      </c>
      <c r="D88" s="40" t="s">
        <v>495</v>
      </c>
      <c r="E88" s="46"/>
      <c r="F88" s="41" t="s">
        <v>21</v>
      </c>
      <c r="G88" s="41">
        <v>28.0</v>
      </c>
      <c r="H88" s="41" t="s">
        <v>29</v>
      </c>
      <c r="I88" s="42">
        <v>1.0</v>
      </c>
      <c r="J88" s="43"/>
      <c r="K88" s="42">
        <v>0.0</v>
      </c>
      <c r="L88" s="42">
        <v>0.0</v>
      </c>
      <c r="M88" s="42">
        <v>0.0</v>
      </c>
      <c r="N88" s="42">
        <v>0.0</v>
      </c>
      <c r="O88" s="46"/>
      <c r="P88" s="36"/>
      <c r="Q88" s="36"/>
    </row>
    <row r="89">
      <c r="A89" s="42">
        <v>9.3</v>
      </c>
      <c r="B89" s="41" t="s">
        <v>285</v>
      </c>
      <c r="C89" s="40" t="s">
        <v>18</v>
      </c>
      <c r="D89" s="40" t="s">
        <v>286</v>
      </c>
      <c r="E89" s="46"/>
      <c r="F89" s="41" t="s">
        <v>21</v>
      </c>
      <c r="G89" s="41">
        <v>14.0</v>
      </c>
      <c r="H89" s="41" t="s">
        <v>22</v>
      </c>
      <c r="I89" s="42">
        <v>1.0</v>
      </c>
      <c r="J89" s="43"/>
      <c r="K89" s="42">
        <v>0.0</v>
      </c>
      <c r="L89" s="42">
        <v>0.0</v>
      </c>
      <c r="M89" s="42">
        <v>0.0</v>
      </c>
      <c r="N89" s="42">
        <v>0.0</v>
      </c>
      <c r="O89" s="46"/>
      <c r="P89" s="36"/>
      <c r="Q89" s="36"/>
    </row>
    <row r="90">
      <c r="A90" s="42">
        <v>9.4</v>
      </c>
      <c r="B90" s="41" t="s">
        <v>496</v>
      </c>
      <c r="C90" s="40" t="s">
        <v>18</v>
      </c>
      <c r="D90" s="40" t="s">
        <v>497</v>
      </c>
      <c r="E90" s="46"/>
      <c r="F90" s="41" t="s">
        <v>21</v>
      </c>
      <c r="G90" s="41">
        <v>14.0</v>
      </c>
      <c r="H90" s="41" t="s">
        <v>22</v>
      </c>
      <c r="I90" s="42">
        <v>1.0</v>
      </c>
      <c r="J90" s="43"/>
      <c r="K90" s="42">
        <v>0.0</v>
      </c>
      <c r="L90" s="42">
        <v>0.0</v>
      </c>
      <c r="M90" s="42">
        <v>0.0</v>
      </c>
      <c r="N90" s="42">
        <v>0.0</v>
      </c>
      <c r="O90" s="46"/>
      <c r="P90" s="36"/>
      <c r="Q90" s="36"/>
    </row>
    <row r="91">
      <c r="A91" s="42">
        <v>9.5</v>
      </c>
      <c r="B91" s="41" t="s">
        <v>554</v>
      </c>
      <c r="C91" s="40" t="s">
        <v>18</v>
      </c>
      <c r="D91" s="40" t="s">
        <v>555</v>
      </c>
      <c r="E91" s="46"/>
      <c r="F91" s="41" t="s">
        <v>21</v>
      </c>
      <c r="G91" s="41">
        <v>28.0</v>
      </c>
      <c r="H91" s="41" t="s">
        <v>22</v>
      </c>
      <c r="I91" s="42">
        <v>1.0</v>
      </c>
      <c r="J91" s="43"/>
      <c r="K91" s="42">
        <v>0.0</v>
      </c>
      <c r="L91" s="42">
        <v>0.0</v>
      </c>
      <c r="M91" s="42">
        <v>0.0</v>
      </c>
      <c r="N91" s="42">
        <v>0.0</v>
      </c>
      <c r="O91" s="46"/>
      <c r="P91" s="36"/>
      <c r="Q91" s="36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50" t="s">
        <v>63</v>
      </c>
      <c r="N92" s="51">
        <v>2842.27</v>
      </c>
      <c r="O92" s="52"/>
      <c r="P92" s="36"/>
      <c r="Q92" s="36"/>
    </row>
    <row r="93">
      <c r="A93" s="56"/>
      <c r="B93" s="56"/>
      <c r="C93" s="38" t="s">
        <v>561</v>
      </c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</row>
    <row r="94">
      <c r="A94" s="39">
        <v>10.0</v>
      </c>
      <c r="B94" s="39" t="s">
        <v>501</v>
      </c>
      <c r="C94" s="40" t="s">
        <v>29</v>
      </c>
      <c r="D94" s="40" t="s">
        <v>502</v>
      </c>
      <c r="E94" s="40" t="s">
        <v>20</v>
      </c>
      <c r="F94" s="41" t="s">
        <v>21</v>
      </c>
      <c r="G94" s="41">
        <v>4.0</v>
      </c>
      <c r="H94" s="41" t="s">
        <v>22</v>
      </c>
      <c r="I94" s="42">
        <v>1.0</v>
      </c>
      <c r="J94" s="43"/>
      <c r="K94" s="42">
        <v>0.0</v>
      </c>
      <c r="L94" s="42">
        <v>0.0</v>
      </c>
      <c r="M94" s="42">
        <v>0.0</v>
      </c>
      <c r="N94" s="42">
        <v>0.0</v>
      </c>
      <c r="O94" s="46"/>
      <c r="P94" s="36"/>
      <c r="Q94" s="36"/>
    </row>
    <row r="95">
      <c r="A95" s="42">
        <v>10.1</v>
      </c>
      <c r="B95" s="41" t="s">
        <v>512</v>
      </c>
      <c r="C95" s="40" t="s">
        <v>29</v>
      </c>
      <c r="D95" s="40" t="s">
        <v>513</v>
      </c>
      <c r="E95" s="46"/>
      <c r="F95" s="41" t="s">
        <v>21</v>
      </c>
      <c r="G95" s="41">
        <v>3.0</v>
      </c>
      <c r="H95" s="41" t="s">
        <v>22</v>
      </c>
      <c r="I95" s="42">
        <v>1.0</v>
      </c>
      <c r="J95" s="43"/>
      <c r="K95" s="42">
        <v>0.0</v>
      </c>
      <c r="L95" s="42">
        <v>0.0</v>
      </c>
      <c r="M95" s="42">
        <v>0.0</v>
      </c>
      <c r="N95" s="42">
        <v>0.0</v>
      </c>
      <c r="O95" s="46"/>
      <c r="P95" s="36"/>
      <c r="Q95" s="36"/>
    </row>
    <row r="96">
      <c r="A96" s="42">
        <v>10.2</v>
      </c>
      <c r="B96" s="41" t="s">
        <v>520</v>
      </c>
      <c r="C96" s="40" t="s">
        <v>18</v>
      </c>
      <c r="D96" s="40" t="s">
        <v>521</v>
      </c>
      <c r="E96" s="46"/>
      <c r="F96" s="41" t="s">
        <v>21</v>
      </c>
      <c r="G96" s="41">
        <v>2.0</v>
      </c>
      <c r="H96" s="41" t="s">
        <v>22</v>
      </c>
      <c r="I96" s="42">
        <v>1.0</v>
      </c>
      <c r="J96" s="43"/>
      <c r="K96" s="42">
        <v>0.0</v>
      </c>
      <c r="L96" s="42">
        <v>0.0</v>
      </c>
      <c r="M96" s="42">
        <v>0.0</v>
      </c>
      <c r="N96" s="42">
        <v>0.0</v>
      </c>
      <c r="O96" s="46"/>
      <c r="P96" s="36"/>
      <c r="Q96" s="36"/>
    </row>
    <row r="97">
      <c r="A97" s="42">
        <v>10.3</v>
      </c>
      <c r="B97" s="41" t="s">
        <v>516</v>
      </c>
      <c r="C97" s="40" t="s">
        <v>29</v>
      </c>
      <c r="D97" s="40" t="s">
        <v>517</v>
      </c>
      <c r="E97" s="46"/>
      <c r="F97" s="41" t="s">
        <v>21</v>
      </c>
      <c r="G97" s="41">
        <v>3.0</v>
      </c>
      <c r="H97" s="41" t="s">
        <v>22</v>
      </c>
      <c r="I97" s="42">
        <v>1.0</v>
      </c>
      <c r="J97" s="43"/>
      <c r="K97" s="42">
        <v>0.0</v>
      </c>
      <c r="L97" s="42">
        <v>0.0</v>
      </c>
      <c r="M97" s="42">
        <v>0.0</v>
      </c>
      <c r="N97" s="42">
        <v>0.0</v>
      </c>
      <c r="O97" s="46"/>
      <c r="P97" s="36"/>
      <c r="Q97" s="36"/>
    </row>
    <row r="98">
      <c r="A98" s="42">
        <v>10.4</v>
      </c>
      <c r="B98" s="41" t="s">
        <v>509</v>
      </c>
      <c r="C98" s="40" t="s">
        <v>29</v>
      </c>
      <c r="D98" s="40" t="s">
        <v>510</v>
      </c>
      <c r="E98" s="46"/>
      <c r="F98" s="41" t="s">
        <v>21</v>
      </c>
      <c r="G98" s="41">
        <v>3.0</v>
      </c>
      <c r="H98" s="41" t="s">
        <v>22</v>
      </c>
      <c r="I98" s="42">
        <v>1.0</v>
      </c>
      <c r="J98" s="43"/>
      <c r="K98" s="42">
        <v>0.0</v>
      </c>
      <c r="L98" s="42">
        <v>0.0</v>
      </c>
      <c r="M98" s="42">
        <v>0.0</v>
      </c>
      <c r="N98" s="42">
        <v>0.0</v>
      </c>
      <c r="O98" s="46"/>
      <c r="P98" s="36"/>
      <c r="Q98" s="36"/>
    </row>
    <row r="99">
      <c r="A99" s="42">
        <v>10.5</v>
      </c>
      <c r="B99" s="41" t="s">
        <v>522</v>
      </c>
      <c r="C99" s="40" t="s">
        <v>18</v>
      </c>
      <c r="D99" s="40" t="s">
        <v>523</v>
      </c>
      <c r="E99" s="46"/>
      <c r="F99" s="41" t="s">
        <v>21</v>
      </c>
      <c r="G99" s="41">
        <v>2.0</v>
      </c>
      <c r="H99" s="41" t="s">
        <v>22</v>
      </c>
      <c r="I99" s="42">
        <v>1.0</v>
      </c>
      <c r="J99" s="43"/>
      <c r="K99" s="42">
        <v>0.0</v>
      </c>
      <c r="L99" s="42">
        <v>0.0</v>
      </c>
      <c r="M99" s="42">
        <v>0.0</v>
      </c>
      <c r="N99" s="42">
        <v>0.0</v>
      </c>
      <c r="O99" s="46"/>
      <c r="P99" s="36"/>
      <c r="Q99" s="36"/>
    </row>
    <row r="100">
      <c r="A100" s="42">
        <v>10.6</v>
      </c>
      <c r="B100" s="41" t="s">
        <v>511</v>
      </c>
      <c r="C100" s="40" t="s">
        <v>29</v>
      </c>
      <c r="D100" s="40" t="s">
        <v>431</v>
      </c>
      <c r="E100" s="46"/>
      <c r="F100" s="41" t="s">
        <v>21</v>
      </c>
      <c r="G100" s="41">
        <v>3.0</v>
      </c>
      <c r="H100" s="41" t="s">
        <v>22</v>
      </c>
      <c r="I100" s="42">
        <v>1.0</v>
      </c>
      <c r="J100" s="43"/>
      <c r="K100" s="42">
        <v>0.0</v>
      </c>
      <c r="L100" s="42">
        <v>0.0</v>
      </c>
      <c r="M100" s="42">
        <v>0.0</v>
      </c>
      <c r="N100" s="42">
        <v>0.0</v>
      </c>
      <c r="O100" s="46"/>
      <c r="P100" s="36"/>
      <c r="Q100" s="36"/>
    </row>
    <row r="101">
      <c r="A101" s="42">
        <v>10.7</v>
      </c>
      <c r="B101" s="41" t="s">
        <v>514</v>
      </c>
      <c r="C101" s="40" t="s">
        <v>29</v>
      </c>
      <c r="D101" s="40" t="s">
        <v>515</v>
      </c>
      <c r="E101" s="46"/>
      <c r="F101" s="41" t="s">
        <v>21</v>
      </c>
      <c r="G101" s="41">
        <v>3.0</v>
      </c>
      <c r="H101" s="41" t="s">
        <v>22</v>
      </c>
      <c r="I101" s="42">
        <v>1.0</v>
      </c>
      <c r="J101" s="43"/>
      <c r="K101" s="42">
        <v>0.0</v>
      </c>
      <c r="L101" s="42">
        <v>0.0</v>
      </c>
      <c r="M101" s="42">
        <v>0.0</v>
      </c>
      <c r="N101" s="42">
        <v>0.0</v>
      </c>
      <c r="O101" s="46"/>
      <c r="P101" s="36"/>
      <c r="Q101" s="36"/>
    </row>
    <row r="102">
      <c r="A102" s="42">
        <v>10.8</v>
      </c>
      <c r="B102" s="41" t="s">
        <v>503</v>
      </c>
      <c r="C102" s="40" t="s">
        <v>29</v>
      </c>
      <c r="D102" s="40" t="s">
        <v>504</v>
      </c>
      <c r="E102" s="46"/>
      <c r="F102" s="41" t="s">
        <v>21</v>
      </c>
      <c r="G102" s="41" t="s">
        <v>21</v>
      </c>
      <c r="H102" s="41" t="s">
        <v>22</v>
      </c>
      <c r="I102" s="42">
        <v>1.0</v>
      </c>
      <c r="J102" s="43"/>
      <c r="K102" s="42">
        <v>148.61</v>
      </c>
      <c r="L102" s="44">
        <v>5349.96</v>
      </c>
      <c r="M102" s="42">
        <v>0.0</v>
      </c>
      <c r="N102" s="44">
        <v>5349.96</v>
      </c>
      <c r="O102" s="46"/>
      <c r="P102" s="36"/>
      <c r="Q102" s="36"/>
    </row>
    <row r="103">
      <c r="A103" s="42">
        <v>10.9</v>
      </c>
      <c r="B103" s="41" t="s">
        <v>505</v>
      </c>
      <c r="C103" s="40" t="s">
        <v>18</v>
      </c>
      <c r="D103" s="40" t="s">
        <v>506</v>
      </c>
      <c r="E103" s="46"/>
      <c r="F103" s="41" t="s">
        <v>21</v>
      </c>
      <c r="G103" s="41">
        <v>3.0</v>
      </c>
      <c r="H103" s="41" t="s">
        <v>22</v>
      </c>
      <c r="I103" s="42">
        <v>1.0</v>
      </c>
      <c r="J103" s="43"/>
      <c r="K103" s="42">
        <v>30.65</v>
      </c>
      <c r="L103" s="44">
        <v>1103.4</v>
      </c>
      <c r="M103" s="42">
        <v>0.0</v>
      </c>
      <c r="N103" s="44">
        <v>1103.4</v>
      </c>
      <c r="O103" s="46"/>
      <c r="P103" s="36"/>
      <c r="Q103" s="36"/>
    </row>
    <row r="104">
      <c r="A104" s="42">
        <v>10.1</v>
      </c>
      <c r="B104" s="41" t="s">
        <v>507</v>
      </c>
      <c r="C104" s="40" t="s">
        <v>29</v>
      </c>
      <c r="D104" s="40" t="s">
        <v>508</v>
      </c>
      <c r="E104" s="46"/>
      <c r="F104" s="41" t="s">
        <v>21</v>
      </c>
      <c r="G104" s="41">
        <v>2.0</v>
      </c>
      <c r="H104" s="41" t="s">
        <v>22</v>
      </c>
      <c r="I104" s="42">
        <v>1.0</v>
      </c>
      <c r="J104" s="43"/>
      <c r="K104" s="42">
        <v>0.0</v>
      </c>
      <c r="L104" s="42">
        <v>0.0</v>
      </c>
      <c r="M104" s="42">
        <v>0.0</v>
      </c>
      <c r="N104" s="42">
        <v>0.0</v>
      </c>
      <c r="O104" s="46"/>
      <c r="P104" s="36"/>
      <c r="Q104" s="36"/>
    </row>
    <row r="105">
      <c r="A105" s="42">
        <v>10.11</v>
      </c>
      <c r="B105" s="41" t="s">
        <v>518</v>
      </c>
      <c r="C105" s="40" t="s">
        <v>29</v>
      </c>
      <c r="D105" s="40" t="s">
        <v>519</v>
      </c>
      <c r="E105" s="46"/>
      <c r="F105" s="41" t="s">
        <v>21</v>
      </c>
      <c r="G105" s="41">
        <v>2.0</v>
      </c>
      <c r="H105" s="41" t="s">
        <v>22</v>
      </c>
      <c r="I105" s="42">
        <v>1.0</v>
      </c>
      <c r="J105" s="43"/>
      <c r="K105" s="42">
        <v>0.0</v>
      </c>
      <c r="L105" s="42">
        <v>0.0</v>
      </c>
      <c r="M105" s="42">
        <v>0.0</v>
      </c>
      <c r="N105" s="42">
        <v>0.0</v>
      </c>
      <c r="O105" s="46"/>
      <c r="P105" s="36"/>
      <c r="Q105" s="36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50" t="s">
        <v>63</v>
      </c>
      <c r="N106" s="51">
        <v>6453.36</v>
      </c>
      <c r="O106" s="52"/>
      <c r="P106" s="36"/>
      <c r="Q106" s="36"/>
    </row>
    <row r="107">
      <c r="A107" s="39">
        <v>11.0</v>
      </c>
      <c r="B107" s="39" t="s">
        <v>562</v>
      </c>
      <c r="C107" s="40" t="s">
        <v>18</v>
      </c>
      <c r="D107" s="40" t="s">
        <v>563</v>
      </c>
      <c r="E107" s="40" t="s">
        <v>20</v>
      </c>
      <c r="F107" s="41" t="s">
        <v>21</v>
      </c>
      <c r="G107" s="41">
        <v>28.0</v>
      </c>
      <c r="H107" s="41" t="s">
        <v>22</v>
      </c>
      <c r="I107" s="42">
        <v>1.0</v>
      </c>
      <c r="J107" s="43"/>
      <c r="K107" s="44">
        <v>1980.11</v>
      </c>
      <c r="L107" s="44">
        <v>1980.11</v>
      </c>
      <c r="M107" s="42">
        <v>0.0</v>
      </c>
      <c r="N107" s="44">
        <v>1980.11</v>
      </c>
      <c r="O107" s="46"/>
      <c r="P107" s="36"/>
      <c r="Q107" s="36"/>
    </row>
    <row r="108">
      <c r="A108" s="42" t="s">
        <v>369</v>
      </c>
      <c r="B108" s="41" t="s">
        <v>564</v>
      </c>
      <c r="C108" s="40" t="s">
        <v>18</v>
      </c>
      <c r="D108" s="40" t="s">
        <v>565</v>
      </c>
      <c r="E108" s="46"/>
      <c r="F108" s="41">
        <v>36.0</v>
      </c>
      <c r="G108" s="41" t="s">
        <v>21</v>
      </c>
      <c r="H108" s="41" t="s">
        <v>22</v>
      </c>
      <c r="I108" s="42">
        <v>1.0</v>
      </c>
      <c r="J108" s="43"/>
      <c r="K108" s="42">
        <v>734.25</v>
      </c>
      <c r="L108" s="42">
        <v>734.25</v>
      </c>
      <c r="M108" s="42">
        <v>0.0</v>
      </c>
      <c r="N108" s="42">
        <v>734.25</v>
      </c>
      <c r="O108" s="40" t="s">
        <v>26</v>
      </c>
      <c r="P108" s="36"/>
      <c r="Q108" s="36"/>
    </row>
    <row r="109">
      <c r="A109" s="42">
        <v>11.1</v>
      </c>
      <c r="B109" s="41" t="s">
        <v>492</v>
      </c>
      <c r="C109" s="40" t="s">
        <v>18</v>
      </c>
      <c r="D109" s="40" t="s">
        <v>493</v>
      </c>
      <c r="E109" s="46"/>
      <c r="F109" s="41" t="s">
        <v>21</v>
      </c>
      <c r="G109" s="41">
        <v>14.0</v>
      </c>
      <c r="H109" s="41" t="s">
        <v>29</v>
      </c>
      <c r="I109" s="42">
        <v>1.0</v>
      </c>
      <c r="J109" s="43"/>
      <c r="K109" s="42">
        <v>0.0</v>
      </c>
      <c r="L109" s="42">
        <v>0.0</v>
      </c>
      <c r="M109" s="42">
        <v>0.0</v>
      </c>
      <c r="N109" s="42">
        <v>0.0</v>
      </c>
      <c r="O109" s="46"/>
      <c r="P109" s="36"/>
      <c r="Q109" s="36"/>
    </row>
    <row r="110">
      <c r="A110" s="42">
        <v>11.2</v>
      </c>
      <c r="B110" s="41" t="s">
        <v>566</v>
      </c>
      <c r="C110" s="40" t="s">
        <v>18</v>
      </c>
      <c r="D110" s="40" t="s">
        <v>567</v>
      </c>
      <c r="E110" s="46"/>
      <c r="F110" s="41" t="s">
        <v>21</v>
      </c>
      <c r="G110" s="41">
        <v>28.0</v>
      </c>
      <c r="H110" s="41" t="s">
        <v>29</v>
      </c>
      <c r="I110" s="42">
        <v>1.0</v>
      </c>
      <c r="J110" s="43"/>
      <c r="K110" s="42">
        <v>0.0</v>
      </c>
      <c r="L110" s="42">
        <v>0.0</v>
      </c>
      <c r="M110" s="42">
        <v>0.0</v>
      </c>
      <c r="N110" s="42">
        <v>0.0</v>
      </c>
      <c r="O110" s="46"/>
      <c r="P110" s="36"/>
      <c r="Q110" s="36"/>
    </row>
    <row r="111">
      <c r="A111" s="42">
        <v>11.3</v>
      </c>
      <c r="B111" s="41" t="s">
        <v>285</v>
      </c>
      <c r="C111" s="40" t="s">
        <v>18</v>
      </c>
      <c r="D111" s="40" t="s">
        <v>286</v>
      </c>
      <c r="E111" s="46"/>
      <c r="F111" s="41" t="s">
        <v>21</v>
      </c>
      <c r="G111" s="41">
        <v>14.0</v>
      </c>
      <c r="H111" s="41" t="s">
        <v>22</v>
      </c>
      <c r="I111" s="42">
        <v>1.0</v>
      </c>
      <c r="J111" s="43"/>
      <c r="K111" s="42">
        <v>0.0</v>
      </c>
      <c r="L111" s="42">
        <v>0.0</v>
      </c>
      <c r="M111" s="42">
        <v>0.0</v>
      </c>
      <c r="N111" s="42">
        <v>0.0</v>
      </c>
      <c r="O111" s="46"/>
      <c r="P111" s="36"/>
      <c r="Q111" s="36"/>
    </row>
    <row r="112">
      <c r="A112" s="42">
        <v>11.4</v>
      </c>
      <c r="B112" s="41" t="s">
        <v>496</v>
      </c>
      <c r="C112" s="40" t="s">
        <v>18</v>
      </c>
      <c r="D112" s="40" t="s">
        <v>497</v>
      </c>
      <c r="E112" s="46"/>
      <c r="F112" s="41" t="s">
        <v>21</v>
      </c>
      <c r="G112" s="41">
        <v>14.0</v>
      </c>
      <c r="H112" s="41" t="s">
        <v>22</v>
      </c>
      <c r="I112" s="42">
        <v>1.0</v>
      </c>
      <c r="J112" s="43"/>
      <c r="K112" s="42">
        <v>0.0</v>
      </c>
      <c r="L112" s="42">
        <v>0.0</v>
      </c>
      <c r="M112" s="42">
        <v>0.0</v>
      </c>
      <c r="N112" s="42">
        <v>0.0</v>
      </c>
      <c r="O112" s="46"/>
      <c r="P112" s="36"/>
      <c r="Q112" s="36"/>
    </row>
    <row r="113">
      <c r="A113" s="42">
        <v>11.5</v>
      </c>
      <c r="B113" s="41" t="s">
        <v>554</v>
      </c>
      <c r="C113" s="40" t="s">
        <v>18</v>
      </c>
      <c r="D113" s="40" t="s">
        <v>555</v>
      </c>
      <c r="E113" s="46"/>
      <c r="F113" s="41" t="s">
        <v>21</v>
      </c>
      <c r="G113" s="41">
        <v>28.0</v>
      </c>
      <c r="H113" s="41" t="s">
        <v>22</v>
      </c>
      <c r="I113" s="42">
        <v>1.0</v>
      </c>
      <c r="J113" s="43"/>
      <c r="K113" s="42">
        <v>0.0</v>
      </c>
      <c r="L113" s="42">
        <v>0.0</v>
      </c>
      <c r="M113" s="42">
        <v>0.0</v>
      </c>
      <c r="N113" s="42">
        <v>0.0</v>
      </c>
      <c r="O113" s="46"/>
      <c r="P113" s="36"/>
      <c r="Q113" s="36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50" t="s">
        <v>63</v>
      </c>
      <c r="N114" s="51">
        <v>2714.36</v>
      </c>
      <c r="O114" s="52"/>
      <c r="P114" s="36"/>
      <c r="Q114" s="36"/>
    </row>
    <row r="115">
      <c r="A115" s="56"/>
      <c r="B115" s="56"/>
      <c r="C115" s="38" t="s">
        <v>568</v>
      </c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</row>
    <row r="116">
      <c r="A116" s="39">
        <v>12.0</v>
      </c>
      <c r="B116" s="39" t="s">
        <v>501</v>
      </c>
      <c r="C116" s="40" t="s">
        <v>29</v>
      </c>
      <c r="D116" s="40" t="s">
        <v>502</v>
      </c>
      <c r="E116" s="40" t="s">
        <v>20</v>
      </c>
      <c r="F116" s="41" t="s">
        <v>21</v>
      </c>
      <c r="G116" s="41">
        <v>4.0</v>
      </c>
      <c r="H116" s="41" t="s">
        <v>22</v>
      </c>
      <c r="I116" s="42">
        <v>1.0</v>
      </c>
      <c r="J116" s="43"/>
      <c r="K116" s="42">
        <v>0.0</v>
      </c>
      <c r="L116" s="42">
        <v>0.0</v>
      </c>
      <c r="M116" s="42">
        <v>0.0</v>
      </c>
      <c r="N116" s="42">
        <v>0.0</v>
      </c>
      <c r="O116" s="46"/>
      <c r="P116" s="36"/>
      <c r="Q116" s="36"/>
    </row>
    <row r="117">
      <c r="A117" s="42">
        <v>12.1</v>
      </c>
      <c r="B117" s="41" t="s">
        <v>512</v>
      </c>
      <c r="C117" s="40" t="s">
        <v>29</v>
      </c>
      <c r="D117" s="40" t="s">
        <v>513</v>
      </c>
      <c r="E117" s="46"/>
      <c r="F117" s="41" t="s">
        <v>21</v>
      </c>
      <c r="G117" s="41">
        <v>3.0</v>
      </c>
      <c r="H117" s="41" t="s">
        <v>22</v>
      </c>
      <c r="I117" s="42">
        <v>1.0</v>
      </c>
      <c r="J117" s="43"/>
      <c r="K117" s="42">
        <v>0.0</v>
      </c>
      <c r="L117" s="42">
        <v>0.0</v>
      </c>
      <c r="M117" s="42">
        <v>0.0</v>
      </c>
      <c r="N117" s="42">
        <v>0.0</v>
      </c>
      <c r="O117" s="46"/>
      <c r="P117" s="36"/>
      <c r="Q117" s="36"/>
    </row>
    <row r="118">
      <c r="A118" s="42">
        <v>12.2</v>
      </c>
      <c r="B118" s="41" t="s">
        <v>520</v>
      </c>
      <c r="C118" s="40" t="s">
        <v>18</v>
      </c>
      <c r="D118" s="40" t="s">
        <v>521</v>
      </c>
      <c r="E118" s="46"/>
      <c r="F118" s="41" t="s">
        <v>21</v>
      </c>
      <c r="G118" s="41">
        <v>2.0</v>
      </c>
      <c r="H118" s="41" t="s">
        <v>22</v>
      </c>
      <c r="I118" s="42">
        <v>1.0</v>
      </c>
      <c r="J118" s="43"/>
      <c r="K118" s="42">
        <v>0.0</v>
      </c>
      <c r="L118" s="42">
        <v>0.0</v>
      </c>
      <c r="M118" s="42">
        <v>0.0</v>
      </c>
      <c r="N118" s="42">
        <v>0.0</v>
      </c>
      <c r="O118" s="46"/>
      <c r="P118" s="36"/>
      <c r="Q118" s="36"/>
    </row>
    <row r="119">
      <c r="A119" s="42">
        <v>12.3</v>
      </c>
      <c r="B119" s="41" t="s">
        <v>516</v>
      </c>
      <c r="C119" s="40" t="s">
        <v>29</v>
      </c>
      <c r="D119" s="40" t="s">
        <v>517</v>
      </c>
      <c r="E119" s="46"/>
      <c r="F119" s="41" t="s">
        <v>21</v>
      </c>
      <c r="G119" s="41">
        <v>3.0</v>
      </c>
      <c r="H119" s="41" t="s">
        <v>22</v>
      </c>
      <c r="I119" s="42">
        <v>1.0</v>
      </c>
      <c r="J119" s="43"/>
      <c r="K119" s="42">
        <v>0.0</v>
      </c>
      <c r="L119" s="42">
        <v>0.0</v>
      </c>
      <c r="M119" s="42">
        <v>0.0</v>
      </c>
      <c r="N119" s="42">
        <v>0.0</v>
      </c>
      <c r="O119" s="46"/>
      <c r="P119" s="36"/>
      <c r="Q119" s="36"/>
    </row>
    <row r="120">
      <c r="A120" s="42">
        <v>12.4</v>
      </c>
      <c r="B120" s="41" t="s">
        <v>509</v>
      </c>
      <c r="C120" s="40" t="s">
        <v>29</v>
      </c>
      <c r="D120" s="40" t="s">
        <v>510</v>
      </c>
      <c r="E120" s="46"/>
      <c r="F120" s="41" t="s">
        <v>21</v>
      </c>
      <c r="G120" s="41">
        <v>3.0</v>
      </c>
      <c r="H120" s="41" t="s">
        <v>22</v>
      </c>
      <c r="I120" s="42">
        <v>1.0</v>
      </c>
      <c r="J120" s="43"/>
      <c r="K120" s="42">
        <v>0.0</v>
      </c>
      <c r="L120" s="42">
        <v>0.0</v>
      </c>
      <c r="M120" s="42">
        <v>0.0</v>
      </c>
      <c r="N120" s="42">
        <v>0.0</v>
      </c>
      <c r="O120" s="46"/>
      <c r="P120" s="36"/>
      <c r="Q120" s="36"/>
    </row>
    <row r="121">
      <c r="A121" s="42">
        <v>12.5</v>
      </c>
      <c r="B121" s="41" t="s">
        <v>522</v>
      </c>
      <c r="C121" s="40" t="s">
        <v>18</v>
      </c>
      <c r="D121" s="40" t="s">
        <v>523</v>
      </c>
      <c r="E121" s="46"/>
      <c r="F121" s="41" t="s">
        <v>21</v>
      </c>
      <c r="G121" s="41">
        <v>2.0</v>
      </c>
      <c r="H121" s="41" t="s">
        <v>22</v>
      </c>
      <c r="I121" s="42">
        <v>1.0</v>
      </c>
      <c r="J121" s="43"/>
      <c r="K121" s="42">
        <v>0.0</v>
      </c>
      <c r="L121" s="42">
        <v>0.0</v>
      </c>
      <c r="M121" s="42">
        <v>0.0</v>
      </c>
      <c r="N121" s="42">
        <v>0.0</v>
      </c>
      <c r="O121" s="46"/>
      <c r="P121" s="36"/>
      <c r="Q121" s="36"/>
    </row>
    <row r="122">
      <c r="A122" s="42">
        <v>12.6</v>
      </c>
      <c r="B122" s="41" t="s">
        <v>511</v>
      </c>
      <c r="C122" s="40" t="s">
        <v>29</v>
      </c>
      <c r="D122" s="40" t="s">
        <v>431</v>
      </c>
      <c r="E122" s="46"/>
      <c r="F122" s="41" t="s">
        <v>21</v>
      </c>
      <c r="G122" s="41">
        <v>3.0</v>
      </c>
      <c r="H122" s="41" t="s">
        <v>22</v>
      </c>
      <c r="I122" s="42">
        <v>1.0</v>
      </c>
      <c r="J122" s="43"/>
      <c r="K122" s="42">
        <v>0.0</v>
      </c>
      <c r="L122" s="42">
        <v>0.0</v>
      </c>
      <c r="M122" s="42">
        <v>0.0</v>
      </c>
      <c r="N122" s="42">
        <v>0.0</v>
      </c>
      <c r="O122" s="46"/>
      <c r="P122" s="36"/>
      <c r="Q122" s="36"/>
    </row>
    <row r="123">
      <c r="A123" s="42">
        <v>12.7</v>
      </c>
      <c r="B123" s="41" t="s">
        <v>514</v>
      </c>
      <c r="C123" s="40" t="s">
        <v>29</v>
      </c>
      <c r="D123" s="40" t="s">
        <v>515</v>
      </c>
      <c r="E123" s="46"/>
      <c r="F123" s="41" t="s">
        <v>21</v>
      </c>
      <c r="G123" s="41">
        <v>3.0</v>
      </c>
      <c r="H123" s="41" t="s">
        <v>22</v>
      </c>
      <c r="I123" s="42">
        <v>1.0</v>
      </c>
      <c r="J123" s="43"/>
      <c r="K123" s="42">
        <v>0.0</v>
      </c>
      <c r="L123" s="42">
        <v>0.0</v>
      </c>
      <c r="M123" s="42">
        <v>0.0</v>
      </c>
      <c r="N123" s="42">
        <v>0.0</v>
      </c>
      <c r="O123" s="46"/>
      <c r="P123" s="36"/>
      <c r="Q123" s="36"/>
    </row>
    <row r="124">
      <c r="A124" s="42">
        <v>12.8</v>
      </c>
      <c r="B124" s="41" t="s">
        <v>503</v>
      </c>
      <c r="C124" s="40" t="s">
        <v>29</v>
      </c>
      <c r="D124" s="40" t="s">
        <v>504</v>
      </c>
      <c r="E124" s="46"/>
      <c r="F124" s="41" t="s">
        <v>21</v>
      </c>
      <c r="G124" s="41" t="s">
        <v>21</v>
      </c>
      <c r="H124" s="41" t="s">
        <v>22</v>
      </c>
      <c r="I124" s="42">
        <v>1.0</v>
      </c>
      <c r="J124" s="43"/>
      <c r="K124" s="42">
        <v>148.61</v>
      </c>
      <c r="L124" s="44">
        <v>5349.96</v>
      </c>
      <c r="M124" s="42">
        <v>0.0</v>
      </c>
      <c r="N124" s="44">
        <v>5349.96</v>
      </c>
      <c r="O124" s="46"/>
      <c r="P124" s="36"/>
      <c r="Q124" s="36"/>
    </row>
    <row r="125">
      <c r="A125" s="42">
        <v>12.9</v>
      </c>
      <c r="B125" s="41" t="s">
        <v>505</v>
      </c>
      <c r="C125" s="40" t="s">
        <v>18</v>
      </c>
      <c r="D125" s="40" t="s">
        <v>506</v>
      </c>
      <c r="E125" s="46"/>
      <c r="F125" s="41" t="s">
        <v>21</v>
      </c>
      <c r="G125" s="41">
        <v>3.0</v>
      </c>
      <c r="H125" s="41" t="s">
        <v>22</v>
      </c>
      <c r="I125" s="42">
        <v>1.0</v>
      </c>
      <c r="J125" s="43"/>
      <c r="K125" s="42">
        <v>30.65</v>
      </c>
      <c r="L125" s="44">
        <v>1103.4</v>
      </c>
      <c r="M125" s="42">
        <v>0.0</v>
      </c>
      <c r="N125" s="44">
        <v>1103.4</v>
      </c>
      <c r="O125" s="46"/>
      <c r="P125" s="36"/>
      <c r="Q125" s="36"/>
    </row>
    <row r="126">
      <c r="A126" s="42">
        <v>12.1</v>
      </c>
      <c r="B126" s="41" t="s">
        <v>507</v>
      </c>
      <c r="C126" s="40" t="s">
        <v>29</v>
      </c>
      <c r="D126" s="40" t="s">
        <v>508</v>
      </c>
      <c r="E126" s="46"/>
      <c r="F126" s="41" t="s">
        <v>21</v>
      </c>
      <c r="G126" s="41">
        <v>2.0</v>
      </c>
      <c r="H126" s="41" t="s">
        <v>22</v>
      </c>
      <c r="I126" s="42">
        <v>1.0</v>
      </c>
      <c r="J126" s="43"/>
      <c r="K126" s="42">
        <v>0.0</v>
      </c>
      <c r="L126" s="42">
        <v>0.0</v>
      </c>
      <c r="M126" s="42">
        <v>0.0</v>
      </c>
      <c r="N126" s="42">
        <v>0.0</v>
      </c>
      <c r="O126" s="46"/>
      <c r="P126" s="36"/>
      <c r="Q126" s="36"/>
    </row>
    <row r="127">
      <c r="A127" s="42">
        <v>12.11</v>
      </c>
      <c r="B127" s="41" t="s">
        <v>518</v>
      </c>
      <c r="C127" s="40" t="s">
        <v>29</v>
      </c>
      <c r="D127" s="40" t="s">
        <v>519</v>
      </c>
      <c r="E127" s="46"/>
      <c r="F127" s="41" t="s">
        <v>21</v>
      </c>
      <c r="G127" s="41">
        <v>2.0</v>
      </c>
      <c r="H127" s="41" t="s">
        <v>22</v>
      </c>
      <c r="I127" s="42">
        <v>1.0</v>
      </c>
      <c r="J127" s="43"/>
      <c r="K127" s="42">
        <v>0.0</v>
      </c>
      <c r="L127" s="42">
        <v>0.0</v>
      </c>
      <c r="M127" s="42">
        <v>0.0</v>
      </c>
      <c r="N127" s="42">
        <v>0.0</v>
      </c>
      <c r="O127" s="46"/>
      <c r="P127" s="36"/>
      <c r="Q127" s="36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50" t="s">
        <v>63</v>
      </c>
      <c r="N128" s="51">
        <v>6453.36</v>
      </c>
      <c r="O128" s="52"/>
      <c r="P128" s="36"/>
      <c r="Q128" s="36"/>
    </row>
    <row r="129">
      <c r="A129" s="39">
        <v>13.0</v>
      </c>
      <c r="B129" s="39" t="s">
        <v>569</v>
      </c>
      <c r="C129" s="40" t="s">
        <v>18</v>
      </c>
      <c r="D129" s="40" t="s">
        <v>570</v>
      </c>
      <c r="E129" s="40" t="s">
        <v>20</v>
      </c>
      <c r="F129" s="41" t="s">
        <v>21</v>
      </c>
      <c r="G129" s="41">
        <v>28.0</v>
      </c>
      <c r="H129" s="41" t="s">
        <v>22</v>
      </c>
      <c r="I129" s="42">
        <v>1.0</v>
      </c>
      <c r="J129" s="43"/>
      <c r="K129" s="44">
        <v>2155.89</v>
      </c>
      <c r="L129" s="44">
        <v>2155.89</v>
      </c>
      <c r="M129" s="42">
        <v>0.0</v>
      </c>
      <c r="N129" s="44">
        <v>2155.89</v>
      </c>
      <c r="O129" s="46"/>
      <c r="P129" s="36"/>
      <c r="Q129" s="36"/>
    </row>
    <row r="130">
      <c r="A130" s="42" t="s">
        <v>189</v>
      </c>
      <c r="B130" s="41" t="s">
        <v>571</v>
      </c>
      <c r="C130" s="40" t="s">
        <v>18</v>
      </c>
      <c r="D130" s="40" t="s">
        <v>572</v>
      </c>
      <c r="E130" s="46"/>
      <c r="F130" s="41">
        <v>36.0</v>
      </c>
      <c r="G130" s="41" t="s">
        <v>21</v>
      </c>
      <c r="H130" s="41" t="s">
        <v>22</v>
      </c>
      <c r="I130" s="42">
        <v>1.0</v>
      </c>
      <c r="J130" s="43"/>
      <c r="K130" s="42">
        <v>800.25</v>
      </c>
      <c r="L130" s="42">
        <v>800.25</v>
      </c>
      <c r="M130" s="42">
        <v>0.0</v>
      </c>
      <c r="N130" s="42">
        <v>800.25</v>
      </c>
      <c r="O130" s="40" t="s">
        <v>26</v>
      </c>
      <c r="P130" s="36"/>
      <c r="Q130" s="36"/>
    </row>
    <row r="131">
      <c r="A131" s="42">
        <v>13.1</v>
      </c>
      <c r="B131" s="41" t="s">
        <v>492</v>
      </c>
      <c r="C131" s="40" t="s">
        <v>18</v>
      </c>
      <c r="D131" s="40" t="s">
        <v>493</v>
      </c>
      <c r="E131" s="46"/>
      <c r="F131" s="41" t="s">
        <v>21</v>
      </c>
      <c r="G131" s="41">
        <v>14.0</v>
      </c>
      <c r="H131" s="41" t="s">
        <v>29</v>
      </c>
      <c r="I131" s="42">
        <v>1.0</v>
      </c>
      <c r="J131" s="43"/>
      <c r="K131" s="42">
        <v>0.0</v>
      </c>
      <c r="L131" s="42">
        <v>0.0</v>
      </c>
      <c r="M131" s="42">
        <v>0.0</v>
      </c>
      <c r="N131" s="42">
        <v>0.0</v>
      </c>
      <c r="O131" s="46"/>
      <c r="P131" s="36"/>
      <c r="Q131" s="36"/>
    </row>
    <row r="132">
      <c r="A132" s="42">
        <v>13.2</v>
      </c>
      <c r="B132" s="41" t="s">
        <v>566</v>
      </c>
      <c r="C132" s="40" t="s">
        <v>18</v>
      </c>
      <c r="D132" s="40" t="s">
        <v>567</v>
      </c>
      <c r="E132" s="46"/>
      <c r="F132" s="41" t="s">
        <v>21</v>
      </c>
      <c r="G132" s="41">
        <v>28.0</v>
      </c>
      <c r="H132" s="41" t="s">
        <v>29</v>
      </c>
      <c r="I132" s="42">
        <v>1.0</v>
      </c>
      <c r="J132" s="43"/>
      <c r="K132" s="42">
        <v>0.0</v>
      </c>
      <c r="L132" s="42">
        <v>0.0</v>
      </c>
      <c r="M132" s="42">
        <v>0.0</v>
      </c>
      <c r="N132" s="42">
        <v>0.0</v>
      </c>
      <c r="O132" s="46"/>
      <c r="P132" s="36"/>
      <c r="Q132" s="36"/>
    </row>
    <row r="133">
      <c r="A133" s="42">
        <v>13.3</v>
      </c>
      <c r="B133" s="41" t="s">
        <v>285</v>
      </c>
      <c r="C133" s="40" t="s">
        <v>18</v>
      </c>
      <c r="D133" s="40" t="s">
        <v>286</v>
      </c>
      <c r="E133" s="46"/>
      <c r="F133" s="41" t="s">
        <v>21</v>
      </c>
      <c r="G133" s="41">
        <v>14.0</v>
      </c>
      <c r="H133" s="41" t="s">
        <v>22</v>
      </c>
      <c r="I133" s="42">
        <v>1.0</v>
      </c>
      <c r="J133" s="43"/>
      <c r="K133" s="42">
        <v>0.0</v>
      </c>
      <c r="L133" s="42">
        <v>0.0</v>
      </c>
      <c r="M133" s="42">
        <v>0.0</v>
      </c>
      <c r="N133" s="42">
        <v>0.0</v>
      </c>
      <c r="O133" s="46"/>
      <c r="P133" s="36"/>
      <c r="Q133" s="36"/>
    </row>
    <row r="134">
      <c r="A134" s="42">
        <v>13.4</v>
      </c>
      <c r="B134" s="41" t="s">
        <v>496</v>
      </c>
      <c r="C134" s="40" t="s">
        <v>18</v>
      </c>
      <c r="D134" s="40" t="s">
        <v>497</v>
      </c>
      <c r="E134" s="46"/>
      <c r="F134" s="41" t="s">
        <v>21</v>
      </c>
      <c r="G134" s="41">
        <v>14.0</v>
      </c>
      <c r="H134" s="41" t="s">
        <v>22</v>
      </c>
      <c r="I134" s="42">
        <v>1.0</v>
      </c>
      <c r="J134" s="43"/>
      <c r="K134" s="42">
        <v>0.0</v>
      </c>
      <c r="L134" s="42">
        <v>0.0</v>
      </c>
      <c r="M134" s="42">
        <v>0.0</v>
      </c>
      <c r="N134" s="42">
        <v>0.0</v>
      </c>
      <c r="O134" s="46"/>
      <c r="P134" s="36"/>
      <c r="Q134" s="36"/>
    </row>
    <row r="135">
      <c r="A135" s="42">
        <v>13.5</v>
      </c>
      <c r="B135" s="41" t="s">
        <v>554</v>
      </c>
      <c r="C135" s="40" t="s">
        <v>18</v>
      </c>
      <c r="D135" s="40" t="s">
        <v>555</v>
      </c>
      <c r="E135" s="46"/>
      <c r="F135" s="41" t="s">
        <v>21</v>
      </c>
      <c r="G135" s="41">
        <v>28.0</v>
      </c>
      <c r="H135" s="41" t="s">
        <v>22</v>
      </c>
      <c r="I135" s="42">
        <v>1.0</v>
      </c>
      <c r="J135" s="43"/>
      <c r="K135" s="42">
        <v>0.0</v>
      </c>
      <c r="L135" s="42">
        <v>0.0</v>
      </c>
      <c r="M135" s="42">
        <v>0.0</v>
      </c>
      <c r="N135" s="42">
        <v>0.0</v>
      </c>
      <c r="O135" s="46"/>
      <c r="P135" s="36"/>
      <c r="Q135" s="36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50" t="s">
        <v>63</v>
      </c>
      <c r="N136" s="51">
        <v>2956.14</v>
      </c>
      <c r="O136" s="52"/>
      <c r="P136" s="36"/>
      <c r="Q136" s="36"/>
    </row>
    <row r="137">
      <c r="A137" s="56"/>
      <c r="B137" s="56"/>
      <c r="C137" s="38" t="s">
        <v>573</v>
      </c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</row>
    <row r="138">
      <c r="A138" s="39">
        <v>14.0</v>
      </c>
      <c r="B138" s="39" t="s">
        <v>501</v>
      </c>
      <c r="C138" s="40" t="s">
        <v>29</v>
      </c>
      <c r="D138" s="40" t="s">
        <v>502</v>
      </c>
      <c r="E138" s="40" t="s">
        <v>20</v>
      </c>
      <c r="F138" s="41" t="s">
        <v>21</v>
      </c>
      <c r="G138" s="41">
        <v>4.0</v>
      </c>
      <c r="H138" s="41" t="s">
        <v>22</v>
      </c>
      <c r="I138" s="42">
        <v>1.0</v>
      </c>
      <c r="J138" s="43"/>
      <c r="K138" s="42">
        <v>0.0</v>
      </c>
      <c r="L138" s="42">
        <v>0.0</v>
      </c>
      <c r="M138" s="42">
        <v>0.0</v>
      </c>
      <c r="N138" s="42">
        <v>0.0</v>
      </c>
      <c r="O138" s="46"/>
      <c r="P138" s="36"/>
      <c r="Q138" s="36"/>
    </row>
    <row r="139">
      <c r="A139" s="42">
        <v>14.1</v>
      </c>
      <c r="B139" s="41" t="s">
        <v>512</v>
      </c>
      <c r="C139" s="40" t="s">
        <v>29</v>
      </c>
      <c r="D139" s="40" t="s">
        <v>513</v>
      </c>
      <c r="E139" s="46"/>
      <c r="F139" s="41" t="s">
        <v>21</v>
      </c>
      <c r="G139" s="41">
        <v>3.0</v>
      </c>
      <c r="H139" s="41" t="s">
        <v>22</v>
      </c>
      <c r="I139" s="42">
        <v>1.0</v>
      </c>
      <c r="J139" s="43"/>
      <c r="K139" s="42">
        <v>0.0</v>
      </c>
      <c r="L139" s="42">
        <v>0.0</v>
      </c>
      <c r="M139" s="42">
        <v>0.0</v>
      </c>
      <c r="N139" s="42">
        <v>0.0</v>
      </c>
      <c r="O139" s="46"/>
      <c r="P139" s="36"/>
      <c r="Q139" s="36"/>
    </row>
    <row r="140">
      <c r="A140" s="42">
        <v>14.2</v>
      </c>
      <c r="B140" s="41" t="s">
        <v>520</v>
      </c>
      <c r="C140" s="40" t="s">
        <v>18</v>
      </c>
      <c r="D140" s="40" t="s">
        <v>521</v>
      </c>
      <c r="E140" s="46"/>
      <c r="F140" s="41" t="s">
        <v>21</v>
      </c>
      <c r="G140" s="41">
        <v>2.0</v>
      </c>
      <c r="H140" s="41" t="s">
        <v>22</v>
      </c>
      <c r="I140" s="42">
        <v>1.0</v>
      </c>
      <c r="J140" s="43"/>
      <c r="K140" s="42">
        <v>0.0</v>
      </c>
      <c r="L140" s="42">
        <v>0.0</v>
      </c>
      <c r="M140" s="42">
        <v>0.0</v>
      </c>
      <c r="N140" s="42">
        <v>0.0</v>
      </c>
      <c r="O140" s="46"/>
      <c r="P140" s="36"/>
      <c r="Q140" s="36"/>
    </row>
    <row r="141">
      <c r="A141" s="42">
        <v>14.3</v>
      </c>
      <c r="B141" s="41" t="s">
        <v>516</v>
      </c>
      <c r="C141" s="40" t="s">
        <v>29</v>
      </c>
      <c r="D141" s="40" t="s">
        <v>517</v>
      </c>
      <c r="E141" s="46"/>
      <c r="F141" s="41" t="s">
        <v>21</v>
      </c>
      <c r="G141" s="41">
        <v>3.0</v>
      </c>
      <c r="H141" s="41" t="s">
        <v>22</v>
      </c>
      <c r="I141" s="42">
        <v>1.0</v>
      </c>
      <c r="J141" s="43"/>
      <c r="K141" s="42">
        <v>0.0</v>
      </c>
      <c r="L141" s="42">
        <v>0.0</v>
      </c>
      <c r="M141" s="42">
        <v>0.0</v>
      </c>
      <c r="N141" s="42">
        <v>0.0</v>
      </c>
      <c r="O141" s="46"/>
      <c r="P141" s="36"/>
      <c r="Q141" s="36"/>
    </row>
    <row r="142">
      <c r="A142" s="42">
        <v>14.4</v>
      </c>
      <c r="B142" s="41" t="s">
        <v>509</v>
      </c>
      <c r="C142" s="40" t="s">
        <v>29</v>
      </c>
      <c r="D142" s="40" t="s">
        <v>510</v>
      </c>
      <c r="E142" s="46"/>
      <c r="F142" s="41" t="s">
        <v>21</v>
      </c>
      <c r="G142" s="41">
        <v>3.0</v>
      </c>
      <c r="H142" s="41" t="s">
        <v>22</v>
      </c>
      <c r="I142" s="42">
        <v>1.0</v>
      </c>
      <c r="J142" s="43"/>
      <c r="K142" s="42">
        <v>0.0</v>
      </c>
      <c r="L142" s="42">
        <v>0.0</v>
      </c>
      <c r="M142" s="42">
        <v>0.0</v>
      </c>
      <c r="N142" s="42">
        <v>0.0</v>
      </c>
      <c r="O142" s="46"/>
      <c r="P142" s="36"/>
      <c r="Q142" s="36"/>
    </row>
    <row r="143">
      <c r="A143" s="42">
        <v>14.5</v>
      </c>
      <c r="B143" s="41" t="s">
        <v>522</v>
      </c>
      <c r="C143" s="40" t="s">
        <v>18</v>
      </c>
      <c r="D143" s="40" t="s">
        <v>523</v>
      </c>
      <c r="E143" s="46"/>
      <c r="F143" s="41" t="s">
        <v>21</v>
      </c>
      <c r="G143" s="41">
        <v>2.0</v>
      </c>
      <c r="H143" s="41" t="s">
        <v>22</v>
      </c>
      <c r="I143" s="42">
        <v>1.0</v>
      </c>
      <c r="J143" s="43"/>
      <c r="K143" s="42">
        <v>0.0</v>
      </c>
      <c r="L143" s="42">
        <v>0.0</v>
      </c>
      <c r="M143" s="42">
        <v>0.0</v>
      </c>
      <c r="N143" s="42">
        <v>0.0</v>
      </c>
      <c r="O143" s="46"/>
      <c r="P143" s="36"/>
      <c r="Q143" s="36"/>
    </row>
    <row r="144">
      <c r="A144" s="42">
        <v>14.6</v>
      </c>
      <c r="B144" s="41" t="s">
        <v>511</v>
      </c>
      <c r="C144" s="40" t="s">
        <v>29</v>
      </c>
      <c r="D144" s="40" t="s">
        <v>431</v>
      </c>
      <c r="E144" s="46"/>
      <c r="F144" s="41" t="s">
        <v>21</v>
      </c>
      <c r="G144" s="41">
        <v>3.0</v>
      </c>
      <c r="H144" s="41" t="s">
        <v>22</v>
      </c>
      <c r="I144" s="42">
        <v>1.0</v>
      </c>
      <c r="J144" s="43"/>
      <c r="K144" s="42">
        <v>0.0</v>
      </c>
      <c r="L144" s="42">
        <v>0.0</v>
      </c>
      <c r="M144" s="42">
        <v>0.0</v>
      </c>
      <c r="N144" s="42">
        <v>0.0</v>
      </c>
      <c r="O144" s="46"/>
      <c r="P144" s="36"/>
      <c r="Q144" s="36"/>
    </row>
    <row r="145">
      <c r="A145" s="42">
        <v>14.7</v>
      </c>
      <c r="B145" s="41" t="s">
        <v>514</v>
      </c>
      <c r="C145" s="40" t="s">
        <v>29</v>
      </c>
      <c r="D145" s="40" t="s">
        <v>515</v>
      </c>
      <c r="E145" s="46"/>
      <c r="F145" s="41" t="s">
        <v>21</v>
      </c>
      <c r="G145" s="41">
        <v>3.0</v>
      </c>
      <c r="H145" s="41" t="s">
        <v>22</v>
      </c>
      <c r="I145" s="42">
        <v>1.0</v>
      </c>
      <c r="J145" s="43"/>
      <c r="K145" s="42">
        <v>0.0</v>
      </c>
      <c r="L145" s="42">
        <v>0.0</v>
      </c>
      <c r="M145" s="42">
        <v>0.0</v>
      </c>
      <c r="N145" s="42">
        <v>0.0</v>
      </c>
      <c r="O145" s="46"/>
      <c r="P145" s="36"/>
      <c r="Q145" s="36"/>
    </row>
    <row r="146">
      <c r="A146" s="42">
        <v>14.8</v>
      </c>
      <c r="B146" s="41" t="s">
        <v>503</v>
      </c>
      <c r="C146" s="40" t="s">
        <v>29</v>
      </c>
      <c r="D146" s="40" t="s">
        <v>504</v>
      </c>
      <c r="E146" s="46"/>
      <c r="F146" s="41" t="s">
        <v>21</v>
      </c>
      <c r="G146" s="41" t="s">
        <v>21</v>
      </c>
      <c r="H146" s="41" t="s">
        <v>22</v>
      </c>
      <c r="I146" s="42">
        <v>1.0</v>
      </c>
      <c r="J146" s="43"/>
      <c r="K146" s="42">
        <v>148.61</v>
      </c>
      <c r="L146" s="44">
        <v>5349.96</v>
      </c>
      <c r="M146" s="42">
        <v>0.0</v>
      </c>
      <c r="N146" s="44">
        <v>5349.96</v>
      </c>
      <c r="O146" s="46"/>
      <c r="P146" s="36"/>
      <c r="Q146" s="36"/>
    </row>
    <row r="147">
      <c r="A147" s="42">
        <v>14.9</v>
      </c>
      <c r="B147" s="41" t="s">
        <v>505</v>
      </c>
      <c r="C147" s="40" t="s">
        <v>18</v>
      </c>
      <c r="D147" s="40" t="s">
        <v>506</v>
      </c>
      <c r="E147" s="46"/>
      <c r="F147" s="41" t="s">
        <v>21</v>
      </c>
      <c r="G147" s="41">
        <v>3.0</v>
      </c>
      <c r="H147" s="41" t="s">
        <v>22</v>
      </c>
      <c r="I147" s="42">
        <v>1.0</v>
      </c>
      <c r="J147" s="43"/>
      <c r="K147" s="42">
        <v>30.65</v>
      </c>
      <c r="L147" s="44">
        <v>1103.4</v>
      </c>
      <c r="M147" s="42">
        <v>0.0</v>
      </c>
      <c r="N147" s="44">
        <v>1103.4</v>
      </c>
      <c r="O147" s="46"/>
      <c r="P147" s="36"/>
      <c r="Q147" s="36"/>
    </row>
    <row r="148">
      <c r="A148" s="42">
        <v>14.1</v>
      </c>
      <c r="B148" s="41" t="s">
        <v>507</v>
      </c>
      <c r="C148" s="40" t="s">
        <v>29</v>
      </c>
      <c r="D148" s="40" t="s">
        <v>508</v>
      </c>
      <c r="E148" s="46"/>
      <c r="F148" s="41" t="s">
        <v>21</v>
      </c>
      <c r="G148" s="41">
        <v>2.0</v>
      </c>
      <c r="H148" s="41" t="s">
        <v>22</v>
      </c>
      <c r="I148" s="42">
        <v>1.0</v>
      </c>
      <c r="J148" s="43"/>
      <c r="K148" s="42">
        <v>0.0</v>
      </c>
      <c r="L148" s="42">
        <v>0.0</v>
      </c>
      <c r="M148" s="42">
        <v>0.0</v>
      </c>
      <c r="N148" s="42">
        <v>0.0</v>
      </c>
      <c r="O148" s="46"/>
      <c r="P148" s="36"/>
      <c r="Q148" s="36"/>
    </row>
    <row r="149">
      <c r="A149" s="42">
        <v>14.11</v>
      </c>
      <c r="B149" s="41" t="s">
        <v>518</v>
      </c>
      <c r="C149" s="40" t="s">
        <v>29</v>
      </c>
      <c r="D149" s="40" t="s">
        <v>519</v>
      </c>
      <c r="E149" s="46"/>
      <c r="F149" s="41" t="s">
        <v>21</v>
      </c>
      <c r="G149" s="41">
        <v>2.0</v>
      </c>
      <c r="H149" s="41" t="s">
        <v>22</v>
      </c>
      <c r="I149" s="42">
        <v>1.0</v>
      </c>
      <c r="J149" s="43"/>
      <c r="K149" s="42">
        <v>0.0</v>
      </c>
      <c r="L149" s="42">
        <v>0.0</v>
      </c>
      <c r="M149" s="42">
        <v>0.0</v>
      </c>
      <c r="N149" s="42">
        <v>0.0</v>
      </c>
      <c r="O149" s="46"/>
      <c r="P149" s="36"/>
      <c r="Q149" s="36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50" t="s">
        <v>63</v>
      </c>
      <c r="N150" s="51">
        <v>6453.36</v>
      </c>
      <c r="O150" s="52"/>
      <c r="P150" s="36"/>
      <c r="Q150" s="36"/>
    </row>
    <row r="151">
      <c r="A151" s="39">
        <v>15.0</v>
      </c>
      <c r="B151" s="39" t="s">
        <v>574</v>
      </c>
      <c r="C151" s="40" t="s">
        <v>18</v>
      </c>
      <c r="D151" s="40" t="s">
        <v>575</v>
      </c>
      <c r="E151" s="40" t="s">
        <v>20</v>
      </c>
      <c r="F151" s="41" t="s">
        <v>21</v>
      </c>
      <c r="G151" s="41">
        <v>63.0</v>
      </c>
      <c r="H151" s="41" t="s">
        <v>22</v>
      </c>
      <c r="I151" s="42">
        <v>1.0</v>
      </c>
      <c r="J151" s="43"/>
      <c r="K151" s="44">
        <v>1242.19</v>
      </c>
      <c r="L151" s="44">
        <v>1242.19</v>
      </c>
      <c r="M151" s="42">
        <v>0.0</v>
      </c>
      <c r="N151" s="44">
        <v>1242.19</v>
      </c>
      <c r="O151" s="46"/>
      <c r="P151" s="36"/>
      <c r="Q151" s="36"/>
    </row>
    <row r="152">
      <c r="A152" s="42" t="s">
        <v>210</v>
      </c>
      <c r="B152" s="41" t="s">
        <v>576</v>
      </c>
      <c r="C152" s="40" t="s">
        <v>18</v>
      </c>
      <c r="D152" s="40" t="s">
        <v>577</v>
      </c>
      <c r="E152" s="46"/>
      <c r="F152" s="41">
        <v>36.0</v>
      </c>
      <c r="G152" s="41" t="s">
        <v>21</v>
      </c>
      <c r="H152" s="41" t="s">
        <v>22</v>
      </c>
      <c r="I152" s="42">
        <v>1.0</v>
      </c>
      <c r="J152" s="43"/>
      <c r="K152" s="42">
        <v>420.75</v>
      </c>
      <c r="L152" s="42">
        <v>420.75</v>
      </c>
      <c r="M152" s="42">
        <v>0.0</v>
      </c>
      <c r="N152" s="42">
        <v>420.75</v>
      </c>
      <c r="O152" s="40" t="s">
        <v>26</v>
      </c>
      <c r="P152" s="36"/>
      <c r="Q152" s="36"/>
    </row>
    <row r="153">
      <c r="A153" s="42">
        <v>15.1</v>
      </c>
      <c r="B153" s="41" t="s">
        <v>492</v>
      </c>
      <c r="C153" s="40" t="s">
        <v>18</v>
      </c>
      <c r="D153" s="40" t="s">
        <v>493</v>
      </c>
      <c r="E153" s="46"/>
      <c r="F153" s="41" t="s">
        <v>21</v>
      </c>
      <c r="G153" s="41">
        <v>14.0</v>
      </c>
      <c r="H153" s="41" t="s">
        <v>29</v>
      </c>
      <c r="I153" s="42">
        <v>1.0</v>
      </c>
      <c r="J153" s="43"/>
      <c r="K153" s="42">
        <v>0.0</v>
      </c>
      <c r="L153" s="42">
        <v>0.0</v>
      </c>
      <c r="M153" s="42">
        <v>0.0</v>
      </c>
      <c r="N153" s="42">
        <v>0.0</v>
      </c>
      <c r="O153" s="46"/>
      <c r="P153" s="36"/>
      <c r="Q153" s="36"/>
    </row>
    <row r="154">
      <c r="A154" s="42">
        <v>15.2</v>
      </c>
      <c r="B154" s="41" t="s">
        <v>578</v>
      </c>
      <c r="C154" s="40" t="s">
        <v>18</v>
      </c>
      <c r="D154" s="40" t="s">
        <v>579</v>
      </c>
      <c r="E154" s="46"/>
      <c r="F154" s="41" t="s">
        <v>21</v>
      </c>
      <c r="G154" s="41">
        <v>28.0</v>
      </c>
      <c r="H154" s="41" t="s">
        <v>29</v>
      </c>
      <c r="I154" s="42">
        <v>1.0</v>
      </c>
      <c r="J154" s="43"/>
      <c r="K154" s="42">
        <v>0.0</v>
      </c>
      <c r="L154" s="42">
        <v>0.0</v>
      </c>
      <c r="M154" s="42">
        <v>0.0</v>
      </c>
      <c r="N154" s="42">
        <v>0.0</v>
      </c>
      <c r="O154" s="46"/>
      <c r="P154" s="36"/>
      <c r="Q154" s="36"/>
    </row>
    <row r="155">
      <c r="A155" s="42">
        <v>15.3</v>
      </c>
      <c r="B155" s="41" t="s">
        <v>285</v>
      </c>
      <c r="C155" s="40" t="s">
        <v>18</v>
      </c>
      <c r="D155" s="40" t="s">
        <v>286</v>
      </c>
      <c r="E155" s="46"/>
      <c r="F155" s="41" t="s">
        <v>21</v>
      </c>
      <c r="G155" s="41">
        <v>14.0</v>
      </c>
      <c r="H155" s="41" t="s">
        <v>22</v>
      </c>
      <c r="I155" s="42">
        <v>1.0</v>
      </c>
      <c r="J155" s="43"/>
      <c r="K155" s="42">
        <v>0.0</v>
      </c>
      <c r="L155" s="42">
        <v>0.0</v>
      </c>
      <c r="M155" s="42">
        <v>0.0</v>
      </c>
      <c r="N155" s="42">
        <v>0.0</v>
      </c>
      <c r="O155" s="46"/>
      <c r="P155" s="36"/>
      <c r="Q155" s="36"/>
    </row>
    <row r="156">
      <c r="A156" s="42">
        <v>15.4</v>
      </c>
      <c r="B156" s="41" t="s">
        <v>496</v>
      </c>
      <c r="C156" s="40" t="s">
        <v>18</v>
      </c>
      <c r="D156" s="40" t="s">
        <v>497</v>
      </c>
      <c r="E156" s="46"/>
      <c r="F156" s="41" t="s">
        <v>21</v>
      </c>
      <c r="G156" s="41">
        <v>14.0</v>
      </c>
      <c r="H156" s="41" t="s">
        <v>22</v>
      </c>
      <c r="I156" s="42">
        <v>1.0</v>
      </c>
      <c r="J156" s="43"/>
      <c r="K156" s="42">
        <v>0.0</v>
      </c>
      <c r="L156" s="42">
        <v>0.0</v>
      </c>
      <c r="M156" s="42">
        <v>0.0</v>
      </c>
      <c r="N156" s="42">
        <v>0.0</v>
      </c>
      <c r="O156" s="46"/>
      <c r="P156" s="36"/>
      <c r="Q156" s="36"/>
    </row>
    <row r="157">
      <c r="A157" s="42">
        <v>15.5</v>
      </c>
      <c r="B157" s="41" t="s">
        <v>554</v>
      </c>
      <c r="C157" s="40" t="s">
        <v>18</v>
      </c>
      <c r="D157" s="40" t="s">
        <v>555</v>
      </c>
      <c r="E157" s="46"/>
      <c r="F157" s="41" t="s">
        <v>21</v>
      </c>
      <c r="G157" s="41">
        <v>28.0</v>
      </c>
      <c r="H157" s="41" t="s">
        <v>22</v>
      </c>
      <c r="I157" s="42">
        <v>1.0</v>
      </c>
      <c r="J157" s="43"/>
      <c r="K157" s="42">
        <v>0.0</v>
      </c>
      <c r="L157" s="42">
        <v>0.0</v>
      </c>
      <c r="M157" s="42">
        <v>0.0</v>
      </c>
      <c r="N157" s="42">
        <v>0.0</v>
      </c>
      <c r="O157" s="46"/>
      <c r="P157" s="36"/>
      <c r="Q157" s="36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50" t="s">
        <v>63</v>
      </c>
      <c r="N158" s="51">
        <v>1662.94</v>
      </c>
      <c r="O158" s="52"/>
      <c r="P158" s="36"/>
      <c r="Q158" s="36"/>
    </row>
    <row r="159">
      <c r="A159" s="56"/>
      <c r="B159" s="56"/>
      <c r="C159" s="38" t="s">
        <v>580</v>
      </c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</row>
    <row r="160">
      <c r="A160" s="39">
        <v>16.0</v>
      </c>
      <c r="B160" s="39" t="s">
        <v>501</v>
      </c>
      <c r="C160" s="40" t="s">
        <v>29</v>
      </c>
      <c r="D160" s="40" t="s">
        <v>502</v>
      </c>
      <c r="E160" s="40" t="s">
        <v>20</v>
      </c>
      <c r="F160" s="41" t="s">
        <v>21</v>
      </c>
      <c r="G160" s="41">
        <v>4.0</v>
      </c>
      <c r="H160" s="41" t="s">
        <v>22</v>
      </c>
      <c r="I160" s="42">
        <v>1.0</v>
      </c>
      <c r="J160" s="43"/>
      <c r="K160" s="42">
        <v>0.0</v>
      </c>
      <c r="L160" s="42">
        <v>0.0</v>
      </c>
      <c r="M160" s="42">
        <v>0.0</v>
      </c>
      <c r="N160" s="42">
        <v>0.0</v>
      </c>
      <c r="O160" s="46"/>
      <c r="P160" s="36"/>
      <c r="Q160" s="36"/>
    </row>
    <row r="161">
      <c r="A161" s="42">
        <v>16.1</v>
      </c>
      <c r="B161" s="41" t="s">
        <v>542</v>
      </c>
      <c r="C161" s="40" t="s">
        <v>29</v>
      </c>
      <c r="D161" s="40" t="s">
        <v>543</v>
      </c>
      <c r="E161" s="46"/>
      <c r="F161" s="41" t="s">
        <v>21</v>
      </c>
      <c r="G161" s="41">
        <v>3.0</v>
      </c>
      <c r="H161" s="41" t="s">
        <v>22</v>
      </c>
      <c r="I161" s="42">
        <v>1.0</v>
      </c>
      <c r="J161" s="43"/>
      <c r="K161" s="42">
        <v>0.0</v>
      </c>
      <c r="L161" s="42">
        <v>0.0</v>
      </c>
      <c r="M161" s="42">
        <v>0.0</v>
      </c>
      <c r="N161" s="42">
        <v>0.0</v>
      </c>
      <c r="O161" s="46"/>
      <c r="P161" s="36"/>
      <c r="Q161" s="36"/>
    </row>
    <row r="162">
      <c r="A162" s="42">
        <v>16.2</v>
      </c>
      <c r="B162" s="41" t="s">
        <v>520</v>
      </c>
      <c r="C162" s="40" t="s">
        <v>18</v>
      </c>
      <c r="D162" s="40" t="s">
        <v>521</v>
      </c>
      <c r="E162" s="46"/>
      <c r="F162" s="41" t="s">
        <v>21</v>
      </c>
      <c r="G162" s="41">
        <v>2.0</v>
      </c>
      <c r="H162" s="41" t="s">
        <v>22</v>
      </c>
      <c r="I162" s="42">
        <v>1.0</v>
      </c>
      <c r="J162" s="43"/>
      <c r="K162" s="42">
        <v>0.0</v>
      </c>
      <c r="L162" s="42">
        <v>0.0</v>
      </c>
      <c r="M162" s="42">
        <v>0.0</v>
      </c>
      <c r="N162" s="42">
        <v>0.0</v>
      </c>
      <c r="O162" s="46"/>
      <c r="P162" s="36"/>
      <c r="Q162" s="36"/>
    </row>
    <row r="163">
      <c r="A163" s="42">
        <v>16.3</v>
      </c>
      <c r="B163" s="41" t="s">
        <v>546</v>
      </c>
      <c r="C163" s="40" t="s">
        <v>29</v>
      </c>
      <c r="D163" s="40" t="s">
        <v>547</v>
      </c>
      <c r="E163" s="46"/>
      <c r="F163" s="41" t="s">
        <v>21</v>
      </c>
      <c r="G163" s="41">
        <v>3.0</v>
      </c>
      <c r="H163" s="41" t="s">
        <v>22</v>
      </c>
      <c r="I163" s="42">
        <v>1.0</v>
      </c>
      <c r="J163" s="43"/>
      <c r="K163" s="42">
        <v>0.0</v>
      </c>
      <c r="L163" s="42">
        <v>0.0</v>
      </c>
      <c r="M163" s="42">
        <v>0.0</v>
      </c>
      <c r="N163" s="42">
        <v>0.0</v>
      </c>
      <c r="O163" s="46"/>
      <c r="P163" s="36"/>
      <c r="Q163" s="36"/>
    </row>
    <row r="164">
      <c r="A164" s="42">
        <v>16.4</v>
      </c>
      <c r="B164" s="41" t="s">
        <v>509</v>
      </c>
      <c r="C164" s="40" t="s">
        <v>29</v>
      </c>
      <c r="D164" s="40" t="s">
        <v>510</v>
      </c>
      <c r="E164" s="46"/>
      <c r="F164" s="41" t="s">
        <v>21</v>
      </c>
      <c r="G164" s="41">
        <v>3.0</v>
      </c>
      <c r="H164" s="41" t="s">
        <v>22</v>
      </c>
      <c r="I164" s="42">
        <v>1.0</v>
      </c>
      <c r="J164" s="43"/>
      <c r="K164" s="42">
        <v>0.0</v>
      </c>
      <c r="L164" s="42">
        <v>0.0</v>
      </c>
      <c r="M164" s="42">
        <v>0.0</v>
      </c>
      <c r="N164" s="42">
        <v>0.0</v>
      </c>
      <c r="O164" s="46"/>
      <c r="P164" s="36"/>
      <c r="Q164" s="36"/>
    </row>
    <row r="165">
      <c r="A165" s="42">
        <v>16.5</v>
      </c>
      <c r="B165" s="41" t="s">
        <v>522</v>
      </c>
      <c r="C165" s="40" t="s">
        <v>18</v>
      </c>
      <c r="D165" s="40" t="s">
        <v>523</v>
      </c>
      <c r="E165" s="46"/>
      <c r="F165" s="41" t="s">
        <v>21</v>
      </c>
      <c r="G165" s="41">
        <v>2.0</v>
      </c>
      <c r="H165" s="41" t="s">
        <v>22</v>
      </c>
      <c r="I165" s="42">
        <v>1.0</v>
      </c>
      <c r="J165" s="43"/>
      <c r="K165" s="42">
        <v>0.0</v>
      </c>
      <c r="L165" s="42">
        <v>0.0</v>
      </c>
      <c r="M165" s="42">
        <v>0.0</v>
      </c>
      <c r="N165" s="42">
        <v>0.0</v>
      </c>
      <c r="O165" s="46"/>
      <c r="P165" s="36"/>
      <c r="Q165" s="36"/>
    </row>
    <row r="166">
      <c r="A166" s="42">
        <v>16.6</v>
      </c>
      <c r="B166" s="41" t="s">
        <v>511</v>
      </c>
      <c r="C166" s="40" t="s">
        <v>29</v>
      </c>
      <c r="D166" s="40" t="s">
        <v>431</v>
      </c>
      <c r="E166" s="46"/>
      <c r="F166" s="41" t="s">
        <v>21</v>
      </c>
      <c r="G166" s="41">
        <v>3.0</v>
      </c>
      <c r="H166" s="41" t="s">
        <v>22</v>
      </c>
      <c r="I166" s="42">
        <v>1.0</v>
      </c>
      <c r="J166" s="43"/>
      <c r="K166" s="42">
        <v>0.0</v>
      </c>
      <c r="L166" s="42">
        <v>0.0</v>
      </c>
      <c r="M166" s="42">
        <v>0.0</v>
      </c>
      <c r="N166" s="42">
        <v>0.0</v>
      </c>
      <c r="O166" s="46"/>
      <c r="P166" s="36"/>
      <c r="Q166" s="36"/>
    </row>
    <row r="167">
      <c r="A167" s="42">
        <v>16.7</v>
      </c>
      <c r="B167" s="41" t="s">
        <v>544</v>
      </c>
      <c r="C167" s="40" t="s">
        <v>29</v>
      </c>
      <c r="D167" s="40" t="s">
        <v>545</v>
      </c>
      <c r="E167" s="46"/>
      <c r="F167" s="41" t="s">
        <v>21</v>
      </c>
      <c r="G167" s="41">
        <v>3.0</v>
      </c>
      <c r="H167" s="41" t="s">
        <v>22</v>
      </c>
      <c r="I167" s="42">
        <v>1.0</v>
      </c>
      <c r="J167" s="43"/>
      <c r="K167" s="42">
        <v>0.0</v>
      </c>
      <c r="L167" s="42">
        <v>0.0</v>
      </c>
      <c r="M167" s="42">
        <v>0.0</v>
      </c>
      <c r="N167" s="42">
        <v>0.0</v>
      </c>
      <c r="O167" s="46"/>
      <c r="P167" s="36"/>
      <c r="Q167" s="36"/>
    </row>
    <row r="168">
      <c r="A168" s="42">
        <v>16.8</v>
      </c>
      <c r="B168" s="41" t="s">
        <v>503</v>
      </c>
      <c r="C168" s="40" t="s">
        <v>29</v>
      </c>
      <c r="D168" s="40" t="s">
        <v>504</v>
      </c>
      <c r="E168" s="46"/>
      <c r="F168" s="41" t="s">
        <v>21</v>
      </c>
      <c r="G168" s="41" t="s">
        <v>21</v>
      </c>
      <c r="H168" s="41" t="s">
        <v>22</v>
      </c>
      <c r="I168" s="42">
        <v>1.0</v>
      </c>
      <c r="J168" s="43"/>
      <c r="K168" s="42">
        <v>148.61</v>
      </c>
      <c r="L168" s="44">
        <v>5349.96</v>
      </c>
      <c r="M168" s="42">
        <v>0.0</v>
      </c>
      <c r="N168" s="44">
        <v>5349.96</v>
      </c>
      <c r="O168" s="46"/>
      <c r="P168" s="36"/>
      <c r="Q168" s="36"/>
    </row>
    <row r="169">
      <c r="A169" s="42">
        <v>16.9</v>
      </c>
      <c r="B169" s="41" t="s">
        <v>505</v>
      </c>
      <c r="C169" s="40" t="s">
        <v>18</v>
      </c>
      <c r="D169" s="40" t="s">
        <v>506</v>
      </c>
      <c r="E169" s="46"/>
      <c r="F169" s="41" t="s">
        <v>21</v>
      </c>
      <c r="G169" s="41">
        <v>3.0</v>
      </c>
      <c r="H169" s="41" t="s">
        <v>22</v>
      </c>
      <c r="I169" s="42">
        <v>1.0</v>
      </c>
      <c r="J169" s="43"/>
      <c r="K169" s="42">
        <v>30.65</v>
      </c>
      <c r="L169" s="44">
        <v>1103.4</v>
      </c>
      <c r="M169" s="42">
        <v>0.0</v>
      </c>
      <c r="N169" s="44">
        <v>1103.4</v>
      </c>
      <c r="O169" s="46"/>
      <c r="P169" s="36"/>
      <c r="Q169" s="36"/>
    </row>
    <row r="170">
      <c r="A170" s="42">
        <v>16.1</v>
      </c>
      <c r="B170" s="41" t="s">
        <v>507</v>
      </c>
      <c r="C170" s="40" t="s">
        <v>29</v>
      </c>
      <c r="D170" s="40" t="s">
        <v>508</v>
      </c>
      <c r="E170" s="46"/>
      <c r="F170" s="41" t="s">
        <v>21</v>
      </c>
      <c r="G170" s="41">
        <v>2.0</v>
      </c>
      <c r="H170" s="41" t="s">
        <v>22</v>
      </c>
      <c r="I170" s="42">
        <v>1.0</v>
      </c>
      <c r="J170" s="43"/>
      <c r="K170" s="42">
        <v>0.0</v>
      </c>
      <c r="L170" s="42">
        <v>0.0</v>
      </c>
      <c r="M170" s="42">
        <v>0.0</v>
      </c>
      <c r="N170" s="42">
        <v>0.0</v>
      </c>
      <c r="O170" s="46"/>
      <c r="P170" s="36"/>
      <c r="Q170" s="36"/>
    </row>
    <row r="171">
      <c r="A171" s="42">
        <v>16.11</v>
      </c>
      <c r="B171" s="41" t="s">
        <v>518</v>
      </c>
      <c r="C171" s="40" t="s">
        <v>29</v>
      </c>
      <c r="D171" s="40" t="s">
        <v>519</v>
      </c>
      <c r="E171" s="46"/>
      <c r="F171" s="41" t="s">
        <v>21</v>
      </c>
      <c r="G171" s="41">
        <v>2.0</v>
      </c>
      <c r="H171" s="41" t="s">
        <v>22</v>
      </c>
      <c r="I171" s="42">
        <v>1.0</v>
      </c>
      <c r="J171" s="43"/>
      <c r="K171" s="42">
        <v>0.0</v>
      </c>
      <c r="L171" s="42">
        <v>0.0</v>
      </c>
      <c r="M171" s="42">
        <v>0.0</v>
      </c>
      <c r="N171" s="42">
        <v>0.0</v>
      </c>
      <c r="O171" s="46"/>
      <c r="P171" s="36"/>
      <c r="Q171" s="36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50" t="s">
        <v>63</v>
      </c>
      <c r="N172" s="51">
        <v>6453.36</v>
      </c>
      <c r="O172" s="52"/>
      <c r="P172" s="36"/>
      <c r="Q172" s="36"/>
    </row>
    <row r="173">
      <c r="A173" s="39">
        <v>17.0</v>
      </c>
      <c r="B173" s="39" t="s">
        <v>581</v>
      </c>
      <c r="C173" s="40" t="s">
        <v>18</v>
      </c>
      <c r="D173" s="40" t="s">
        <v>582</v>
      </c>
      <c r="E173" s="40" t="s">
        <v>20</v>
      </c>
      <c r="F173" s="41" t="s">
        <v>21</v>
      </c>
      <c r="G173" s="41">
        <v>63.0</v>
      </c>
      <c r="H173" s="41" t="s">
        <v>22</v>
      </c>
      <c r="I173" s="42">
        <v>1.0</v>
      </c>
      <c r="J173" s="43"/>
      <c r="K173" s="44">
        <v>1489.45</v>
      </c>
      <c r="L173" s="44">
        <v>1489.45</v>
      </c>
      <c r="M173" s="42">
        <v>0.0</v>
      </c>
      <c r="N173" s="44">
        <v>1489.45</v>
      </c>
      <c r="O173" s="46"/>
      <c r="P173" s="36"/>
      <c r="Q173" s="36"/>
    </row>
    <row r="174">
      <c r="A174" s="42" t="s">
        <v>405</v>
      </c>
      <c r="B174" s="41" t="s">
        <v>583</v>
      </c>
      <c r="C174" s="40" t="s">
        <v>18</v>
      </c>
      <c r="D174" s="40" t="s">
        <v>584</v>
      </c>
      <c r="E174" s="46"/>
      <c r="F174" s="41">
        <v>36.0</v>
      </c>
      <c r="G174" s="41" t="s">
        <v>21</v>
      </c>
      <c r="H174" s="41" t="s">
        <v>22</v>
      </c>
      <c r="I174" s="42">
        <v>1.0</v>
      </c>
      <c r="J174" s="43"/>
      <c r="K174" s="42">
        <v>503.25</v>
      </c>
      <c r="L174" s="42">
        <v>503.25</v>
      </c>
      <c r="M174" s="42">
        <v>0.0</v>
      </c>
      <c r="N174" s="42">
        <v>503.25</v>
      </c>
      <c r="O174" s="40" t="s">
        <v>26</v>
      </c>
      <c r="P174" s="36"/>
      <c r="Q174" s="36"/>
    </row>
    <row r="175">
      <c r="A175" s="42">
        <v>17.1</v>
      </c>
      <c r="B175" s="41" t="s">
        <v>492</v>
      </c>
      <c r="C175" s="40" t="s">
        <v>18</v>
      </c>
      <c r="D175" s="40" t="s">
        <v>493</v>
      </c>
      <c r="E175" s="46"/>
      <c r="F175" s="41" t="s">
        <v>21</v>
      </c>
      <c r="G175" s="41">
        <v>14.0</v>
      </c>
      <c r="H175" s="41" t="s">
        <v>29</v>
      </c>
      <c r="I175" s="42">
        <v>1.0</v>
      </c>
      <c r="J175" s="43"/>
      <c r="K175" s="42">
        <v>0.0</v>
      </c>
      <c r="L175" s="42">
        <v>0.0</v>
      </c>
      <c r="M175" s="42">
        <v>0.0</v>
      </c>
      <c r="N175" s="42">
        <v>0.0</v>
      </c>
      <c r="O175" s="46"/>
      <c r="P175" s="36"/>
      <c r="Q175" s="36"/>
    </row>
    <row r="176">
      <c r="A176" s="42">
        <v>17.2</v>
      </c>
      <c r="B176" s="41" t="s">
        <v>494</v>
      </c>
      <c r="C176" s="40" t="s">
        <v>18</v>
      </c>
      <c r="D176" s="40" t="s">
        <v>495</v>
      </c>
      <c r="E176" s="46"/>
      <c r="F176" s="41" t="s">
        <v>21</v>
      </c>
      <c r="G176" s="41">
        <v>28.0</v>
      </c>
      <c r="H176" s="41" t="s">
        <v>29</v>
      </c>
      <c r="I176" s="42">
        <v>1.0</v>
      </c>
      <c r="J176" s="43"/>
      <c r="K176" s="42">
        <v>0.0</v>
      </c>
      <c r="L176" s="42">
        <v>0.0</v>
      </c>
      <c r="M176" s="42">
        <v>0.0</v>
      </c>
      <c r="N176" s="42">
        <v>0.0</v>
      </c>
      <c r="O176" s="46"/>
      <c r="P176" s="36"/>
      <c r="Q176" s="36"/>
    </row>
    <row r="177">
      <c r="A177" s="42">
        <v>17.3</v>
      </c>
      <c r="B177" s="41" t="s">
        <v>285</v>
      </c>
      <c r="C177" s="40" t="s">
        <v>18</v>
      </c>
      <c r="D177" s="40" t="s">
        <v>286</v>
      </c>
      <c r="E177" s="46"/>
      <c r="F177" s="41" t="s">
        <v>21</v>
      </c>
      <c r="G177" s="41">
        <v>14.0</v>
      </c>
      <c r="H177" s="41" t="s">
        <v>22</v>
      </c>
      <c r="I177" s="42">
        <v>1.0</v>
      </c>
      <c r="J177" s="43"/>
      <c r="K177" s="42">
        <v>0.0</v>
      </c>
      <c r="L177" s="42">
        <v>0.0</v>
      </c>
      <c r="M177" s="42">
        <v>0.0</v>
      </c>
      <c r="N177" s="42">
        <v>0.0</v>
      </c>
      <c r="O177" s="46"/>
      <c r="P177" s="36"/>
      <c r="Q177" s="36"/>
    </row>
    <row r="178">
      <c r="A178" s="42">
        <v>17.4</v>
      </c>
      <c r="B178" s="41" t="s">
        <v>496</v>
      </c>
      <c r="C178" s="40" t="s">
        <v>18</v>
      </c>
      <c r="D178" s="40" t="s">
        <v>497</v>
      </c>
      <c r="E178" s="46"/>
      <c r="F178" s="41" t="s">
        <v>21</v>
      </c>
      <c r="G178" s="41">
        <v>14.0</v>
      </c>
      <c r="H178" s="41" t="s">
        <v>22</v>
      </c>
      <c r="I178" s="42">
        <v>1.0</v>
      </c>
      <c r="J178" s="43"/>
      <c r="K178" s="42">
        <v>0.0</v>
      </c>
      <c r="L178" s="42">
        <v>0.0</v>
      </c>
      <c r="M178" s="42">
        <v>0.0</v>
      </c>
      <c r="N178" s="42">
        <v>0.0</v>
      </c>
      <c r="O178" s="46"/>
      <c r="P178" s="36"/>
      <c r="Q178" s="36"/>
    </row>
    <row r="179">
      <c r="A179" s="42">
        <v>17.5</v>
      </c>
      <c r="B179" s="41" t="s">
        <v>554</v>
      </c>
      <c r="C179" s="40" t="s">
        <v>18</v>
      </c>
      <c r="D179" s="40" t="s">
        <v>555</v>
      </c>
      <c r="E179" s="46"/>
      <c r="F179" s="41" t="s">
        <v>21</v>
      </c>
      <c r="G179" s="41">
        <v>28.0</v>
      </c>
      <c r="H179" s="41" t="s">
        <v>22</v>
      </c>
      <c r="I179" s="42">
        <v>1.0</v>
      </c>
      <c r="J179" s="43"/>
      <c r="K179" s="42">
        <v>0.0</v>
      </c>
      <c r="L179" s="42">
        <v>0.0</v>
      </c>
      <c r="M179" s="42">
        <v>0.0</v>
      </c>
      <c r="N179" s="42">
        <v>0.0</v>
      </c>
      <c r="O179" s="46"/>
      <c r="P179" s="36"/>
      <c r="Q179" s="36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50" t="s">
        <v>63</v>
      </c>
      <c r="N180" s="51">
        <v>1992.7</v>
      </c>
      <c r="O180" s="52"/>
      <c r="P180" s="36"/>
      <c r="Q180" s="36"/>
    </row>
    <row r="181">
      <c r="A181" s="56"/>
      <c r="B181" s="56"/>
      <c r="C181" s="38" t="s">
        <v>585</v>
      </c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</row>
    <row r="182">
      <c r="A182" s="39">
        <v>18.0</v>
      </c>
      <c r="B182" s="39" t="s">
        <v>501</v>
      </c>
      <c r="C182" s="40" t="s">
        <v>29</v>
      </c>
      <c r="D182" s="40" t="s">
        <v>502</v>
      </c>
      <c r="E182" s="40" t="s">
        <v>20</v>
      </c>
      <c r="F182" s="41" t="s">
        <v>21</v>
      </c>
      <c r="G182" s="41">
        <v>4.0</v>
      </c>
      <c r="H182" s="41" t="s">
        <v>22</v>
      </c>
      <c r="I182" s="42">
        <v>1.0</v>
      </c>
      <c r="J182" s="43"/>
      <c r="K182" s="42">
        <v>0.0</v>
      </c>
      <c r="L182" s="42">
        <v>0.0</v>
      </c>
      <c r="M182" s="42">
        <v>0.0</v>
      </c>
      <c r="N182" s="42">
        <v>0.0</v>
      </c>
      <c r="O182" s="46"/>
      <c r="P182" s="36"/>
      <c r="Q182" s="36"/>
    </row>
    <row r="183">
      <c r="A183" s="42">
        <v>18.1</v>
      </c>
      <c r="B183" s="41" t="s">
        <v>512</v>
      </c>
      <c r="C183" s="40" t="s">
        <v>29</v>
      </c>
      <c r="D183" s="40" t="s">
        <v>513</v>
      </c>
      <c r="E183" s="46"/>
      <c r="F183" s="41" t="s">
        <v>21</v>
      </c>
      <c r="G183" s="41">
        <v>3.0</v>
      </c>
      <c r="H183" s="41" t="s">
        <v>22</v>
      </c>
      <c r="I183" s="42">
        <v>1.0</v>
      </c>
      <c r="J183" s="43"/>
      <c r="K183" s="42">
        <v>0.0</v>
      </c>
      <c r="L183" s="42">
        <v>0.0</v>
      </c>
      <c r="M183" s="42">
        <v>0.0</v>
      </c>
      <c r="N183" s="42">
        <v>0.0</v>
      </c>
      <c r="O183" s="46"/>
      <c r="P183" s="36"/>
      <c r="Q183" s="36"/>
    </row>
    <row r="184">
      <c r="A184" s="42">
        <v>18.2</v>
      </c>
      <c r="B184" s="41" t="s">
        <v>520</v>
      </c>
      <c r="C184" s="40" t="s">
        <v>18</v>
      </c>
      <c r="D184" s="40" t="s">
        <v>521</v>
      </c>
      <c r="E184" s="46"/>
      <c r="F184" s="41" t="s">
        <v>21</v>
      </c>
      <c r="G184" s="41">
        <v>2.0</v>
      </c>
      <c r="H184" s="41" t="s">
        <v>22</v>
      </c>
      <c r="I184" s="42">
        <v>1.0</v>
      </c>
      <c r="J184" s="43"/>
      <c r="K184" s="42">
        <v>0.0</v>
      </c>
      <c r="L184" s="42">
        <v>0.0</v>
      </c>
      <c r="M184" s="42">
        <v>0.0</v>
      </c>
      <c r="N184" s="42">
        <v>0.0</v>
      </c>
      <c r="O184" s="46"/>
      <c r="P184" s="36"/>
      <c r="Q184" s="36"/>
    </row>
    <row r="185">
      <c r="A185" s="42">
        <v>18.3</v>
      </c>
      <c r="B185" s="41" t="s">
        <v>516</v>
      </c>
      <c r="C185" s="40" t="s">
        <v>29</v>
      </c>
      <c r="D185" s="40" t="s">
        <v>517</v>
      </c>
      <c r="E185" s="46"/>
      <c r="F185" s="41" t="s">
        <v>21</v>
      </c>
      <c r="G185" s="41">
        <v>3.0</v>
      </c>
      <c r="H185" s="41" t="s">
        <v>22</v>
      </c>
      <c r="I185" s="42">
        <v>1.0</v>
      </c>
      <c r="J185" s="43"/>
      <c r="K185" s="42">
        <v>0.0</v>
      </c>
      <c r="L185" s="42">
        <v>0.0</v>
      </c>
      <c r="M185" s="42">
        <v>0.0</v>
      </c>
      <c r="N185" s="42">
        <v>0.0</v>
      </c>
      <c r="O185" s="46"/>
      <c r="P185" s="36"/>
      <c r="Q185" s="36"/>
    </row>
    <row r="186">
      <c r="A186" s="42">
        <v>18.4</v>
      </c>
      <c r="B186" s="41" t="s">
        <v>509</v>
      </c>
      <c r="C186" s="40" t="s">
        <v>29</v>
      </c>
      <c r="D186" s="40" t="s">
        <v>510</v>
      </c>
      <c r="E186" s="46"/>
      <c r="F186" s="41" t="s">
        <v>21</v>
      </c>
      <c r="G186" s="41">
        <v>3.0</v>
      </c>
      <c r="H186" s="41" t="s">
        <v>22</v>
      </c>
      <c r="I186" s="42">
        <v>1.0</v>
      </c>
      <c r="J186" s="43"/>
      <c r="K186" s="42">
        <v>0.0</v>
      </c>
      <c r="L186" s="42">
        <v>0.0</v>
      </c>
      <c r="M186" s="42">
        <v>0.0</v>
      </c>
      <c r="N186" s="42">
        <v>0.0</v>
      </c>
      <c r="O186" s="46"/>
      <c r="P186" s="36"/>
      <c r="Q186" s="36"/>
    </row>
    <row r="187">
      <c r="A187" s="42">
        <v>18.5</v>
      </c>
      <c r="B187" s="41" t="s">
        <v>522</v>
      </c>
      <c r="C187" s="40" t="s">
        <v>18</v>
      </c>
      <c r="D187" s="40" t="s">
        <v>523</v>
      </c>
      <c r="E187" s="46"/>
      <c r="F187" s="41" t="s">
        <v>21</v>
      </c>
      <c r="G187" s="41">
        <v>2.0</v>
      </c>
      <c r="H187" s="41" t="s">
        <v>22</v>
      </c>
      <c r="I187" s="42">
        <v>1.0</v>
      </c>
      <c r="J187" s="43"/>
      <c r="K187" s="42">
        <v>0.0</v>
      </c>
      <c r="L187" s="42">
        <v>0.0</v>
      </c>
      <c r="M187" s="42">
        <v>0.0</v>
      </c>
      <c r="N187" s="42">
        <v>0.0</v>
      </c>
      <c r="O187" s="46"/>
      <c r="P187" s="36"/>
      <c r="Q187" s="36"/>
    </row>
    <row r="188">
      <c r="A188" s="42">
        <v>18.6</v>
      </c>
      <c r="B188" s="41" t="s">
        <v>511</v>
      </c>
      <c r="C188" s="40" t="s">
        <v>29</v>
      </c>
      <c r="D188" s="40" t="s">
        <v>431</v>
      </c>
      <c r="E188" s="46"/>
      <c r="F188" s="41" t="s">
        <v>21</v>
      </c>
      <c r="G188" s="41">
        <v>3.0</v>
      </c>
      <c r="H188" s="41" t="s">
        <v>22</v>
      </c>
      <c r="I188" s="42">
        <v>1.0</v>
      </c>
      <c r="J188" s="43"/>
      <c r="K188" s="42">
        <v>0.0</v>
      </c>
      <c r="L188" s="42">
        <v>0.0</v>
      </c>
      <c r="M188" s="42">
        <v>0.0</v>
      </c>
      <c r="N188" s="42">
        <v>0.0</v>
      </c>
      <c r="O188" s="46"/>
      <c r="P188" s="36"/>
      <c r="Q188" s="36"/>
    </row>
    <row r="189">
      <c r="A189" s="42">
        <v>18.7</v>
      </c>
      <c r="B189" s="41" t="s">
        <v>514</v>
      </c>
      <c r="C189" s="40" t="s">
        <v>29</v>
      </c>
      <c r="D189" s="40" t="s">
        <v>515</v>
      </c>
      <c r="E189" s="46"/>
      <c r="F189" s="41" t="s">
        <v>21</v>
      </c>
      <c r="G189" s="41">
        <v>3.0</v>
      </c>
      <c r="H189" s="41" t="s">
        <v>22</v>
      </c>
      <c r="I189" s="42">
        <v>1.0</v>
      </c>
      <c r="J189" s="43"/>
      <c r="K189" s="42">
        <v>0.0</v>
      </c>
      <c r="L189" s="42">
        <v>0.0</v>
      </c>
      <c r="M189" s="42">
        <v>0.0</v>
      </c>
      <c r="N189" s="42">
        <v>0.0</v>
      </c>
      <c r="O189" s="46"/>
      <c r="P189" s="36"/>
      <c r="Q189" s="36"/>
    </row>
    <row r="190">
      <c r="A190" s="42">
        <v>18.8</v>
      </c>
      <c r="B190" s="41" t="s">
        <v>503</v>
      </c>
      <c r="C190" s="40" t="s">
        <v>29</v>
      </c>
      <c r="D190" s="40" t="s">
        <v>504</v>
      </c>
      <c r="E190" s="46"/>
      <c r="F190" s="41" t="s">
        <v>21</v>
      </c>
      <c r="G190" s="41" t="s">
        <v>21</v>
      </c>
      <c r="H190" s="41" t="s">
        <v>22</v>
      </c>
      <c r="I190" s="42">
        <v>1.0</v>
      </c>
      <c r="J190" s="43"/>
      <c r="K190" s="42">
        <v>148.61</v>
      </c>
      <c r="L190" s="44">
        <v>5349.96</v>
      </c>
      <c r="M190" s="42">
        <v>0.0</v>
      </c>
      <c r="N190" s="44">
        <v>5349.96</v>
      </c>
      <c r="O190" s="46"/>
      <c r="P190" s="36"/>
      <c r="Q190" s="36"/>
    </row>
    <row r="191">
      <c r="A191" s="42">
        <v>18.9</v>
      </c>
      <c r="B191" s="41" t="s">
        <v>505</v>
      </c>
      <c r="C191" s="40" t="s">
        <v>18</v>
      </c>
      <c r="D191" s="40" t="s">
        <v>506</v>
      </c>
      <c r="E191" s="46"/>
      <c r="F191" s="41" t="s">
        <v>21</v>
      </c>
      <c r="G191" s="41">
        <v>3.0</v>
      </c>
      <c r="H191" s="41" t="s">
        <v>22</v>
      </c>
      <c r="I191" s="42">
        <v>1.0</v>
      </c>
      <c r="J191" s="43"/>
      <c r="K191" s="42">
        <v>30.65</v>
      </c>
      <c r="L191" s="44">
        <v>1103.4</v>
      </c>
      <c r="M191" s="42">
        <v>0.0</v>
      </c>
      <c r="N191" s="44">
        <v>1103.4</v>
      </c>
      <c r="O191" s="46"/>
      <c r="P191" s="36"/>
      <c r="Q191" s="36"/>
    </row>
    <row r="192">
      <c r="A192" s="42">
        <v>18.1</v>
      </c>
      <c r="B192" s="41" t="s">
        <v>507</v>
      </c>
      <c r="C192" s="40" t="s">
        <v>29</v>
      </c>
      <c r="D192" s="40" t="s">
        <v>508</v>
      </c>
      <c r="E192" s="46"/>
      <c r="F192" s="41" t="s">
        <v>21</v>
      </c>
      <c r="G192" s="41">
        <v>2.0</v>
      </c>
      <c r="H192" s="41" t="s">
        <v>22</v>
      </c>
      <c r="I192" s="42">
        <v>1.0</v>
      </c>
      <c r="J192" s="43"/>
      <c r="K192" s="42">
        <v>0.0</v>
      </c>
      <c r="L192" s="42">
        <v>0.0</v>
      </c>
      <c r="M192" s="42">
        <v>0.0</v>
      </c>
      <c r="N192" s="42">
        <v>0.0</v>
      </c>
      <c r="O192" s="46"/>
      <c r="P192" s="36"/>
      <c r="Q192" s="36"/>
    </row>
    <row r="193">
      <c r="A193" s="42">
        <v>18.11</v>
      </c>
      <c r="B193" s="41" t="s">
        <v>518</v>
      </c>
      <c r="C193" s="40" t="s">
        <v>29</v>
      </c>
      <c r="D193" s="40" t="s">
        <v>519</v>
      </c>
      <c r="E193" s="46"/>
      <c r="F193" s="41" t="s">
        <v>21</v>
      </c>
      <c r="G193" s="41">
        <v>2.0</v>
      </c>
      <c r="H193" s="41" t="s">
        <v>22</v>
      </c>
      <c r="I193" s="42">
        <v>1.0</v>
      </c>
      <c r="J193" s="43"/>
      <c r="K193" s="42">
        <v>0.0</v>
      </c>
      <c r="L193" s="42">
        <v>0.0</v>
      </c>
      <c r="M193" s="42">
        <v>0.0</v>
      </c>
      <c r="N193" s="42">
        <v>0.0</v>
      </c>
      <c r="O193" s="46"/>
      <c r="P193" s="36"/>
      <c r="Q193" s="36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50" t="s">
        <v>63</v>
      </c>
      <c r="N194" s="51">
        <v>6453.36</v>
      </c>
      <c r="O194" s="52"/>
      <c r="P194" s="36"/>
      <c r="Q194" s="36"/>
    </row>
    <row r="195">
      <c r="A195" s="39">
        <v>19.0</v>
      </c>
      <c r="B195" s="39" t="s">
        <v>586</v>
      </c>
      <c r="C195" s="40" t="s">
        <v>18</v>
      </c>
      <c r="D195" s="40" t="s">
        <v>587</v>
      </c>
      <c r="E195" s="40" t="s">
        <v>20</v>
      </c>
      <c r="F195" s="41" t="s">
        <v>21</v>
      </c>
      <c r="G195" s="41">
        <v>28.0</v>
      </c>
      <c r="H195" s="41" t="s">
        <v>22</v>
      </c>
      <c r="I195" s="42">
        <v>1.0</v>
      </c>
      <c r="J195" s="43"/>
      <c r="K195" s="44">
        <v>1656.08</v>
      </c>
      <c r="L195" s="44">
        <v>1656.08</v>
      </c>
      <c r="M195" s="42">
        <v>0.0</v>
      </c>
      <c r="N195" s="44">
        <v>1656.08</v>
      </c>
      <c r="O195" s="46"/>
      <c r="P195" s="36"/>
      <c r="Q195" s="36"/>
    </row>
    <row r="196">
      <c r="A196" s="42" t="s">
        <v>418</v>
      </c>
      <c r="B196" s="41" t="s">
        <v>588</v>
      </c>
      <c r="C196" s="40" t="s">
        <v>18</v>
      </c>
      <c r="D196" s="40" t="s">
        <v>538</v>
      </c>
      <c r="E196" s="46"/>
      <c r="F196" s="41">
        <v>36.0</v>
      </c>
      <c r="G196" s="41" t="s">
        <v>21</v>
      </c>
      <c r="H196" s="41" t="s">
        <v>22</v>
      </c>
      <c r="I196" s="42">
        <v>1.0</v>
      </c>
      <c r="J196" s="43"/>
      <c r="K196" s="42">
        <v>561.0</v>
      </c>
      <c r="L196" s="42">
        <v>561.0</v>
      </c>
      <c r="M196" s="42">
        <v>0.0</v>
      </c>
      <c r="N196" s="42">
        <v>561.0</v>
      </c>
      <c r="O196" s="40" t="s">
        <v>26</v>
      </c>
      <c r="P196" s="36"/>
      <c r="Q196" s="36"/>
    </row>
    <row r="197">
      <c r="A197" s="42">
        <v>19.1</v>
      </c>
      <c r="B197" s="41" t="s">
        <v>492</v>
      </c>
      <c r="C197" s="40" t="s">
        <v>18</v>
      </c>
      <c r="D197" s="40" t="s">
        <v>493</v>
      </c>
      <c r="E197" s="46"/>
      <c r="F197" s="41" t="s">
        <v>21</v>
      </c>
      <c r="G197" s="41">
        <v>14.0</v>
      </c>
      <c r="H197" s="41" t="s">
        <v>29</v>
      </c>
      <c r="I197" s="42">
        <v>1.0</v>
      </c>
      <c r="J197" s="43"/>
      <c r="K197" s="42">
        <v>0.0</v>
      </c>
      <c r="L197" s="42">
        <v>0.0</v>
      </c>
      <c r="M197" s="42">
        <v>0.0</v>
      </c>
      <c r="N197" s="42">
        <v>0.0</v>
      </c>
      <c r="O197" s="46"/>
      <c r="P197" s="36"/>
      <c r="Q197" s="36"/>
    </row>
    <row r="198">
      <c r="A198" s="42">
        <v>19.2</v>
      </c>
      <c r="B198" s="41" t="s">
        <v>539</v>
      </c>
      <c r="C198" s="40" t="s">
        <v>18</v>
      </c>
      <c r="D198" s="40" t="s">
        <v>540</v>
      </c>
      <c r="E198" s="46"/>
      <c r="F198" s="41" t="s">
        <v>21</v>
      </c>
      <c r="G198" s="41">
        <v>3.0</v>
      </c>
      <c r="H198" s="41" t="s">
        <v>29</v>
      </c>
      <c r="I198" s="42">
        <v>1.0</v>
      </c>
      <c r="J198" s="43"/>
      <c r="K198" s="42">
        <v>0.0</v>
      </c>
      <c r="L198" s="42">
        <v>0.0</v>
      </c>
      <c r="M198" s="42">
        <v>0.0</v>
      </c>
      <c r="N198" s="42">
        <v>0.0</v>
      </c>
      <c r="O198" s="46"/>
      <c r="P198" s="36"/>
      <c r="Q198" s="36"/>
    </row>
    <row r="199">
      <c r="A199" s="42">
        <v>19.3</v>
      </c>
      <c r="B199" s="41" t="s">
        <v>285</v>
      </c>
      <c r="C199" s="40" t="s">
        <v>18</v>
      </c>
      <c r="D199" s="40" t="s">
        <v>286</v>
      </c>
      <c r="E199" s="46"/>
      <c r="F199" s="41" t="s">
        <v>21</v>
      </c>
      <c r="G199" s="41">
        <v>14.0</v>
      </c>
      <c r="H199" s="41" t="s">
        <v>22</v>
      </c>
      <c r="I199" s="42">
        <v>1.0</v>
      </c>
      <c r="J199" s="43"/>
      <c r="K199" s="42">
        <v>0.0</v>
      </c>
      <c r="L199" s="42">
        <v>0.0</v>
      </c>
      <c r="M199" s="42">
        <v>0.0</v>
      </c>
      <c r="N199" s="42">
        <v>0.0</v>
      </c>
      <c r="O199" s="46"/>
      <c r="P199" s="36"/>
      <c r="Q199" s="36"/>
    </row>
    <row r="200">
      <c r="A200" s="42">
        <v>19.4</v>
      </c>
      <c r="B200" s="41" t="s">
        <v>554</v>
      </c>
      <c r="C200" s="40" t="s">
        <v>18</v>
      </c>
      <c r="D200" s="40" t="s">
        <v>555</v>
      </c>
      <c r="E200" s="46"/>
      <c r="F200" s="41" t="s">
        <v>21</v>
      </c>
      <c r="G200" s="41">
        <v>28.0</v>
      </c>
      <c r="H200" s="41" t="s">
        <v>22</v>
      </c>
      <c r="I200" s="42">
        <v>1.0</v>
      </c>
      <c r="J200" s="43"/>
      <c r="K200" s="42">
        <v>0.0</v>
      </c>
      <c r="L200" s="42">
        <v>0.0</v>
      </c>
      <c r="M200" s="42">
        <v>0.0</v>
      </c>
      <c r="N200" s="42">
        <v>0.0</v>
      </c>
      <c r="O200" s="46"/>
      <c r="P200" s="36"/>
      <c r="Q200" s="36"/>
    </row>
    <row r="201">
      <c r="A201" s="42">
        <v>19.5</v>
      </c>
      <c r="B201" s="41" t="s">
        <v>589</v>
      </c>
      <c r="C201" s="40" t="s">
        <v>18</v>
      </c>
      <c r="D201" s="40" t="s">
        <v>590</v>
      </c>
      <c r="E201" s="46"/>
      <c r="F201" s="41" t="s">
        <v>21</v>
      </c>
      <c r="G201" s="41">
        <v>28.0</v>
      </c>
      <c r="H201" s="41" t="s">
        <v>29</v>
      </c>
      <c r="I201" s="42">
        <v>1.0</v>
      </c>
      <c r="J201" s="43"/>
      <c r="K201" s="42">
        <v>0.0</v>
      </c>
      <c r="L201" s="42">
        <v>0.0</v>
      </c>
      <c r="M201" s="42">
        <v>0.0</v>
      </c>
      <c r="N201" s="42">
        <v>0.0</v>
      </c>
      <c r="O201" s="46"/>
      <c r="P201" s="36"/>
      <c r="Q201" s="36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50" t="s">
        <v>63</v>
      </c>
      <c r="N202" s="51">
        <v>2217.08</v>
      </c>
      <c r="O202" s="52"/>
      <c r="P202" s="36"/>
      <c r="Q202" s="36"/>
    </row>
    <row r="203">
      <c r="A203" s="56"/>
      <c r="B203" s="56"/>
      <c r="C203" s="38" t="s">
        <v>591</v>
      </c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</row>
    <row r="204">
      <c r="A204" s="39">
        <v>20.0</v>
      </c>
      <c r="B204" s="39" t="s">
        <v>501</v>
      </c>
      <c r="C204" s="40" t="s">
        <v>29</v>
      </c>
      <c r="D204" s="40" t="s">
        <v>502</v>
      </c>
      <c r="E204" s="40" t="s">
        <v>20</v>
      </c>
      <c r="F204" s="41" t="s">
        <v>21</v>
      </c>
      <c r="G204" s="41">
        <v>4.0</v>
      </c>
      <c r="H204" s="41" t="s">
        <v>22</v>
      </c>
      <c r="I204" s="42">
        <v>1.0</v>
      </c>
      <c r="J204" s="43"/>
      <c r="K204" s="42">
        <v>0.0</v>
      </c>
      <c r="L204" s="42">
        <v>0.0</v>
      </c>
      <c r="M204" s="42">
        <v>0.0</v>
      </c>
      <c r="N204" s="42">
        <v>0.0</v>
      </c>
      <c r="O204" s="46"/>
      <c r="P204" s="36"/>
      <c r="Q204" s="36"/>
    </row>
    <row r="205">
      <c r="A205" s="42">
        <v>20.1</v>
      </c>
      <c r="B205" s="41" t="s">
        <v>542</v>
      </c>
      <c r="C205" s="40" t="s">
        <v>29</v>
      </c>
      <c r="D205" s="40" t="s">
        <v>543</v>
      </c>
      <c r="E205" s="46"/>
      <c r="F205" s="41" t="s">
        <v>21</v>
      </c>
      <c r="G205" s="41">
        <v>3.0</v>
      </c>
      <c r="H205" s="41" t="s">
        <v>22</v>
      </c>
      <c r="I205" s="42">
        <v>1.0</v>
      </c>
      <c r="J205" s="43"/>
      <c r="K205" s="42">
        <v>0.0</v>
      </c>
      <c r="L205" s="42">
        <v>0.0</v>
      </c>
      <c r="M205" s="42">
        <v>0.0</v>
      </c>
      <c r="N205" s="42">
        <v>0.0</v>
      </c>
      <c r="O205" s="46"/>
      <c r="P205" s="36"/>
      <c r="Q205" s="36"/>
    </row>
    <row r="206">
      <c r="A206" s="42">
        <v>20.2</v>
      </c>
      <c r="B206" s="41" t="s">
        <v>520</v>
      </c>
      <c r="C206" s="40" t="s">
        <v>18</v>
      </c>
      <c r="D206" s="40" t="s">
        <v>521</v>
      </c>
      <c r="E206" s="46"/>
      <c r="F206" s="41" t="s">
        <v>21</v>
      </c>
      <c r="G206" s="41">
        <v>2.0</v>
      </c>
      <c r="H206" s="41" t="s">
        <v>22</v>
      </c>
      <c r="I206" s="42">
        <v>1.0</v>
      </c>
      <c r="J206" s="43"/>
      <c r="K206" s="42">
        <v>0.0</v>
      </c>
      <c r="L206" s="42">
        <v>0.0</v>
      </c>
      <c r="M206" s="42">
        <v>0.0</v>
      </c>
      <c r="N206" s="42">
        <v>0.0</v>
      </c>
      <c r="O206" s="46"/>
      <c r="P206" s="36"/>
      <c r="Q206" s="36"/>
    </row>
    <row r="207">
      <c r="A207" s="42">
        <v>20.3</v>
      </c>
      <c r="B207" s="41" t="s">
        <v>544</v>
      </c>
      <c r="C207" s="40" t="s">
        <v>29</v>
      </c>
      <c r="D207" s="40" t="s">
        <v>545</v>
      </c>
      <c r="E207" s="46"/>
      <c r="F207" s="41" t="s">
        <v>21</v>
      </c>
      <c r="G207" s="41">
        <v>3.0</v>
      </c>
      <c r="H207" s="41" t="s">
        <v>22</v>
      </c>
      <c r="I207" s="42">
        <v>1.0</v>
      </c>
      <c r="J207" s="43"/>
      <c r="K207" s="42">
        <v>0.0</v>
      </c>
      <c r="L207" s="42">
        <v>0.0</v>
      </c>
      <c r="M207" s="42">
        <v>0.0</v>
      </c>
      <c r="N207" s="42">
        <v>0.0</v>
      </c>
      <c r="O207" s="46"/>
      <c r="P207" s="36"/>
      <c r="Q207" s="36"/>
    </row>
    <row r="208">
      <c r="A208" s="42">
        <v>20.4</v>
      </c>
      <c r="B208" s="41" t="s">
        <v>503</v>
      </c>
      <c r="C208" s="40" t="s">
        <v>29</v>
      </c>
      <c r="D208" s="40" t="s">
        <v>504</v>
      </c>
      <c r="E208" s="46"/>
      <c r="F208" s="41" t="s">
        <v>21</v>
      </c>
      <c r="G208" s="41" t="s">
        <v>21</v>
      </c>
      <c r="H208" s="41" t="s">
        <v>22</v>
      </c>
      <c r="I208" s="42">
        <v>1.0</v>
      </c>
      <c r="J208" s="43"/>
      <c r="K208" s="42">
        <v>148.61</v>
      </c>
      <c r="L208" s="44">
        <v>5349.96</v>
      </c>
      <c r="M208" s="42">
        <v>0.0</v>
      </c>
      <c r="N208" s="44">
        <v>5349.96</v>
      </c>
      <c r="O208" s="46"/>
      <c r="P208" s="36"/>
      <c r="Q208" s="36"/>
    </row>
    <row r="209">
      <c r="A209" s="42">
        <v>20.5</v>
      </c>
      <c r="B209" s="41" t="s">
        <v>505</v>
      </c>
      <c r="C209" s="40" t="s">
        <v>18</v>
      </c>
      <c r="D209" s="40" t="s">
        <v>506</v>
      </c>
      <c r="E209" s="46"/>
      <c r="F209" s="41" t="s">
        <v>21</v>
      </c>
      <c r="G209" s="41">
        <v>3.0</v>
      </c>
      <c r="H209" s="41" t="s">
        <v>22</v>
      </c>
      <c r="I209" s="42">
        <v>1.0</v>
      </c>
      <c r="J209" s="43"/>
      <c r="K209" s="42">
        <v>30.65</v>
      </c>
      <c r="L209" s="44">
        <v>1103.4</v>
      </c>
      <c r="M209" s="42">
        <v>0.0</v>
      </c>
      <c r="N209" s="44">
        <v>1103.4</v>
      </c>
      <c r="O209" s="46"/>
      <c r="P209" s="36"/>
      <c r="Q209" s="36"/>
    </row>
    <row r="210">
      <c r="A210" s="42">
        <v>20.6</v>
      </c>
      <c r="B210" s="41" t="s">
        <v>507</v>
      </c>
      <c r="C210" s="40" t="s">
        <v>29</v>
      </c>
      <c r="D210" s="40" t="s">
        <v>508</v>
      </c>
      <c r="E210" s="46"/>
      <c r="F210" s="41" t="s">
        <v>21</v>
      </c>
      <c r="G210" s="41">
        <v>2.0</v>
      </c>
      <c r="H210" s="41" t="s">
        <v>22</v>
      </c>
      <c r="I210" s="42">
        <v>1.0</v>
      </c>
      <c r="J210" s="43"/>
      <c r="K210" s="42">
        <v>0.0</v>
      </c>
      <c r="L210" s="42">
        <v>0.0</v>
      </c>
      <c r="M210" s="42">
        <v>0.0</v>
      </c>
      <c r="N210" s="42">
        <v>0.0</v>
      </c>
      <c r="O210" s="46"/>
      <c r="P210" s="36"/>
      <c r="Q210" s="36"/>
    </row>
    <row r="211">
      <c r="A211" s="42">
        <v>20.7</v>
      </c>
      <c r="B211" s="41" t="s">
        <v>546</v>
      </c>
      <c r="C211" s="40" t="s">
        <v>29</v>
      </c>
      <c r="D211" s="40" t="s">
        <v>547</v>
      </c>
      <c r="E211" s="46"/>
      <c r="F211" s="41" t="s">
        <v>21</v>
      </c>
      <c r="G211" s="41">
        <v>3.0</v>
      </c>
      <c r="H211" s="41" t="s">
        <v>22</v>
      </c>
      <c r="I211" s="42">
        <v>1.0</v>
      </c>
      <c r="J211" s="43"/>
      <c r="K211" s="42">
        <v>0.0</v>
      </c>
      <c r="L211" s="42">
        <v>0.0</v>
      </c>
      <c r="M211" s="42">
        <v>0.0</v>
      </c>
      <c r="N211" s="42">
        <v>0.0</v>
      </c>
      <c r="O211" s="46"/>
      <c r="P211" s="36"/>
      <c r="Q211" s="36"/>
    </row>
    <row r="212">
      <c r="A212" s="42">
        <v>20.8</v>
      </c>
      <c r="B212" s="41" t="s">
        <v>518</v>
      </c>
      <c r="C212" s="40" t="s">
        <v>29</v>
      </c>
      <c r="D212" s="40" t="s">
        <v>519</v>
      </c>
      <c r="E212" s="46"/>
      <c r="F212" s="41" t="s">
        <v>21</v>
      </c>
      <c r="G212" s="41">
        <v>2.0</v>
      </c>
      <c r="H212" s="41" t="s">
        <v>22</v>
      </c>
      <c r="I212" s="42">
        <v>1.0</v>
      </c>
      <c r="J212" s="43"/>
      <c r="K212" s="42">
        <v>0.0</v>
      </c>
      <c r="L212" s="42">
        <v>0.0</v>
      </c>
      <c r="M212" s="42">
        <v>0.0</v>
      </c>
      <c r="N212" s="42">
        <v>0.0</v>
      </c>
      <c r="O212" s="46"/>
      <c r="P212" s="36"/>
      <c r="Q212" s="36"/>
    </row>
    <row r="213">
      <c r="A213" s="42">
        <v>20.9</v>
      </c>
      <c r="B213" s="41" t="s">
        <v>509</v>
      </c>
      <c r="C213" s="40" t="s">
        <v>29</v>
      </c>
      <c r="D213" s="40" t="s">
        <v>510</v>
      </c>
      <c r="E213" s="46"/>
      <c r="F213" s="41" t="s">
        <v>21</v>
      </c>
      <c r="G213" s="41">
        <v>3.0</v>
      </c>
      <c r="H213" s="41" t="s">
        <v>22</v>
      </c>
      <c r="I213" s="42">
        <v>1.0</v>
      </c>
      <c r="J213" s="43"/>
      <c r="K213" s="42">
        <v>0.0</v>
      </c>
      <c r="L213" s="42">
        <v>0.0</v>
      </c>
      <c r="M213" s="42">
        <v>0.0</v>
      </c>
      <c r="N213" s="42">
        <v>0.0</v>
      </c>
      <c r="O213" s="46"/>
      <c r="P213" s="36"/>
      <c r="Q213" s="36"/>
    </row>
    <row r="214">
      <c r="A214" s="42">
        <v>20.1</v>
      </c>
      <c r="B214" s="41" t="s">
        <v>522</v>
      </c>
      <c r="C214" s="40" t="s">
        <v>18</v>
      </c>
      <c r="D214" s="40" t="s">
        <v>523</v>
      </c>
      <c r="E214" s="46"/>
      <c r="F214" s="41" t="s">
        <v>21</v>
      </c>
      <c r="G214" s="41">
        <v>2.0</v>
      </c>
      <c r="H214" s="41" t="s">
        <v>22</v>
      </c>
      <c r="I214" s="42">
        <v>1.0</v>
      </c>
      <c r="J214" s="43"/>
      <c r="K214" s="42">
        <v>0.0</v>
      </c>
      <c r="L214" s="42">
        <v>0.0</v>
      </c>
      <c r="M214" s="42">
        <v>0.0</v>
      </c>
      <c r="N214" s="42">
        <v>0.0</v>
      </c>
      <c r="O214" s="46"/>
      <c r="P214" s="36"/>
      <c r="Q214" s="36"/>
    </row>
    <row r="215">
      <c r="A215" s="42">
        <v>20.11</v>
      </c>
      <c r="B215" s="41" t="s">
        <v>511</v>
      </c>
      <c r="C215" s="40" t="s">
        <v>29</v>
      </c>
      <c r="D215" s="40" t="s">
        <v>431</v>
      </c>
      <c r="E215" s="46"/>
      <c r="F215" s="41" t="s">
        <v>21</v>
      </c>
      <c r="G215" s="41">
        <v>3.0</v>
      </c>
      <c r="H215" s="41" t="s">
        <v>22</v>
      </c>
      <c r="I215" s="42">
        <v>1.0</v>
      </c>
      <c r="J215" s="43"/>
      <c r="K215" s="42">
        <v>0.0</v>
      </c>
      <c r="L215" s="42">
        <v>0.0</v>
      </c>
      <c r="M215" s="42">
        <v>0.0</v>
      </c>
      <c r="N215" s="42">
        <v>0.0</v>
      </c>
      <c r="O215" s="46"/>
      <c r="P215" s="36"/>
      <c r="Q215" s="36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50" t="s">
        <v>63</v>
      </c>
      <c r="N216" s="51">
        <v>6453.36</v>
      </c>
      <c r="O216" s="52"/>
      <c r="P216" s="36"/>
      <c r="Q216" s="36"/>
    </row>
    <row r="217">
      <c r="A217" s="39">
        <v>21.0</v>
      </c>
      <c r="B217" s="39" t="s">
        <v>592</v>
      </c>
      <c r="C217" s="40" t="s">
        <v>18</v>
      </c>
      <c r="D217" s="40" t="s">
        <v>593</v>
      </c>
      <c r="E217" s="40" t="s">
        <v>20</v>
      </c>
      <c r="F217" s="41" t="s">
        <v>21</v>
      </c>
      <c r="G217" s="41">
        <v>28.0</v>
      </c>
      <c r="H217" s="41" t="s">
        <v>22</v>
      </c>
      <c r="I217" s="42">
        <v>1.0</v>
      </c>
      <c r="J217" s="43"/>
      <c r="K217" s="44">
        <v>2487.58</v>
      </c>
      <c r="L217" s="44">
        <v>2487.58</v>
      </c>
      <c r="M217" s="42">
        <v>0.0</v>
      </c>
      <c r="N217" s="44">
        <v>2487.58</v>
      </c>
      <c r="O217" s="46"/>
      <c r="P217" s="36"/>
      <c r="Q217" s="36"/>
    </row>
    <row r="218">
      <c r="A218" s="42" t="s">
        <v>594</v>
      </c>
      <c r="B218" s="41" t="s">
        <v>595</v>
      </c>
      <c r="C218" s="40" t="s">
        <v>18</v>
      </c>
      <c r="D218" s="40" t="s">
        <v>596</v>
      </c>
      <c r="E218" s="46"/>
      <c r="F218" s="41">
        <v>36.0</v>
      </c>
      <c r="G218" s="41" t="s">
        <v>21</v>
      </c>
      <c r="H218" s="41" t="s">
        <v>22</v>
      </c>
      <c r="I218" s="42">
        <v>1.0</v>
      </c>
      <c r="J218" s="43"/>
      <c r="K218" s="42">
        <v>845.64</v>
      </c>
      <c r="L218" s="42">
        <v>845.64</v>
      </c>
      <c r="M218" s="42">
        <v>0.0</v>
      </c>
      <c r="N218" s="42">
        <v>845.64</v>
      </c>
      <c r="O218" s="40" t="s">
        <v>26</v>
      </c>
      <c r="P218" s="36"/>
      <c r="Q218" s="36"/>
    </row>
    <row r="219">
      <c r="A219" s="42">
        <v>21.1</v>
      </c>
      <c r="B219" s="41" t="s">
        <v>597</v>
      </c>
      <c r="C219" s="40" t="s">
        <v>18</v>
      </c>
      <c r="D219" s="40" t="s">
        <v>598</v>
      </c>
      <c r="E219" s="46"/>
      <c r="F219" s="41" t="s">
        <v>21</v>
      </c>
      <c r="G219" s="41">
        <v>28.0</v>
      </c>
      <c r="H219" s="41" t="s">
        <v>29</v>
      </c>
      <c r="I219" s="42">
        <v>1.0</v>
      </c>
      <c r="J219" s="43"/>
      <c r="K219" s="42">
        <v>0.0</v>
      </c>
      <c r="L219" s="42">
        <v>0.0</v>
      </c>
      <c r="M219" s="42">
        <v>0.0</v>
      </c>
      <c r="N219" s="42">
        <v>0.0</v>
      </c>
      <c r="O219" s="46"/>
      <c r="P219" s="36"/>
      <c r="Q219" s="36"/>
    </row>
    <row r="220">
      <c r="A220" s="42">
        <v>21.2</v>
      </c>
      <c r="B220" s="41" t="s">
        <v>492</v>
      </c>
      <c r="C220" s="40" t="s">
        <v>18</v>
      </c>
      <c r="D220" s="40" t="s">
        <v>493</v>
      </c>
      <c r="E220" s="46"/>
      <c r="F220" s="41" t="s">
        <v>21</v>
      </c>
      <c r="G220" s="41">
        <v>14.0</v>
      </c>
      <c r="H220" s="41" t="s">
        <v>29</v>
      </c>
      <c r="I220" s="42">
        <v>1.0</v>
      </c>
      <c r="J220" s="43"/>
      <c r="K220" s="42">
        <v>0.0</v>
      </c>
      <c r="L220" s="42">
        <v>0.0</v>
      </c>
      <c r="M220" s="42">
        <v>0.0</v>
      </c>
      <c r="N220" s="42">
        <v>0.0</v>
      </c>
      <c r="O220" s="46"/>
      <c r="P220" s="36"/>
      <c r="Q220" s="36"/>
    </row>
    <row r="221">
      <c r="A221" s="42">
        <v>21.3</v>
      </c>
      <c r="B221" s="41" t="s">
        <v>599</v>
      </c>
      <c r="C221" s="40" t="s">
        <v>18</v>
      </c>
      <c r="D221" s="40" t="s">
        <v>600</v>
      </c>
      <c r="E221" s="46"/>
      <c r="F221" s="41" t="s">
        <v>21</v>
      </c>
      <c r="G221" s="41">
        <v>3.0</v>
      </c>
      <c r="H221" s="41" t="s">
        <v>29</v>
      </c>
      <c r="I221" s="42">
        <v>1.0</v>
      </c>
      <c r="J221" s="43"/>
      <c r="K221" s="42">
        <v>0.0</v>
      </c>
      <c r="L221" s="42">
        <v>0.0</v>
      </c>
      <c r="M221" s="42">
        <v>0.0</v>
      </c>
      <c r="N221" s="42">
        <v>0.0</v>
      </c>
      <c r="O221" s="46"/>
      <c r="P221" s="36"/>
      <c r="Q221" s="36"/>
    </row>
    <row r="222">
      <c r="A222" s="42">
        <v>21.4</v>
      </c>
      <c r="B222" s="41" t="s">
        <v>285</v>
      </c>
      <c r="C222" s="40" t="s">
        <v>18</v>
      </c>
      <c r="D222" s="40" t="s">
        <v>286</v>
      </c>
      <c r="E222" s="46"/>
      <c r="F222" s="41" t="s">
        <v>21</v>
      </c>
      <c r="G222" s="41">
        <v>14.0</v>
      </c>
      <c r="H222" s="41" t="s">
        <v>22</v>
      </c>
      <c r="I222" s="42">
        <v>1.0</v>
      </c>
      <c r="J222" s="43"/>
      <c r="K222" s="42">
        <v>0.0</v>
      </c>
      <c r="L222" s="42">
        <v>0.0</v>
      </c>
      <c r="M222" s="42">
        <v>0.0</v>
      </c>
      <c r="N222" s="42">
        <v>0.0</v>
      </c>
      <c r="O222" s="46"/>
      <c r="P222" s="36"/>
      <c r="Q222" s="36"/>
    </row>
    <row r="223">
      <c r="A223" s="42">
        <v>21.5</v>
      </c>
      <c r="B223" s="41" t="s">
        <v>554</v>
      </c>
      <c r="C223" s="40" t="s">
        <v>18</v>
      </c>
      <c r="D223" s="40" t="s">
        <v>555</v>
      </c>
      <c r="E223" s="46"/>
      <c r="F223" s="41" t="s">
        <v>21</v>
      </c>
      <c r="G223" s="41">
        <v>28.0</v>
      </c>
      <c r="H223" s="41" t="s">
        <v>22</v>
      </c>
      <c r="I223" s="42">
        <v>1.0</v>
      </c>
      <c r="J223" s="43"/>
      <c r="K223" s="42">
        <v>0.0</v>
      </c>
      <c r="L223" s="42">
        <v>0.0</v>
      </c>
      <c r="M223" s="42">
        <v>0.0</v>
      </c>
      <c r="N223" s="42">
        <v>0.0</v>
      </c>
      <c r="O223" s="46"/>
      <c r="P223" s="36"/>
      <c r="Q223" s="36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50" t="s">
        <v>63</v>
      </c>
      <c r="N224" s="51">
        <v>3333.22</v>
      </c>
      <c r="O224" s="52"/>
      <c r="P224" s="36"/>
      <c r="Q224" s="36"/>
    </row>
    <row r="225">
      <c r="A225" s="56"/>
      <c r="B225" s="56"/>
      <c r="C225" s="38" t="s">
        <v>601</v>
      </c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</row>
    <row r="226">
      <c r="A226" s="39">
        <v>22.0</v>
      </c>
      <c r="B226" s="39" t="s">
        <v>501</v>
      </c>
      <c r="C226" s="40" t="s">
        <v>29</v>
      </c>
      <c r="D226" s="40" t="s">
        <v>502</v>
      </c>
      <c r="E226" s="40" t="s">
        <v>20</v>
      </c>
      <c r="F226" s="41" t="s">
        <v>21</v>
      </c>
      <c r="G226" s="41">
        <v>4.0</v>
      </c>
      <c r="H226" s="41" t="s">
        <v>22</v>
      </c>
      <c r="I226" s="42">
        <v>1.0</v>
      </c>
      <c r="J226" s="43"/>
      <c r="K226" s="42">
        <v>0.0</v>
      </c>
      <c r="L226" s="42">
        <v>0.0</v>
      </c>
      <c r="M226" s="42">
        <v>0.0</v>
      </c>
      <c r="N226" s="42">
        <v>0.0</v>
      </c>
      <c r="O226" s="46"/>
      <c r="P226" s="36"/>
      <c r="Q226" s="36"/>
    </row>
    <row r="227">
      <c r="A227" s="42">
        <v>22.1</v>
      </c>
      <c r="B227" s="41" t="s">
        <v>520</v>
      </c>
      <c r="C227" s="40" t="s">
        <v>18</v>
      </c>
      <c r="D227" s="40" t="s">
        <v>521</v>
      </c>
      <c r="E227" s="46"/>
      <c r="F227" s="41" t="s">
        <v>21</v>
      </c>
      <c r="G227" s="41">
        <v>2.0</v>
      </c>
      <c r="H227" s="41" t="s">
        <v>22</v>
      </c>
      <c r="I227" s="42">
        <v>1.0</v>
      </c>
      <c r="J227" s="43"/>
      <c r="K227" s="42">
        <v>0.0</v>
      </c>
      <c r="L227" s="42">
        <v>0.0</v>
      </c>
      <c r="M227" s="42">
        <v>0.0</v>
      </c>
      <c r="N227" s="42">
        <v>0.0</v>
      </c>
      <c r="O227" s="46"/>
      <c r="P227" s="36"/>
      <c r="Q227" s="36"/>
    </row>
    <row r="228">
      <c r="A228" s="42">
        <v>22.2</v>
      </c>
      <c r="B228" s="41" t="s">
        <v>503</v>
      </c>
      <c r="C228" s="40" t="s">
        <v>29</v>
      </c>
      <c r="D228" s="40" t="s">
        <v>504</v>
      </c>
      <c r="E228" s="46"/>
      <c r="F228" s="41" t="s">
        <v>21</v>
      </c>
      <c r="G228" s="41" t="s">
        <v>21</v>
      </c>
      <c r="H228" s="41" t="s">
        <v>22</v>
      </c>
      <c r="I228" s="42">
        <v>1.0</v>
      </c>
      <c r="J228" s="43"/>
      <c r="K228" s="42">
        <v>148.61</v>
      </c>
      <c r="L228" s="44">
        <v>5349.96</v>
      </c>
      <c r="M228" s="42">
        <v>0.0</v>
      </c>
      <c r="N228" s="44">
        <v>5349.96</v>
      </c>
      <c r="O228" s="46"/>
      <c r="P228" s="36"/>
      <c r="Q228" s="36"/>
    </row>
    <row r="229">
      <c r="A229" s="42">
        <v>22.3</v>
      </c>
      <c r="B229" s="41" t="s">
        <v>505</v>
      </c>
      <c r="C229" s="40" t="s">
        <v>18</v>
      </c>
      <c r="D229" s="40" t="s">
        <v>506</v>
      </c>
      <c r="E229" s="46"/>
      <c r="F229" s="41" t="s">
        <v>21</v>
      </c>
      <c r="G229" s="41">
        <v>3.0</v>
      </c>
      <c r="H229" s="41" t="s">
        <v>22</v>
      </c>
      <c r="I229" s="42">
        <v>1.0</v>
      </c>
      <c r="J229" s="43"/>
      <c r="K229" s="42">
        <v>30.65</v>
      </c>
      <c r="L229" s="44">
        <v>1103.4</v>
      </c>
      <c r="M229" s="42">
        <v>0.0</v>
      </c>
      <c r="N229" s="44">
        <v>1103.4</v>
      </c>
      <c r="O229" s="46"/>
      <c r="P229" s="36"/>
      <c r="Q229" s="36"/>
    </row>
    <row r="230">
      <c r="A230" s="42">
        <v>22.4</v>
      </c>
      <c r="B230" s="41" t="s">
        <v>507</v>
      </c>
      <c r="C230" s="40" t="s">
        <v>29</v>
      </c>
      <c r="D230" s="40" t="s">
        <v>508</v>
      </c>
      <c r="E230" s="46"/>
      <c r="F230" s="41" t="s">
        <v>21</v>
      </c>
      <c r="G230" s="41">
        <v>2.0</v>
      </c>
      <c r="H230" s="41" t="s">
        <v>22</v>
      </c>
      <c r="I230" s="42">
        <v>1.0</v>
      </c>
      <c r="J230" s="43"/>
      <c r="K230" s="42">
        <v>0.0</v>
      </c>
      <c r="L230" s="42">
        <v>0.0</v>
      </c>
      <c r="M230" s="42">
        <v>0.0</v>
      </c>
      <c r="N230" s="42">
        <v>0.0</v>
      </c>
      <c r="O230" s="46"/>
      <c r="P230" s="36"/>
      <c r="Q230" s="36"/>
    </row>
    <row r="231">
      <c r="A231" s="42">
        <v>22.5</v>
      </c>
      <c r="B231" s="41" t="s">
        <v>518</v>
      </c>
      <c r="C231" s="40" t="s">
        <v>29</v>
      </c>
      <c r="D231" s="40" t="s">
        <v>519</v>
      </c>
      <c r="E231" s="46"/>
      <c r="F231" s="41" t="s">
        <v>21</v>
      </c>
      <c r="G231" s="41">
        <v>2.0</v>
      </c>
      <c r="H231" s="41" t="s">
        <v>22</v>
      </c>
      <c r="I231" s="42">
        <v>1.0</v>
      </c>
      <c r="J231" s="43"/>
      <c r="K231" s="42">
        <v>0.0</v>
      </c>
      <c r="L231" s="42">
        <v>0.0</v>
      </c>
      <c r="M231" s="42">
        <v>0.0</v>
      </c>
      <c r="N231" s="42">
        <v>0.0</v>
      </c>
      <c r="O231" s="46"/>
      <c r="P231" s="36"/>
      <c r="Q231" s="36"/>
    </row>
    <row r="232">
      <c r="A232" s="42">
        <v>22.6</v>
      </c>
      <c r="B232" s="41" t="s">
        <v>509</v>
      </c>
      <c r="C232" s="40" t="s">
        <v>29</v>
      </c>
      <c r="D232" s="40" t="s">
        <v>510</v>
      </c>
      <c r="E232" s="46"/>
      <c r="F232" s="41" t="s">
        <v>21</v>
      </c>
      <c r="G232" s="41">
        <v>3.0</v>
      </c>
      <c r="H232" s="41" t="s">
        <v>22</v>
      </c>
      <c r="I232" s="42">
        <v>1.0</v>
      </c>
      <c r="J232" s="43"/>
      <c r="K232" s="42">
        <v>0.0</v>
      </c>
      <c r="L232" s="42">
        <v>0.0</v>
      </c>
      <c r="M232" s="42">
        <v>0.0</v>
      </c>
      <c r="N232" s="42">
        <v>0.0</v>
      </c>
      <c r="O232" s="46"/>
      <c r="P232" s="36"/>
      <c r="Q232" s="36"/>
    </row>
    <row r="233">
      <c r="A233" s="42">
        <v>22.7</v>
      </c>
      <c r="B233" s="41" t="s">
        <v>522</v>
      </c>
      <c r="C233" s="40" t="s">
        <v>18</v>
      </c>
      <c r="D233" s="40" t="s">
        <v>523</v>
      </c>
      <c r="E233" s="46"/>
      <c r="F233" s="41" t="s">
        <v>21</v>
      </c>
      <c r="G233" s="41">
        <v>2.0</v>
      </c>
      <c r="H233" s="41" t="s">
        <v>22</v>
      </c>
      <c r="I233" s="42">
        <v>1.0</v>
      </c>
      <c r="J233" s="43"/>
      <c r="K233" s="42">
        <v>0.0</v>
      </c>
      <c r="L233" s="42">
        <v>0.0</v>
      </c>
      <c r="M233" s="42">
        <v>0.0</v>
      </c>
      <c r="N233" s="42">
        <v>0.0</v>
      </c>
      <c r="O233" s="46"/>
      <c r="P233" s="36"/>
      <c r="Q233" s="36"/>
    </row>
    <row r="234">
      <c r="A234" s="42">
        <v>22.8</v>
      </c>
      <c r="B234" s="41" t="s">
        <v>511</v>
      </c>
      <c r="C234" s="40" t="s">
        <v>29</v>
      </c>
      <c r="D234" s="40" t="s">
        <v>431</v>
      </c>
      <c r="E234" s="46"/>
      <c r="F234" s="41" t="s">
        <v>21</v>
      </c>
      <c r="G234" s="41">
        <v>3.0</v>
      </c>
      <c r="H234" s="41" t="s">
        <v>22</v>
      </c>
      <c r="I234" s="42">
        <v>1.0</v>
      </c>
      <c r="J234" s="43"/>
      <c r="K234" s="42">
        <v>0.0</v>
      </c>
      <c r="L234" s="42">
        <v>0.0</v>
      </c>
      <c r="M234" s="42">
        <v>0.0</v>
      </c>
      <c r="N234" s="42">
        <v>0.0</v>
      </c>
      <c r="O234" s="46"/>
      <c r="P234" s="36"/>
      <c r="Q234" s="36"/>
    </row>
    <row r="235">
      <c r="A235" s="42">
        <v>22.9</v>
      </c>
      <c r="B235" s="41" t="s">
        <v>512</v>
      </c>
      <c r="C235" s="40" t="s">
        <v>29</v>
      </c>
      <c r="D235" s="40" t="s">
        <v>513</v>
      </c>
      <c r="E235" s="46"/>
      <c r="F235" s="41" t="s">
        <v>21</v>
      </c>
      <c r="G235" s="41">
        <v>3.0</v>
      </c>
      <c r="H235" s="41" t="s">
        <v>22</v>
      </c>
      <c r="I235" s="42">
        <v>1.0</v>
      </c>
      <c r="J235" s="43"/>
      <c r="K235" s="42">
        <v>0.0</v>
      </c>
      <c r="L235" s="42">
        <v>0.0</v>
      </c>
      <c r="M235" s="42">
        <v>0.0</v>
      </c>
      <c r="N235" s="42">
        <v>0.0</v>
      </c>
      <c r="O235" s="46"/>
      <c r="P235" s="36"/>
      <c r="Q235" s="36"/>
    </row>
    <row r="236">
      <c r="A236" s="42">
        <v>22.1</v>
      </c>
      <c r="B236" s="41" t="s">
        <v>514</v>
      </c>
      <c r="C236" s="40" t="s">
        <v>29</v>
      </c>
      <c r="D236" s="40" t="s">
        <v>515</v>
      </c>
      <c r="E236" s="46"/>
      <c r="F236" s="41" t="s">
        <v>21</v>
      </c>
      <c r="G236" s="41">
        <v>3.0</v>
      </c>
      <c r="H236" s="41" t="s">
        <v>22</v>
      </c>
      <c r="I236" s="42">
        <v>1.0</v>
      </c>
      <c r="J236" s="43"/>
      <c r="K236" s="42">
        <v>0.0</v>
      </c>
      <c r="L236" s="42">
        <v>0.0</v>
      </c>
      <c r="M236" s="42">
        <v>0.0</v>
      </c>
      <c r="N236" s="42">
        <v>0.0</v>
      </c>
      <c r="O236" s="46"/>
      <c r="P236" s="36"/>
      <c r="Q236" s="36"/>
    </row>
    <row r="237">
      <c r="A237" s="42">
        <v>22.11</v>
      </c>
      <c r="B237" s="41" t="s">
        <v>516</v>
      </c>
      <c r="C237" s="40" t="s">
        <v>29</v>
      </c>
      <c r="D237" s="40" t="s">
        <v>517</v>
      </c>
      <c r="E237" s="46"/>
      <c r="F237" s="41" t="s">
        <v>21</v>
      </c>
      <c r="G237" s="41">
        <v>3.0</v>
      </c>
      <c r="H237" s="41" t="s">
        <v>22</v>
      </c>
      <c r="I237" s="42">
        <v>1.0</v>
      </c>
      <c r="J237" s="43"/>
      <c r="K237" s="42">
        <v>0.0</v>
      </c>
      <c r="L237" s="42">
        <v>0.0</v>
      </c>
      <c r="M237" s="42">
        <v>0.0</v>
      </c>
      <c r="N237" s="42">
        <v>0.0</v>
      </c>
      <c r="O237" s="46"/>
      <c r="P237" s="36"/>
      <c r="Q237" s="36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50" t="s">
        <v>63</v>
      </c>
      <c r="N238" s="51">
        <v>6453.36</v>
      </c>
      <c r="O238" s="52"/>
      <c r="P238" s="36"/>
      <c r="Q238" s="36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50" t="s">
        <v>233</v>
      </c>
      <c r="N239" s="51">
        <v>100482.32</v>
      </c>
      <c r="O239" s="52"/>
      <c r="P239" s="36"/>
      <c r="Q239" s="36"/>
    </row>
  </sheetData>
  <mergeCells count="11">
    <mergeCell ref="C159:Q159"/>
    <mergeCell ref="C181:Q181"/>
    <mergeCell ref="C203:Q203"/>
    <mergeCell ref="C225:Q225"/>
    <mergeCell ref="C10:Q10"/>
    <mergeCell ref="C34:Q34"/>
    <mergeCell ref="C53:Q53"/>
    <mergeCell ref="C74:Q74"/>
    <mergeCell ref="C93:Q93"/>
    <mergeCell ref="C115:Q115"/>
    <mergeCell ref="C137:Q137"/>
  </mergeCell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3" max="3" width="18.25"/>
    <col customWidth="1" min="4" max="4" width="27.13"/>
  </cols>
  <sheetData>
    <row r="1">
      <c r="A1" s="35" t="str">
        <f>IFERROR(__xludf.DUMMYFUNCTION("{""STT"",""Devices"";
 ARRAYFORMULA(
   HSTACK(
     FILTER(
       ISR1000_input!A:A,
       ISR1000_input!A:A&lt;&gt;"""",
       REGEXMATCH(TO_TEXT(ISR1000_input!A:A),""^\d+(\.0)?$""),
       ISODD(VALUE(ISR1000_input!A:A))
     ),
     REGEXREPLACE(
       "&amp;"FILTER(
         ISR1000_input!B:B,
         ISR1000_input!A:A&lt;&gt;"""",
         REGEXMATCH(TO_TEXT(ISR1000_input!A:A),""^\d+(\.0)?$""),
         ISODD(VALUE(ISR1000_input!A:A))
       ),
       ""-A$"",""""
     )
   )
 )
}"),"STT")</f>
        <v>STT</v>
      </c>
      <c r="B1" s="35" t="str">
        <f>IFERROR(__xludf.DUMMYFUNCTION("""COMPUTED_VALUE"""),"Devices")</f>
        <v>Devices</v>
      </c>
      <c r="C1" s="35" t="str">
        <f>IFERROR(__xludf.DUMMYFUNCTION("{""STT"",""Devices"",""List Price"";
 ARRAYFORMULA(
   HSTACK(
     FILTER(
       ISR1000_input!A:A,
       ISR1000_input!A:A&lt;&gt;"""",
       REGEXMATCH(TO_TEXT(ISR1000_input!A:A),""^\d+(\.0)?$"")
     ),
     REGEXREPLACE(
       FILTER(
         ISR1000_"&amp;"input!B:B,
         ISR1000_input!A:A&lt;&gt;"""",
         REGEXMATCH(TO_TEXT(ISR1000_input!A:A),""^\d+(\.0)?$"")
       ),
       ""-A$"",""""
     ),
     FILTER(
       ISR1000_input!N:N,
       TRIM(ISR1000_input!M:M)=""SubTotal""
     )
   )
 )
}"),"STT")</f>
        <v>STT</v>
      </c>
      <c r="D1" s="35" t="str">
        <f>IFERROR(__xludf.DUMMYFUNCTION("""COMPUTED_VALUE"""),"Devices")</f>
        <v>Devices</v>
      </c>
      <c r="E1" s="35" t="str">
        <f>IFERROR(__xludf.DUMMYFUNCTION("""COMPUTED_VALUE"""),"List Price")</f>
        <v>List Price</v>
      </c>
      <c r="F1" s="35"/>
      <c r="G1" s="35"/>
      <c r="H1" s="35"/>
      <c r="I1" s="35"/>
      <c r="J1" s="35"/>
      <c r="K1" s="35"/>
      <c r="L1" s="35"/>
      <c r="M1" s="35"/>
      <c r="N1" s="35"/>
      <c r="O1" s="35"/>
      <c r="P1" s="36"/>
      <c r="Q1" s="73"/>
    </row>
    <row r="2">
      <c r="A2" s="74">
        <f>IFERROR(__xludf.DUMMYFUNCTION("""COMPUTED_VALUE"""),1.0)</f>
        <v>1</v>
      </c>
      <c r="B2" s="73" t="str">
        <f>IFERROR(__xludf.DUMMYFUNCTION("""COMPUTED_VALUE"""),"C1161X-8P")</f>
        <v>C1161X-8P</v>
      </c>
      <c r="C2" s="73">
        <f>IFERROR(__xludf.DUMMYFUNCTION("""COMPUTED_VALUE"""),1.0)</f>
        <v>1</v>
      </c>
      <c r="D2" s="73" t="str">
        <f>IFERROR(__xludf.DUMMYFUNCTION("""COMPUTED_VALUE"""),"C1161X-8P")</f>
        <v>C1161X-8P</v>
      </c>
      <c r="E2" s="75">
        <f>IFERROR(__xludf.DUMMYFUNCTION("""COMPUTED_VALUE"""),4090.83)</f>
        <v>4090.83</v>
      </c>
      <c r="F2" s="73"/>
      <c r="G2" s="74"/>
      <c r="H2" s="73"/>
      <c r="I2" s="74"/>
      <c r="J2" s="36"/>
      <c r="K2" s="74"/>
      <c r="L2" s="74"/>
      <c r="M2" s="74" t="str">
        <f t="array" ref="M2:M1000">IF(A2:A1000&lt;&gt;"","SubTotal","")</f>
        <v>SubTotal</v>
      </c>
      <c r="N2" s="76">
        <f>IFERROR(__xludf.DUMMYFUNCTION("MAP(A2:A1000,LAMBDA(x,
 IF(x="""","""",
  LET(
   r,MATCH(x,$C:$C,0),
   INDEX($E:$E,r)+IF(REGEXMATCH(TO_TEXT(INDEX($D:$D,r+1)),""^L-""),INDEX($E:$E,r+1),0)
  )
 )
))"),10544.189999999999)</f>
        <v>10544.19</v>
      </c>
    </row>
    <row r="3">
      <c r="A3" s="73">
        <f>IFERROR(__xludf.DUMMYFUNCTION("""COMPUTED_VALUE"""),3.0)</f>
        <v>3</v>
      </c>
      <c r="B3" s="73" t="str">
        <f>IFERROR(__xludf.DUMMYFUNCTION("""COMPUTED_VALUE"""),"C1127-8PLTEP")</f>
        <v>C1127-8PLTEP</v>
      </c>
      <c r="C3" s="73">
        <f>IFERROR(__xludf.DUMMYFUNCTION("""COMPUTED_VALUE"""),2.0)</f>
        <v>2</v>
      </c>
      <c r="D3" s="73" t="str">
        <f>IFERROR(__xludf.DUMMYFUNCTION("""COMPUTED_VALUE"""),"L-DNA-TIER-ADD")</f>
        <v>L-DNA-TIER-ADD</v>
      </c>
      <c r="E3" s="75">
        <f>IFERROR(__xludf.DUMMYFUNCTION("""COMPUTED_VALUE"""),6453.36)</f>
        <v>6453.36</v>
      </c>
      <c r="F3" s="73"/>
      <c r="G3" s="74"/>
      <c r="H3" s="73"/>
      <c r="I3" s="74"/>
      <c r="J3" s="36"/>
      <c r="K3" s="74"/>
      <c r="L3" s="74"/>
      <c r="M3" s="74" t="s">
        <v>63</v>
      </c>
      <c r="N3" s="76">
        <f>IFERROR(__xludf.DUMMYFUNCTION("""COMPUTED_VALUE"""),9119.72)</f>
        <v>9119.72</v>
      </c>
    </row>
    <row r="4">
      <c r="A4" s="74">
        <f>IFERROR(__xludf.DUMMYFUNCTION("""COMPUTED_VALUE"""),5.0)</f>
        <v>5</v>
      </c>
      <c r="B4" s="73" t="str">
        <f>IFERROR(__xludf.DUMMYFUNCTION("""COMPUTED_VALUE"""),"C1117-4P")</f>
        <v>C1117-4P</v>
      </c>
      <c r="C4" s="73">
        <f>IFERROR(__xludf.DUMMYFUNCTION("""COMPUTED_VALUE"""),3.0)</f>
        <v>3</v>
      </c>
      <c r="D4" s="73" t="str">
        <f>IFERROR(__xludf.DUMMYFUNCTION("""COMPUTED_VALUE"""),"C1127-8PLTEP")</f>
        <v>C1127-8PLTEP</v>
      </c>
      <c r="E4" s="75">
        <f>IFERROR(__xludf.DUMMYFUNCTION("""COMPUTED_VALUE"""),2666.36)</f>
        <v>2666.36</v>
      </c>
      <c r="F4" s="73"/>
      <c r="G4" s="74"/>
      <c r="H4" s="73"/>
      <c r="I4" s="74"/>
      <c r="J4" s="36"/>
      <c r="K4" s="74"/>
      <c r="L4" s="74"/>
      <c r="M4" s="74" t="s">
        <v>63</v>
      </c>
      <c r="N4" s="76">
        <f>IFERROR(__xludf.DUMMYFUNCTION("""COMPUTED_VALUE"""),8670.439999999999)</f>
        <v>8670.44</v>
      </c>
    </row>
    <row r="5">
      <c r="A5" s="74">
        <f>IFERROR(__xludf.DUMMYFUNCTION("""COMPUTED_VALUE"""),7.0)</f>
        <v>7</v>
      </c>
      <c r="B5" s="73" t="str">
        <f>IFERROR(__xludf.DUMMYFUNCTION("""COMPUTED_VALUE"""),"C1109-4PLTE2P")</f>
        <v>C1109-4PLTE2P</v>
      </c>
      <c r="C5" s="73">
        <f>IFERROR(__xludf.DUMMYFUNCTION("""COMPUTED_VALUE"""),4.0)</f>
        <v>4</v>
      </c>
      <c r="D5" s="73" t="str">
        <f>IFERROR(__xludf.DUMMYFUNCTION("""COMPUTED_VALUE"""),"L-DNA-TIER-ADD")</f>
        <v>L-DNA-TIER-ADD</v>
      </c>
      <c r="E5" s="75">
        <f>IFERROR(__xludf.DUMMYFUNCTION("""COMPUTED_VALUE"""),6453.36)</f>
        <v>6453.36</v>
      </c>
      <c r="F5" s="73"/>
      <c r="G5" s="74"/>
      <c r="H5" s="73"/>
      <c r="I5" s="74"/>
      <c r="J5" s="36"/>
      <c r="K5" s="74"/>
      <c r="L5" s="74"/>
      <c r="M5" s="74" t="s">
        <v>63</v>
      </c>
      <c r="N5" s="76">
        <f>IFERROR(__xludf.DUMMYFUNCTION("""COMPUTED_VALUE"""),9255.74)</f>
        <v>9255.74</v>
      </c>
    </row>
    <row r="6">
      <c r="A6" s="74">
        <f>IFERROR(__xludf.DUMMYFUNCTION("""COMPUTED_VALUE"""),9.0)</f>
        <v>9</v>
      </c>
      <c r="B6" s="73" t="str">
        <f>IFERROR(__xludf.DUMMYFUNCTION("""COMPUTED_VALUE"""),"C1161-8P")</f>
        <v>C1161-8P</v>
      </c>
      <c r="C6" s="73">
        <f>IFERROR(__xludf.DUMMYFUNCTION("""COMPUTED_VALUE"""),5.0)</f>
        <v>5</v>
      </c>
      <c r="D6" s="73" t="str">
        <f>IFERROR(__xludf.DUMMYFUNCTION("""COMPUTED_VALUE"""),"C1117-4P")</f>
        <v>C1117-4P</v>
      </c>
      <c r="E6" s="75">
        <f>IFERROR(__xludf.DUMMYFUNCTION("""COMPUTED_VALUE"""),2217.08)</f>
        <v>2217.08</v>
      </c>
      <c r="F6" s="73"/>
      <c r="G6" s="74"/>
      <c r="H6" s="73"/>
      <c r="I6" s="74"/>
      <c r="J6" s="36"/>
      <c r="K6" s="74"/>
      <c r="L6" s="74"/>
      <c r="M6" s="74" t="s">
        <v>63</v>
      </c>
      <c r="N6" s="76">
        <f>IFERROR(__xludf.DUMMYFUNCTION("""COMPUTED_VALUE"""),9295.63)</f>
        <v>9295.63</v>
      </c>
    </row>
    <row r="7">
      <c r="A7" s="74">
        <f>IFERROR(__xludf.DUMMYFUNCTION("""COMPUTED_VALUE"""),11.0)</f>
        <v>11</v>
      </c>
      <c r="B7" s="73" t="str">
        <f>IFERROR(__xludf.DUMMYFUNCTION("""COMPUTED_VALUE"""),"C1131-8PWS")</f>
        <v>C1131-8PWS</v>
      </c>
      <c r="C7" s="73">
        <f>IFERROR(__xludf.DUMMYFUNCTION("""COMPUTED_VALUE"""),6.0)</f>
        <v>6</v>
      </c>
      <c r="D7" s="73" t="str">
        <f>IFERROR(__xludf.DUMMYFUNCTION("""COMPUTED_VALUE"""),"L-DNA-TIER-ADD")</f>
        <v>L-DNA-TIER-ADD</v>
      </c>
      <c r="E7" s="75">
        <f>IFERROR(__xludf.DUMMYFUNCTION("""COMPUTED_VALUE"""),6453.36)</f>
        <v>6453.36</v>
      </c>
      <c r="F7" s="73"/>
      <c r="G7" s="74"/>
      <c r="H7" s="73"/>
      <c r="I7" s="74"/>
      <c r="J7" s="36"/>
      <c r="K7" s="74"/>
      <c r="L7" s="74"/>
      <c r="M7" s="74" t="s">
        <v>63</v>
      </c>
      <c r="N7" s="76">
        <f>IFERROR(__xludf.DUMMYFUNCTION("""COMPUTED_VALUE"""),9167.72)</f>
        <v>9167.72</v>
      </c>
    </row>
    <row r="8">
      <c r="A8" s="74">
        <f>IFERROR(__xludf.DUMMYFUNCTION("""COMPUTED_VALUE"""),13.0)</f>
        <v>13</v>
      </c>
      <c r="B8" s="73" t="str">
        <f>IFERROR(__xludf.DUMMYFUNCTION("""COMPUTED_VALUE"""),"C1131X-8PWS")</f>
        <v>C1131X-8PWS</v>
      </c>
      <c r="C8" s="73">
        <f>IFERROR(__xludf.DUMMYFUNCTION("""COMPUTED_VALUE"""),7.0)</f>
        <v>7</v>
      </c>
      <c r="D8" s="73" t="str">
        <f>IFERROR(__xludf.DUMMYFUNCTION("""COMPUTED_VALUE"""),"C1109-4PLTE2P")</f>
        <v>C1109-4PLTE2P</v>
      </c>
      <c r="E8" s="75">
        <f>IFERROR(__xludf.DUMMYFUNCTION("""COMPUTED_VALUE"""),2802.38)</f>
        <v>2802.38</v>
      </c>
      <c r="F8" s="73"/>
      <c r="G8" s="74"/>
      <c r="H8" s="73"/>
      <c r="I8" s="74"/>
      <c r="J8" s="36"/>
      <c r="K8" s="74"/>
      <c r="L8" s="74"/>
      <c r="M8" s="74" t="s">
        <v>63</v>
      </c>
      <c r="N8" s="76">
        <f>IFERROR(__xludf.DUMMYFUNCTION("""COMPUTED_VALUE"""),9409.5)</f>
        <v>9409.5</v>
      </c>
    </row>
    <row r="9">
      <c r="A9" s="36">
        <f>IFERROR(__xludf.DUMMYFUNCTION("""COMPUTED_VALUE"""),15.0)</f>
        <v>15</v>
      </c>
      <c r="B9" s="73" t="str">
        <f>IFERROR(__xludf.DUMMYFUNCTION("""COMPUTED_VALUE"""),"C1121-4P")</f>
        <v>C1121-4P</v>
      </c>
      <c r="C9" s="73">
        <f>IFERROR(__xludf.DUMMYFUNCTION("""COMPUTED_VALUE"""),8.0)</f>
        <v>8</v>
      </c>
      <c r="D9" s="73" t="str">
        <f>IFERROR(__xludf.DUMMYFUNCTION("""COMPUTED_VALUE"""),"L-DNA-TIER-ADD")</f>
        <v>L-DNA-TIER-ADD</v>
      </c>
      <c r="E9" s="75">
        <f>IFERROR(__xludf.DUMMYFUNCTION("""COMPUTED_VALUE"""),6453.36)</f>
        <v>6453.36</v>
      </c>
      <c r="F9" s="73"/>
      <c r="G9" s="74"/>
      <c r="H9" s="73"/>
      <c r="I9" s="74"/>
      <c r="J9" s="36"/>
      <c r="K9" s="74"/>
      <c r="L9" s="74"/>
      <c r="M9" s="74" t="s">
        <v>63</v>
      </c>
      <c r="N9" s="76">
        <f>IFERROR(__xludf.DUMMYFUNCTION("""COMPUTED_VALUE"""),8116.299999999999)</f>
        <v>8116.3</v>
      </c>
    </row>
    <row r="10">
      <c r="A10" s="36">
        <f>IFERROR(__xludf.DUMMYFUNCTION("""COMPUTED_VALUE"""),17.0)</f>
        <v>17</v>
      </c>
      <c r="B10" s="73" t="str">
        <f>IFERROR(__xludf.DUMMYFUNCTION("""COMPUTED_VALUE"""),"C1121-8P")</f>
        <v>C1121-8P</v>
      </c>
      <c r="C10" s="73">
        <f>IFERROR(__xludf.DUMMYFUNCTION("""COMPUTED_VALUE"""),9.0)</f>
        <v>9</v>
      </c>
      <c r="D10" s="73" t="str">
        <f>IFERROR(__xludf.DUMMYFUNCTION("""COMPUTED_VALUE"""),"C1161-8P")</f>
        <v>C1161-8P</v>
      </c>
      <c r="E10" s="75">
        <f>IFERROR(__xludf.DUMMYFUNCTION("""COMPUTED_VALUE"""),2842.27)</f>
        <v>2842.27</v>
      </c>
      <c r="F10" s="73"/>
      <c r="G10" s="74"/>
      <c r="H10" s="73"/>
      <c r="I10" s="74"/>
      <c r="J10" s="36"/>
      <c r="K10" s="74"/>
      <c r="L10" s="74"/>
      <c r="M10" s="74" t="s">
        <v>63</v>
      </c>
      <c r="N10" s="76">
        <f>IFERROR(__xludf.DUMMYFUNCTION("""COMPUTED_VALUE"""),8446.06)</f>
        <v>8446.06</v>
      </c>
    </row>
    <row r="11">
      <c r="A11" s="36">
        <f>IFERROR(__xludf.DUMMYFUNCTION("""COMPUTED_VALUE"""),19.0)</f>
        <v>19</v>
      </c>
      <c r="B11" s="73" t="str">
        <f>IFERROR(__xludf.DUMMYFUNCTION("""COMPUTED_VALUE"""),"C1116-4P")</f>
        <v>C1116-4P</v>
      </c>
      <c r="C11" s="73">
        <f>IFERROR(__xludf.DUMMYFUNCTION("""COMPUTED_VALUE"""),10.0)</f>
        <v>10</v>
      </c>
      <c r="D11" s="73" t="str">
        <f>IFERROR(__xludf.DUMMYFUNCTION("""COMPUTED_VALUE"""),"L-DNA-TIER-ADD")</f>
        <v>L-DNA-TIER-ADD</v>
      </c>
      <c r="E11" s="75">
        <f>IFERROR(__xludf.DUMMYFUNCTION("""COMPUTED_VALUE"""),6453.36)</f>
        <v>6453.36</v>
      </c>
      <c r="F11" s="73"/>
      <c r="G11" s="74"/>
      <c r="H11" s="73"/>
      <c r="I11" s="74"/>
      <c r="J11" s="36"/>
      <c r="K11" s="74"/>
      <c r="L11" s="74"/>
      <c r="M11" s="74" t="s">
        <v>63</v>
      </c>
      <c r="N11" s="76">
        <f>IFERROR(__xludf.DUMMYFUNCTION("""COMPUTED_VALUE"""),8670.439999999999)</f>
        <v>8670.44</v>
      </c>
    </row>
    <row r="12">
      <c r="A12" s="74">
        <f>IFERROR(__xludf.DUMMYFUNCTION("""COMPUTED_VALUE"""),21.0)</f>
        <v>21</v>
      </c>
      <c r="B12" s="73" t="str">
        <f>IFERROR(__xludf.DUMMYFUNCTION("""COMPUTED_VALUE"""),"C1112-8P")</f>
        <v>C1112-8P</v>
      </c>
      <c r="C12" s="73">
        <f>IFERROR(__xludf.DUMMYFUNCTION("""COMPUTED_VALUE"""),11.0)</f>
        <v>11</v>
      </c>
      <c r="D12" s="73" t="str">
        <f>IFERROR(__xludf.DUMMYFUNCTION("""COMPUTED_VALUE"""),"C1131-8PWS")</f>
        <v>C1131-8PWS</v>
      </c>
      <c r="E12" s="75">
        <f>IFERROR(__xludf.DUMMYFUNCTION("""COMPUTED_VALUE"""),2714.36)</f>
        <v>2714.36</v>
      </c>
      <c r="F12" s="73"/>
      <c r="G12" s="74"/>
      <c r="H12" s="73"/>
      <c r="I12" s="74"/>
      <c r="J12" s="36"/>
      <c r="K12" s="74"/>
      <c r="L12" s="74"/>
      <c r="M12" s="74" t="s">
        <v>63</v>
      </c>
      <c r="N12" s="76">
        <f>IFERROR(__xludf.DUMMYFUNCTION("""COMPUTED_VALUE"""),9786.58)</f>
        <v>9786.58</v>
      </c>
    </row>
    <row r="13">
      <c r="A13" s="74"/>
      <c r="B13" s="73"/>
      <c r="C13" s="73">
        <f>IFERROR(__xludf.DUMMYFUNCTION("""COMPUTED_VALUE"""),12.0)</f>
        <v>12</v>
      </c>
      <c r="D13" s="73" t="str">
        <f>IFERROR(__xludf.DUMMYFUNCTION("""COMPUTED_VALUE"""),"L-DNA-TIER-ADD")</f>
        <v>L-DNA-TIER-ADD</v>
      </c>
      <c r="E13" s="75">
        <f>IFERROR(__xludf.DUMMYFUNCTION("""COMPUTED_VALUE"""),6453.36)</f>
        <v>6453.36</v>
      </c>
      <c r="F13" s="73"/>
      <c r="G13" s="74"/>
      <c r="H13" s="73"/>
      <c r="I13" s="74"/>
      <c r="J13" s="36"/>
      <c r="K13" s="74"/>
      <c r="L13" s="74"/>
      <c r="M13" s="74" t="s">
        <v>260</v>
      </c>
      <c r="N13" s="74" t="str">
        <f>IFERROR(__xludf.DUMMYFUNCTION("""COMPUTED_VALUE"""),"")</f>
        <v/>
      </c>
    </row>
    <row r="14">
      <c r="A14" s="74"/>
      <c r="B14" s="73"/>
      <c r="C14" s="73">
        <f>IFERROR(__xludf.DUMMYFUNCTION("""COMPUTED_VALUE"""),13.0)</f>
        <v>13</v>
      </c>
      <c r="D14" s="73" t="str">
        <f>IFERROR(__xludf.DUMMYFUNCTION("""COMPUTED_VALUE"""),"C1131X-8PWS")</f>
        <v>C1131X-8PWS</v>
      </c>
      <c r="E14" s="75">
        <f>IFERROR(__xludf.DUMMYFUNCTION("""COMPUTED_VALUE"""),2956.14)</f>
        <v>2956.14</v>
      </c>
      <c r="F14" s="73"/>
      <c r="G14" s="74"/>
      <c r="H14" s="73"/>
      <c r="I14" s="74"/>
      <c r="J14" s="36"/>
      <c r="K14" s="74"/>
      <c r="L14" s="74"/>
      <c r="M14" s="74" t="s">
        <v>260</v>
      </c>
      <c r="N14" s="74" t="str">
        <f>IFERROR(__xludf.DUMMYFUNCTION("""COMPUTED_VALUE"""),"")</f>
        <v/>
      </c>
    </row>
    <row r="15">
      <c r="A15" s="74"/>
      <c r="B15" s="73"/>
      <c r="C15" s="73">
        <f>IFERROR(__xludf.DUMMYFUNCTION("""COMPUTED_VALUE"""),14.0)</f>
        <v>14</v>
      </c>
      <c r="D15" s="73" t="str">
        <f>IFERROR(__xludf.DUMMYFUNCTION("""COMPUTED_VALUE"""),"L-DNA-TIER-ADD")</f>
        <v>L-DNA-TIER-ADD</v>
      </c>
      <c r="E15" s="75">
        <f>IFERROR(__xludf.DUMMYFUNCTION("""COMPUTED_VALUE"""),6453.36)</f>
        <v>6453.36</v>
      </c>
      <c r="F15" s="73"/>
      <c r="G15" s="74"/>
      <c r="H15" s="73"/>
      <c r="I15" s="74"/>
      <c r="J15" s="36"/>
      <c r="K15" s="74"/>
      <c r="L15" s="74"/>
      <c r="M15" s="74" t="s">
        <v>260</v>
      </c>
      <c r="N15" s="74" t="str">
        <f>IFERROR(__xludf.DUMMYFUNCTION("""COMPUTED_VALUE"""),"")</f>
        <v/>
      </c>
    </row>
    <row r="16">
      <c r="A16" s="74"/>
      <c r="B16" s="73"/>
      <c r="C16" s="73">
        <f>IFERROR(__xludf.DUMMYFUNCTION("""COMPUTED_VALUE"""),15.0)</f>
        <v>15</v>
      </c>
      <c r="D16" s="73" t="str">
        <f>IFERROR(__xludf.DUMMYFUNCTION("""COMPUTED_VALUE"""),"C1121-4P")</f>
        <v>C1121-4P</v>
      </c>
      <c r="E16" s="75">
        <f>IFERROR(__xludf.DUMMYFUNCTION("""COMPUTED_VALUE"""),1662.94)</f>
        <v>1662.94</v>
      </c>
      <c r="F16" s="73"/>
      <c r="G16" s="74"/>
      <c r="H16" s="73"/>
      <c r="I16" s="74"/>
      <c r="J16" s="36"/>
      <c r="K16" s="74"/>
      <c r="L16" s="74"/>
      <c r="M16" s="74" t="s">
        <v>260</v>
      </c>
      <c r="N16" s="74" t="str">
        <f>IFERROR(__xludf.DUMMYFUNCTION("""COMPUTED_VALUE"""),"")</f>
        <v/>
      </c>
    </row>
    <row r="17">
      <c r="A17" s="74"/>
      <c r="B17" s="73"/>
      <c r="C17" s="73">
        <f>IFERROR(__xludf.DUMMYFUNCTION("""COMPUTED_VALUE"""),16.0)</f>
        <v>16</v>
      </c>
      <c r="D17" s="73" t="str">
        <f>IFERROR(__xludf.DUMMYFUNCTION("""COMPUTED_VALUE"""),"L-DNA-TIER-ADD")</f>
        <v>L-DNA-TIER-ADD</v>
      </c>
      <c r="E17" s="75">
        <f>IFERROR(__xludf.DUMMYFUNCTION("""COMPUTED_VALUE"""),6453.36)</f>
        <v>6453.36</v>
      </c>
      <c r="F17" s="73"/>
      <c r="G17" s="74"/>
      <c r="H17" s="73"/>
      <c r="I17" s="74"/>
      <c r="J17" s="36"/>
      <c r="K17" s="74"/>
      <c r="L17" s="74"/>
      <c r="M17" s="74" t="s">
        <v>260</v>
      </c>
      <c r="N17" s="74" t="str">
        <f>IFERROR(__xludf.DUMMYFUNCTION("""COMPUTED_VALUE"""),"")</f>
        <v/>
      </c>
    </row>
    <row r="18">
      <c r="A18" s="74"/>
      <c r="B18" s="73"/>
      <c r="C18" s="73">
        <f>IFERROR(__xludf.DUMMYFUNCTION("""COMPUTED_VALUE"""),17.0)</f>
        <v>17</v>
      </c>
      <c r="D18" s="73" t="str">
        <f>IFERROR(__xludf.DUMMYFUNCTION("""COMPUTED_VALUE"""),"C1121-8P")</f>
        <v>C1121-8P</v>
      </c>
      <c r="E18" s="75">
        <f>IFERROR(__xludf.DUMMYFUNCTION("""COMPUTED_VALUE"""),1992.7)</f>
        <v>1992.7</v>
      </c>
      <c r="F18" s="73"/>
      <c r="G18" s="74"/>
      <c r="H18" s="73"/>
      <c r="I18" s="74"/>
      <c r="J18" s="36"/>
      <c r="K18" s="74"/>
      <c r="L18" s="74"/>
      <c r="M18" s="74" t="s">
        <v>260</v>
      </c>
      <c r="N18" s="74" t="str">
        <f>IFERROR(__xludf.DUMMYFUNCTION("""COMPUTED_VALUE"""),"")</f>
        <v/>
      </c>
    </row>
    <row r="19">
      <c r="A19" s="74"/>
      <c r="B19" s="73"/>
      <c r="C19" s="73">
        <f>IFERROR(__xludf.DUMMYFUNCTION("""COMPUTED_VALUE"""),18.0)</f>
        <v>18</v>
      </c>
      <c r="D19" s="73" t="str">
        <f>IFERROR(__xludf.DUMMYFUNCTION("""COMPUTED_VALUE"""),"L-DNA-TIER-ADD")</f>
        <v>L-DNA-TIER-ADD</v>
      </c>
      <c r="E19" s="75">
        <f>IFERROR(__xludf.DUMMYFUNCTION("""COMPUTED_VALUE"""),6453.36)</f>
        <v>6453.36</v>
      </c>
      <c r="F19" s="73"/>
      <c r="G19" s="74"/>
      <c r="H19" s="73"/>
      <c r="I19" s="74"/>
      <c r="J19" s="36"/>
      <c r="K19" s="74"/>
      <c r="L19" s="74"/>
      <c r="M19" s="74" t="s">
        <v>260</v>
      </c>
      <c r="N19" s="74" t="str">
        <f>IFERROR(__xludf.DUMMYFUNCTION("""COMPUTED_VALUE"""),"")</f>
        <v/>
      </c>
    </row>
    <row r="20">
      <c r="A20" s="74"/>
      <c r="B20" s="73"/>
      <c r="C20" s="73">
        <f>IFERROR(__xludf.DUMMYFUNCTION("""COMPUTED_VALUE"""),19.0)</f>
        <v>19</v>
      </c>
      <c r="D20" s="73" t="str">
        <f>IFERROR(__xludf.DUMMYFUNCTION("""COMPUTED_VALUE"""),"C1116-4P")</f>
        <v>C1116-4P</v>
      </c>
      <c r="E20" s="75">
        <f>IFERROR(__xludf.DUMMYFUNCTION("""COMPUTED_VALUE"""),2217.08)</f>
        <v>2217.08</v>
      </c>
      <c r="F20" s="73"/>
      <c r="G20" s="74"/>
      <c r="H20" s="73"/>
      <c r="I20" s="74"/>
      <c r="J20" s="36"/>
      <c r="K20" s="74"/>
      <c r="L20" s="74"/>
      <c r="M20" s="74" t="s">
        <v>260</v>
      </c>
      <c r="N20" s="74" t="str">
        <f>IFERROR(__xludf.DUMMYFUNCTION("""COMPUTED_VALUE"""),"")</f>
        <v/>
      </c>
    </row>
    <row r="21">
      <c r="A21" s="74"/>
      <c r="B21" s="73"/>
      <c r="C21" s="73">
        <f>IFERROR(__xludf.DUMMYFUNCTION("""COMPUTED_VALUE"""),20.0)</f>
        <v>20</v>
      </c>
      <c r="D21" s="73" t="str">
        <f>IFERROR(__xludf.DUMMYFUNCTION("""COMPUTED_VALUE"""),"L-DNA-TIER-ADD")</f>
        <v>L-DNA-TIER-ADD</v>
      </c>
      <c r="E21" s="75">
        <f>IFERROR(__xludf.DUMMYFUNCTION("""COMPUTED_VALUE"""),6453.36)</f>
        <v>6453.36</v>
      </c>
      <c r="F21" s="73"/>
      <c r="G21" s="74"/>
      <c r="H21" s="73"/>
      <c r="I21" s="74"/>
      <c r="J21" s="36"/>
      <c r="K21" s="74"/>
      <c r="L21" s="74"/>
      <c r="M21" s="74" t="s">
        <v>260</v>
      </c>
      <c r="N21" s="74" t="str">
        <f>IFERROR(__xludf.DUMMYFUNCTION("""COMPUTED_VALUE"""),"")</f>
        <v/>
      </c>
    </row>
    <row r="22">
      <c r="A22" s="74"/>
      <c r="B22" s="73"/>
      <c r="C22" s="73">
        <f>IFERROR(__xludf.DUMMYFUNCTION("""COMPUTED_VALUE"""),21.0)</f>
        <v>21</v>
      </c>
      <c r="D22" s="73" t="str">
        <f>IFERROR(__xludf.DUMMYFUNCTION("""COMPUTED_VALUE"""),"C1112-8P")</f>
        <v>C1112-8P</v>
      </c>
      <c r="E22" s="75">
        <f>IFERROR(__xludf.DUMMYFUNCTION("""COMPUTED_VALUE"""),3333.22)</f>
        <v>3333.22</v>
      </c>
      <c r="F22" s="73"/>
      <c r="G22" s="74"/>
      <c r="H22" s="73"/>
      <c r="I22" s="74"/>
      <c r="J22" s="36"/>
      <c r="K22" s="74"/>
      <c r="L22" s="74"/>
      <c r="M22" s="74" t="s">
        <v>260</v>
      </c>
      <c r="N22" s="74" t="str">
        <f>IFERROR(__xludf.DUMMYFUNCTION("""COMPUTED_VALUE"""),"")</f>
        <v/>
      </c>
    </row>
    <row r="23">
      <c r="A23" s="36"/>
      <c r="B23" s="73"/>
      <c r="C23" s="73">
        <f>IFERROR(__xludf.DUMMYFUNCTION("""COMPUTED_VALUE"""),22.0)</f>
        <v>22</v>
      </c>
      <c r="D23" s="73" t="str">
        <f>IFERROR(__xludf.DUMMYFUNCTION("""COMPUTED_VALUE"""),"L-DNA-TIER-ADD")</f>
        <v>L-DNA-TIER-ADD</v>
      </c>
      <c r="E23" s="75">
        <f>IFERROR(__xludf.DUMMYFUNCTION("""COMPUTED_VALUE"""),6453.36)</f>
        <v>6453.36</v>
      </c>
      <c r="F23" s="73"/>
      <c r="G23" s="74"/>
      <c r="H23" s="73"/>
      <c r="I23" s="74"/>
      <c r="J23" s="36"/>
      <c r="K23" s="74"/>
      <c r="L23" s="74"/>
      <c r="M23" s="74" t="s">
        <v>260</v>
      </c>
      <c r="N23" s="74" t="str">
        <f>IFERROR(__xludf.DUMMYFUNCTION("""COMPUTED_VALUE"""),"")</f>
        <v/>
      </c>
    </row>
    <row r="24">
      <c r="A24" s="74"/>
      <c r="B24" s="73"/>
      <c r="C24" s="73"/>
      <c r="D24" s="73"/>
      <c r="E24" s="73"/>
      <c r="F24" s="73"/>
      <c r="G24" s="74"/>
      <c r="H24" s="73"/>
      <c r="I24" s="74"/>
      <c r="J24" s="36"/>
      <c r="K24" s="74"/>
      <c r="L24" s="74"/>
      <c r="M24" s="74" t="s">
        <v>260</v>
      </c>
      <c r="N24" s="74" t="str">
        <f>IFERROR(__xludf.DUMMYFUNCTION("""COMPUTED_VALUE"""),"")</f>
        <v/>
      </c>
    </row>
    <row r="25">
      <c r="A25" s="73"/>
      <c r="B25" s="73"/>
      <c r="C25" s="73"/>
      <c r="D25" s="73"/>
      <c r="E25" s="73"/>
      <c r="F25" s="73"/>
      <c r="G25" s="74"/>
      <c r="H25" s="73"/>
      <c r="I25" s="74"/>
      <c r="J25" s="36"/>
      <c r="K25" s="74"/>
      <c r="L25" s="74"/>
      <c r="M25" s="74" t="s">
        <v>260</v>
      </c>
      <c r="N25" s="74" t="str">
        <f>IFERROR(__xludf.DUMMYFUNCTION("""COMPUTED_VALUE"""),"")</f>
        <v/>
      </c>
    </row>
    <row r="26">
      <c r="A26" s="74"/>
      <c r="B26" s="73"/>
      <c r="C26" s="73"/>
      <c r="D26" s="73"/>
      <c r="E26" s="73"/>
      <c r="F26" s="73"/>
      <c r="G26" s="74"/>
      <c r="H26" s="73"/>
      <c r="I26" s="74"/>
      <c r="J26" s="36"/>
      <c r="K26" s="74"/>
      <c r="L26" s="74"/>
      <c r="M26" s="74" t="s">
        <v>260</v>
      </c>
      <c r="N26" s="74" t="str">
        <f>IFERROR(__xludf.DUMMYFUNCTION("""COMPUTED_VALUE"""),"")</f>
        <v/>
      </c>
    </row>
    <row r="27">
      <c r="A27" s="74"/>
      <c r="B27" s="73"/>
      <c r="C27" s="73"/>
      <c r="D27" s="73"/>
      <c r="E27" s="73"/>
      <c r="F27" s="73"/>
      <c r="G27" s="74"/>
      <c r="H27" s="73"/>
      <c r="I27" s="74"/>
      <c r="J27" s="36"/>
      <c r="K27" s="74"/>
      <c r="L27" s="74"/>
      <c r="M27" s="74" t="s">
        <v>260</v>
      </c>
      <c r="N27" s="74" t="str">
        <f>IFERROR(__xludf.DUMMYFUNCTION("""COMPUTED_VALUE"""),"")</f>
        <v/>
      </c>
    </row>
    <row r="28">
      <c r="A28" s="74"/>
      <c r="B28" s="73"/>
      <c r="C28" s="73"/>
      <c r="D28" s="73"/>
      <c r="E28" s="73"/>
      <c r="F28" s="73"/>
      <c r="G28" s="74"/>
      <c r="H28" s="73"/>
      <c r="I28" s="74"/>
      <c r="J28" s="36"/>
      <c r="K28" s="74"/>
      <c r="L28" s="74"/>
      <c r="M28" s="74" t="s">
        <v>260</v>
      </c>
      <c r="N28" s="74" t="str">
        <f>IFERROR(__xludf.DUMMYFUNCTION("""COMPUTED_VALUE"""),"")</f>
        <v/>
      </c>
    </row>
    <row r="29">
      <c r="A29" s="74"/>
      <c r="B29" s="73"/>
      <c r="C29" s="73"/>
      <c r="D29" s="73"/>
      <c r="E29" s="73"/>
      <c r="F29" s="73"/>
      <c r="G29" s="74"/>
      <c r="H29" s="73"/>
      <c r="I29" s="74"/>
      <c r="J29" s="36"/>
      <c r="K29" s="74"/>
      <c r="L29" s="74"/>
      <c r="M29" s="74" t="s">
        <v>260</v>
      </c>
      <c r="N29" s="74" t="str">
        <f>IFERROR(__xludf.DUMMYFUNCTION("""COMPUTED_VALUE"""),"")</f>
        <v/>
      </c>
    </row>
    <row r="30">
      <c r="A30" s="74"/>
      <c r="B30" s="73"/>
      <c r="C30" s="73"/>
      <c r="D30" s="73"/>
      <c r="E30" s="73"/>
      <c r="F30" s="73"/>
      <c r="G30" s="74"/>
      <c r="H30" s="73"/>
      <c r="I30" s="74"/>
      <c r="J30" s="36"/>
      <c r="K30" s="74"/>
      <c r="L30" s="74"/>
      <c r="M30" s="74" t="s">
        <v>260</v>
      </c>
      <c r="N30" s="74" t="str">
        <f>IFERROR(__xludf.DUMMYFUNCTION("""COMPUTED_VALUE"""),"")</f>
        <v/>
      </c>
    </row>
    <row r="31">
      <c r="A31" s="74"/>
      <c r="B31" s="73"/>
      <c r="C31" s="73"/>
      <c r="D31" s="73"/>
      <c r="E31" s="73"/>
      <c r="F31" s="73"/>
      <c r="G31" s="74"/>
      <c r="H31" s="73"/>
      <c r="I31" s="74"/>
      <c r="J31" s="36"/>
      <c r="K31" s="74"/>
      <c r="L31" s="74"/>
      <c r="M31" s="74" t="s">
        <v>260</v>
      </c>
      <c r="N31" s="74" t="str">
        <f>IFERROR(__xludf.DUMMYFUNCTION("""COMPUTED_VALUE"""),"")</f>
        <v/>
      </c>
    </row>
    <row r="32">
      <c r="A32" s="74"/>
      <c r="B32" s="73"/>
      <c r="C32" s="73"/>
      <c r="D32" s="73"/>
      <c r="E32" s="73"/>
      <c r="F32" s="73"/>
      <c r="G32" s="74"/>
      <c r="H32" s="73"/>
      <c r="I32" s="74"/>
      <c r="J32" s="36"/>
      <c r="K32" s="74"/>
      <c r="L32" s="74"/>
      <c r="M32" s="74" t="s">
        <v>260</v>
      </c>
      <c r="N32" s="74" t="str">
        <f>IFERROR(__xludf.DUMMYFUNCTION("""COMPUTED_VALUE"""),"")</f>
        <v/>
      </c>
    </row>
    <row r="33">
      <c r="A33" s="36"/>
      <c r="B33" s="73"/>
      <c r="C33" s="73"/>
      <c r="D33" s="73"/>
      <c r="E33" s="73"/>
      <c r="F33" s="73"/>
      <c r="G33" s="74"/>
      <c r="H33" s="73"/>
      <c r="I33" s="74"/>
      <c r="J33" s="36"/>
      <c r="K33" s="74"/>
      <c r="L33" s="74"/>
      <c r="M33" s="74" t="s">
        <v>260</v>
      </c>
      <c r="N33" s="74" t="str">
        <f>IFERROR(__xludf.DUMMYFUNCTION("""COMPUTED_VALUE"""),"")</f>
        <v/>
      </c>
    </row>
    <row r="34">
      <c r="A34" s="36"/>
      <c r="B34" s="73"/>
      <c r="C34" s="73"/>
      <c r="D34" s="73"/>
      <c r="E34" s="73"/>
      <c r="F34" s="73"/>
      <c r="G34" s="74"/>
      <c r="H34" s="73"/>
      <c r="I34" s="74"/>
      <c r="J34" s="36"/>
      <c r="K34" s="74"/>
      <c r="L34" s="74"/>
      <c r="M34" s="74" t="s">
        <v>260</v>
      </c>
      <c r="N34" s="74" t="str">
        <f>IFERROR(__xludf.DUMMYFUNCTION("""COMPUTED_VALUE"""),"")</f>
        <v/>
      </c>
    </row>
    <row r="35">
      <c r="A35" s="36"/>
      <c r="B35" s="73"/>
      <c r="C35" s="73"/>
      <c r="D35" s="73"/>
      <c r="E35" s="73"/>
      <c r="F35" s="73"/>
      <c r="G35" s="74"/>
      <c r="H35" s="73"/>
      <c r="I35" s="74"/>
      <c r="J35" s="36"/>
      <c r="K35" s="74"/>
      <c r="L35" s="74"/>
      <c r="M35" s="74" t="s">
        <v>260</v>
      </c>
      <c r="N35" s="74" t="str">
        <f>IFERROR(__xludf.DUMMYFUNCTION("""COMPUTED_VALUE"""),"")</f>
        <v/>
      </c>
    </row>
    <row r="36">
      <c r="A36" s="74"/>
      <c r="B36" s="73"/>
      <c r="C36" s="73"/>
      <c r="D36" s="73"/>
      <c r="E36" s="73"/>
      <c r="F36" s="73"/>
      <c r="G36" s="74"/>
      <c r="H36" s="73"/>
      <c r="I36" s="74"/>
      <c r="J36" s="36"/>
      <c r="K36" s="74"/>
      <c r="L36" s="74"/>
      <c r="M36" s="74" t="s">
        <v>260</v>
      </c>
      <c r="N36" s="74" t="str">
        <f>IFERROR(__xludf.DUMMYFUNCTION("""COMPUTED_VALUE"""),"")</f>
        <v/>
      </c>
    </row>
    <row r="37">
      <c r="A37" s="74"/>
      <c r="B37" s="73"/>
      <c r="C37" s="73"/>
      <c r="D37" s="73"/>
      <c r="E37" s="73"/>
      <c r="F37" s="73"/>
      <c r="G37" s="74"/>
      <c r="H37" s="73"/>
      <c r="I37" s="74"/>
      <c r="J37" s="36"/>
      <c r="K37" s="74"/>
      <c r="L37" s="74"/>
      <c r="M37" s="74" t="s">
        <v>260</v>
      </c>
      <c r="N37" s="74" t="str">
        <f>IFERROR(__xludf.DUMMYFUNCTION("""COMPUTED_VALUE"""),"")</f>
        <v/>
      </c>
    </row>
    <row r="38">
      <c r="A38" s="74"/>
      <c r="B38" s="73"/>
      <c r="C38" s="73"/>
      <c r="D38" s="73"/>
      <c r="E38" s="73"/>
      <c r="F38" s="73"/>
      <c r="G38" s="74"/>
      <c r="H38" s="73"/>
      <c r="I38" s="74"/>
      <c r="J38" s="36"/>
      <c r="K38" s="74"/>
      <c r="L38" s="74"/>
      <c r="M38" s="74" t="s">
        <v>260</v>
      </c>
      <c r="N38" s="74" t="str">
        <f>IFERROR(__xludf.DUMMYFUNCTION("""COMPUTED_VALUE"""),"")</f>
        <v/>
      </c>
    </row>
    <row r="39">
      <c r="A39" s="74"/>
      <c r="B39" s="73"/>
      <c r="C39" s="73"/>
      <c r="D39" s="73"/>
      <c r="E39" s="73"/>
      <c r="F39" s="73"/>
      <c r="G39" s="74"/>
      <c r="H39" s="73"/>
      <c r="I39" s="74"/>
      <c r="J39" s="36"/>
      <c r="K39" s="74"/>
      <c r="L39" s="74"/>
      <c r="M39" s="74" t="s">
        <v>260</v>
      </c>
      <c r="N39" s="74" t="str">
        <f>IFERROR(__xludf.DUMMYFUNCTION("""COMPUTED_VALUE"""),"")</f>
        <v/>
      </c>
    </row>
    <row r="40">
      <c r="A40" s="74"/>
      <c r="B40" s="73"/>
      <c r="C40" s="73"/>
      <c r="D40" s="73"/>
      <c r="E40" s="73"/>
      <c r="F40" s="73"/>
      <c r="G40" s="74"/>
      <c r="H40" s="73"/>
      <c r="I40" s="74"/>
      <c r="J40" s="36"/>
      <c r="K40" s="74"/>
      <c r="L40" s="74"/>
      <c r="M40" s="74" t="s">
        <v>260</v>
      </c>
      <c r="N40" s="74" t="str">
        <f>IFERROR(__xludf.DUMMYFUNCTION("""COMPUTED_VALUE"""),"")</f>
        <v/>
      </c>
    </row>
    <row r="41">
      <c r="A41" s="74"/>
      <c r="B41" s="73"/>
      <c r="C41" s="73"/>
      <c r="D41" s="73"/>
      <c r="E41" s="73"/>
      <c r="F41" s="73"/>
      <c r="G41" s="74"/>
      <c r="H41" s="73"/>
      <c r="I41" s="74"/>
      <c r="J41" s="36"/>
      <c r="K41" s="74"/>
      <c r="L41" s="74"/>
      <c r="M41" s="74" t="s">
        <v>260</v>
      </c>
      <c r="N41" s="74" t="str">
        <f>IFERROR(__xludf.DUMMYFUNCTION("""COMPUTED_VALUE"""),"")</f>
        <v/>
      </c>
    </row>
    <row r="42">
      <c r="A42" s="74"/>
      <c r="B42" s="73"/>
      <c r="C42" s="73"/>
      <c r="D42" s="73"/>
      <c r="E42" s="73"/>
      <c r="F42" s="73"/>
      <c r="G42" s="74"/>
      <c r="H42" s="73"/>
      <c r="I42" s="74"/>
      <c r="J42" s="36"/>
      <c r="K42" s="74"/>
      <c r="L42" s="74"/>
      <c r="M42" s="74" t="s">
        <v>260</v>
      </c>
      <c r="N42" s="74" t="str">
        <f>IFERROR(__xludf.DUMMYFUNCTION("""COMPUTED_VALUE"""),"")</f>
        <v/>
      </c>
    </row>
    <row r="43">
      <c r="A43" s="74"/>
      <c r="B43" s="73"/>
      <c r="C43" s="73"/>
      <c r="D43" s="73"/>
      <c r="E43" s="73"/>
      <c r="F43" s="73"/>
      <c r="G43" s="74"/>
      <c r="H43" s="73"/>
      <c r="I43" s="74"/>
      <c r="J43" s="36"/>
      <c r="K43" s="74"/>
      <c r="L43" s="74"/>
      <c r="M43" s="74" t="s">
        <v>260</v>
      </c>
      <c r="N43" s="74" t="str">
        <f>IFERROR(__xludf.DUMMYFUNCTION("""COMPUTED_VALUE"""),"")</f>
        <v/>
      </c>
    </row>
    <row r="44">
      <c r="A44" s="36"/>
      <c r="B44" s="73"/>
      <c r="C44" s="73"/>
      <c r="D44" s="73"/>
      <c r="E44" s="73"/>
      <c r="F44" s="73"/>
      <c r="G44" s="74"/>
      <c r="H44" s="73"/>
      <c r="I44" s="74"/>
      <c r="J44" s="36"/>
      <c r="K44" s="74"/>
      <c r="L44" s="74"/>
      <c r="M44" s="74" t="s">
        <v>260</v>
      </c>
      <c r="N44" s="74" t="str">
        <f>IFERROR(__xludf.DUMMYFUNCTION("""COMPUTED_VALUE"""),"")</f>
        <v/>
      </c>
    </row>
    <row r="45">
      <c r="A45" s="74"/>
      <c r="B45" s="73"/>
      <c r="C45" s="73"/>
      <c r="D45" s="73"/>
      <c r="E45" s="73"/>
      <c r="F45" s="73"/>
      <c r="G45" s="74"/>
      <c r="H45" s="73"/>
      <c r="I45" s="74"/>
      <c r="J45" s="36"/>
      <c r="K45" s="74"/>
      <c r="L45" s="74"/>
      <c r="M45" s="74" t="s">
        <v>260</v>
      </c>
      <c r="N45" s="74" t="str">
        <f>IFERROR(__xludf.DUMMYFUNCTION("""COMPUTED_VALUE"""),"")</f>
        <v/>
      </c>
    </row>
    <row r="46">
      <c r="A46" s="73"/>
      <c r="B46" s="73"/>
      <c r="C46" s="73"/>
      <c r="D46" s="73"/>
      <c r="E46" s="73"/>
      <c r="F46" s="73"/>
      <c r="G46" s="74"/>
      <c r="H46" s="73"/>
      <c r="I46" s="74"/>
      <c r="J46" s="36"/>
      <c r="K46" s="74"/>
      <c r="L46" s="74"/>
      <c r="M46" s="74" t="s">
        <v>260</v>
      </c>
      <c r="N46" s="74" t="str">
        <f>IFERROR(__xludf.DUMMYFUNCTION("""COMPUTED_VALUE"""),"")</f>
        <v/>
      </c>
    </row>
    <row r="47">
      <c r="A47" s="74"/>
      <c r="B47" s="73"/>
      <c r="C47" s="73"/>
      <c r="D47" s="73"/>
      <c r="E47" s="73"/>
      <c r="F47" s="73"/>
      <c r="G47" s="74"/>
      <c r="H47" s="73"/>
      <c r="I47" s="74"/>
      <c r="J47" s="36"/>
      <c r="K47" s="74"/>
      <c r="L47" s="74"/>
      <c r="M47" s="74" t="s">
        <v>260</v>
      </c>
      <c r="N47" s="74" t="str">
        <f>IFERROR(__xludf.DUMMYFUNCTION("""COMPUTED_VALUE"""),"")</f>
        <v/>
      </c>
    </row>
    <row r="48">
      <c r="A48" s="74"/>
      <c r="B48" s="73"/>
      <c r="C48" s="73"/>
      <c r="D48" s="73"/>
      <c r="E48" s="73"/>
      <c r="F48" s="73"/>
      <c r="G48" s="74"/>
      <c r="H48" s="73"/>
      <c r="I48" s="74"/>
      <c r="J48" s="36"/>
      <c r="K48" s="74"/>
      <c r="L48" s="74"/>
      <c r="M48" s="74" t="s">
        <v>260</v>
      </c>
      <c r="N48" s="74" t="str">
        <f>IFERROR(__xludf.DUMMYFUNCTION("""COMPUTED_VALUE"""),"")</f>
        <v/>
      </c>
    </row>
    <row r="49">
      <c r="A49" s="74"/>
      <c r="B49" s="73"/>
      <c r="C49" s="73"/>
      <c r="D49" s="73"/>
      <c r="E49" s="73"/>
      <c r="F49" s="73"/>
      <c r="G49" s="74"/>
      <c r="H49" s="73"/>
      <c r="I49" s="74"/>
      <c r="J49" s="36"/>
      <c r="K49" s="74"/>
      <c r="L49" s="74"/>
      <c r="M49" s="74" t="s">
        <v>260</v>
      </c>
      <c r="N49" s="74" t="str">
        <f>IFERROR(__xludf.DUMMYFUNCTION("""COMPUTED_VALUE"""),"")</f>
        <v/>
      </c>
    </row>
    <row r="50">
      <c r="A50" s="74"/>
      <c r="B50" s="73"/>
      <c r="C50" s="73"/>
      <c r="D50" s="73"/>
      <c r="E50" s="73"/>
      <c r="F50" s="73"/>
      <c r="G50" s="74"/>
      <c r="H50" s="73"/>
      <c r="I50" s="74"/>
      <c r="J50" s="36"/>
      <c r="K50" s="74"/>
      <c r="L50" s="74"/>
      <c r="M50" s="74" t="s">
        <v>260</v>
      </c>
      <c r="N50" s="74" t="str">
        <f>IFERROR(__xludf.DUMMYFUNCTION("""COMPUTED_VALUE"""),"")</f>
        <v/>
      </c>
    </row>
    <row r="51">
      <c r="A51" s="74"/>
      <c r="B51" s="73"/>
      <c r="C51" s="73"/>
      <c r="D51" s="73"/>
      <c r="E51" s="73"/>
      <c r="F51" s="73"/>
      <c r="G51" s="74"/>
      <c r="H51" s="73"/>
      <c r="I51" s="74"/>
      <c r="J51" s="36"/>
      <c r="K51" s="74"/>
      <c r="L51" s="74"/>
      <c r="M51" s="74" t="s">
        <v>260</v>
      </c>
      <c r="N51" s="74" t="str">
        <f>IFERROR(__xludf.DUMMYFUNCTION("""COMPUTED_VALUE"""),"")</f>
        <v/>
      </c>
    </row>
    <row r="52">
      <c r="A52" s="36"/>
      <c r="B52" s="73"/>
      <c r="C52" s="73"/>
      <c r="D52" s="73"/>
      <c r="E52" s="73"/>
      <c r="F52" s="73"/>
      <c r="G52" s="74"/>
      <c r="H52" s="73"/>
      <c r="I52" s="74"/>
      <c r="J52" s="36"/>
      <c r="K52" s="74"/>
      <c r="L52" s="74"/>
      <c r="M52" s="74" t="s">
        <v>260</v>
      </c>
      <c r="N52" s="74" t="str">
        <f>IFERROR(__xludf.DUMMYFUNCTION("""COMPUTED_VALUE"""),"")</f>
        <v/>
      </c>
    </row>
    <row r="53">
      <c r="A53" s="36"/>
      <c r="B53" s="73"/>
      <c r="C53" s="73"/>
      <c r="D53" s="73"/>
      <c r="E53" s="73"/>
      <c r="F53" s="73"/>
      <c r="G53" s="74"/>
      <c r="H53" s="73"/>
      <c r="I53" s="74"/>
      <c r="J53" s="36"/>
      <c r="K53" s="74"/>
      <c r="L53" s="74"/>
      <c r="M53" s="74" t="s">
        <v>260</v>
      </c>
      <c r="N53" s="74" t="str">
        <f>IFERROR(__xludf.DUMMYFUNCTION("""COMPUTED_VALUE"""),"")</f>
        <v/>
      </c>
    </row>
    <row r="54">
      <c r="A54" s="36"/>
      <c r="B54" s="73"/>
      <c r="C54" s="73"/>
      <c r="D54" s="73"/>
      <c r="E54" s="73"/>
      <c r="F54" s="73"/>
      <c r="G54" s="74"/>
      <c r="H54" s="73"/>
      <c r="I54" s="74"/>
      <c r="J54" s="36"/>
      <c r="K54" s="74"/>
      <c r="L54" s="74"/>
      <c r="M54" s="74" t="s">
        <v>260</v>
      </c>
      <c r="N54" s="74" t="str">
        <f>IFERROR(__xludf.DUMMYFUNCTION("""COMPUTED_VALUE"""),"")</f>
        <v/>
      </c>
    </row>
    <row r="55">
      <c r="A55" s="74"/>
      <c r="B55" s="73"/>
      <c r="C55" s="73"/>
      <c r="D55" s="73"/>
      <c r="E55" s="73"/>
      <c r="F55" s="73"/>
      <c r="G55" s="74"/>
      <c r="H55" s="73"/>
      <c r="I55" s="74"/>
      <c r="J55" s="36"/>
      <c r="K55" s="74"/>
      <c r="L55" s="74"/>
      <c r="M55" s="74" t="s">
        <v>260</v>
      </c>
      <c r="N55" s="74" t="str">
        <f>IFERROR(__xludf.DUMMYFUNCTION("""COMPUTED_VALUE"""),"")</f>
        <v/>
      </c>
    </row>
    <row r="56">
      <c r="A56" s="74"/>
      <c r="B56" s="73"/>
      <c r="C56" s="73"/>
      <c r="D56" s="73"/>
      <c r="E56" s="73"/>
      <c r="F56" s="73"/>
      <c r="G56" s="74"/>
      <c r="H56" s="73"/>
      <c r="I56" s="74"/>
      <c r="J56" s="36"/>
      <c r="K56" s="74"/>
      <c r="L56" s="74"/>
      <c r="M56" s="74" t="s">
        <v>260</v>
      </c>
      <c r="N56" s="74" t="str">
        <f>IFERROR(__xludf.DUMMYFUNCTION("""COMPUTED_VALUE"""),"")</f>
        <v/>
      </c>
    </row>
    <row r="57">
      <c r="A57" s="74"/>
      <c r="B57" s="73"/>
      <c r="C57" s="73"/>
      <c r="D57" s="73"/>
      <c r="E57" s="73"/>
      <c r="F57" s="73"/>
      <c r="G57" s="74"/>
      <c r="H57" s="73"/>
      <c r="I57" s="74"/>
      <c r="J57" s="36"/>
      <c r="K57" s="74"/>
      <c r="L57" s="74"/>
      <c r="M57" s="74" t="s">
        <v>260</v>
      </c>
      <c r="N57" s="74" t="str">
        <f>IFERROR(__xludf.DUMMYFUNCTION("""COMPUTED_VALUE"""),"")</f>
        <v/>
      </c>
    </row>
    <row r="58">
      <c r="A58" s="74"/>
      <c r="B58" s="73"/>
      <c r="C58" s="73"/>
      <c r="D58" s="73"/>
      <c r="E58" s="73"/>
      <c r="F58" s="73"/>
      <c r="G58" s="74"/>
      <c r="H58" s="73"/>
      <c r="I58" s="74"/>
      <c r="J58" s="36"/>
      <c r="K58" s="74"/>
      <c r="L58" s="74"/>
      <c r="M58" s="74" t="s">
        <v>260</v>
      </c>
      <c r="N58" s="74" t="str">
        <f>IFERROR(__xludf.DUMMYFUNCTION("""COMPUTED_VALUE"""),"")</f>
        <v/>
      </c>
    </row>
    <row r="59">
      <c r="A59" s="74"/>
      <c r="B59" s="73"/>
      <c r="C59" s="73"/>
      <c r="D59" s="73"/>
      <c r="E59" s="73"/>
      <c r="F59" s="73"/>
      <c r="G59" s="74"/>
      <c r="H59" s="73"/>
      <c r="I59" s="74"/>
      <c r="J59" s="36"/>
      <c r="K59" s="74"/>
      <c r="L59" s="74"/>
      <c r="M59" s="74" t="s">
        <v>260</v>
      </c>
      <c r="N59" s="74" t="str">
        <f>IFERROR(__xludf.DUMMYFUNCTION("""COMPUTED_VALUE"""),"")</f>
        <v/>
      </c>
    </row>
    <row r="60">
      <c r="A60" s="74"/>
      <c r="B60" s="73"/>
      <c r="C60" s="73"/>
      <c r="D60" s="73"/>
      <c r="E60" s="73"/>
      <c r="F60" s="73"/>
      <c r="G60" s="74"/>
      <c r="H60" s="73"/>
      <c r="I60" s="74"/>
      <c r="J60" s="36"/>
      <c r="K60" s="74"/>
      <c r="L60" s="74"/>
      <c r="M60" s="74" t="s">
        <v>260</v>
      </c>
      <c r="N60" s="74" t="str">
        <f>IFERROR(__xludf.DUMMYFUNCTION("""COMPUTED_VALUE"""),"")</f>
        <v/>
      </c>
    </row>
    <row r="61">
      <c r="A61" s="74"/>
      <c r="B61" s="73"/>
      <c r="C61" s="73"/>
      <c r="D61" s="73"/>
      <c r="E61" s="73"/>
      <c r="F61" s="73"/>
      <c r="G61" s="74"/>
      <c r="H61" s="73"/>
      <c r="I61" s="74"/>
      <c r="J61" s="36"/>
      <c r="K61" s="74"/>
      <c r="L61" s="74"/>
      <c r="M61" s="74" t="s">
        <v>260</v>
      </c>
      <c r="N61" s="74" t="str">
        <f>IFERROR(__xludf.DUMMYFUNCTION("""COMPUTED_VALUE"""),"")</f>
        <v/>
      </c>
    </row>
    <row r="62">
      <c r="A62" s="74"/>
      <c r="B62" s="73"/>
      <c r="C62" s="73"/>
      <c r="D62" s="73"/>
      <c r="E62" s="73"/>
      <c r="F62" s="73"/>
      <c r="G62" s="74"/>
      <c r="H62" s="73"/>
      <c r="I62" s="74"/>
      <c r="J62" s="36"/>
      <c r="K62" s="74"/>
      <c r="L62" s="74"/>
      <c r="M62" s="74" t="s">
        <v>260</v>
      </c>
      <c r="N62" s="74" t="str">
        <f>IFERROR(__xludf.DUMMYFUNCTION("""COMPUTED_VALUE"""),"")</f>
        <v/>
      </c>
    </row>
    <row r="63">
      <c r="A63" s="74"/>
      <c r="B63" s="73"/>
      <c r="C63" s="73"/>
      <c r="D63" s="73"/>
      <c r="E63" s="73"/>
      <c r="F63" s="73"/>
      <c r="G63" s="74"/>
      <c r="H63" s="73"/>
      <c r="I63" s="74"/>
      <c r="J63" s="36"/>
      <c r="K63" s="74"/>
      <c r="L63" s="74"/>
      <c r="M63" s="74" t="s">
        <v>260</v>
      </c>
      <c r="N63" s="74" t="str">
        <f>IFERROR(__xludf.DUMMYFUNCTION("""COMPUTED_VALUE"""),"")</f>
        <v/>
      </c>
    </row>
    <row r="64">
      <c r="A64" s="74"/>
      <c r="B64" s="73"/>
      <c r="C64" s="73"/>
      <c r="D64" s="73"/>
      <c r="E64" s="73"/>
      <c r="F64" s="73"/>
      <c r="G64" s="74"/>
      <c r="H64" s="73"/>
      <c r="I64" s="74"/>
      <c r="J64" s="36"/>
      <c r="K64" s="74"/>
      <c r="L64" s="74"/>
      <c r="M64" s="74" t="s">
        <v>260</v>
      </c>
      <c r="N64" s="74" t="str">
        <f>IFERROR(__xludf.DUMMYFUNCTION("""COMPUTED_VALUE"""),"")</f>
        <v/>
      </c>
    </row>
    <row r="65">
      <c r="A65" s="74"/>
      <c r="B65" s="73"/>
      <c r="C65" s="73"/>
      <c r="D65" s="73"/>
      <c r="E65" s="73"/>
      <c r="F65" s="73"/>
      <c r="G65" s="74"/>
      <c r="H65" s="73"/>
      <c r="I65" s="74"/>
      <c r="J65" s="36"/>
      <c r="K65" s="74"/>
      <c r="L65" s="74"/>
      <c r="M65" s="74" t="s">
        <v>260</v>
      </c>
      <c r="N65" s="74" t="str">
        <f>IFERROR(__xludf.DUMMYFUNCTION("""COMPUTED_VALUE"""),"")</f>
        <v/>
      </c>
    </row>
    <row r="66">
      <c r="A66" s="36"/>
      <c r="B66" s="73"/>
      <c r="C66" s="73"/>
      <c r="D66" s="73"/>
      <c r="E66" s="73"/>
      <c r="F66" s="73"/>
      <c r="G66" s="74"/>
      <c r="H66" s="73"/>
      <c r="I66" s="74"/>
      <c r="J66" s="36"/>
      <c r="K66" s="74"/>
      <c r="L66" s="74"/>
      <c r="M66" s="74" t="s">
        <v>260</v>
      </c>
      <c r="N66" s="74" t="str">
        <f>IFERROR(__xludf.DUMMYFUNCTION("""COMPUTED_VALUE"""),"")</f>
        <v/>
      </c>
    </row>
    <row r="67">
      <c r="A67" s="74"/>
      <c r="B67" s="73"/>
      <c r="C67" s="73"/>
      <c r="D67" s="73"/>
      <c r="E67" s="73"/>
      <c r="F67" s="73"/>
      <c r="G67" s="74"/>
      <c r="H67" s="73"/>
      <c r="I67" s="74"/>
      <c r="J67" s="36"/>
      <c r="K67" s="74"/>
      <c r="L67" s="74"/>
      <c r="M67" s="74" t="s">
        <v>260</v>
      </c>
      <c r="N67" s="74" t="str">
        <f>IFERROR(__xludf.DUMMYFUNCTION("""COMPUTED_VALUE"""),"")</f>
        <v/>
      </c>
    </row>
    <row r="68">
      <c r="A68" s="73"/>
      <c r="B68" s="73"/>
      <c r="C68" s="73"/>
      <c r="D68" s="73"/>
      <c r="E68" s="73"/>
      <c r="F68" s="73"/>
      <c r="G68" s="74"/>
      <c r="H68" s="73"/>
      <c r="I68" s="74"/>
      <c r="J68" s="36"/>
      <c r="K68" s="74"/>
      <c r="L68" s="74"/>
      <c r="M68" s="74" t="s">
        <v>260</v>
      </c>
      <c r="N68" s="74" t="str">
        <f>IFERROR(__xludf.DUMMYFUNCTION("""COMPUTED_VALUE"""),"")</f>
        <v/>
      </c>
    </row>
    <row r="69">
      <c r="A69" s="74"/>
      <c r="B69" s="73"/>
      <c r="C69" s="73"/>
      <c r="D69" s="73"/>
      <c r="E69" s="73"/>
      <c r="F69" s="73"/>
      <c r="G69" s="74"/>
      <c r="H69" s="73"/>
      <c r="I69" s="74"/>
      <c r="J69" s="36"/>
      <c r="K69" s="74"/>
      <c r="L69" s="74"/>
      <c r="M69" s="74" t="s">
        <v>260</v>
      </c>
      <c r="N69" s="74" t="str">
        <f>IFERROR(__xludf.DUMMYFUNCTION("""COMPUTED_VALUE"""),"")</f>
        <v/>
      </c>
    </row>
    <row r="70">
      <c r="A70" s="74"/>
      <c r="B70" s="73"/>
      <c r="C70" s="73"/>
      <c r="D70" s="73"/>
      <c r="E70" s="73"/>
      <c r="F70" s="73"/>
      <c r="G70" s="74"/>
      <c r="H70" s="73"/>
      <c r="I70" s="74"/>
      <c r="J70" s="36"/>
      <c r="K70" s="74"/>
      <c r="L70" s="74"/>
      <c r="M70" s="74" t="s">
        <v>260</v>
      </c>
      <c r="N70" s="74" t="str">
        <f>IFERROR(__xludf.DUMMYFUNCTION("""COMPUTED_VALUE"""),"")</f>
        <v/>
      </c>
    </row>
    <row r="71">
      <c r="A71" s="74"/>
      <c r="B71" s="73"/>
      <c r="C71" s="73"/>
      <c r="D71" s="73"/>
      <c r="E71" s="73"/>
      <c r="F71" s="73"/>
      <c r="G71" s="74"/>
      <c r="H71" s="73"/>
      <c r="I71" s="74"/>
      <c r="J71" s="36"/>
      <c r="K71" s="74"/>
      <c r="L71" s="74"/>
      <c r="M71" s="74" t="s">
        <v>260</v>
      </c>
      <c r="N71" s="74" t="str">
        <f>IFERROR(__xludf.DUMMYFUNCTION("""COMPUTED_VALUE"""),"")</f>
        <v/>
      </c>
    </row>
    <row r="72">
      <c r="A72" s="74"/>
      <c r="B72" s="73"/>
      <c r="C72" s="73"/>
      <c r="D72" s="73"/>
      <c r="E72" s="73"/>
      <c r="F72" s="73"/>
      <c r="G72" s="74"/>
      <c r="H72" s="73"/>
      <c r="I72" s="74"/>
      <c r="J72" s="36"/>
      <c r="K72" s="74"/>
      <c r="L72" s="74"/>
      <c r="M72" s="74" t="s">
        <v>260</v>
      </c>
      <c r="N72" s="74" t="str">
        <f>IFERROR(__xludf.DUMMYFUNCTION("""COMPUTED_VALUE"""),"")</f>
        <v/>
      </c>
    </row>
    <row r="73">
      <c r="A73" s="36"/>
      <c r="B73" s="73"/>
      <c r="C73" s="73"/>
      <c r="D73" s="73"/>
      <c r="E73" s="73"/>
      <c r="F73" s="73"/>
      <c r="G73" s="74"/>
      <c r="H73" s="73"/>
      <c r="I73" s="74"/>
      <c r="J73" s="36"/>
      <c r="K73" s="74"/>
      <c r="L73" s="74"/>
      <c r="M73" s="74" t="s">
        <v>260</v>
      </c>
      <c r="N73" s="74" t="str">
        <f>IFERROR(__xludf.DUMMYFUNCTION("""COMPUTED_VALUE"""),"")</f>
        <v/>
      </c>
    </row>
    <row r="74">
      <c r="A74" s="36"/>
      <c r="B74" s="73"/>
      <c r="C74" s="73"/>
      <c r="D74" s="73"/>
      <c r="E74" s="73"/>
      <c r="F74" s="73"/>
      <c r="G74" s="74"/>
      <c r="H74" s="73"/>
      <c r="I74" s="74"/>
      <c r="J74" s="36"/>
      <c r="K74" s="74"/>
      <c r="L74" s="74"/>
      <c r="M74" s="74" t="s">
        <v>260</v>
      </c>
      <c r="N74" s="74" t="str">
        <f>IFERROR(__xludf.DUMMYFUNCTION("""COMPUTED_VALUE"""),"")</f>
        <v/>
      </c>
    </row>
    <row r="75">
      <c r="A75" s="36"/>
      <c r="B75" s="73"/>
      <c r="C75" s="73"/>
      <c r="D75" s="73"/>
      <c r="E75" s="73"/>
      <c r="F75" s="73"/>
      <c r="G75" s="74"/>
      <c r="H75" s="73"/>
      <c r="I75" s="74"/>
      <c r="J75" s="36"/>
      <c r="K75" s="74"/>
      <c r="L75" s="74"/>
      <c r="M75" s="74" t="s">
        <v>260</v>
      </c>
      <c r="N75" s="74" t="str">
        <f>IFERROR(__xludf.DUMMYFUNCTION("""COMPUTED_VALUE"""),"")</f>
        <v/>
      </c>
    </row>
    <row r="76">
      <c r="A76" s="74"/>
      <c r="B76" s="73"/>
      <c r="C76" s="73"/>
      <c r="D76" s="73"/>
      <c r="E76" s="73"/>
      <c r="F76" s="73"/>
      <c r="G76" s="74"/>
      <c r="H76" s="73"/>
      <c r="I76" s="74"/>
      <c r="J76" s="36"/>
      <c r="K76" s="74"/>
      <c r="L76" s="74"/>
      <c r="M76" s="74" t="s">
        <v>260</v>
      </c>
      <c r="N76" s="74" t="str">
        <f>IFERROR(__xludf.DUMMYFUNCTION("""COMPUTED_VALUE"""),"")</f>
        <v/>
      </c>
    </row>
    <row r="77">
      <c r="A77" s="74"/>
      <c r="B77" s="73"/>
      <c r="C77" s="73"/>
      <c r="D77" s="73"/>
      <c r="E77" s="73"/>
      <c r="F77" s="73"/>
      <c r="G77" s="74"/>
      <c r="H77" s="73"/>
      <c r="I77" s="74"/>
      <c r="J77" s="36"/>
      <c r="K77" s="74"/>
      <c r="L77" s="74"/>
      <c r="M77" s="74" t="s">
        <v>260</v>
      </c>
      <c r="N77" s="74" t="str">
        <f>IFERROR(__xludf.DUMMYFUNCTION("""COMPUTED_VALUE"""),"")</f>
        <v/>
      </c>
    </row>
    <row r="78">
      <c r="A78" s="74"/>
      <c r="B78" s="73"/>
      <c r="C78" s="73"/>
      <c r="D78" s="73"/>
      <c r="E78" s="73"/>
      <c r="F78" s="73"/>
      <c r="G78" s="74"/>
      <c r="H78" s="73"/>
      <c r="I78" s="74"/>
      <c r="J78" s="36"/>
      <c r="K78" s="74"/>
      <c r="L78" s="74"/>
      <c r="M78" s="74" t="s">
        <v>260</v>
      </c>
      <c r="N78" s="74" t="str">
        <f>IFERROR(__xludf.DUMMYFUNCTION("""COMPUTED_VALUE"""),"")</f>
        <v/>
      </c>
    </row>
    <row r="79">
      <c r="A79" s="74"/>
      <c r="B79" s="73"/>
      <c r="C79" s="73"/>
      <c r="D79" s="73"/>
      <c r="E79" s="73"/>
      <c r="F79" s="73"/>
      <c r="G79" s="74"/>
      <c r="H79" s="73"/>
      <c r="I79" s="74"/>
      <c r="J79" s="36"/>
      <c r="K79" s="74"/>
      <c r="L79" s="74"/>
      <c r="M79" s="74" t="s">
        <v>260</v>
      </c>
      <c r="N79" s="74" t="str">
        <f>IFERROR(__xludf.DUMMYFUNCTION("""COMPUTED_VALUE"""),"")</f>
        <v/>
      </c>
    </row>
    <row r="80">
      <c r="A80" s="74"/>
      <c r="B80" s="73"/>
      <c r="C80" s="73"/>
      <c r="D80" s="73"/>
      <c r="E80" s="73"/>
      <c r="F80" s="73"/>
      <c r="G80" s="74"/>
      <c r="H80" s="73"/>
      <c r="I80" s="74"/>
      <c r="J80" s="36"/>
      <c r="K80" s="74"/>
      <c r="L80" s="74"/>
      <c r="M80" s="74" t="s">
        <v>260</v>
      </c>
      <c r="N80" s="74" t="str">
        <f>IFERROR(__xludf.DUMMYFUNCTION("""COMPUTED_VALUE"""),"")</f>
        <v/>
      </c>
    </row>
    <row r="81">
      <c r="A81" s="74"/>
      <c r="B81" s="73"/>
      <c r="C81" s="73"/>
      <c r="D81" s="73"/>
      <c r="E81" s="73"/>
      <c r="F81" s="73"/>
      <c r="G81" s="74"/>
      <c r="H81" s="73"/>
      <c r="I81" s="74"/>
      <c r="J81" s="36"/>
      <c r="K81" s="74"/>
      <c r="L81" s="74"/>
      <c r="M81" s="74" t="s">
        <v>260</v>
      </c>
      <c r="N81" s="74" t="str">
        <f>IFERROR(__xludf.DUMMYFUNCTION("""COMPUTED_VALUE"""),"")</f>
        <v/>
      </c>
    </row>
    <row r="82">
      <c r="A82" s="74"/>
      <c r="B82" s="73"/>
      <c r="C82" s="73"/>
      <c r="D82" s="73"/>
      <c r="E82" s="73"/>
      <c r="F82" s="73"/>
      <c r="G82" s="74"/>
      <c r="H82" s="73"/>
      <c r="I82" s="74"/>
      <c r="J82" s="36"/>
      <c r="K82" s="74"/>
      <c r="L82" s="74"/>
      <c r="M82" s="74" t="s">
        <v>260</v>
      </c>
      <c r="N82" s="74" t="str">
        <f>IFERROR(__xludf.DUMMYFUNCTION("""COMPUTED_VALUE"""),"")</f>
        <v/>
      </c>
    </row>
    <row r="83">
      <c r="A83" s="74"/>
      <c r="B83" s="73"/>
      <c r="C83" s="73"/>
      <c r="D83" s="73"/>
      <c r="E83" s="73"/>
      <c r="F83" s="73"/>
      <c r="G83" s="74"/>
      <c r="H83" s="73"/>
      <c r="I83" s="74"/>
      <c r="J83" s="36"/>
      <c r="K83" s="74"/>
      <c r="L83" s="74"/>
      <c r="M83" s="74" t="s">
        <v>260</v>
      </c>
      <c r="N83" s="74" t="str">
        <f>IFERROR(__xludf.DUMMYFUNCTION("""COMPUTED_VALUE"""),"")</f>
        <v/>
      </c>
    </row>
    <row r="84">
      <c r="A84" s="36"/>
      <c r="B84" s="73"/>
      <c r="C84" s="73"/>
      <c r="D84" s="73"/>
      <c r="E84" s="73"/>
      <c r="F84" s="73"/>
      <c r="G84" s="74"/>
      <c r="H84" s="73"/>
      <c r="I84" s="74"/>
      <c r="J84" s="36"/>
      <c r="K84" s="74"/>
      <c r="L84" s="74"/>
      <c r="M84" s="74" t="s">
        <v>260</v>
      </c>
      <c r="N84" s="74" t="str">
        <f>IFERROR(__xludf.DUMMYFUNCTION("""COMPUTED_VALUE"""),"")</f>
        <v/>
      </c>
    </row>
    <row r="85">
      <c r="A85" s="74"/>
      <c r="B85" s="73"/>
      <c r="C85" s="73"/>
      <c r="D85" s="73"/>
      <c r="E85" s="73"/>
      <c r="F85" s="73"/>
      <c r="G85" s="74"/>
      <c r="H85" s="73"/>
      <c r="I85" s="74"/>
      <c r="J85" s="36"/>
      <c r="K85" s="74"/>
      <c r="L85" s="74"/>
      <c r="M85" s="74" t="s">
        <v>260</v>
      </c>
      <c r="N85" s="74" t="str">
        <f>IFERROR(__xludf.DUMMYFUNCTION("""COMPUTED_VALUE"""),"")</f>
        <v/>
      </c>
    </row>
    <row r="86">
      <c r="A86" s="73"/>
      <c r="B86" s="73"/>
      <c r="C86" s="73"/>
      <c r="D86" s="73"/>
      <c r="E86" s="73"/>
      <c r="F86" s="73"/>
      <c r="G86" s="74"/>
      <c r="H86" s="73"/>
      <c r="I86" s="74"/>
      <c r="J86" s="36"/>
      <c r="K86" s="74"/>
      <c r="L86" s="74"/>
      <c r="M86" s="74" t="s">
        <v>260</v>
      </c>
      <c r="N86" s="74" t="str">
        <f>IFERROR(__xludf.DUMMYFUNCTION("""COMPUTED_VALUE"""),"")</f>
        <v/>
      </c>
    </row>
    <row r="87">
      <c r="A87" s="74"/>
      <c r="B87" s="73"/>
      <c r="C87" s="73"/>
      <c r="D87" s="73"/>
      <c r="E87" s="73"/>
      <c r="F87" s="73"/>
      <c r="G87" s="74"/>
      <c r="H87" s="73"/>
      <c r="I87" s="74"/>
      <c r="J87" s="36"/>
      <c r="K87" s="74"/>
      <c r="L87" s="74"/>
      <c r="M87" s="74" t="s">
        <v>260</v>
      </c>
      <c r="N87" s="74" t="str">
        <f>IFERROR(__xludf.DUMMYFUNCTION("""COMPUTED_VALUE"""),"")</f>
        <v/>
      </c>
    </row>
    <row r="88">
      <c r="A88" s="74"/>
      <c r="B88" s="73"/>
      <c r="C88" s="73"/>
      <c r="D88" s="73"/>
      <c r="E88" s="73"/>
      <c r="F88" s="73"/>
      <c r="G88" s="74"/>
      <c r="H88" s="73"/>
      <c r="I88" s="74"/>
      <c r="J88" s="36"/>
      <c r="K88" s="74"/>
      <c r="L88" s="74"/>
      <c r="M88" s="74" t="s">
        <v>260</v>
      </c>
      <c r="N88" s="74" t="str">
        <f>IFERROR(__xludf.DUMMYFUNCTION("""COMPUTED_VALUE"""),"")</f>
        <v/>
      </c>
    </row>
    <row r="89">
      <c r="A89" s="74"/>
      <c r="B89" s="73"/>
      <c r="C89" s="73"/>
      <c r="D89" s="73"/>
      <c r="E89" s="73"/>
      <c r="F89" s="73"/>
      <c r="G89" s="74"/>
      <c r="H89" s="73"/>
      <c r="I89" s="74"/>
      <c r="J89" s="36"/>
      <c r="K89" s="74"/>
      <c r="L89" s="74"/>
      <c r="M89" s="74" t="s">
        <v>260</v>
      </c>
      <c r="N89" s="74" t="str">
        <f>IFERROR(__xludf.DUMMYFUNCTION("""COMPUTED_VALUE"""),"")</f>
        <v/>
      </c>
    </row>
    <row r="90">
      <c r="A90" s="74"/>
      <c r="B90" s="73"/>
      <c r="C90" s="73"/>
      <c r="D90" s="73"/>
      <c r="E90" s="73"/>
      <c r="F90" s="73"/>
      <c r="G90" s="74"/>
      <c r="H90" s="73"/>
      <c r="I90" s="74"/>
      <c r="J90" s="36"/>
      <c r="K90" s="74"/>
      <c r="L90" s="74"/>
      <c r="M90" s="74" t="s">
        <v>260</v>
      </c>
      <c r="N90" s="74" t="str">
        <f>IFERROR(__xludf.DUMMYFUNCTION("""COMPUTED_VALUE"""),"")</f>
        <v/>
      </c>
    </row>
    <row r="91">
      <c r="A91" s="74"/>
      <c r="B91" s="73"/>
      <c r="C91" s="73"/>
      <c r="D91" s="73"/>
      <c r="E91" s="73"/>
      <c r="F91" s="73"/>
      <c r="G91" s="74"/>
      <c r="H91" s="73"/>
      <c r="I91" s="74"/>
      <c r="J91" s="36"/>
      <c r="K91" s="74"/>
      <c r="L91" s="74"/>
      <c r="M91" s="74" t="s">
        <v>260</v>
      </c>
      <c r="N91" s="74" t="str">
        <f>IFERROR(__xludf.DUMMYFUNCTION("""COMPUTED_VALUE"""),"")</f>
        <v/>
      </c>
    </row>
    <row r="92">
      <c r="A92" s="36"/>
      <c r="B92" s="73"/>
      <c r="C92" s="73"/>
      <c r="D92" s="73"/>
      <c r="E92" s="73"/>
      <c r="F92" s="73"/>
      <c r="G92" s="74"/>
      <c r="H92" s="73"/>
      <c r="I92" s="74"/>
      <c r="J92" s="36"/>
      <c r="K92" s="74"/>
      <c r="L92" s="74"/>
      <c r="M92" s="74" t="s">
        <v>260</v>
      </c>
      <c r="N92" s="74" t="str">
        <f>IFERROR(__xludf.DUMMYFUNCTION("""COMPUTED_VALUE"""),"")</f>
        <v/>
      </c>
    </row>
    <row r="93">
      <c r="A93" s="36"/>
      <c r="B93" s="73"/>
      <c r="C93" s="73"/>
      <c r="D93" s="73"/>
      <c r="E93" s="73"/>
      <c r="F93" s="73"/>
      <c r="G93" s="74"/>
      <c r="H93" s="73"/>
      <c r="I93" s="74"/>
      <c r="J93" s="36"/>
      <c r="K93" s="74"/>
      <c r="L93" s="74"/>
      <c r="M93" s="74" t="s">
        <v>260</v>
      </c>
      <c r="N93" s="74" t="str">
        <f>IFERROR(__xludf.DUMMYFUNCTION("""COMPUTED_VALUE"""),"")</f>
        <v/>
      </c>
    </row>
    <row r="94">
      <c r="A94" s="36"/>
      <c r="B94" s="73"/>
      <c r="C94" s="73"/>
      <c r="D94" s="73"/>
      <c r="E94" s="73"/>
      <c r="F94" s="73"/>
      <c r="G94" s="74"/>
      <c r="H94" s="73"/>
      <c r="I94" s="74"/>
      <c r="J94" s="36"/>
      <c r="K94" s="74"/>
      <c r="L94" s="74"/>
      <c r="M94" s="74" t="s">
        <v>260</v>
      </c>
      <c r="N94" s="74" t="str">
        <f>IFERROR(__xludf.DUMMYFUNCTION("""COMPUTED_VALUE"""),"")</f>
        <v/>
      </c>
    </row>
    <row r="95">
      <c r="A95" s="74"/>
      <c r="B95" s="73"/>
      <c r="C95" s="73"/>
      <c r="D95" s="73"/>
      <c r="E95" s="73"/>
      <c r="F95" s="73"/>
      <c r="G95" s="74"/>
      <c r="H95" s="73"/>
      <c r="I95" s="74"/>
      <c r="J95" s="36"/>
      <c r="K95" s="74"/>
      <c r="L95" s="74"/>
      <c r="M95" s="74" t="s">
        <v>260</v>
      </c>
      <c r="N95" s="74" t="str">
        <f>IFERROR(__xludf.DUMMYFUNCTION("""COMPUTED_VALUE"""),"")</f>
        <v/>
      </c>
    </row>
    <row r="96">
      <c r="A96" s="74"/>
      <c r="B96" s="73"/>
      <c r="C96" s="73"/>
      <c r="D96" s="73"/>
      <c r="E96" s="73"/>
      <c r="F96" s="73"/>
      <c r="G96" s="74"/>
      <c r="H96" s="73"/>
      <c r="I96" s="74"/>
      <c r="J96" s="36"/>
      <c r="K96" s="74"/>
      <c r="L96" s="74"/>
      <c r="M96" s="74" t="s">
        <v>260</v>
      </c>
      <c r="N96" s="74" t="str">
        <f>IFERROR(__xludf.DUMMYFUNCTION("""COMPUTED_VALUE"""),"")</f>
        <v/>
      </c>
    </row>
    <row r="97">
      <c r="A97" s="74"/>
      <c r="B97" s="73"/>
      <c r="C97" s="73"/>
      <c r="D97" s="73"/>
      <c r="E97" s="73"/>
      <c r="F97" s="73"/>
      <c r="G97" s="74"/>
      <c r="H97" s="73"/>
      <c r="I97" s="74"/>
      <c r="J97" s="36"/>
      <c r="K97" s="74"/>
      <c r="L97" s="74"/>
      <c r="M97" s="74" t="s">
        <v>260</v>
      </c>
      <c r="N97" s="74" t="str">
        <f>IFERROR(__xludf.DUMMYFUNCTION("""COMPUTED_VALUE"""),"")</f>
        <v/>
      </c>
    </row>
    <row r="98">
      <c r="A98" s="74"/>
      <c r="B98" s="73"/>
      <c r="C98" s="73"/>
      <c r="D98" s="73"/>
      <c r="E98" s="73"/>
      <c r="F98" s="73"/>
      <c r="G98" s="74"/>
      <c r="H98" s="73"/>
      <c r="I98" s="74"/>
      <c r="J98" s="36"/>
      <c r="K98" s="74"/>
      <c r="L98" s="74"/>
      <c r="M98" s="74" t="s">
        <v>260</v>
      </c>
      <c r="N98" s="74" t="str">
        <f>IFERROR(__xludf.DUMMYFUNCTION("""COMPUTED_VALUE"""),"")</f>
        <v/>
      </c>
    </row>
    <row r="99">
      <c r="A99" s="74"/>
      <c r="B99" s="73"/>
      <c r="C99" s="73"/>
      <c r="D99" s="73"/>
      <c r="E99" s="73"/>
      <c r="F99" s="73"/>
      <c r="G99" s="74"/>
      <c r="H99" s="73"/>
      <c r="I99" s="74"/>
      <c r="J99" s="36"/>
      <c r="K99" s="74"/>
      <c r="L99" s="74"/>
      <c r="M99" s="74" t="s">
        <v>260</v>
      </c>
      <c r="N99" s="74" t="str">
        <f>IFERROR(__xludf.DUMMYFUNCTION("""COMPUTED_VALUE"""),"")</f>
        <v/>
      </c>
    </row>
    <row r="100">
      <c r="A100" s="74"/>
      <c r="B100" s="73"/>
      <c r="C100" s="73"/>
      <c r="D100" s="73"/>
      <c r="E100" s="73"/>
      <c r="F100" s="73"/>
      <c r="G100" s="74"/>
      <c r="H100" s="73"/>
      <c r="I100" s="74"/>
      <c r="J100" s="36"/>
      <c r="K100" s="74"/>
      <c r="L100" s="74"/>
      <c r="M100" s="74" t="s">
        <v>260</v>
      </c>
      <c r="N100" s="74" t="str">
        <f>IFERROR(__xludf.DUMMYFUNCTION("""COMPUTED_VALUE"""),"")</f>
        <v/>
      </c>
    </row>
    <row r="101">
      <c r="A101" s="74"/>
      <c r="B101" s="73"/>
      <c r="C101" s="73"/>
      <c r="D101" s="73"/>
      <c r="E101" s="73"/>
      <c r="F101" s="73"/>
      <c r="G101" s="74"/>
      <c r="H101" s="73"/>
      <c r="I101" s="74"/>
      <c r="J101" s="36"/>
      <c r="K101" s="74"/>
      <c r="L101" s="74"/>
      <c r="M101" s="74" t="s">
        <v>260</v>
      </c>
      <c r="N101" s="74" t="str">
        <f>IFERROR(__xludf.DUMMYFUNCTION("""COMPUTED_VALUE"""),"")</f>
        <v/>
      </c>
    </row>
    <row r="102">
      <c r="A102" s="74"/>
      <c r="B102" s="73"/>
      <c r="C102" s="73"/>
      <c r="D102" s="73"/>
      <c r="E102" s="73"/>
      <c r="F102" s="73"/>
      <c r="G102" s="74"/>
      <c r="H102" s="73"/>
      <c r="I102" s="74"/>
      <c r="J102" s="36"/>
      <c r="K102" s="74"/>
      <c r="L102" s="74"/>
      <c r="M102" s="74" t="s">
        <v>260</v>
      </c>
      <c r="N102" s="74" t="str">
        <f>IFERROR(__xludf.DUMMYFUNCTION("""COMPUTED_VALUE"""),"")</f>
        <v/>
      </c>
    </row>
    <row r="103">
      <c r="A103" s="74"/>
      <c r="B103" s="73"/>
      <c r="C103" s="73"/>
      <c r="D103" s="73"/>
      <c r="E103" s="73"/>
      <c r="F103" s="73"/>
      <c r="G103" s="74"/>
      <c r="H103" s="73"/>
      <c r="I103" s="74"/>
      <c r="J103" s="36"/>
      <c r="K103" s="74"/>
      <c r="L103" s="74"/>
      <c r="M103" s="74" t="s">
        <v>260</v>
      </c>
      <c r="N103" s="74" t="str">
        <f>IFERROR(__xludf.DUMMYFUNCTION("""COMPUTED_VALUE"""),"")</f>
        <v/>
      </c>
    </row>
    <row r="104">
      <c r="A104" s="74"/>
      <c r="B104" s="73"/>
      <c r="C104" s="73"/>
      <c r="D104" s="73"/>
      <c r="E104" s="73"/>
      <c r="F104" s="73"/>
      <c r="G104" s="74"/>
      <c r="H104" s="73"/>
      <c r="I104" s="74"/>
      <c r="J104" s="36"/>
      <c r="K104" s="74"/>
      <c r="L104" s="74"/>
      <c r="M104" s="74" t="s">
        <v>260</v>
      </c>
      <c r="N104" s="74" t="str">
        <f>IFERROR(__xludf.DUMMYFUNCTION("""COMPUTED_VALUE"""),"")</f>
        <v/>
      </c>
    </row>
    <row r="105">
      <c r="A105" s="74"/>
      <c r="B105" s="73"/>
      <c r="C105" s="73"/>
      <c r="D105" s="73"/>
      <c r="E105" s="73"/>
      <c r="F105" s="73"/>
      <c r="G105" s="74"/>
      <c r="H105" s="73"/>
      <c r="I105" s="74"/>
      <c r="J105" s="36"/>
      <c r="K105" s="74"/>
      <c r="L105" s="74"/>
      <c r="M105" s="74" t="s">
        <v>260</v>
      </c>
      <c r="N105" s="74" t="str">
        <f>IFERROR(__xludf.DUMMYFUNCTION("""COMPUTED_VALUE"""),"")</f>
        <v/>
      </c>
    </row>
    <row r="106">
      <c r="A106" s="36"/>
      <c r="B106" s="73"/>
      <c r="C106" s="73"/>
      <c r="D106" s="73"/>
      <c r="E106" s="73"/>
      <c r="F106" s="73"/>
      <c r="G106" s="74"/>
      <c r="H106" s="73"/>
      <c r="I106" s="74"/>
      <c r="J106" s="36"/>
      <c r="K106" s="74"/>
      <c r="L106" s="74"/>
      <c r="M106" s="74" t="s">
        <v>260</v>
      </c>
      <c r="N106" s="74" t="str">
        <f>IFERROR(__xludf.DUMMYFUNCTION("""COMPUTED_VALUE"""),"")</f>
        <v/>
      </c>
    </row>
    <row r="107">
      <c r="A107" s="74"/>
      <c r="B107" s="73"/>
      <c r="C107" s="73"/>
      <c r="D107" s="73"/>
      <c r="E107" s="73"/>
      <c r="F107" s="73"/>
      <c r="G107" s="74"/>
      <c r="H107" s="73"/>
      <c r="I107" s="74"/>
      <c r="J107" s="36"/>
      <c r="K107" s="74"/>
      <c r="L107" s="74"/>
      <c r="M107" s="74" t="s">
        <v>260</v>
      </c>
      <c r="N107" s="74" t="str">
        <f>IFERROR(__xludf.DUMMYFUNCTION("""COMPUTED_VALUE"""),"")</f>
        <v/>
      </c>
    </row>
    <row r="108">
      <c r="A108" s="73"/>
      <c r="B108" s="73"/>
      <c r="C108" s="73"/>
      <c r="D108" s="73"/>
      <c r="E108" s="73"/>
      <c r="F108" s="73"/>
      <c r="G108" s="74"/>
      <c r="H108" s="73"/>
      <c r="I108" s="74"/>
      <c r="J108" s="36"/>
      <c r="K108" s="74"/>
      <c r="L108" s="74"/>
      <c r="M108" s="74" t="s">
        <v>260</v>
      </c>
      <c r="N108" s="74" t="str">
        <f>IFERROR(__xludf.DUMMYFUNCTION("""COMPUTED_VALUE"""),"")</f>
        <v/>
      </c>
    </row>
    <row r="109">
      <c r="A109" s="74"/>
      <c r="B109" s="73"/>
      <c r="C109" s="73"/>
      <c r="D109" s="73"/>
      <c r="E109" s="73"/>
      <c r="F109" s="73"/>
      <c r="G109" s="74"/>
      <c r="H109" s="73"/>
      <c r="I109" s="74"/>
      <c r="J109" s="36"/>
      <c r="K109" s="74"/>
      <c r="L109" s="74"/>
      <c r="M109" s="74" t="s">
        <v>260</v>
      </c>
      <c r="N109" s="74" t="str">
        <f>IFERROR(__xludf.DUMMYFUNCTION("""COMPUTED_VALUE"""),"")</f>
        <v/>
      </c>
    </row>
    <row r="110">
      <c r="A110" s="74"/>
      <c r="B110" s="73"/>
      <c r="C110" s="73"/>
      <c r="D110" s="73"/>
      <c r="E110" s="73"/>
      <c r="F110" s="73"/>
      <c r="G110" s="74"/>
      <c r="H110" s="73"/>
      <c r="I110" s="74"/>
      <c r="J110" s="36"/>
      <c r="K110" s="74"/>
      <c r="L110" s="74"/>
      <c r="M110" s="74" t="s">
        <v>260</v>
      </c>
      <c r="N110" s="74" t="str">
        <f>IFERROR(__xludf.DUMMYFUNCTION("""COMPUTED_VALUE"""),"")</f>
        <v/>
      </c>
    </row>
    <row r="111">
      <c r="A111" s="74"/>
      <c r="B111" s="73"/>
      <c r="C111" s="73"/>
      <c r="D111" s="73"/>
      <c r="E111" s="73"/>
      <c r="F111" s="73"/>
      <c r="G111" s="74"/>
      <c r="H111" s="73"/>
      <c r="I111" s="74"/>
      <c r="J111" s="36"/>
      <c r="K111" s="74"/>
      <c r="L111" s="74"/>
      <c r="M111" s="74" t="s">
        <v>260</v>
      </c>
      <c r="N111" s="74" t="str">
        <f>IFERROR(__xludf.DUMMYFUNCTION("""COMPUTED_VALUE"""),"")</f>
        <v/>
      </c>
    </row>
    <row r="112">
      <c r="A112" s="74"/>
      <c r="B112" s="73"/>
      <c r="C112" s="73"/>
      <c r="D112" s="73"/>
      <c r="E112" s="73"/>
      <c r="F112" s="73"/>
      <c r="G112" s="74"/>
      <c r="H112" s="73"/>
      <c r="I112" s="74"/>
      <c r="J112" s="36"/>
      <c r="K112" s="74"/>
      <c r="L112" s="74"/>
      <c r="M112" s="74" t="s">
        <v>260</v>
      </c>
      <c r="N112" s="74" t="str">
        <f>IFERROR(__xludf.DUMMYFUNCTION("""COMPUTED_VALUE"""),"")</f>
        <v/>
      </c>
    </row>
    <row r="113">
      <c r="A113" s="74"/>
      <c r="B113" s="73"/>
      <c r="C113" s="73"/>
      <c r="D113" s="73"/>
      <c r="E113" s="73"/>
      <c r="F113" s="73"/>
      <c r="G113" s="74"/>
      <c r="H113" s="73"/>
      <c r="I113" s="74"/>
      <c r="J113" s="36"/>
      <c r="K113" s="74"/>
      <c r="L113" s="74"/>
      <c r="M113" s="74" t="s">
        <v>260</v>
      </c>
      <c r="N113" s="74" t="str">
        <f>IFERROR(__xludf.DUMMYFUNCTION("""COMPUTED_VALUE"""),"")</f>
        <v/>
      </c>
    </row>
    <row r="114">
      <c r="A114" s="36"/>
      <c r="B114" s="73"/>
      <c r="C114" s="73"/>
      <c r="D114" s="73"/>
      <c r="E114" s="73"/>
      <c r="F114" s="73"/>
      <c r="G114" s="74"/>
      <c r="H114" s="73"/>
      <c r="I114" s="74"/>
      <c r="J114" s="36"/>
      <c r="K114" s="74"/>
      <c r="L114" s="74"/>
      <c r="M114" s="74" t="s">
        <v>260</v>
      </c>
      <c r="N114" s="74" t="str">
        <f>IFERROR(__xludf.DUMMYFUNCTION("""COMPUTED_VALUE"""),"")</f>
        <v/>
      </c>
    </row>
    <row r="115">
      <c r="A115" s="36"/>
      <c r="B115" s="73"/>
      <c r="C115" s="73"/>
      <c r="D115" s="73"/>
      <c r="E115" s="73"/>
      <c r="F115" s="73"/>
      <c r="G115" s="74"/>
      <c r="H115" s="73"/>
      <c r="I115" s="74"/>
      <c r="J115" s="36"/>
      <c r="K115" s="74"/>
      <c r="L115" s="74"/>
      <c r="M115" s="74" t="s">
        <v>260</v>
      </c>
      <c r="N115" s="74" t="str">
        <f>IFERROR(__xludf.DUMMYFUNCTION("""COMPUTED_VALUE"""),"")</f>
        <v/>
      </c>
    </row>
    <row r="116">
      <c r="A116" s="36"/>
      <c r="B116" s="73"/>
      <c r="C116" s="73"/>
      <c r="D116" s="73"/>
      <c r="E116" s="73"/>
      <c r="F116" s="73"/>
      <c r="G116" s="74"/>
      <c r="H116" s="73"/>
      <c r="I116" s="74"/>
      <c r="J116" s="36"/>
      <c r="K116" s="74"/>
      <c r="L116" s="74"/>
      <c r="M116" s="74" t="s">
        <v>260</v>
      </c>
      <c r="N116" s="74" t="str">
        <f>IFERROR(__xludf.DUMMYFUNCTION("""COMPUTED_VALUE"""),"")</f>
        <v/>
      </c>
    </row>
    <row r="117">
      <c r="A117" s="74"/>
      <c r="B117" s="73"/>
      <c r="C117" s="73"/>
      <c r="D117" s="73"/>
      <c r="E117" s="73"/>
      <c r="F117" s="73"/>
      <c r="G117" s="74"/>
      <c r="H117" s="73"/>
      <c r="I117" s="74"/>
      <c r="J117" s="36"/>
      <c r="K117" s="74"/>
      <c r="L117" s="74"/>
      <c r="M117" s="74" t="s">
        <v>260</v>
      </c>
      <c r="N117" s="74" t="str">
        <f>IFERROR(__xludf.DUMMYFUNCTION("""COMPUTED_VALUE"""),"")</f>
        <v/>
      </c>
    </row>
    <row r="118">
      <c r="A118" s="74"/>
      <c r="B118" s="73"/>
      <c r="C118" s="73"/>
      <c r="D118" s="73"/>
      <c r="E118" s="73"/>
      <c r="F118" s="73"/>
      <c r="G118" s="74"/>
      <c r="H118" s="73"/>
      <c r="I118" s="74"/>
      <c r="J118" s="36"/>
      <c r="K118" s="74"/>
      <c r="L118" s="74"/>
      <c r="M118" s="74" t="s">
        <v>260</v>
      </c>
      <c r="N118" s="74" t="str">
        <f>IFERROR(__xludf.DUMMYFUNCTION("""COMPUTED_VALUE"""),"")</f>
        <v/>
      </c>
    </row>
    <row r="119">
      <c r="A119" s="74"/>
      <c r="B119" s="73"/>
      <c r="C119" s="73"/>
      <c r="D119" s="73"/>
      <c r="E119" s="73"/>
      <c r="F119" s="73"/>
      <c r="G119" s="74"/>
      <c r="H119" s="73"/>
      <c r="I119" s="74"/>
      <c r="J119" s="36"/>
      <c r="K119" s="74"/>
      <c r="L119" s="74"/>
      <c r="M119" s="74" t="s">
        <v>260</v>
      </c>
      <c r="N119" s="74" t="str">
        <f>IFERROR(__xludf.DUMMYFUNCTION("""COMPUTED_VALUE"""),"")</f>
        <v/>
      </c>
    </row>
    <row r="120">
      <c r="A120" s="74"/>
      <c r="B120" s="73"/>
      <c r="C120" s="73"/>
      <c r="D120" s="73"/>
      <c r="E120" s="73"/>
      <c r="F120" s="73"/>
      <c r="G120" s="74"/>
      <c r="H120" s="73"/>
      <c r="I120" s="74"/>
      <c r="J120" s="36"/>
      <c r="K120" s="74"/>
      <c r="L120" s="74"/>
      <c r="M120" s="74" t="s">
        <v>260</v>
      </c>
      <c r="N120" s="74" t="str">
        <f>IFERROR(__xludf.DUMMYFUNCTION("""COMPUTED_VALUE"""),"")</f>
        <v/>
      </c>
    </row>
    <row r="121">
      <c r="A121" s="74"/>
      <c r="B121" s="73"/>
      <c r="C121" s="73"/>
      <c r="D121" s="73"/>
      <c r="E121" s="73"/>
      <c r="F121" s="73"/>
      <c r="G121" s="74"/>
      <c r="H121" s="73"/>
      <c r="I121" s="74"/>
      <c r="J121" s="36"/>
      <c r="K121" s="74"/>
      <c r="L121" s="74"/>
      <c r="M121" s="74" t="s">
        <v>260</v>
      </c>
      <c r="N121" s="74" t="str">
        <f>IFERROR(__xludf.DUMMYFUNCTION("""COMPUTED_VALUE"""),"")</f>
        <v/>
      </c>
    </row>
    <row r="122">
      <c r="A122" s="74"/>
      <c r="B122" s="73"/>
      <c r="C122" s="73"/>
      <c r="D122" s="73"/>
      <c r="E122" s="73"/>
      <c r="F122" s="73"/>
      <c r="G122" s="74"/>
      <c r="H122" s="73"/>
      <c r="I122" s="74"/>
      <c r="J122" s="36"/>
      <c r="K122" s="74"/>
      <c r="L122" s="74"/>
      <c r="M122" s="74" t="s">
        <v>260</v>
      </c>
      <c r="N122" s="74" t="str">
        <f>IFERROR(__xludf.DUMMYFUNCTION("""COMPUTED_VALUE"""),"")</f>
        <v/>
      </c>
    </row>
    <row r="123">
      <c r="A123" s="74"/>
      <c r="B123" s="73"/>
      <c r="C123" s="73"/>
      <c r="D123" s="73"/>
      <c r="E123" s="73"/>
      <c r="F123" s="73"/>
      <c r="G123" s="74"/>
      <c r="H123" s="73"/>
      <c r="I123" s="74"/>
      <c r="J123" s="36"/>
      <c r="K123" s="74"/>
      <c r="L123" s="74"/>
      <c r="M123" s="74" t="s">
        <v>260</v>
      </c>
      <c r="N123" s="74" t="str">
        <f>IFERROR(__xludf.DUMMYFUNCTION("""COMPUTED_VALUE"""),"")</f>
        <v/>
      </c>
    </row>
    <row r="124">
      <c r="A124" s="74"/>
      <c r="B124" s="73"/>
      <c r="C124" s="73"/>
      <c r="D124" s="73"/>
      <c r="E124" s="73"/>
      <c r="F124" s="73"/>
      <c r="G124" s="74"/>
      <c r="H124" s="73"/>
      <c r="I124" s="74"/>
      <c r="J124" s="36"/>
      <c r="K124" s="74"/>
      <c r="L124" s="74"/>
      <c r="M124" s="74" t="s">
        <v>260</v>
      </c>
      <c r="N124" s="74" t="str">
        <f>IFERROR(__xludf.DUMMYFUNCTION("""COMPUTED_VALUE"""),"")</f>
        <v/>
      </c>
    </row>
    <row r="125">
      <c r="A125" s="74"/>
      <c r="B125" s="73"/>
      <c r="C125" s="73"/>
      <c r="D125" s="73"/>
      <c r="E125" s="73"/>
      <c r="F125" s="73"/>
      <c r="G125" s="74"/>
      <c r="H125" s="73"/>
      <c r="I125" s="74"/>
      <c r="J125" s="36"/>
      <c r="K125" s="74"/>
      <c r="L125" s="74"/>
      <c r="M125" s="74" t="s">
        <v>260</v>
      </c>
      <c r="N125" s="74" t="str">
        <f>IFERROR(__xludf.DUMMYFUNCTION("""COMPUTED_VALUE"""),"")</f>
        <v/>
      </c>
    </row>
    <row r="126">
      <c r="A126" s="74"/>
      <c r="B126" s="73"/>
      <c r="C126" s="73"/>
      <c r="D126" s="73"/>
      <c r="E126" s="73"/>
      <c r="F126" s="73"/>
      <c r="G126" s="74"/>
      <c r="H126" s="73"/>
      <c r="I126" s="74"/>
      <c r="J126" s="36"/>
      <c r="K126" s="74"/>
      <c r="L126" s="74"/>
      <c r="M126" s="74" t="s">
        <v>260</v>
      </c>
      <c r="N126" s="74" t="str">
        <f>IFERROR(__xludf.DUMMYFUNCTION("""COMPUTED_VALUE"""),"")</f>
        <v/>
      </c>
    </row>
    <row r="127">
      <c r="A127" s="74"/>
      <c r="B127" s="73"/>
      <c r="C127" s="73"/>
      <c r="D127" s="73"/>
      <c r="E127" s="73"/>
      <c r="F127" s="73"/>
      <c r="G127" s="74"/>
      <c r="H127" s="73"/>
      <c r="I127" s="74"/>
      <c r="J127" s="36"/>
      <c r="K127" s="74"/>
      <c r="L127" s="74"/>
      <c r="M127" s="74" t="s">
        <v>260</v>
      </c>
      <c r="N127" s="74" t="str">
        <f>IFERROR(__xludf.DUMMYFUNCTION("""COMPUTED_VALUE"""),"")</f>
        <v/>
      </c>
    </row>
    <row r="128">
      <c r="A128" s="36"/>
      <c r="B128" s="73"/>
      <c r="C128" s="73"/>
      <c r="D128" s="73"/>
      <c r="E128" s="73"/>
      <c r="F128" s="73"/>
      <c r="G128" s="74"/>
      <c r="H128" s="73"/>
      <c r="I128" s="74"/>
      <c r="J128" s="36"/>
      <c r="K128" s="74"/>
      <c r="L128" s="74"/>
      <c r="M128" s="74" t="s">
        <v>260</v>
      </c>
      <c r="N128" s="74" t="str">
        <f>IFERROR(__xludf.DUMMYFUNCTION("""COMPUTED_VALUE"""),"")</f>
        <v/>
      </c>
    </row>
    <row r="129">
      <c r="A129" s="74"/>
      <c r="B129" s="73"/>
      <c r="C129" s="73"/>
      <c r="D129" s="73"/>
      <c r="E129" s="73"/>
      <c r="F129" s="73"/>
      <c r="G129" s="74"/>
      <c r="H129" s="73"/>
      <c r="I129" s="74"/>
      <c r="J129" s="36"/>
      <c r="K129" s="74"/>
      <c r="L129" s="74"/>
      <c r="M129" s="74" t="s">
        <v>260</v>
      </c>
      <c r="N129" s="74" t="str">
        <f>IFERROR(__xludf.DUMMYFUNCTION("""COMPUTED_VALUE"""),"")</f>
        <v/>
      </c>
    </row>
    <row r="130">
      <c r="A130" s="73"/>
      <c r="B130" s="73"/>
      <c r="C130" s="73"/>
      <c r="D130" s="73"/>
      <c r="E130" s="73"/>
      <c r="F130" s="73"/>
      <c r="G130" s="74"/>
      <c r="H130" s="73"/>
      <c r="I130" s="74"/>
      <c r="J130" s="36"/>
      <c r="K130" s="74"/>
      <c r="L130" s="74"/>
      <c r="M130" s="74" t="s">
        <v>260</v>
      </c>
      <c r="N130" s="74" t="str">
        <f>IFERROR(__xludf.DUMMYFUNCTION("""COMPUTED_VALUE"""),"")</f>
        <v/>
      </c>
    </row>
    <row r="131">
      <c r="A131" s="74"/>
      <c r="B131" s="73"/>
      <c r="C131" s="73"/>
      <c r="D131" s="73"/>
      <c r="E131" s="73"/>
      <c r="F131" s="73"/>
      <c r="G131" s="74"/>
      <c r="H131" s="73"/>
      <c r="I131" s="74"/>
      <c r="J131" s="36"/>
      <c r="K131" s="74"/>
      <c r="L131" s="74"/>
      <c r="M131" s="74" t="s">
        <v>260</v>
      </c>
      <c r="N131" s="74" t="str">
        <f>IFERROR(__xludf.DUMMYFUNCTION("""COMPUTED_VALUE"""),"")</f>
        <v/>
      </c>
    </row>
    <row r="132">
      <c r="A132" s="74"/>
      <c r="B132" s="73"/>
      <c r="C132" s="73"/>
      <c r="D132" s="73"/>
      <c r="E132" s="73"/>
      <c r="F132" s="73"/>
      <c r="G132" s="74"/>
      <c r="H132" s="73"/>
      <c r="I132" s="74"/>
      <c r="J132" s="36"/>
      <c r="K132" s="74"/>
      <c r="L132" s="74"/>
      <c r="M132" s="74" t="s">
        <v>260</v>
      </c>
      <c r="N132" s="74" t="str">
        <f>IFERROR(__xludf.DUMMYFUNCTION("""COMPUTED_VALUE"""),"")</f>
        <v/>
      </c>
    </row>
    <row r="133">
      <c r="A133" s="74"/>
      <c r="B133" s="73"/>
      <c r="C133" s="73"/>
      <c r="D133" s="73"/>
      <c r="E133" s="73"/>
      <c r="F133" s="73"/>
      <c r="G133" s="74"/>
      <c r="H133" s="73"/>
      <c r="I133" s="74"/>
      <c r="J133" s="36"/>
      <c r="K133" s="74"/>
      <c r="L133" s="74"/>
      <c r="M133" s="74" t="s">
        <v>260</v>
      </c>
      <c r="N133" s="74" t="str">
        <f>IFERROR(__xludf.DUMMYFUNCTION("""COMPUTED_VALUE"""),"")</f>
        <v/>
      </c>
    </row>
    <row r="134">
      <c r="A134" s="74"/>
      <c r="B134" s="73"/>
      <c r="C134" s="73"/>
      <c r="D134" s="73"/>
      <c r="E134" s="73"/>
      <c r="F134" s="73"/>
      <c r="G134" s="74"/>
      <c r="H134" s="73"/>
      <c r="I134" s="74"/>
      <c r="J134" s="36"/>
      <c r="K134" s="74"/>
      <c r="L134" s="74"/>
      <c r="M134" s="74" t="s">
        <v>260</v>
      </c>
      <c r="N134" s="74" t="str">
        <f>IFERROR(__xludf.DUMMYFUNCTION("""COMPUTED_VALUE"""),"")</f>
        <v/>
      </c>
    </row>
    <row r="135">
      <c r="A135" s="74"/>
      <c r="B135" s="73"/>
      <c r="C135" s="73"/>
      <c r="D135" s="73"/>
      <c r="E135" s="73"/>
      <c r="F135" s="73"/>
      <c r="G135" s="74"/>
      <c r="H135" s="73"/>
      <c r="I135" s="74"/>
      <c r="J135" s="36"/>
      <c r="K135" s="74"/>
      <c r="L135" s="74"/>
      <c r="M135" s="74" t="s">
        <v>260</v>
      </c>
      <c r="N135" s="74" t="str">
        <f>IFERROR(__xludf.DUMMYFUNCTION("""COMPUTED_VALUE"""),"")</f>
        <v/>
      </c>
    </row>
    <row r="136">
      <c r="A136" s="36"/>
      <c r="B136" s="73"/>
      <c r="C136" s="73"/>
      <c r="D136" s="73"/>
      <c r="E136" s="73"/>
      <c r="F136" s="73"/>
      <c r="G136" s="74"/>
      <c r="H136" s="73"/>
      <c r="I136" s="74"/>
      <c r="J136" s="36"/>
      <c r="K136" s="74"/>
      <c r="L136" s="74"/>
      <c r="M136" s="74" t="s">
        <v>260</v>
      </c>
      <c r="N136" s="74" t="str">
        <f>IFERROR(__xludf.DUMMYFUNCTION("""COMPUTED_VALUE"""),"")</f>
        <v/>
      </c>
    </row>
    <row r="137">
      <c r="A137" s="36"/>
      <c r="B137" s="73"/>
      <c r="C137" s="73"/>
      <c r="D137" s="73"/>
      <c r="E137" s="73"/>
      <c r="F137" s="73"/>
      <c r="G137" s="74"/>
      <c r="H137" s="73"/>
      <c r="I137" s="74"/>
      <c r="J137" s="36"/>
      <c r="K137" s="74"/>
      <c r="L137" s="74"/>
      <c r="M137" s="74" t="s">
        <v>260</v>
      </c>
      <c r="N137" s="74" t="str">
        <f>IFERROR(__xludf.DUMMYFUNCTION("""COMPUTED_VALUE"""),"")</f>
        <v/>
      </c>
    </row>
    <row r="138">
      <c r="A138" s="36"/>
      <c r="B138" s="73"/>
      <c r="C138" s="73"/>
      <c r="D138" s="73"/>
      <c r="E138" s="73"/>
      <c r="F138" s="73"/>
      <c r="G138" s="74"/>
      <c r="H138" s="73"/>
      <c r="I138" s="74"/>
      <c r="J138" s="36"/>
      <c r="K138" s="74"/>
      <c r="L138" s="74"/>
      <c r="M138" s="74" t="s">
        <v>260</v>
      </c>
      <c r="N138" s="74" t="str">
        <f>IFERROR(__xludf.DUMMYFUNCTION("""COMPUTED_VALUE"""),"")</f>
        <v/>
      </c>
    </row>
    <row r="139">
      <c r="A139" s="74"/>
      <c r="B139" s="73"/>
      <c r="C139" s="73"/>
      <c r="D139" s="73"/>
      <c r="E139" s="73"/>
      <c r="F139" s="73"/>
      <c r="G139" s="74"/>
      <c r="H139" s="73"/>
      <c r="I139" s="74"/>
      <c r="J139" s="36"/>
      <c r="K139" s="74"/>
      <c r="L139" s="74"/>
      <c r="M139" s="74" t="s">
        <v>260</v>
      </c>
      <c r="N139" s="74" t="str">
        <f>IFERROR(__xludf.DUMMYFUNCTION("""COMPUTED_VALUE"""),"")</f>
        <v/>
      </c>
    </row>
    <row r="140">
      <c r="A140" s="74"/>
      <c r="B140" s="73"/>
      <c r="C140" s="73"/>
      <c r="D140" s="73"/>
      <c r="E140" s="73"/>
      <c r="F140" s="73"/>
      <c r="G140" s="74"/>
      <c r="H140" s="73"/>
      <c r="I140" s="74"/>
      <c r="J140" s="36"/>
      <c r="K140" s="74"/>
      <c r="L140" s="74"/>
      <c r="M140" s="74" t="s">
        <v>260</v>
      </c>
      <c r="N140" s="74" t="str">
        <f>IFERROR(__xludf.DUMMYFUNCTION("""COMPUTED_VALUE"""),"")</f>
        <v/>
      </c>
    </row>
    <row r="141">
      <c r="A141" s="74"/>
      <c r="B141" s="73"/>
      <c r="C141" s="73"/>
      <c r="D141" s="73"/>
      <c r="E141" s="73"/>
      <c r="F141" s="73"/>
      <c r="G141" s="74"/>
      <c r="H141" s="73"/>
      <c r="I141" s="74"/>
      <c r="J141" s="36"/>
      <c r="K141" s="74"/>
      <c r="L141" s="74"/>
      <c r="M141" s="74" t="s">
        <v>260</v>
      </c>
      <c r="N141" s="74" t="str">
        <f>IFERROR(__xludf.DUMMYFUNCTION("""COMPUTED_VALUE"""),"")</f>
        <v/>
      </c>
    </row>
    <row r="142">
      <c r="A142" s="74"/>
      <c r="B142" s="73"/>
      <c r="C142" s="73"/>
      <c r="D142" s="73"/>
      <c r="E142" s="73"/>
      <c r="F142" s="73"/>
      <c r="G142" s="74"/>
      <c r="H142" s="73"/>
      <c r="I142" s="74"/>
      <c r="J142" s="36"/>
      <c r="K142" s="74"/>
      <c r="L142" s="74"/>
      <c r="M142" s="74" t="s">
        <v>260</v>
      </c>
      <c r="N142" s="74" t="str">
        <f>IFERROR(__xludf.DUMMYFUNCTION("""COMPUTED_VALUE"""),"")</f>
        <v/>
      </c>
    </row>
    <row r="143">
      <c r="A143" s="74"/>
      <c r="B143" s="73"/>
      <c r="C143" s="73"/>
      <c r="D143" s="73"/>
      <c r="E143" s="73"/>
      <c r="F143" s="73"/>
      <c r="G143" s="74"/>
      <c r="H143" s="73"/>
      <c r="I143" s="74"/>
      <c r="J143" s="36"/>
      <c r="K143" s="74"/>
      <c r="L143" s="74"/>
      <c r="M143" s="74" t="s">
        <v>260</v>
      </c>
      <c r="N143" s="74" t="str">
        <f>IFERROR(__xludf.DUMMYFUNCTION("""COMPUTED_VALUE"""),"")</f>
        <v/>
      </c>
    </row>
    <row r="144">
      <c r="A144" s="74"/>
      <c r="B144" s="73"/>
      <c r="C144" s="73"/>
      <c r="D144" s="73"/>
      <c r="E144" s="73"/>
      <c r="F144" s="73"/>
      <c r="G144" s="74"/>
      <c r="H144" s="73"/>
      <c r="I144" s="74"/>
      <c r="J144" s="36"/>
      <c r="K144" s="74"/>
      <c r="L144" s="74"/>
      <c r="M144" s="74" t="s">
        <v>260</v>
      </c>
      <c r="N144" s="74" t="str">
        <f>IFERROR(__xludf.DUMMYFUNCTION("""COMPUTED_VALUE"""),"")</f>
        <v/>
      </c>
    </row>
    <row r="145">
      <c r="A145" s="74"/>
      <c r="B145" s="73"/>
      <c r="C145" s="73"/>
      <c r="D145" s="73"/>
      <c r="E145" s="73"/>
      <c r="F145" s="73"/>
      <c r="G145" s="74"/>
      <c r="H145" s="73"/>
      <c r="I145" s="74"/>
      <c r="J145" s="36"/>
      <c r="K145" s="74"/>
      <c r="L145" s="74"/>
      <c r="M145" s="74" t="s">
        <v>260</v>
      </c>
      <c r="N145" s="74" t="str">
        <f>IFERROR(__xludf.DUMMYFUNCTION("""COMPUTED_VALUE"""),"")</f>
        <v/>
      </c>
    </row>
    <row r="146">
      <c r="A146" s="74"/>
      <c r="B146" s="73"/>
      <c r="C146" s="73"/>
      <c r="D146" s="73"/>
      <c r="E146" s="73"/>
      <c r="F146" s="73"/>
      <c r="G146" s="74"/>
      <c r="H146" s="73"/>
      <c r="I146" s="74"/>
      <c r="J146" s="36"/>
      <c r="K146" s="74"/>
      <c r="L146" s="74"/>
      <c r="M146" s="74" t="s">
        <v>260</v>
      </c>
      <c r="N146" s="74" t="str">
        <f>IFERROR(__xludf.DUMMYFUNCTION("""COMPUTED_VALUE"""),"")</f>
        <v/>
      </c>
    </row>
    <row r="147">
      <c r="A147" s="74"/>
      <c r="B147" s="73"/>
      <c r="C147" s="73"/>
      <c r="D147" s="73"/>
      <c r="E147" s="73"/>
      <c r="F147" s="73"/>
      <c r="G147" s="74"/>
      <c r="H147" s="73"/>
      <c r="I147" s="74"/>
      <c r="J147" s="36"/>
      <c r="K147" s="74"/>
      <c r="L147" s="74"/>
      <c r="M147" s="74" t="s">
        <v>260</v>
      </c>
      <c r="N147" s="74" t="str">
        <f>IFERROR(__xludf.DUMMYFUNCTION("""COMPUTED_VALUE"""),"")</f>
        <v/>
      </c>
    </row>
    <row r="148">
      <c r="A148" s="74"/>
      <c r="B148" s="73"/>
      <c r="C148" s="73"/>
      <c r="D148" s="73"/>
      <c r="E148" s="73"/>
      <c r="F148" s="73"/>
      <c r="G148" s="74"/>
      <c r="H148" s="73"/>
      <c r="I148" s="74"/>
      <c r="J148" s="36"/>
      <c r="K148" s="74"/>
      <c r="L148" s="74"/>
      <c r="M148" s="74" t="s">
        <v>260</v>
      </c>
      <c r="N148" s="74" t="str">
        <f>IFERROR(__xludf.DUMMYFUNCTION("""COMPUTED_VALUE"""),"")</f>
        <v/>
      </c>
    </row>
    <row r="149">
      <c r="A149" s="74"/>
      <c r="B149" s="73"/>
      <c r="C149" s="73"/>
      <c r="D149" s="73"/>
      <c r="E149" s="73"/>
      <c r="F149" s="73"/>
      <c r="G149" s="74"/>
      <c r="H149" s="73"/>
      <c r="I149" s="74"/>
      <c r="J149" s="36"/>
      <c r="K149" s="74"/>
      <c r="L149" s="74"/>
      <c r="M149" s="74" t="s">
        <v>260</v>
      </c>
      <c r="N149" s="74" t="str">
        <f>IFERROR(__xludf.DUMMYFUNCTION("""COMPUTED_VALUE"""),"")</f>
        <v/>
      </c>
    </row>
    <row r="150">
      <c r="A150" s="36"/>
      <c r="B150" s="73"/>
      <c r="C150" s="73"/>
      <c r="D150" s="73"/>
      <c r="E150" s="73"/>
      <c r="F150" s="73"/>
      <c r="G150" s="74"/>
      <c r="H150" s="73"/>
      <c r="I150" s="74"/>
      <c r="J150" s="36"/>
      <c r="K150" s="74"/>
      <c r="L150" s="74"/>
      <c r="M150" s="74" t="s">
        <v>260</v>
      </c>
      <c r="N150" s="74" t="str">
        <f>IFERROR(__xludf.DUMMYFUNCTION("""COMPUTED_VALUE"""),"")</f>
        <v/>
      </c>
    </row>
    <row r="151">
      <c r="A151" s="74"/>
      <c r="B151" s="73"/>
      <c r="C151" s="73"/>
      <c r="D151" s="73"/>
      <c r="E151" s="73"/>
      <c r="F151" s="73"/>
      <c r="G151" s="74"/>
      <c r="H151" s="73"/>
      <c r="I151" s="74"/>
      <c r="J151" s="36"/>
      <c r="K151" s="74"/>
      <c r="L151" s="74"/>
      <c r="M151" s="74" t="s">
        <v>260</v>
      </c>
      <c r="N151" s="74" t="str">
        <f>IFERROR(__xludf.DUMMYFUNCTION("""COMPUTED_VALUE"""),"")</f>
        <v/>
      </c>
    </row>
    <row r="152">
      <c r="A152" s="73"/>
      <c r="B152" s="73"/>
      <c r="C152" s="73"/>
      <c r="D152" s="73"/>
      <c r="E152" s="73"/>
      <c r="F152" s="73"/>
      <c r="G152" s="74"/>
      <c r="H152" s="73"/>
      <c r="I152" s="74"/>
      <c r="J152" s="36"/>
      <c r="K152" s="74"/>
      <c r="L152" s="74"/>
      <c r="M152" s="74" t="s">
        <v>260</v>
      </c>
      <c r="N152" s="74" t="str">
        <f>IFERROR(__xludf.DUMMYFUNCTION("""COMPUTED_VALUE"""),"")</f>
        <v/>
      </c>
    </row>
    <row r="153">
      <c r="A153" s="74"/>
      <c r="B153" s="73"/>
      <c r="C153" s="73"/>
      <c r="D153" s="73"/>
      <c r="E153" s="73"/>
      <c r="F153" s="73"/>
      <c r="G153" s="74"/>
      <c r="H153" s="73"/>
      <c r="I153" s="74"/>
      <c r="J153" s="36"/>
      <c r="K153" s="74"/>
      <c r="L153" s="74"/>
      <c r="M153" s="74" t="s">
        <v>260</v>
      </c>
      <c r="N153" s="74" t="str">
        <f>IFERROR(__xludf.DUMMYFUNCTION("""COMPUTED_VALUE"""),"")</f>
        <v/>
      </c>
    </row>
    <row r="154">
      <c r="A154" s="74"/>
      <c r="B154" s="73"/>
      <c r="C154" s="73"/>
      <c r="D154" s="73"/>
      <c r="E154" s="73"/>
      <c r="F154" s="73"/>
      <c r="G154" s="74"/>
      <c r="H154" s="73"/>
      <c r="I154" s="74"/>
      <c r="J154" s="36"/>
      <c r="K154" s="74"/>
      <c r="L154" s="74"/>
      <c r="M154" s="74" t="s">
        <v>260</v>
      </c>
      <c r="N154" s="74" t="str">
        <f>IFERROR(__xludf.DUMMYFUNCTION("""COMPUTED_VALUE"""),"")</f>
        <v/>
      </c>
    </row>
    <row r="155">
      <c r="A155" s="74"/>
      <c r="B155" s="73"/>
      <c r="C155" s="73"/>
      <c r="D155" s="73"/>
      <c r="E155" s="73"/>
      <c r="F155" s="73"/>
      <c r="G155" s="74"/>
      <c r="H155" s="73"/>
      <c r="I155" s="74"/>
      <c r="J155" s="36"/>
      <c r="K155" s="74"/>
      <c r="L155" s="74"/>
      <c r="M155" s="74" t="s">
        <v>260</v>
      </c>
      <c r="N155" s="74" t="str">
        <f>IFERROR(__xludf.DUMMYFUNCTION("""COMPUTED_VALUE"""),"")</f>
        <v/>
      </c>
    </row>
    <row r="156">
      <c r="A156" s="74"/>
      <c r="B156" s="73"/>
      <c r="C156" s="73"/>
      <c r="D156" s="73"/>
      <c r="E156" s="73"/>
      <c r="F156" s="73"/>
      <c r="G156" s="74"/>
      <c r="H156" s="73"/>
      <c r="I156" s="74"/>
      <c r="J156" s="36"/>
      <c r="K156" s="74"/>
      <c r="L156" s="74"/>
      <c r="M156" s="74" t="s">
        <v>260</v>
      </c>
      <c r="N156" s="74" t="str">
        <f>IFERROR(__xludf.DUMMYFUNCTION("""COMPUTED_VALUE"""),"")</f>
        <v/>
      </c>
    </row>
    <row r="157">
      <c r="A157" s="74"/>
      <c r="B157" s="73"/>
      <c r="C157" s="73"/>
      <c r="D157" s="73"/>
      <c r="E157" s="73"/>
      <c r="F157" s="73"/>
      <c r="G157" s="74"/>
      <c r="H157" s="73"/>
      <c r="I157" s="74"/>
      <c r="J157" s="36"/>
      <c r="K157" s="74"/>
      <c r="L157" s="74"/>
      <c r="M157" s="74" t="s">
        <v>260</v>
      </c>
      <c r="N157" s="74" t="str">
        <f>IFERROR(__xludf.DUMMYFUNCTION("""COMPUTED_VALUE"""),"")</f>
        <v/>
      </c>
    </row>
    <row r="158">
      <c r="A158" s="36"/>
      <c r="B158" s="73"/>
      <c r="C158" s="73"/>
      <c r="D158" s="73"/>
      <c r="E158" s="73"/>
      <c r="F158" s="73"/>
      <c r="G158" s="74"/>
      <c r="H158" s="73"/>
      <c r="I158" s="74"/>
      <c r="J158" s="36"/>
      <c r="K158" s="74"/>
      <c r="L158" s="74"/>
      <c r="M158" s="74" t="s">
        <v>260</v>
      </c>
      <c r="N158" s="74" t="str">
        <f>IFERROR(__xludf.DUMMYFUNCTION("""COMPUTED_VALUE"""),"")</f>
        <v/>
      </c>
    </row>
    <row r="159">
      <c r="A159" s="36"/>
      <c r="B159" s="73"/>
      <c r="C159" s="73"/>
      <c r="D159" s="73"/>
      <c r="E159" s="73"/>
      <c r="F159" s="73"/>
      <c r="G159" s="74"/>
      <c r="H159" s="73"/>
      <c r="I159" s="74"/>
      <c r="J159" s="36"/>
      <c r="K159" s="74"/>
      <c r="L159" s="74"/>
      <c r="M159" s="74" t="s">
        <v>260</v>
      </c>
      <c r="N159" s="74" t="str">
        <f>IFERROR(__xludf.DUMMYFUNCTION("""COMPUTED_VALUE"""),"")</f>
        <v/>
      </c>
    </row>
    <row r="160">
      <c r="A160" s="36"/>
      <c r="B160" s="73"/>
      <c r="C160" s="73"/>
      <c r="D160" s="73"/>
      <c r="E160" s="73"/>
      <c r="F160" s="73"/>
      <c r="G160" s="74"/>
      <c r="H160" s="73"/>
      <c r="I160" s="74"/>
      <c r="J160" s="36"/>
      <c r="K160" s="74"/>
      <c r="L160" s="74"/>
      <c r="M160" s="74" t="s">
        <v>260</v>
      </c>
      <c r="N160" s="74" t="str">
        <f>IFERROR(__xludf.DUMMYFUNCTION("""COMPUTED_VALUE"""),"")</f>
        <v/>
      </c>
    </row>
    <row r="161">
      <c r="A161" s="74"/>
      <c r="B161" s="73"/>
      <c r="C161" s="73"/>
      <c r="D161" s="73"/>
      <c r="E161" s="73"/>
      <c r="F161" s="73"/>
      <c r="G161" s="74"/>
      <c r="H161" s="73"/>
      <c r="I161" s="74"/>
      <c r="J161" s="36"/>
      <c r="K161" s="74"/>
      <c r="L161" s="74"/>
      <c r="M161" s="74" t="s">
        <v>260</v>
      </c>
      <c r="N161" s="74" t="str">
        <f>IFERROR(__xludf.DUMMYFUNCTION("""COMPUTED_VALUE"""),"")</f>
        <v/>
      </c>
    </row>
    <row r="162">
      <c r="A162" s="74"/>
      <c r="B162" s="73"/>
      <c r="C162" s="73"/>
      <c r="D162" s="73"/>
      <c r="E162" s="73"/>
      <c r="F162" s="73"/>
      <c r="G162" s="74"/>
      <c r="H162" s="73"/>
      <c r="I162" s="74"/>
      <c r="J162" s="36"/>
      <c r="K162" s="74"/>
      <c r="L162" s="74"/>
      <c r="M162" s="74" t="s">
        <v>260</v>
      </c>
      <c r="N162" s="74" t="str">
        <f>IFERROR(__xludf.DUMMYFUNCTION("""COMPUTED_VALUE"""),"")</f>
        <v/>
      </c>
    </row>
    <row r="163">
      <c r="A163" s="74"/>
      <c r="B163" s="73"/>
      <c r="C163" s="73"/>
      <c r="D163" s="73"/>
      <c r="E163" s="73"/>
      <c r="F163" s="73"/>
      <c r="G163" s="74"/>
      <c r="H163" s="73"/>
      <c r="I163" s="74"/>
      <c r="J163" s="36"/>
      <c r="K163" s="74"/>
      <c r="L163" s="74"/>
      <c r="M163" s="74" t="s">
        <v>260</v>
      </c>
      <c r="N163" s="74" t="str">
        <f>IFERROR(__xludf.DUMMYFUNCTION("""COMPUTED_VALUE"""),"")</f>
        <v/>
      </c>
    </row>
    <row r="164">
      <c r="A164" s="74"/>
      <c r="B164" s="73"/>
      <c r="C164" s="73"/>
      <c r="D164" s="73"/>
      <c r="E164" s="73"/>
      <c r="F164" s="73"/>
      <c r="G164" s="74"/>
      <c r="H164" s="73"/>
      <c r="I164" s="74"/>
      <c r="J164" s="36"/>
      <c r="K164" s="74"/>
      <c r="L164" s="74"/>
      <c r="M164" s="74" t="s">
        <v>260</v>
      </c>
      <c r="N164" s="74" t="str">
        <f>IFERROR(__xludf.DUMMYFUNCTION("""COMPUTED_VALUE"""),"")</f>
        <v/>
      </c>
    </row>
    <row r="165">
      <c r="A165" s="74"/>
      <c r="B165" s="73"/>
      <c r="C165" s="73"/>
      <c r="D165" s="73"/>
      <c r="E165" s="73"/>
      <c r="F165" s="73"/>
      <c r="G165" s="74"/>
      <c r="H165" s="73"/>
      <c r="I165" s="74"/>
      <c r="J165" s="36"/>
      <c r="K165" s="74"/>
      <c r="L165" s="74"/>
      <c r="M165" s="74" t="s">
        <v>260</v>
      </c>
      <c r="N165" s="74" t="str">
        <f>IFERROR(__xludf.DUMMYFUNCTION("""COMPUTED_VALUE"""),"")</f>
        <v/>
      </c>
    </row>
    <row r="166">
      <c r="A166" s="74"/>
      <c r="B166" s="73"/>
      <c r="C166" s="73"/>
      <c r="D166" s="73"/>
      <c r="E166" s="73"/>
      <c r="F166" s="73"/>
      <c r="G166" s="74"/>
      <c r="H166" s="73"/>
      <c r="I166" s="74"/>
      <c r="J166" s="36"/>
      <c r="K166" s="74"/>
      <c r="L166" s="74"/>
      <c r="M166" s="74" t="s">
        <v>260</v>
      </c>
      <c r="N166" s="74" t="str">
        <f>IFERROR(__xludf.DUMMYFUNCTION("""COMPUTED_VALUE"""),"")</f>
        <v/>
      </c>
    </row>
    <row r="167">
      <c r="A167" s="74"/>
      <c r="B167" s="73"/>
      <c r="C167" s="73"/>
      <c r="D167" s="73"/>
      <c r="E167" s="73"/>
      <c r="F167" s="73"/>
      <c r="G167" s="74"/>
      <c r="H167" s="73"/>
      <c r="I167" s="74"/>
      <c r="J167" s="36"/>
      <c r="K167" s="74"/>
      <c r="L167" s="74"/>
      <c r="M167" s="74" t="s">
        <v>260</v>
      </c>
      <c r="N167" s="74" t="str">
        <f>IFERROR(__xludf.DUMMYFUNCTION("""COMPUTED_VALUE"""),"")</f>
        <v/>
      </c>
    </row>
    <row r="168">
      <c r="A168" s="74"/>
      <c r="B168" s="73"/>
      <c r="C168" s="73"/>
      <c r="D168" s="73"/>
      <c r="E168" s="73"/>
      <c r="F168" s="73"/>
      <c r="G168" s="74"/>
      <c r="H168" s="73"/>
      <c r="I168" s="74"/>
      <c r="J168" s="36"/>
      <c r="K168" s="74"/>
      <c r="L168" s="74"/>
      <c r="M168" s="74" t="s">
        <v>260</v>
      </c>
      <c r="N168" s="74" t="str">
        <f>IFERROR(__xludf.DUMMYFUNCTION("""COMPUTED_VALUE"""),"")</f>
        <v/>
      </c>
    </row>
    <row r="169">
      <c r="A169" s="74"/>
      <c r="B169" s="73"/>
      <c r="C169" s="73"/>
      <c r="D169" s="73"/>
      <c r="E169" s="73"/>
      <c r="F169" s="73"/>
      <c r="G169" s="74"/>
      <c r="H169" s="73"/>
      <c r="I169" s="74"/>
      <c r="J169" s="36"/>
      <c r="K169" s="74"/>
      <c r="L169" s="74"/>
      <c r="M169" s="74" t="s">
        <v>260</v>
      </c>
      <c r="N169" s="74" t="str">
        <f>IFERROR(__xludf.DUMMYFUNCTION("""COMPUTED_VALUE"""),"")</f>
        <v/>
      </c>
    </row>
    <row r="170">
      <c r="A170" s="74"/>
      <c r="B170" s="73"/>
      <c r="C170" s="73"/>
      <c r="D170" s="73"/>
      <c r="E170" s="73"/>
      <c r="F170" s="73"/>
      <c r="G170" s="74"/>
      <c r="H170" s="73"/>
      <c r="I170" s="74"/>
      <c r="J170" s="36"/>
      <c r="K170" s="74"/>
      <c r="L170" s="74"/>
      <c r="M170" s="74" t="s">
        <v>260</v>
      </c>
      <c r="N170" s="74" t="str">
        <f>IFERROR(__xludf.DUMMYFUNCTION("""COMPUTED_VALUE"""),"")</f>
        <v/>
      </c>
    </row>
    <row r="171">
      <c r="A171" s="74"/>
      <c r="B171" s="73"/>
      <c r="C171" s="73"/>
      <c r="D171" s="73"/>
      <c r="E171" s="73"/>
      <c r="F171" s="73"/>
      <c r="G171" s="74"/>
      <c r="H171" s="73"/>
      <c r="I171" s="74"/>
      <c r="J171" s="36"/>
      <c r="K171" s="74"/>
      <c r="L171" s="74"/>
      <c r="M171" s="74" t="s">
        <v>260</v>
      </c>
      <c r="N171" s="74" t="str">
        <f>IFERROR(__xludf.DUMMYFUNCTION("""COMPUTED_VALUE"""),"")</f>
        <v/>
      </c>
    </row>
    <row r="172">
      <c r="A172" s="36"/>
      <c r="B172" s="73"/>
      <c r="C172" s="73"/>
      <c r="D172" s="73"/>
      <c r="E172" s="73"/>
      <c r="F172" s="73"/>
      <c r="G172" s="74"/>
      <c r="H172" s="73"/>
      <c r="I172" s="74"/>
      <c r="J172" s="36"/>
      <c r="K172" s="74"/>
      <c r="L172" s="74"/>
      <c r="M172" s="74" t="s">
        <v>260</v>
      </c>
      <c r="N172" s="74" t="str">
        <f>IFERROR(__xludf.DUMMYFUNCTION("""COMPUTED_VALUE"""),"")</f>
        <v/>
      </c>
    </row>
    <row r="173">
      <c r="A173" s="74"/>
      <c r="B173" s="73"/>
      <c r="C173" s="73"/>
      <c r="D173" s="73"/>
      <c r="E173" s="73"/>
      <c r="F173" s="73"/>
      <c r="G173" s="74"/>
      <c r="H173" s="73"/>
      <c r="I173" s="74"/>
      <c r="J173" s="36"/>
      <c r="K173" s="74"/>
      <c r="L173" s="74"/>
      <c r="M173" s="74" t="s">
        <v>260</v>
      </c>
      <c r="N173" s="74" t="str">
        <f>IFERROR(__xludf.DUMMYFUNCTION("""COMPUTED_VALUE"""),"")</f>
        <v/>
      </c>
    </row>
    <row r="174">
      <c r="A174" s="73"/>
      <c r="B174" s="73"/>
      <c r="C174" s="73"/>
      <c r="D174" s="73"/>
      <c r="E174" s="73"/>
      <c r="F174" s="73"/>
      <c r="G174" s="74"/>
      <c r="H174" s="73"/>
      <c r="I174" s="74"/>
      <c r="J174" s="36"/>
      <c r="K174" s="74"/>
      <c r="L174" s="74"/>
      <c r="M174" s="74" t="s">
        <v>260</v>
      </c>
      <c r="N174" s="74" t="str">
        <f>IFERROR(__xludf.DUMMYFUNCTION("""COMPUTED_VALUE"""),"")</f>
        <v/>
      </c>
    </row>
    <row r="175">
      <c r="A175" s="74"/>
      <c r="B175" s="73"/>
      <c r="C175" s="73"/>
      <c r="D175" s="73"/>
      <c r="E175" s="73"/>
      <c r="F175" s="73"/>
      <c r="G175" s="74"/>
      <c r="H175" s="73"/>
      <c r="I175" s="74"/>
      <c r="J175" s="36"/>
      <c r="K175" s="74"/>
      <c r="L175" s="74"/>
      <c r="M175" s="74" t="s">
        <v>260</v>
      </c>
      <c r="N175" s="74" t="str">
        <f>IFERROR(__xludf.DUMMYFUNCTION("""COMPUTED_VALUE"""),"")</f>
        <v/>
      </c>
    </row>
    <row r="176">
      <c r="A176" s="74"/>
      <c r="B176" s="73"/>
      <c r="C176" s="73"/>
      <c r="D176" s="73"/>
      <c r="E176" s="73"/>
      <c r="F176" s="73"/>
      <c r="G176" s="74"/>
      <c r="H176" s="73"/>
      <c r="I176" s="74"/>
      <c r="J176" s="36"/>
      <c r="K176" s="74"/>
      <c r="L176" s="74"/>
      <c r="M176" s="74" t="s">
        <v>260</v>
      </c>
      <c r="N176" s="74" t="str">
        <f>IFERROR(__xludf.DUMMYFUNCTION("""COMPUTED_VALUE"""),"")</f>
        <v/>
      </c>
    </row>
    <row r="177">
      <c r="A177" s="74"/>
      <c r="B177" s="73"/>
      <c r="C177" s="73"/>
      <c r="D177" s="73"/>
      <c r="E177" s="73"/>
      <c r="F177" s="73"/>
      <c r="G177" s="74"/>
      <c r="H177" s="73"/>
      <c r="I177" s="74"/>
      <c r="J177" s="36"/>
      <c r="K177" s="74"/>
      <c r="L177" s="74"/>
      <c r="M177" s="74" t="s">
        <v>260</v>
      </c>
      <c r="N177" s="74" t="str">
        <f>IFERROR(__xludf.DUMMYFUNCTION("""COMPUTED_VALUE"""),"")</f>
        <v/>
      </c>
    </row>
    <row r="178">
      <c r="A178" s="74"/>
      <c r="B178" s="73"/>
      <c r="C178" s="73"/>
      <c r="D178" s="73"/>
      <c r="E178" s="73"/>
      <c r="F178" s="73"/>
      <c r="G178" s="74"/>
      <c r="H178" s="73"/>
      <c r="I178" s="74"/>
      <c r="J178" s="36"/>
      <c r="K178" s="74"/>
      <c r="L178" s="74"/>
      <c r="M178" s="74" t="s">
        <v>260</v>
      </c>
      <c r="N178" s="74" t="str">
        <f>IFERROR(__xludf.DUMMYFUNCTION("""COMPUTED_VALUE"""),"")</f>
        <v/>
      </c>
    </row>
    <row r="179">
      <c r="A179" s="74"/>
      <c r="B179" s="73"/>
      <c r="C179" s="73"/>
      <c r="D179" s="73"/>
      <c r="E179" s="73"/>
      <c r="F179" s="73"/>
      <c r="G179" s="74"/>
      <c r="H179" s="73"/>
      <c r="I179" s="74"/>
      <c r="J179" s="36"/>
      <c r="K179" s="74"/>
      <c r="L179" s="74"/>
      <c r="M179" s="74" t="s">
        <v>260</v>
      </c>
      <c r="N179" s="74" t="str">
        <f>IFERROR(__xludf.DUMMYFUNCTION("""COMPUTED_VALUE"""),"")</f>
        <v/>
      </c>
    </row>
    <row r="180">
      <c r="A180" s="36"/>
      <c r="B180" s="73"/>
      <c r="C180" s="73"/>
      <c r="D180" s="73"/>
      <c r="E180" s="73"/>
      <c r="F180" s="73"/>
      <c r="G180" s="74"/>
      <c r="H180" s="73"/>
      <c r="I180" s="74"/>
      <c r="J180" s="36"/>
      <c r="K180" s="74"/>
      <c r="L180" s="74"/>
      <c r="M180" s="74" t="s">
        <v>260</v>
      </c>
      <c r="N180" s="74" t="str">
        <f>IFERROR(__xludf.DUMMYFUNCTION("""COMPUTED_VALUE"""),"")</f>
        <v/>
      </c>
    </row>
    <row r="181">
      <c r="A181" s="36"/>
      <c r="B181" s="73"/>
      <c r="C181" s="73"/>
      <c r="D181" s="73"/>
      <c r="E181" s="73"/>
      <c r="F181" s="73"/>
      <c r="G181" s="74"/>
      <c r="H181" s="73"/>
      <c r="I181" s="74"/>
      <c r="J181" s="36"/>
      <c r="K181" s="74"/>
      <c r="L181" s="74"/>
      <c r="M181" s="74" t="s">
        <v>260</v>
      </c>
      <c r="N181" s="74" t="str">
        <f>IFERROR(__xludf.DUMMYFUNCTION("""COMPUTED_VALUE"""),"")</f>
        <v/>
      </c>
    </row>
    <row r="182">
      <c r="A182" s="36"/>
      <c r="B182" s="73"/>
      <c r="C182" s="73"/>
      <c r="D182" s="73"/>
      <c r="E182" s="73"/>
      <c r="F182" s="73"/>
      <c r="G182" s="74"/>
      <c r="H182" s="73"/>
      <c r="I182" s="74"/>
      <c r="J182" s="36"/>
      <c r="K182" s="74"/>
      <c r="L182" s="74"/>
      <c r="M182" s="74" t="s">
        <v>260</v>
      </c>
      <c r="N182" s="74" t="str">
        <f>IFERROR(__xludf.DUMMYFUNCTION("""COMPUTED_VALUE"""),"")</f>
        <v/>
      </c>
    </row>
    <row r="183">
      <c r="A183" s="74"/>
      <c r="B183" s="73"/>
      <c r="C183" s="73"/>
      <c r="D183" s="73"/>
      <c r="E183" s="73"/>
      <c r="F183" s="73"/>
      <c r="G183" s="74"/>
      <c r="H183" s="73"/>
      <c r="I183" s="74"/>
      <c r="J183" s="36"/>
      <c r="K183" s="74"/>
      <c r="L183" s="74"/>
      <c r="M183" s="74" t="s">
        <v>260</v>
      </c>
      <c r="N183" s="74" t="str">
        <f>IFERROR(__xludf.DUMMYFUNCTION("""COMPUTED_VALUE"""),"")</f>
        <v/>
      </c>
    </row>
    <row r="184">
      <c r="A184" s="74"/>
      <c r="B184" s="73"/>
      <c r="C184" s="73"/>
      <c r="D184" s="73"/>
      <c r="E184" s="73"/>
      <c r="F184" s="73"/>
      <c r="G184" s="74"/>
      <c r="H184" s="73"/>
      <c r="I184" s="74"/>
      <c r="J184" s="36"/>
      <c r="K184" s="74"/>
      <c r="L184" s="74"/>
      <c r="M184" s="74" t="s">
        <v>260</v>
      </c>
      <c r="N184" s="74" t="str">
        <f>IFERROR(__xludf.DUMMYFUNCTION("""COMPUTED_VALUE"""),"")</f>
        <v/>
      </c>
    </row>
    <row r="185">
      <c r="A185" s="74"/>
      <c r="B185" s="73"/>
      <c r="C185" s="73"/>
      <c r="D185" s="73"/>
      <c r="E185" s="73"/>
      <c r="F185" s="73"/>
      <c r="G185" s="74"/>
      <c r="H185" s="73"/>
      <c r="I185" s="74"/>
      <c r="J185" s="36"/>
      <c r="K185" s="74"/>
      <c r="L185" s="74"/>
      <c r="M185" s="74" t="s">
        <v>260</v>
      </c>
      <c r="N185" s="74" t="str">
        <f>IFERROR(__xludf.DUMMYFUNCTION("""COMPUTED_VALUE"""),"")</f>
        <v/>
      </c>
    </row>
    <row r="186">
      <c r="A186" s="74"/>
      <c r="B186" s="73"/>
      <c r="C186" s="73"/>
      <c r="D186" s="73"/>
      <c r="E186" s="73"/>
      <c r="F186" s="73"/>
      <c r="G186" s="74"/>
      <c r="H186" s="73"/>
      <c r="I186" s="74"/>
      <c r="J186" s="36"/>
      <c r="K186" s="74"/>
      <c r="L186" s="74"/>
      <c r="M186" s="74" t="s">
        <v>260</v>
      </c>
      <c r="N186" s="74" t="str">
        <f>IFERROR(__xludf.DUMMYFUNCTION("""COMPUTED_VALUE"""),"")</f>
        <v/>
      </c>
    </row>
    <row r="187">
      <c r="A187" s="74"/>
      <c r="B187" s="73"/>
      <c r="C187" s="73"/>
      <c r="D187" s="73"/>
      <c r="E187" s="73"/>
      <c r="F187" s="73"/>
      <c r="G187" s="74"/>
      <c r="H187" s="73"/>
      <c r="I187" s="74"/>
      <c r="J187" s="36"/>
      <c r="K187" s="74"/>
      <c r="L187" s="74"/>
      <c r="M187" s="74" t="s">
        <v>260</v>
      </c>
      <c r="N187" s="74" t="str">
        <f>IFERROR(__xludf.DUMMYFUNCTION("""COMPUTED_VALUE"""),"")</f>
        <v/>
      </c>
    </row>
    <row r="188">
      <c r="A188" s="74"/>
      <c r="B188" s="73"/>
      <c r="C188" s="73"/>
      <c r="D188" s="73"/>
      <c r="E188" s="73"/>
      <c r="F188" s="73"/>
      <c r="G188" s="74"/>
      <c r="H188" s="73"/>
      <c r="I188" s="74"/>
      <c r="J188" s="36"/>
      <c r="K188" s="74"/>
      <c r="L188" s="74"/>
      <c r="M188" s="74" t="s">
        <v>260</v>
      </c>
      <c r="N188" s="74" t="str">
        <f>IFERROR(__xludf.DUMMYFUNCTION("""COMPUTED_VALUE"""),"")</f>
        <v/>
      </c>
    </row>
    <row r="189">
      <c r="A189" s="74"/>
      <c r="B189" s="73"/>
      <c r="C189" s="73"/>
      <c r="D189" s="73"/>
      <c r="E189" s="73"/>
      <c r="F189" s="73"/>
      <c r="G189" s="74"/>
      <c r="H189" s="73"/>
      <c r="I189" s="74"/>
      <c r="J189" s="36"/>
      <c r="K189" s="74"/>
      <c r="L189" s="74"/>
      <c r="M189" s="74" t="s">
        <v>260</v>
      </c>
      <c r="N189" s="74" t="str">
        <f>IFERROR(__xludf.DUMMYFUNCTION("""COMPUTED_VALUE"""),"")</f>
        <v/>
      </c>
    </row>
    <row r="190">
      <c r="A190" s="74"/>
      <c r="B190" s="73"/>
      <c r="C190" s="73"/>
      <c r="D190" s="73"/>
      <c r="E190" s="73"/>
      <c r="F190" s="73"/>
      <c r="G190" s="74"/>
      <c r="H190" s="73"/>
      <c r="I190" s="74"/>
      <c r="J190" s="36"/>
      <c r="K190" s="74"/>
      <c r="L190" s="74"/>
      <c r="M190" s="74" t="s">
        <v>260</v>
      </c>
      <c r="N190" s="74" t="str">
        <f>IFERROR(__xludf.DUMMYFUNCTION("""COMPUTED_VALUE"""),"")</f>
        <v/>
      </c>
    </row>
    <row r="191">
      <c r="A191" s="74"/>
      <c r="B191" s="73"/>
      <c r="C191" s="73"/>
      <c r="D191" s="73"/>
      <c r="E191" s="73"/>
      <c r="F191" s="73"/>
      <c r="G191" s="74"/>
      <c r="H191" s="73"/>
      <c r="I191" s="74"/>
      <c r="J191" s="36"/>
      <c r="K191" s="74"/>
      <c r="L191" s="74"/>
      <c r="M191" s="74" t="s">
        <v>260</v>
      </c>
      <c r="N191" s="74" t="str">
        <f>IFERROR(__xludf.DUMMYFUNCTION("""COMPUTED_VALUE"""),"")</f>
        <v/>
      </c>
    </row>
    <row r="192">
      <c r="A192" s="74"/>
      <c r="B192" s="73"/>
      <c r="C192" s="73"/>
      <c r="D192" s="73"/>
      <c r="E192" s="73"/>
      <c r="F192" s="73"/>
      <c r="G192" s="74"/>
      <c r="H192" s="73"/>
      <c r="I192" s="74"/>
      <c r="J192" s="36"/>
      <c r="K192" s="74"/>
      <c r="L192" s="74"/>
      <c r="M192" s="74" t="s">
        <v>260</v>
      </c>
      <c r="N192" s="74" t="str">
        <f>IFERROR(__xludf.DUMMYFUNCTION("""COMPUTED_VALUE"""),"")</f>
        <v/>
      </c>
    </row>
    <row r="193">
      <c r="A193" s="74"/>
      <c r="B193" s="73"/>
      <c r="C193" s="73"/>
      <c r="D193" s="73"/>
      <c r="E193" s="73"/>
      <c r="F193" s="73"/>
      <c r="G193" s="74"/>
      <c r="H193" s="73"/>
      <c r="I193" s="74"/>
      <c r="J193" s="36"/>
      <c r="K193" s="74"/>
      <c r="L193" s="74"/>
      <c r="M193" s="74" t="s">
        <v>260</v>
      </c>
      <c r="N193" s="74" t="str">
        <f>IFERROR(__xludf.DUMMYFUNCTION("""COMPUTED_VALUE"""),"")</f>
        <v/>
      </c>
    </row>
    <row r="194">
      <c r="A194" s="36"/>
      <c r="B194" s="73"/>
      <c r="C194" s="73"/>
      <c r="D194" s="73"/>
      <c r="E194" s="73"/>
      <c r="F194" s="73"/>
      <c r="G194" s="74"/>
      <c r="H194" s="73"/>
      <c r="I194" s="74"/>
      <c r="J194" s="36"/>
      <c r="K194" s="74"/>
      <c r="L194" s="74"/>
      <c r="M194" s="74" t="s">
        <v>260</v>
      </c>
      <c r="N194" s="74" t="str">
        <f>IFERROR(__xludf.DUMMYFUNCTION("""COMPUTED_VALUE"""),"")</f>
        <v/>
      </c>
    </row>
    <row r="195">
      <c r="A195" s="74"/>
      <c r="B195" s="73"/>
      <c r="C195" s="73"/>
      <c r="D195" s="73"/>
      <c r="E195" s="73"/>
      <c r="F195" s="73"/>
      <c r="G195" s="74"/>
      <c r="H195" s="73"/>
      <c r="I195" s="74"/>
      <c r="J195" s="36"/>
      <c r="K195" s="74"/>
      <c r="L195" s="74"/>
      <c r="M195" s="74" t="s">
        <v>260</v>
      </c>
      <c r="N195" s="74" t="str">
        <f>IFERROR(__xludf.DUMMYFUNCTION("""COMPUTED_VALUE"""),"")</f>
        <v/>
      </c>
    </row>
    <row r="196">
      <c r="A196" s="73"/>
      <c r="B196" s="73"/>
      <c r="C196" s="73"/>
      <c r="D196" s="73"/>
      <c r="E196" s="73"/>
      <c r="F196" s="73"/>
      <c r="G196" s="74"/>
      <c r="H196" s="73"/>
      <c r="I196" s="74"/>
      <c r="J196" s="36"/>
      <c r="K196" s="74"/>
      <c r="L196" s="74"/>
      <c r="M196" s="74" t="s">
        <v>260</v>
      </c>
      <c r="N196" s="74" t="str">
        <f>IFERROR(__xludf.DUMMYFUNCTION("""COMPUTED_VALUE"""),"")</f>
        <v/>
      </c>
    </row>
    <row r="197">
      <c r="A197" s="74"/>
      <c r="B197" s="73"/>
      <c r="C197" s="73"/>
      <c r="D197" s="73"/>
      <c r="E197" s="73"/>
      <c r="F197" s="73"/>
      <c r="G197" s="74"/>
      <c r="H197" s="73"/>
      <c r="I197" s="74"/>
      <c r="J197" s="36"/>
      <c r="K197" s="74"/>
      <c r="L197" s="74"/>
      <c r="M197" s="74" t="s">
        <v>260</v>
      </c>
      <c r="N197" s="74" t="str">
        <f>IFERROR(__xludf.DUMMYFUNCTION("""COMPUTED_VALUE"""),"")</f>
        <v/>
      </c>
    </row>
    <row r="198">
      <c r="A198" s="74"/>
      <c r="B198" s="73"/>
      <c r="C198" s="73"/>
      <c r="D198" s="73"/>
      <c r="E198" s="73"/>
      <c r="F198" s="73"/>
      <c r="G198" s="74"/>
      <c r="H198" s="73"/>
      <c r="I198" s="74"/>
      <c r="J198" s="36"/>
      <c r="K198" s="74"/>
      <c r="L198" s="74"/>
      <c r="M198" s="74" t="s">
        <v>260</v>
      </c>
      <c r="N198" s="74" t="str">
        <f>IFERROR(__xludf.DUMMYFUNCTION("""COMPUTED_VALUE"""),"")</f>
        <v/>
      </c>
    </row>
    <row r="199">
      <c r="A199" s="74"/>
      <c r="B199" s="73"/>
      <c r="C199" s="73"/>
      <c r="D199" s="73"/>
      <c r="E199" s="73"/>
      <c r="F199" s="73"/>
      <c r="G199" s="74"/>
      <c r="H199" s="73"/>
      <c r="I199" s="74"/>
      <c r="J199" s="36"/>
      <c r="K199" s="74"/>
      <c r="L199" s="74"/>
      <c r="M199" s="74" t="s">
        <v>260</v>
      </c>
      <c r="N199" s="74" t="str">
        <f>IFERROR(__xludf.DUMMYFUNCTION("""COMPUTED_VALUE"""),"")</f>
        <v/>
      </c>
    </row>
    <row r="200">
      <c r="A200" s="74"/>
      <c r="B200" s="73"/>
      <c r="C200" s="73"/>
      <c r="D200" s="73"/>
      <c r="E200" s="73"/>
      <c r="F200" s="73"/>
      <c r="G200" s="74"/>
      <c r="H200" s="73"/>
      <c r="I200" s="74"/>
      <c r="J200" s="36"/>
      <c r="K200" s="74"/>
      <c r="L200" s="74"/>
      <c r="M200" s="74" t="s">
        <v>260</v>
      </c>
      <c r="N200" s="74" t="str">
        <f>IFERROR(__xludf.DUMMYFUNCTION("""COMPUTED_VALUE"""),"")</f>
        <v/>
      </c>
    </row>
    <row r="201">
      <c r="A201" s="74"/>
      <c r="B201" s="73"/>
      <c r="C201" s="73"/>
      <c r="D201" s="73"/>
      <c r="E201" s="73"/>
      <c r="F201" s="73"/>
      <c r="G201" s="74"/>
      <c r="H201" s="73"/>
      <c r="I201" s="74"/>
      <c r="J201" s="36"/>
      <c r="K201" s="74"/>
      <c r="L201" s="74"/>
      <c r="M201" s="74" t="s">
        <v>260</v>
      </c>
      <c r="N201" s="74" t="str">
        <f>IFERROR(__xludf.DUMMYFUNCTION("""COMPUTED_VALUE"""),"")</f>
        <v/>
      </c>
    </row>
    <row r="202">
      <c r="A202" s="36"/>
      <c r="B202" s="73"/>
      <c r="C202" s="73"/>
      <c r="D202" s="73"/>
      <c r="E202" s="73"/>
      <c r="F202" s="73"/>
      <c r="G202" s="74"/>
      <c r="H202" s="73"/>
      <c r="I202" s="74"/>
      <c r="J202" s="36"/>
      <c r="K202" s="74"/>
      <c r="L202" s="74"/>
      <c r="M202" s="74" t="s">
        <v>260</v>
      </c>
      <c r="N202" s="74" t="str">
        <f>IFERROR(__xludf.DUMMYFUNCTION("""COMPUTED_VALUE"""),"")</f>
        <v/>
      </c>
    </row>
    <row r="203">
      <c r="A203" s="36"/>
      <c r="B203" s="73"/>
      <c r="C203" s="73"/>
      <c r="D203" s="73"/>
      <c r="E203" s="73"/>
      <c r="F203" s="73"/>
      <c r="G203" s="74"/>
      <c r="H203" s="73"/>
      <c r="I203" s="74"/>
      <c r="J203" s="36"/>
      <c r="K203" s="74"/>
      <c r="L203" s="74"/>
      <c r="M203" s="74" t="s">
        <v>260</v>
      </c>
      <c r="N203" s="74" t="str">
        <f>IFERROR(__xludf.DUMMYFUNCTION("""COMPUTED_VALUE"""),"")</f>
        <v/>
      </c>
    </row>
    <row r="204">
      <c r="A204" s="36"/>
      <c r="B204" s="73"/>
      <c r="C204" s="73"/>
      <c r="D204" s="73"/>
      <c r="E204" s="73"/>
      <c r="F204" s="73"/>
      <c r="G204" s="74"/>
      <c r="H204" s="73"/>
      <c r="I204" s="74"/>
      <c r="J204" s="36"/>
      <c r="K204" s="74"/>
      <c r="L204" s="74"/>
      <c r="M204" s="74" t="s">
        <v>260</v>
      </c>
      <c r="N204" s="74" t="str">
        <f>IFERROR(__xludf.DUMMYFUNCTION("""COMPUTED_VALUE"""),"")</f>
        <v/>
      </c>
    </row>
    <row r="205">
      <c r="A205" s="74"/>
      <c r="B205" s="73"/>
      <c r="C205" s="73"/>
      <c r="D205" s="73"/>
      <c r="E205" s="73"/>
      <c r="F205" s="73"/>
      <c r="G205" s="74"/>
      <c r="H205" s="73"/>
      <c r="I205" s="74"/>
      <c r="J205" s="36"/>
      <c r="K205" s="74"/>
      <c r="L205" s="74"/>
      <c r="M205" s="74" t="s">
        <v>260</v>
      </c>
      <c r="N205" s="74" t="str">
        <f>IFERROR(__xludf.DUMMYFUNCTION("""COMPUTED_VALUE"""),"")</f>
        <v/>
      </c>
    </row>
    <row r="206">
      <c r="A206" s="74"/>
      <c r="B206" s="73"/>
      <c r="C206" s="73"/>
      <c r="D206" s="73"/>
      <c r="E206" s="73"/>
      <c r="F206" s="73"/>
      <c r="G206" s="74"/>
      <c r="H206" s="73"/>
      <c r="I206" s="74"/>
      <c r="J206" s="36"/>
      <c r="K206" s="74"/>
      <c r="L206" s="74"/>
      <c r="M206" s="74" t="s">
        <v>260</v>
      </c>
      <c r="N206" s="74" t="str">
        <f>IFERROR(__xludf.DUMMYFUNCTION("""COMPUTED_VALUE"""),"")</f>
        <v/>
      </c>
    </row>
    <row r="207">
      <c r="A207" s="74"/>
      <c r="B207" s="73"/>
      <c r="C207" s="73"/>
      <c r="D207" s="73"/>
      <c r="E207" s="73"/>
      <c r="F207" s="73"/>
      <c r="G207" s="74"/>
      <c r="H207" s="73"/>
      <c r="I207" s="74"/>
      <c r="J207" s="36"/>
      <c r="K207" s="74"/>
      <c r="L207" s="74"/>
      <c r="M207" s="74" t="s">
        <v>260</v>
      </c>
      <c r="N207" s="74" t="str">
        <f>IFERROR(__xludf.DUMMYFUNCTION("""COMPUTED_VALUE"""),"")</f>
        <v/>
      </c>
    </row>
    <row r="208">
      <c r="A208" s="74"/>
      <c r="B208" s="73"/>
      <c r="C208" s="73"/>
      <c r="D208" s="73"/>
      <c r="E208" s="73"/>
      <c r="F208" s="73"/>
      <c r="G208" s="74"/>
      <c r="H208" s="73"/>
      <c r="I208" s="74"/>
      <c r="J208" s="36"/>
      <c r="K208" s="74"/>
      <c r="L208" s="74"/>
      <c r="M208" s="74" t="s">
        <v>260</v>
      </c>
      <c r="N208" s="74" t="str">
        <f>IFERROR(__xludf.DUMMYFUNCTION("""COMPUTED_VALUE"""),"")</f>
        <v/>
      </c>
    </row>
    <row r="209">
      <c r="A209" s="74"/>
      <c r="B209" s="73"/>
      <c r="C209" s="73"/>
      <c r="D209" s="73"/>
      <c r="E209" s="73"/>
      <c r="F209" s="73"/>
      <c r="G209" s="74"/>
      <c r="H209" s="73"/>
      <c r="I209" s="74"/>
      <c r="J209" s="36"/>
      <c r="K209" s="74"/>
      <c r="L209" s="74"/>
      <c r="M209" s="74" t="s">
        <v>260</v>
      </c>
      <c r="N209" s="74" t="str">
        <f>IFERROR(__xludf.DUMMYFUNCTION("""COMPUTED_VALUE"""),"")</f>
        <v/>
      </c>
    </row>
    <row r="210">
      <c r="A210" s="74"/>
      <c r="B210" s="73"/>
      <c r="C210" s="73"/>
      <c r="D210" s="73"/>
      <c r="E210" s="73"/>
      <c r="F210" s="73"/>
      <c r="G210" s="74"/>
      <c r="H210" s="73"/>
      <c r="I210" s="74"/>
      <c r="J210" s="36"/>
      <c r="K210" s="74"/>
      <c r="L210" s="74"/>
      <c r="M210" s="74" t="s">
        <v>260</v>
      </c>
      <c r="N210" s="74" t="str">
        <f>IFERROR(__xludf.DUMMYFUNCTION("""COMPUTED_VALUE"""),"")</f>
        <v/>
      </c>
    </row>
    <row r="211">
      <c r="A211" s="74"/>
      <c r="B211" s="73"/>
      <c r="C211" s="73"/>
      <c r="D211" s="73"/>
      <c r="E211" s="73"/>
      <c r="F211" s="73"/>
      <c r="G211" s="74"/>
      <c r="H211" s="73"/>
      <c r="I211" s="74"/>
      <c r="J211" s="36"/>
      <c r="K211" s="74"/>
      <c r="L211" s="74"/>
      <c r="M211" s="74" t="s">
        <v>260</v>
      </c>
      <c r="N211" s="74" t="str">
        <f>IFERROR(__xludf.DUMMYFUNCTION("""COMPUTED_VALUE"""),"")</f>
        <v/>
      </c>
    </row>
    <row r="212">
      <c r="A212" s="74"/>
      <c r="B212" s="73"/>
      <c r="C212" s="73"/>
      <c r="D212" s="73"/>
      <c r="E212" s="73"/>
      <c r="F212" s="73"/>
      <c r="G212" s="74"/>
      <c r="H212" s="73"/>
      <c r="I212" s="74"/>
      <c r="J212" s="36"/>
      <c r="K212" s="74"/>
      <c r="L212" s="74"/>
      <c r="M212" s="74" t="s">
        <v>260</v>
      </c>
      <c r="N212" s="74" t="str">
        <f>IFERROR(__xludf.DUMMYFUNCTION("""COMPUTED_VALUE"""),"")</f>
        <v/>
      </c>
    </row>
    <row r="213">
      <c r="A213" s="74"/>
      <c r="B213" s="73"/>
      <c r="C213" s="73"/>
      <c r="D213" s="73"/>
      <c r="E213" s="73"/>
      <c r="F213" s="73"/>
      <c r="G213" s="74"/>
      <c r="H213" s="73"/>
      <c r="I213" s="74"/>
      <c r="J213" s="36"/>
      <c r="K213" s="74"/>
      <c r="L213" s="74"/>
      <c r="M213" s="74" t="s">
        <v>260</v>
      </c>
      <c r="N213" s="74" t="str">
        <f>IFERROR(__xludf.DUMMYFUNCTION("""COMPUTED_VALUE"""),"")</f>
        <v/>
      </c>
    </row>
    <row r="214">
      <c r="A214" s="74"/>
      <c r="B214" s="73"/>
      <c r="C214" s="73"/>
      <c r="D214" s="73"/>
      <c r="E214" s="73"/>
      <c r="F214" s="73"/>
      <c r="G214" s="74"/>
      <c r="H214" s="73"/>
      <c r="I214" s="74"/>
      <c r="J214" s="36"/>
      <c r="K214" s="74"/>
      <c r="L214" s="74"/>
      <c r="M214" s="74" t="s">
        <v>260</v>
      </c>
      <c r="N214" s="74" t="str">
        <f>IFERROR(__xludf.DUMMYFUNCTION("""COMPUTED_VALUE"""),"")</f>
        <v/>
      </c>
    </row>
    <row r="215">
      <c r="A215" s="74"/>
      <c r="B215" s="73"/>
      <c r="C215" s="73"/>
      <c r="D215" s="73"/>
      <c r="E215" s="73"/>
      <c r="F215" s="73"/>
      <c r="G215" s="74"/>
      <c r="H215" s="73"/>
      <c r="I215" s="74"/>
      <c r="J215" s="36"/>
      <c r="K215" s="74"/>
      <c r="L215" s="74"/>
      <c r="M215" s="74" t="s">
        <v>260</v>
      </c>
      <c r="N215" s="74" t="str">
        <f>IFERROR(__xludf.DUMMYFUNCTION("""COMPUTED_VALUE"""),"")</f>
        <v/>
      </c>
    </row>
    <row r="216">
      <c r="A216" s="36"/>
      <c r="B216" s="73"/>
      <c r="C216" s="73"/>
      <c r="D216" s="73"/>
      <c r="E216" s="73"/>
      <c r="F216" s="73"/>
      <c r="G216" s="74"/>
      <c r="H216" s="73"/>
      <c r="I216" s="74"/>
      <c r="J216" s="36"/>
      <c r="K216" s="74"/>
      <c r="L216" s="74"/>
      <c r="M216" s="74" t="s">
        <v>260</v>
      </c>
      <c r="N216" s="74" t="str">
        <f>IFERROR(__xludf.DUMMYFUNCTION("""COMPUTED_VALUE"""),"")</f>
        <v/>
      </c>
    </row>
    <row r="217">
      <c r="A217" s="74"/>
      <c r="B217" s="73"/>
      <c r="C217" s="73"/>
      <c r="D217" s="73"/>
      <c r="E217" s="73"/>
      <c r="F217" s="73"/>
      <c r="G217" s="74"/>
      <c r="H217" s="73"/>
      <c r="I217" s="74"/>
      <c r="J217" s="36"/>
      <c r="K217" s="74"/>
      <c r="L217" s="74"/>
      <c r="M217" s="74" t="s">
        <v>260</v>
      </c>
      <c r="N217" s="74" t="str">
        <f>IFERROR(__xludf.DUMMYFUNCTION("""COMPUTED_VALUE"""),"")</f>
        <v/>
      </c>
    </row>
    <row r="218">
      <c r="A218" s="73"/>
      <c r="B218" s="73"/>
      <c r="C218" s="73"/>
      <c r="D218" s="73"/>
      <c r="E218" s="73"/>
      <c r="F218" s="73"/>
      <c r="G218" s="74"/>
      <c r="H218" s="73"/>
      <c r="I218" s="74"/>
      <c r="J218" s="36"/>
      <c r="K218" s="74"/>
      <c r="L218" s="74"/>
      <c r="M218" s="74" t="s">
        <v>260</v>
      </c>
      <c r="N218" s="74" t="str">
        <f>IFERROR(__xludf.DUMMYFUNCTION("""COMPUTED_VALUE"""),"")</f>
        <v/>
      </c>
    </row>
    <row r="219">
      <c r="A219" s="74"/>
      <c r="B219" s="73"/>
      <c r="C219" s="73"/>
      <c r="D219" s="73"/>
      <c r="E219" s="73"/>
      <c r="F219" s="73"/>
      <c r="G219" s="74"/>
      <c r="H219" s="73"/>
      <c r="I219" s="74"/>
      <c r="J219" s="36"/>
      <c r="K219" s="74"/>
      <c r="L219" s="74"/>
      <c r="M219" s="74" t="s">
        <v>260</v>
      </c>
      <c r="N219" s="74" t="str">
        <f>IFERROR(__xludf.DUMMYFUNCTION("""COMPUTED_VALUE"""),"")</f>
        <v/>
      </c>
    </row>
    <row r="220">
      <c r="A220" s="74"/>
      <c r="B220" s="73"/>
      <c r="C220" s="73"/>
      <c r="D220" s="73"/>
      <c r="E220" s="73"/>
      <c r="F220" s="73"/>
      <c r="G220" s="74"/>
      <c r="H220" s="73"/>
      <c r="I220" s="74"/>
      <c r="J220" s="36"/>
      <c r="K220" s="74"/>
      <c r="L220" s="74"/>
      <c r="M220" s="74" t="s">
        <v>260</v>
      </c>
      <c r="N220" s="74" t="str">
        <f>IFERROR(__xludf.DUMMYFUNCTION("""COMPUTED_VALUE"""),"")</f>
        <v/>
      </c>
    </row>
    <row r="221">
      <c r="A221" s="74"/>
      <c r="B221" s="73"/>
      <c r="C221" s="73"/>
      <c r="D221" s="73"/>
      <c r="E221" s="73"/>
      <c r="F221" s="73"/>
      <c r="G221" s="74"/>
      <c r="H221" s="73"/>
      <c r="I221" s="74"/>
      <c r="J221" s="36"/>
      <c r="K221" s="74"/>
      <c r="L221" s="74"/>
      <c r="M221" s="74" t="s">
        <v>260</v>
      </c>
      <c r="N221" s="74" t="str">
        <f>IFERROR(__xludf.DUMMYFUNCTION("""COMPUTED_VALUE"""),"")</f>
        <v/>
      </c>
    </row>
    <row r="222">
      <c r="A222" s="74"/>
      <c r="B222" s="73"/>
      <c r="C222" s="73"/>
      <c r="D222" s="73"/>
      <c r="E222" s="73"/>
      <c r="F222" s="73"/>
      <c r="G222" s="74"/>
      <c r="H222" s="73"/>
      <c r="I222" s="74"/>
      <c r="J222" s="36"/>
      <c r="K222" s="74"/>
      <c r="L222" s="74"/>
      <c r="M222" s="74" t="s">
        <v>260</v>
      </c>
      <c r="N222" s="74" t="str">
        <f>IFERROR(__xludf.DUMMYFUNCTION("""COMPUTED_VALUE"""),"")</f>
        <v/>
      </c>
    </row>
    <row r="223">
      <c r="A223" s="74"/>
      <c r="B223" s="73"/>
      <c r="C223" s="73"/>
      <c r="D223" s="73"/>
      <c r="E223" s="73"/>
      <c r="F223" s="73"/>
      <c r="G223" s="74"/>
      <c r="H223" s="73"/>
      <c r="I223" s="74"/>
      <c r="J223" s="36"/>
      <c r="K223" s="74"/>
      <c r="L223" s="74"/>
      <c r="M223" s="74" t="s">
        <v>260</v>
      </c>
      <c r="N223" s="74" t="str">
        <f>IFERROR(__xludf.DUMMYFUNCTION("""COMPUTED_VALUE"""),"")</f>
        <v/>
      </c>
    </row>
    <row r="224">
      <c r="A224" s="36"/>
      <c r="B224" s="73"/>
      <c r="C224" s="73"/>
      <c r="D224" s="73"/>
      <c r="E224" s="73"/>
      <c r="F224" s="73"/>
      <c r="G224" s="74"/>
      <c r="H224" s="73"/>
      <c r="I224" s="74"/>
      <c r="J224" s="36"/>
      <c r="K224" s="74"/>
      <c r="L224" s="74"/>
      <c r="M224" s="74" t="s">
        <v>260</v>
      </c>
      <c r="N224" s="74" t="str">
        <f>IFERROR(__xludf.DUMMYFUNCTION("""COMPUTED_VALUE"""),"")</f>
        <v/>
      </c>
    </row>
    <row r="225">
      <c r="A225" s="36"/>
      <c r="B225" s="73"/>
      <c r="C225" s="73"/>
      <c r="D225" s="73"/>
      <c r="E225" s="73"/>
      <c r="F225" s="73"/>
      <c r="G225" s="74"/>
      <c r="H225" s="73"/>
      <c r="I225" s="74"/>
      <c r="J225" s="36"/>
      <c r="K225" s="74"/>
      <c r="L225" s="74"/>
      <c r="M225" s="74" t="s">
        <v>260</v>
      </c>
      <c r="N225" s="74" t="str">
        <f>IFERROR(__xludf.DUMMYFUNCTION("""COMPUTED_VALUE"""),"")</f>
        <v/>
      </c>
    </row>
    <row r="226">
      <c r="A226" s="36"/>
      <c r="B226" s="73"/>
      <c r="C226" s="73"/>
      <c r="D226" s="73"/>
      <c r="E226" s="73"/>
      <c r="F226" s="73"/>
      <c r="G226" s="74"/>
      <c r="H226" s="73"/>
      <c r="I226" s="74"/>
      <c r="J226" s="36"/>
      <c r="K226" s="74"/>
      <c r="L226" s="74"/>
      <c r="M226" s="74" t="s">
        <v>260</v>
      </c>
      <c r="N226" s="74" t="str">
        <f>IFERROR(__xludf.DUMMYFUNCTION("""COMPUTED_VALUE"""),"")</f>
        <v/>
      </c>
    </row>
    <row r="227">
      <c r="A227" s="74"/>
      <c r="B227" s="73"/>
      <c r="C227" s="73"/>
      <c r="D227" s="73"/>
      <c r="E227" s="73"/>
      <c r="F227" s="73"/>
      <c r="G227" s="74"/>
      <c r="H227" s="73"/>
      <c r="I227" s="74"/>
      <c r="J227" s="36"/>
      <c r="K227" s="74"/>
      <c r="L227" s="74"/>
      <c r="M227" s="74" t="s">
        <v>260</v>
      </c>
      <c r="N227" s="74" t="str">
        <f>IFERROR(__xludf.DUMMYFUNCTION("""COMPUTED_VALUE"""),"")</f>
        <v/>
      </c>
    </row>
    <row r="228">
      <c r="A228" s="74"/>
      <c r="B228" s="73"/>
      <c r="C228" s="73"/>
      <c r="D228" s="73"/>
      <c r="E228" s="73"/>
      <c r="F228" s="73"/>
      <c r="G228" s="74"/>
      <c r="H228" s="73"/>
      <c r="I228" s="74"/>
      <c r="J228" s="36"/>
      <c r="K228" s="74"/>
      <c r="L228" s="74"/>
      <c r="M228" s="74" t="s">
        <v>260</v>
      </c>
      <c r="N228" s="74" t="str">
        <f>IFERROR(__xludf.DUMMYFUNCTION("""COMPUTED_VALUE"""),"")</f>
        <v/>
      </c>
    </row>
    <row r="229">
      <c r="A229" s="74"/>
      <c r="B229" s="73"/>
      <c r="C229" s="73"/>
      <c r="D229" s="73"/>
      <c r="E229" s="73"/>
      <c r="F229" s="73"/>
      <c r="G229" s="74"/>
      <c r="H229" s="73"/>
      <c r="I229" s="74"/>
      <c r="J229" s="36"/>
      <c r="K229" s="74"/>
      <c r="L229" s="74"/>
      <c r="M229" s="74" t="s">
        <v>260</v>
      </c>
      <c r="N229" s="74" t="str">
        <f>IFERROR(__xludf.DUMMYFUNCTION("""COMPUTED_VALUE"""),"")</f>
        <v/>
      </c>
    </row>
    <row r="230">
      <c r="A230" s="74"/>
      <c r="B230" s="73"/>
      <c r="C230" s="73"/>
      <c r="D230" s="73"/>
      <c r="E230" s="73"/>
      <c r="F230" s="73"/>
      <c r="G230" s="74"/>
      <c r="H230" s="73"/>
      <c r="I230" s="74"/>
      <c r="J230" s="36"/>
      <c r="K230" s="74"/>
      <c r="L230" s="74"/>
      <c r="M230" s="74" t="s">
        <v>260</v>
      </c>
      <c r="N230" s="74" t="str">
        <f>IFERROR(__xludf.DUMMYFUNCTION("""COMPUTED_VALUE"""),"")</f>
        <v/>
      </c>
    </row>
    <row r="231">
      <c r="A231" s="74"/>
      <c r="B231" s="73"/>
      <c r="C231" s="73"/>
      <c r="D231" s="73"/>
      <c r="E231" s="73"/>
      <c r="F231" s="73"/>
      <c r="G231" s="74"/>
      <c r="H231" s="73"/>
      <c r="I231" s="74"/>
      <c r="J231" s="36"/>
      <c r="K231" s="74"/>
      <c r="L231" s="74"/>
      <c r="M231" s="74" t="s">
        <v>260</v>
      </c>
      <c r="N231" s="74" t="str">
        <f>IFERROR(__xludf.DUMMYFUNCTION("""COMPUTED_VALUE"""),"")</f>
        <v/>
      </c>
    </row>
    <row r="232">
      <c r="A232" s="74"/>
      <c r="B232" s="73"/>
      <c r="C232" s="73"/>
      <c r="D232" s="73"/>
      <c r="E232" s="73"/>
      <c r="F232" s="73"/>
      <c r="G232" s="74"/>
      <c r="H232" s="73"/>
      <c r="I232" s="74"/>
      <c r="J232" s="36"/>
      <c r="K232" s="74"/>
      <c r="L232" s="74"/>
      <c r="M232" s="74" t="s">
        <v>260</v>
      </c>
      <c r="N232" s="74" t="str">
        <f>IFERROR(__xludf.DUMMYFUNCTION("""COMPUTED_VALUE"""),"")</f>
        <v/>
      </c>
    </row>
    <row r="233">
      <c r="A233" s="74"/>
      <c r="B233" s="73"/>
      <c r="C233" s="73"/>
      <c r="D233" s="73"/>
      <c r="E233" s="73"/>
      <c r="F233" s="73"/>
      <c r="G233" s="74"/>
      <c r="H233" s="73"/>
      <c r="I233" s="74"/>
      <c r="J233" s="36"/>
      <c r="K233" s="74"/>
      <c r="L233" s="74"/>
      <c r="M233" s="74" t="s">
        <v>260</v>
      </c>
      <c r="N233" s="74" t="str">
        <f>IFERROR(__xludf.DUMMYFUNCTION("""COMPUTED_VALUE"""),"")</f>
        <v/>
      </c>
    </row>
    <row r="234">
      <c r="A234" s="74"/>
      <c r="B234" s="73"/>
      <c r="C234" s="73"/>
      <c r="D234" s="73"/>
      <c r="E234" s="73"/>
      <c r="F234" s="73"/>
      <c r="G234" s="74"/>
      <c r="H234" s="73"/>
      <c r="I234" s="74"/>
      <c r="J234" s="36"/>
      <c r="K234" s="74"/>
      <c r="L234" s="74"/>
      <c r="M234" s="74" t="s">
        <v>260</v>
      </c>
      <c r="N234" s="74" t="str">
        <f>IFERROR(__xludf.DUMMYFUNCTION("""COMPUTED_VALUE"""),"")</f>
        <v/>
      </c>
    </row>
    <row r="235">
      <c r="A235" s="74"/>
      <c r="B235" s="73"/>
      <c r="C235" s="73"/>
      <c r="D235" s="73"/>
      <c r="E235" s="73"/>
      <c r="F235" s="73"/>
      <c r="G235" s="74"/>
      <c r="H235" s="73"/>
      <c r="I235" s="74"/>
      <c r="J235" s="36"/>
      <c r="K235" s="74"/>
      <c r="L235" s="74"/>
      <c r="M235" s="74" t="s">
        <v>260</v>
      </c>
      <c r="N235" s="74" t="str">
        <f>IFERROR(__xludf.DUMMYFUNCTION("""COMPUTED_VALUE"""),"")</f>
        <v/>
      </c>
    </row>
    <row r="236">
      <c r="A236" s="74"/>
      <c r="B236" s="73"/>
      <c r="C236" s="73"/>
      <c r="D236" s="73"/>
      <c r="E236" s="73"/>
      <c r="F236" s="73"/>
      <c r="G236" s="74"/>
      <c r="H236" s="73"/>
      <c r="I236" s="74"/>
      <c r="J236" s="36"/>
      <c r="K236" s="74"/>
      <c r="L236" s="74"/>
      <c r="M236" s="74" t="s">
        <v>260</v>
      </c>
      <c r="N236" s="74" t="str">
        <f>IFERROR(__xludf.DUMMYFUNCTION("""COMPUTED_VALUE"""),"")</f>
        <v/>
      </c>
    </row>
    <row r="237">
      <c r="A237" s="74"/>
      <c r="B237" s="73"/>
      <c r="C237" s="73"/>
      <c r="D237" s="73"/>
      <c r="E237" s="73"/>
      <c r="F237" s="73"/>
      <c r="G237" s="74"/>
      <c r="H237" s="73"/>
      <c r="I237" s="74"/>
      <c r="J237" s="36"/>
      <c r="K237" s="74"/>
      <c r="L237" s="74"/>
      <c r="M237" s="74" t="s">
        <v>260</v>
      </c>
      <c r="N237" s="74" t="str">
        <f>IFERROR(__xludf.DUMMYFUNCTION("""COMPUTED_VALUE"""),"")</f>
        <v/>
      </c>
    </row>
    <row r="238">
      <c r="A238" s="36"/>
      <c r="B238" s="73"/>
      <c r="C238" s="73"/>
      <c r="D238" s="73"/>
      <c r="E238" s="73"/>
      <c r="F238" s="73"/>
      <c r="G238" s="74"/>
      <c r="H238" s="73"/>
      <c r="I238" s="74"/>
      <c r="J238" s="36"/>
      <c r="K238" s="74"/>
      <c r="L238" s="74"/>
      <c r="M238" s="74" t="s">
        <v>260</v>
      </c>
      <c r="N238" s="74" t="str">
        <f>IFERROR(__xludf.DUMMYFUNCTION("""COMPUTED_VALUE"""),"")</f>
        <v/>
      </c>
    </row>
    <row r="239">
      <c r="A239" s="36"/>
      <c r="B239" s="73"/>
      <c r="C239" s="73"/>
      <c r="D239" s="73"/>
      <c r="E239" s="73"/>
      <c r="F239" s="73"/>
      <c r="G239" s="74"/>
      <c r="H239" s="73"/>
      <c r="I239" s="74"/>
      <c r="J239" s="36"/>
      <c r="K239" s="74"/>
      <c r="L239" s="74"/>
      <c r="M239" s="74" t="s">
        <v>260</v>
      </c>
      <c r="N239" s="74" t="str">
        <f>IFERROR(__xludf.DUMMYFUNCTION("""COMPUTED_VALUE"""),"")</f>
        <v/>
      </c>
    </row>
    <row r="240">
      <c r="A240" s="36"/>
      <c r="B240" s="73"/>
      <c r="C240" s="73"/>
      <c r="D240" s="73"/>
      <c r="E240" s="73"/>
      <c r="F240" s="73"/>
      <c r="G240" s="74"/>
      <c r="H240" s="73"/>
      <c r="I240" s="74"/>
      <c r="J240" s="36"/>
      <c r="K240" s="74"/>
      <c r="L240" s="74"/>
      <c r="M240" s="74" t="s">
        <v>260</v>
      </c>
      <c r="N240" s="74" t="str">
        <f>IFERROR(__xludf.DUMMYFUNCTION("""COMPUTED_VALUE"""),"")</f>
        <v/>
      </c>
    </row>
    <row r="241">
      <c r="A241" s="36"/>
      <c r="B241" s="73"/>
      <c r="C241" s="73"/>
      <c r="D241" s="73"/>
      <c r="E241" s="73"/>
      <c r="F241" s="73"/>
      <c r="G241" s="74"/>
      <c r="H241" s="73"/>
      <c r="I241" s="74"/>
      <c r="J241" s="36"/>
      <c r="K241" s="74"/>
      <c r="L241" s="74"/>
      <c r="M241" s="74" t="s">
        <v>260</v>
      </c>
      <c r="N241" s="74" t="str">
        <f>IFERROR(__xludf.DUMMYFUNCTION("""COMPUTED_VALUE"""),"")</f>
        <v/>
      </c>
    </row>
    <row r="242">
      <c r="A242" s="36"/>
      <c r="B242" s="73"/>
      <c r="C242" s="73"/>
      <c r="D242" s="73"/>
      <c r="E242" s="73"/>
      <c r="F242" s="73"/>
      <c r="G242" s="74"/>
      <c r="H242" s="73"/>
      <c r="I242" s="74"/>
      <c r="J242" s="36"/>
      <c r="K242" s="74"/>
      <c r="L242" s="74"/>
      <c r="M242" s="74" t="s">
        <v>260</v>
      </c>
      <c r="N242" s="74" t="str">
        <f>IFERROR(__xludf.DUMMYFUNCTION("""COMPUTED_VALUE"""),"")</f>
        <v/>
      </c>
    </row>
    <row r="243">
      <c r="A243" s="36"/>
      <c r="B243" s="73"/>
      <c r="C243" s="73"/>
      <c r="D243" s="73"/>
      <c r="E243" s="73"/>
      <c r="F243" s="73"/>
      <c r="G243" s="74"/>
      <c r="H243" s="73"/>
      <c r="I243" s="74"/>
      <c r="J243" s="36"/>
      <c r="K243" s="74"/>
      <c r="L243" s="74"/>
      <c r="M243" s="74" t="s">
        <v>260</v>
      </c>
      <c r="N243" s="74" t="str">
        <f>IFERROR(__xludf.DUMMYFUNCTION("""COMPUTED_VALUE"""),"")</f>
        <v/>
      </c>
    </row>
    <row r="244">
      <c r="A244" s="36"/>
      <c r="B244" s="73"/>
      <c r="C244" s="73"/>
      <c r="D244" s="73"/>
      <c r="E244" s="73"/>
      <c r="F244" s="73"/>
      <c r="G244" s="74"/>
      <c r="H244" s="73"/>
      <c r="I244" s="74"/>
      <c r="J244" s="36"/>
      <c r="K244" s="74"/>
      <c r="L244" s="74"/>
      <c r="M244" s="74" t="s">
        <v>260</v>
      </c>
      <c r="N244" s="74" t="str">
        <f>IFERROR(__xludf.DUMMYFUNCTION("""COMPUTED_VALUE"""),"")</f>
        <v/>
      </c>
    </row>
    <row r="245">
      <c r="A245" s="36"/>
      <c r="B245" s="73"/>
      <c r="C245" s="73"/>
      <c r="D245" s="73"/>
      <c r="E245" s="73"/>
      <c r="F245" s="73"/>
      <c r="G245" s="74"/>
      <c r="H245" s="73"/>
      <c r="I245" s="74"/>
      <c r="J245" s="36"/>
      <c r="K245" s="74"/>
      <c r="L245" s="74"/>
      <c r="M245" s="74" t="s">
        <v>260</v>
      </c>
      <c r="N245" s="74" t="str">
        <f>IFERROR(__xludf.DUMMYFUNCTION("""COMPUTED_VALUE"""),"")</f>
        <v/>
      </c>
    </row>
    <row r="246">
      <c r="A246" s="36"/>
      <c r="B246" s="73"/>
      <c r="C246" s="73"/>
      <c r="D246" s="73"/>
      <c r="E246" s="73"/>
      <c r="F246" s="73"/>
      <c r="G246" s="74"/>
      <c r="H246" s="73"/>
      <c r="I246" s="74"/>
      <c r="J246" s="36"/>
      <c r="K246" s="74"/>
      <c r="L246" s="74"/>
      <c r="M246" s="74" t="s">
        <v>260</v>
      </c>
      <c r="N246" s="74" t="str">
        <f>IFERROR(__xludf.DUMMYFUNCTION("""COMPUTED_VALUE"""),"")</f>
        <v/>
      </c>
    </row>
    <row r="247">
      <c r="A247" s="36"/>
      <c r="B247" s="73"/>
      <c r="C247" s="73"/>
      <c r="D247" s="73"/>
      <c r="E247" s="73"/>
      <c r="F247" s="73"/>
      <c r="G247" s="74"/>
      <c r="H247" s="73"/>
      <c r="I247" s="74"/>
      <c r="J247" s="36"/>
      <c r="K247" s="74"/>
      <c r="L247" s="74"/>
      <c r="M247" s="74" t="s">
        <v>260</v>
      </c>
      <c r="N247" s="74" t="str">
        <f>IFERROR(__xludf.DUMMYFUNCTION("""COMPUTED_VALUE"""),"")</f>
        <v/>
      </c>
    </row>
    <row r="248">
      <c r="A248" s="36"/>
      <c r="B248" s="73"/>
      <c r="C248" s="73"/>
      <c r="D248" s="73"/>
      <c r="E248" s="73"/>
      <c r="F248" s="73"/>
      <c r="G248" s="74"/>
      <c r="H248" s="73"/>
      <c r="I248" s="74"/>
      <c r="J248" s="36"/>
      <c r="K248" s="74"/>
      <c r="L248" s="74"/>
      <c r="M248" s="74" t="s">
        <v>260</v>
      </c>
      <c r="N248" s="74" t="str">
        <f>IFERROR(__xludf.DUMMYFUNCTION("""COMPUTED_VALUE"""),"")</f>
        <v/>
      </c>
    </row>
    <row r="249">
      <c r="A249" s="36"/>
      <c r="B249" s="73"/>
      <c r="C249" s="73"/>
      <c r="D249" s="73"/>
      <c r="E249" s="73"/>
      <c r="F249" s="73"/>
      <c r="G249" s="74"/>
      <c r="H249" s="73"/>
      <c r="I249" s="74"/>
      <c r="J249" s="36"/>
      <c r="K249" s="74"/>
      <c r="L249" s="74"/>
      <c r="M249" s="74" t="s">
        <v>260</v>
      </c>
      <c r="N249" s="74" t="str">
        <f>IFERROR(__xludf.DUMMYFUNCTION("""COMPUTED_VALUE"""),"")</f>
        <v/>
      </c>
    </row>
    <row r="250">
      <c r="A250" s="36"/>
      <c r="B250" s="73"/>
      <c r="C250" s="73"/>
      <c r="D250" s="73"/>
      <c r="E250" s="73"/>
      <c r="F250" s="73"/>
      <c r="G250" s="74"/>
      <c r="H250" s="73"/>
      <c r="I250" s="74"/>
      <c r="J250" s="36"/>
      <c r="K250" s="74"/>
      <c r="L250" s="74"/>
      <c r="M250" s="74" t="s">
        <v>260</v>
      </c>
      <c r="N250" s="74" t="str">
        <f>IFERROR(__xludf.DUMMYFUNCTION("""COMPUTED_VALUE"""),"")</f>
        <v/>
      </c>
    </row>
    <row r="251">
      <c r="A251" s="36"/>
      <c r="B251" s="73"/>
      <c r="C251" s="73"/>
      <c r="D251" s="73"/>
      <c r="E251" s="73"/>
      <c r="F251" s="73"/>
      <c r="G251" s="74"/>
      <c r="H251" s="73"/>
      <c r="I251" s="74"/>
      <c r="J251" s="36"/>
      <c r="K251" s="74"/>
      <c r="L251" s="74"/>
      <c r="M251" s="74" t="s">
        <v>260</v>
      </c>
      <c r="N251" s="74" t="str">
        <f>IFERROR(__xludf.DUMMYFUNCTION("""COMPUTED_VALUE"""),"")</f>
        <v/>
      </c>
    </row>
    <row r="252">
      <c r="A252" s="36"/>
      <c r="B252" s="73"/>
      <c r="C252" s="73"/>
      <c r="D252" s="73"/>
      <c r="E252" s="73"/>
      <c r="F252" s="73"/>
      <c r="G252" s="74"/>
      <c r="H252" s="73"/>
      <c r="I252" s="74"/>
      <c r="J252" s="36"/>
      <c r="K252" s="74"/>
      <c r="L252" s="74"/>
      <c r="M252" s="74" t="s">
        <v>260</v>
      </c>
      <c r="N252" s="74" t="str">
        <f>IFERROR(__xludf.DUMMYFUNCTION("""COMPUTED_VALUE"""),"")</f>
        <v/>
      </c>
    </row>
    <row r="253">
      <c r="A253" s="36"/>
      <c r="B253" s="73"/>
      <c r="C253" s="73"/>
      <c r="D253" s="73"/>
      <c r="E253" s="73"/>
      <c r="F253" s="73"/>
      <c r="G253" s="74"/>
      <c r="H253" s="73"/>
      <c r="I253" s="74"/>
      <c r="J253" s="36"/>
      <c r="K253" s="74"/>
      <c r="L253" s="74"/>
      <c r="M253" s="74" t="s">
        <v>260</v>
      </c>
      <c r="N253" s="74" t="str">
        <f>IFERROR(__xludf.DUMMYFUNCTION("""COMPUTED_VALUE"""),"")</f>
        <v/>
      </c>
    </row>
    <row r="254">
      <c r="A254" s="36"/>
      <c r="B254" s="73"/>
      <c r="C254" s="73"/>
      <c r="D254" s="73"/>
      <c r="E254" s="73"/>
      <c r="F254" s="73"/>
      <c r="G254" s="74"/>
      <c r="H254" s="73"/>
      <c r="I254" s="74"/>
      <c r="J254" s="36"/>
      <c r="K254" s="74"/>
      <c r="L254" s="74"/>
      <c r="M254" s="74" t="s">
        <v>260</v>
      </c>
      <c r="N254" s="74" t="str">
        <f>IFERROR(__xludf.DUMMYFUNCTION("""COMPUTED_VALUE"""),"")</f>
        <v/>
      </c>
    </row>
    <row r="255">
      <c r="A255" s="36"/>
      <c r="B255" s="73"/>
      <c r="C255" s="73"/>
      <c r="D255" s="73"/>
      <c r="E255" s="73"/>
      <c r="F255" s="73"/>
      <c r="G255" s="74"/>
      <c r="H255" s="73"/>
      <c r="I255" s="74"/>
      <c r="J255" s="36"/>
      <c r="K255" s="74"/>
      <c r="L255" s="74"/>
      <c r="M255" s="74" t="s">
        <v>260</v>
      </c>
      <c r="N255" s="74" t="str">
        <f>IFERROR(__xludf.DUMMYFUNCTION("""COMPUTED_VALUE"""),"")</f>
        <v/>
      </c>
    </row>
    <row r="256">
      <c r="B256" s="73"/>
      <c r="C256" s="73"/>
      <c r="D256" s="73"/>
      <c r="E256" s="73"/>
      <c r="F256" s="73"/>
      <c r="G256" s="74"/>
      <c r="H256" s="73"/>
      <c r="I256" s="74"/>
      <c r="J256" s="36"/>
      <c r="K256" s="74"/>
      <c r="L256" s="74"/>
      <c r="M256" s="74" t="s">
        <v>260</v>
      </c>
      <c r="N256" s="74" t="str">
        <f>IFERROR(__xludf.DUMMYFUNCTION("""COMPUTED_VALUE"""),"")</f>
        <v/>
      </c>
    </row>
    <row r="257">
      <c r="B257" s="73"/>
      <c r="C257" s="73"/>
      <c r="D257" s="73"/>
      <c r="E257" s="73"/>
      <c r="F257" s="73"/>
      <c r="G257" s="74"/>
      <c r="H257" s="73"/>
      <c r="I257" s="74"/>
      <c r="J257" s="36"/>
      <c r="K257" s="74"/>
      <c r="L257" s="74"/>
      <c r="M257" s="74" t="s">
        <v>260</v>
      </c>
      <c r="N257" s="74" t="str">
        <f>IFERROR(__xludf.DUMMYFUNCTION("""COMPUTED_VALUE"""),"")</f>
        <v/>
      </c>
    </row>
    <row r="258">
      <c r="B258" s="73"/>
      <c r="C258" s="73"/>
      <c r="D258" s="73"/>
      <c r="E258" s="73"/>
      <c r="F258" s="73"/>
      <c r="G258" s="74"/>
      <c r="H258" s="73"/>
      <c r="I258" s="74"/>
      <c r="J258" s="36"/>
      <c r="K258" s="74"/>
      <c r="L258" s="74"/>
      <c r="M258" s="74" t="s">
        <v>260</v>
      </c>
      <c r="N258" s="74" t="str">
        <f>IFERROR(__xludf.DUMMYFUNCTION("""COMPUTED_VALUE"""),"")</f>
        <v/>
      </c>
    </row>
    <row r="259">
      <c r="B259" s="73"/>
      <c r="C259" s="73"/>
      <c r="D259" s="73"/>
      <c r="E259" s="73"/>
      <c r="F259" s="73"/>
      <c r="G259" s="74"/>
      <c r="H259" s="73"/>
      <c r="I259" s="74"/>
      <c r="J259" s="36"/>
      <c r="K259" s="74"/>
      <c r="L259" s="74"/>
      <c r="M259" s="74" t="s">
        <v>260</v>
      </c>
      <c r="N259" s="74" t="str">
        <f>IFERROR(__xludf.DUMMYFUNCTION("""COMPUTED_VALUE"""),"")</f>
        <v/>
      </c>
    </row>
    <row r="260">
      <c r="B260" s="73"/>
      <c r="C260" s="73"/>
      <c r="D260" s="73"/>
      <c r="E260" s="73"/>
      <c r="F260" s="73"/>
      <c r="G260" s="74"/>
      <c r="H260" s="73"/>
      <c r="I260" s="74"/>
      <c r="J260" s="36"/>
      <c r="K260" s="74"/>
      <c r="L260" s="74"/>
      <c r="M260" s="74" t="s">
        <v>260</v>
      </c>
      <c r="N260" s="74" t="str">
        <f>IFERROR(__xludf.DUMMYFUNCTION("""COMPUTED_VALUE"""),"")</f>
        <v/>
      </c>
    </row>
    <row r="261">
      <c r="B261" s="73"/>
      <c r="C261" s="73"/>
      <c r="D261" s="73"/>
      <c r="E261" s="73"/>
      <c r="F261" s="73"/>
      <c r="G261" s="74"/>
      <c r="H261" s="73"/>
      <c r="I261" s="74"/>
      <c r="J261" s="36"/>
      <c r="K261" s="74"/>
      <c r="L261" s="74"/>
      <c r="M261" s="74" t="s">
        <v>260</v>
      </c>
      <c r="N261" s="74" t="str">
        <f>IFERROR(__xludf.DUMMYFUNCTION("""COMPUTED_VALUE"""),"")</f>
        <v/>
      </c>
    </row>
    <row r="262">
      <c r="B262" s="73"/>
      <c r="C262" s="73"/>
      <c r="D262" s="73"/>
      <c r="E262" s="73"/>
      <c r="F262" s="73"/>
      <c r="G262" s="74"/>
      <c r="H262" s="73"/>
      <c r="I262" s="74"/>
      <c r="J262" s="36"/>
      <c r="K262" s="74"/>
      <c r="L262" s="74"/>
      <c r="M262" s="74" t="s">
        <v>260</v>
      </c>
      <c r="N262" s="74" t="str">
        <f>IFERROR(__xludf.DUMMYFUNCTION("""COMPUTED_VALUE"""),"")</f>
        <v/>
      </c>
    </row>
    <row r="263">
      <c r="B263" s="73"/>
      <c r="C263" s="73"/>
      <c r="D263" s="73"/>
      <c r="E263" s="73"/>
      <c r="F263" s="73"/>
      <c r="G263" s="74"/>
      <c r="H263" s="73"/>
      <c r="I263" s="74"/>
      <c r="J263" s="36"/>
      <c r="K263" s="74"/>
      <c r="L263" s="74"/>
      <c r="M263" s="74" t="s">
        <v>260</v>
      </c>
      <c r="N263" s="74" t="str">
        <f>IFERROR(__xludf.DUMMYFUNCTION("""COMPUTED_VALUE"""),"")</f>
        <v/>
      </c>
    </row>
    <row r="264">
      <c r="B264" s="73"/>
      <c r="C264" s="73"/>
      <c r="D264" s="73"/>
      <c r="E264" s="73"/>
      <c r="F264" s="73"/>
      <c r="G264" s="74"/>
      <c r="H264" s="73"/>
      <c r="I264" s="74"/>
      <c r="J264" s="36"/>
      <c r="K264" s="74"/>
      <c r="L264" s="74"/>
      <c r="M264" s="74" t="s">
        <v>260</v>
      </c>
      <c r="N264" s="74" t="str">
        <f>IFERROR(__xludf.DUMMYFUNCTION("""COMPUTED_VALUE"""),"")</f>
        <v/>
      </c>
    </row>
    <row r="265">
      <c r="B265" s="73"/>
      <c r="C265" s="73"/>
      <c r="D265" s="73"/>
      <c r="E265" s="73"/>
      <c r="F265" s="73"/>
      <c r="G265" s="74"/>
      <c r="H265" s="73"/>
      <c r="I265" s="74"/>
      <c r="J265" s="36"/>
      <c r="K265" s="74"/>
      <c r="L265" s="74"/>
      <c r="M265" s="74" t="s">
        <v>260</v>
      </c>
      <c r="N265" s="74" t="str">
        <f>IFERROR(__xludf.DUMMYFUNCTION("""COMPUTED_VALUE"""),"")</f>
        <v/>
      </c>
    </row>
    <row r="266">
      <c r="B266" s="73"/>
      <c r="C266" s="73"/>
      <c r="D266" s="73"/>
      <c r="E266" s="73"/>
      <c r="F266" s="73"/>
      <c r="G266" s="74"/>
      <c r="H266" s="73"/>
      <c r="I266" s="74"/>
      <c r="J266" s="36"/>
      <c r="K266" s="74"/>
      <c r="L266" s="74"/>
      <c r="M266" s="74" t="s">
        <v>260</v>
      </c>
      <c r="N266" s="74" t="str">
        <f>IFERROR(__xludf.DUMMYFUNCTION("""COMPUTED_VALUE"""),"")</f>
        <v/>
      </c>
    </row>
    <row r="267">
      <c r="B267" s="73"/>
      <c r="C267" s="73"/>
      <c r="D267" s="73"/>
      <c r="E267" s="73"/>
      <c r="F267" s="73"/>
      <c r="G267" s="74"/>
      <c r="H267" s="73"/>
      <c r="I267" s="74"/>
      <c r="J267" s="36"/>
      <c r="K267" s="74"/>
      <c r="L267" s="74"/>
      <c r="M267" s="74" t="s">
        <v>260</v>
      </c>
      <c r="N267" s="74" t="str">
        <f>IFERROR(__xludf.DUMMYFUNCTION("""COMPUTED_VALUE"""),"")</f>
        <v/>
      </c>
    </row>
    <row r="268">
      <c r="B268" s="73"/>
      <c r="C268" s="73"/>
      <c r="D268" s="73"/>
      <c r="E268" s="73"/>
      <c r="F268" s="73"/>
      <c r="G268" s="74"/>
      <c r="H268" s="73"/>
      <c r="I268" s="74"/>
      <c r="J268" s="36"/>
      <c r="K268" s="74"/>
      <c r="L268" s="74"/>
      <c r="M268" s="74" t="s">
        <v>260</v>
      </c>
      <c r="N268" s="74" t="str">
        <f>IFERROR(__xludf.DUMMYFUNCTION("""COMPUTED_VALUE"""),"")</f>
        <v/>
      </c>
    </row>
    <row r="269">
      <c r="B269" s="73"/>
      <c r="C269" s="73"/>
      <c r="D269" s="73"/>
      <c r="E269" s="73"/>
      <c r="F269" s="73"/>
      <c r="G269" s="74"/>
      <c r="H269" s="73"/>
      <c r="I269" s="74"/>
      <c r="J269" s="36"/>
      <c r="K269" s="74"/>
      <c r="L269" s="74"/>
      <c r="M269" s="74" t="s">
        <v>260</v>
      </c>
      <c r="N269" s="74" t="str">
        <f>IFERROR(__xludf.DUMMYFUNCTION("""COMPUTED_VALUE"""),"")</f>
        <v/>
      </c>
    </row>
    <row r="270">
      <c r="B270" s="73"/>
      <c r="C270" s="73"/>
      <c r="D270" s="73"/>
      <c r="E270" s="73"/>
      <c r="F270" s="73"/>
      <c r="G270" s="74"/>
      <c r="H270" s="73"/>
      <c r="I270" s="74"/>
      <c r="J270" s="36"/>
      <c r="K270" s="74"/>
      <c r="L270" s="74"/>
      <c r="M270" s="74" t="s">
        <v>260</v>
      </c>
      <c r="N270" s="74" t="str">
        <f>IFERROR(__xludf.DUMMYFUNCTION("""COMPUTED_VALUE"""),"")</f>
        <v/>
      </c>
    </row>
    <row r="271">
      <c r="B271" s="73"/>
      <c r="C271" s="73"/>
      <c r="D271" s="73"/>
      <c r="E271" s="73"/>
      <c r="F271" s="73"/>
      <c r="G271" s="74"/>
      <c r="H271" s="73"/>
      <c r="I271" s="74"/>
      <c r="J271" s="36"/>
      <c r="K271" s="74"/>
      <c r="L271" s="74"/>
      <c r="M271" s="74" t="s">
        <v>260</v>
      </c>
      <c r="N271" s="74" t="str">
        <f>IFERROR(__xludf.DUMMYFUNCTION("""COMPUTED_VALUE"""),"")</f>
        <v/>
      </c>
    </row>
    <row r="272">
      <c r="B272" s="73"/>
      <c r="C272" s="73"/>
      <c r="D272" s="73"/>
      <c r="E272" s="73"/>
      <c r="F272" s="73"/>
      <c r="G272" s="74"/>
      <c r="H272" s="73"/>
      <c r="I272" s="74"/>
      <c r="J272" s="36"/>
      <c r="K272" s="74"/>
      <c r="L272" s="74"/>
      <c r="M272" s="74" t="s">
        <v>260</v>
      </c>
      <c r="N272" s="74" t="str">
        <f>IFERROR(__xludf.DUMMYFUNCTION("""COMPUTED_VALUE"""),"")</f>
        <v/>
      </c>
    </row>
    <row r="273">
      <c r="B273" s="73"/>
      <c r="C273" s="73"/>
      <c r="D273" s="73"/>
      <c r="E273" s="73"/>
      <c r="F273" s="73"/>
      <c r="G273" s="74"/>
      <c r="H273" s="73"/>
      <c r="I273" s="74"/>
      <c r="J273" s="36"/>
      <c r="K273" s="74"/>
      <c r="L273" s="74"/>
      <c r="M273" s="74" t="s">
        <v>260</v>
      </c>
      <c r="N273" s="74" t="str">
        <f>IFERROR(__xludf.DUMMYFUNCTION("""COMPUTED_VALUE"""),"")</f>
        <v/>
      </c>
    </row>
    <row r="274">
      <c r="B274" s="73"/>
      <c r="C274" s="73"/>
      <c r="D274" s="73"/>
      <c r="E274" s="73"/>
      <c r="F274" s="73"/>
      <c r="G274" s="74"/>
      <c r="H274" s="73"/>
      <c r="I274" s="74"/>
      <c r="J274" s="36"/>
      <c r="K274" s="74"/>
      <c r="L274" s="74"/>
      <c r="M274" s="74" t="s">
        <v>260</v>
      </c>
      <c r="N274" s="74" t="str">
        <f>IFERROR(__xludf.DUMMYFUNCTION("""COMPUTED_VALUE"""),"")</f>
        <v/>
      </c>
    </row>
    <row r="275">
      <c r="B275" s="73"/>
      <c r="C275" s="73"/>
      <c r="D275" s="73"/>
      <c r="E275" s="73"/>
      <c r="F275" s="73"/>
      <c r="G275" s="74"/>
      <c r="H275" s="73"/>
      <c r="I275" s="74"/>
      <c r="J275" s="36"/>
      <c r="K275" s="74"/>
      <c r="L275" s="74"/>
      <c r="M275" s="74" t="s">
        <v>260</v>
      </c>
      <c r="N275" s="74" t="str">
        <f>IFERROR(__xludf.DUMMYFUNCTION("""COMPUTED_VALUE"""),"")</f>
        <v/>
      </c>
    </row>
    <row r="276">
      <c r="B276" s="73"/>
      <c r="C276" s="73"/>
      <c r="D276" s="73"/>
      <c r="E276" s="73"/>
      <c r="F276" s="73"/>
      <c r="G276" s="74"/>
      <c r="H276" s="73"/>
      <c r="I276" s="74"/>
      <c r="J276" s="36"/>
      <c r="K276" s="74"/>
      <c r="L276" s="74"/>
      <c r="M276" s="74" t="s">
        <v>260</v>
      </c>
      <c r="N276" s="74" t="str">
        <f>IFERROR(__xludf.DUMMYFUNCTION("""COMPUTED_VALUE"""),"")</f>
        <v/>
      </c>
    </row>
    <row r="277">
      <c r="B277" s="73"/>
      <c r="C277" s="73"/>
      <c r="D277" s="73"/>
      <c r="E277" s="73"/>
      <c r="F277" s="73"/>
      <c r="G277" s="74"/>
      <c r="H277" s="73"/>
      <c r="I277" s="74"/>
      <c r="J277" s="36"/>
      <c r="K277" s="74"/>
      <c r="L277" s="74"/>
      <c r="M277" s="74" t="s">
        <v>260</v>
      </c>
      <c r="N277" s="74" t="str">
        <f>IFERROR(__xludf.DUMMYFUNCTION("""COMPUTED_VALUE"""),"")</f>
        <v/>
      </c>
    </row>
    <row r="278">
      <c r="B278" s="73"/>
      <c r="C278" s="73"/>
      <c r="D278" s="73"/>
      <c r="E278" s="73"/>
      <c r="F278" s="73"/>
      <c r="G278" s="74"/>
      <c r="H278" s="73"/>
      <c r="I278" s="74"/>
      <c r="J278" s="36"/>
      <c r="K278" s="74"/>
      <c r="L278" s="74"/>
      <c r="M278" s="74" t="s">
        <v>260</v>
      </c>
      <c r="N278" s="74" t="str">
        <f>IFERROR(__xludf.DUMMYFUNCTION("""COMPUTED_VALUE"""),"")</f>
        <v/>
      </c>
    </row>
    <row r="279">
      <c r="B279" s="73"/>
      <c r="C279" s="73"/>
      <c r="D279" s="73"/>
      <c r="E279" s="73"/>
      <c r="F279" s="73"/>
      <c r="G279" s="74"/>
      <c r="H279" s="73"/>
      <c r="I279" s="74"/>
      <c r="J279" s="36"/>
      <c r="K279" s="74"/>
      <c r="L279" s="74"/>
      <c r="M279" s="74" t="s">
        <v>260</v>
      </c>
      <c r="N279" s="74" t="str">
        <f>IFERROR(__xludf.DUMMYFUNCTION("""COMPUTED_VALUE"""),"")</f>
        <v/>
      </c>
    </row>
    <row r="280">
      <c r="B280" s="73"/>
      <c r="C280" s="73"/>
      <c r="D280" s="73"/>
      <c r="E280" s="73"/>
      <c r="F280" s="73"/>
      <c r="G280" s="74"/>
      <c r="H280" s="73"/>
      <c r="I280" s="74"/>
      <c r="J280" s="36"/>
      <c r="K280" s="74"/>
      <c r="L280" s="74"/>
      <c r="M280" s="74" t="s">
        <v>260</v>
      </c>
      <c r="N280" s="74" t="str">
        <f>IFERROR(__xludf.DUMMYFUNCTION("""COMPUTED_VALUE"""),"")</f>
        <v/>
      </c>
    </row>
    <row r="281">
      <c r="B281" s="73"/>
      <c r="C281" s="73"/>
      <c r="D281" s="73"/>
      <c r="E281" s="73"/>
      <c r="F281" s="73"/>
      <c r="G281" s="74"/>
      <c r="H281" s="73"/>
      <c r="I281" s="74"/>
      <c r="J281" s="36"/>
      <c r="K281" s="74"/>
      <c r="L281" s="74"/>
      <c r="M281" s="74" t="s">
        <v>260</v>
      </c>
      <c r="N281" s="74" t="str">
        <f>IFERROR(__xludf.DUMMYFUNCTION("""COMPUTED_VALUE"""),"")</f>
        <v/>
      </c>
    </row>
    <row r="282">
      <c r="B282" s="73"/>
      <c r="C282" s="73"/>
      <c r="D282" s="73"/>
      <c r="E282" s="73"/>
      <c r="F282" s="73"/>
      <c r="G282" s="74"/>
      <c r="H282" s="73"/>
      <c r="I282" s="74"/>
      <c r="J282" s="36"/>
      <c r="K282" s="74"/>
      <c r="L282" s="74"/>
      <c r="M282" s="74" t="s">
        <v>260</v>
      </c>
      <c r="N282" s="74" t="str">
        <f>IFERROR(__xludf.DUMMYFUNCTION("""COMPUTED_VALUE"""),"")</f>
        <v/>
      </c>
    </row>
    <row r="283">
      <c r="B283" s="73"/>
      <c r="C283" s="73"/>
      <c r="D283" s="73"/>
      <c r="E283" s="73"/>
      <c r="F283" s="73"/>
      <c r="G283" s="74"/>
      <c r="H283" s="73"/>
      <c r="I283" s="74"/>
      <c r="J283" s="36"/>
      <c r="K283" s="74"/>
      <c r="L283" s="74"/>
      <c r="M283" s="74" t="s">
        <v>260</v>
      </c>
      <c r="N283" s="74" t="str">
        <f>IFERROR(__xludf.DUMMYFUNCTION("""COMPUTED_VALUE"""),"")</f>
        <v/>
      </c>
    </row>
    <row r="284">
      <c r="B284" s="73"/>
      <c r="C284" s="73"/>
      <c r="D284" s="73"/>
      <c r="E284" s="73"/>
      <c r="F284" s="73"/>
      <c r="G284" s="74"/>
      <c r="H284" s="73"/>
      <c r="I284" s="74"/>
      <c r="J284" s="36"/>
      <c r="K284" s="74"/>
      <c r="L284" s="74"/>
      <c r="M284" s="74" t="s">
        <v>260</v>
      </c>
      <c r="N284" s="74" t="str">
        <f>IFERROR(__xludf.DUMMYFUNCTION("""COMPUTED_VALUE"""),"")</f>
        <v/>
      </c>
    </row>
    <row r="285">
      <c r="B285" s="73"/>
      <c r="C285" s="73"/>
      <c r="D285" s="73"/>
      <c r="E285" s="73"/>
      <c r="F285" s="73"/>
      <c r="G285" s="74"/>
      <c r="H285" s="73"/>
      <c r="I285" s="74"/>
      <c r="J285" s="36"/>
      <c r="K285" s="74"/>
      <c r="L285" s="74"/>
      <c r="M285" s="74" t="s">
        <v>260</v>
      </c>
      <c r="N285" s="74" t="str">
        <f>IFERROR(__xludf.DUMMYFUNCTION("""COMPUTED_VALUE"""),"")</f>
        <v/>
      </c>
    </row>
    <row r="286">
      <c r="B286" s="73"/>
      <c r="C286" s="73"/>
      <c r="D286" s="73"/>
      <c r="E286" s="73"/>
      <c r="F286" s="73"/>
      <c r="G286" s="74"/>
      <c r="H286" s="73"/>
      <c r="I286" s="74"/>
      <c r="J286" s="36"/>
      <c r="K286" s="74"/>
      <c r="L286" s="74"/>
      <c r="M286" s="74" t="s">
        <v>260</v>
      </c>
      <c r="N286" s="74" t="str">
        <f>IFERROR(__xludf.DUMMYFUNCTION("""COMPUTED_VALUE"""),"")</f>
        <v/>
      </c>
    </row>
    <row r="287">
      <c r="B287" s="73"/>
      <c r="C287" s="73"/>
      <c r="D287" s="73"/>
      <c r="E287" s="73"/>
      <c r="F287" s="73"/>
      <c r="G287" s="74"/>
      <c r="H287" s="73"/>
      <c r="I287" s="74"/>
      <c r="J287" s="36"/>
      <c r="K287" s="74"/>
      <c r="L287" s="74"/>
      <c r="M287" s="74" t="s">
        <v>260</v>
      </c>
      <c r="N287" s="74" t="str">
        <f>IFERROR(__xludf.DUMMYFUNCTION("""COMPUTED_VALUE"""),"")</f>
        <v/>
      </c>
    </row>
    <row r="288">
      <c r="B288" s="73"/>
      <c r="C288" s="73"/>
      <c r="D288" s="73"/>
      <c r="E288" s="73"/>
      <c r="F288" s="73"/>
      <c r="G288" s="74"/>
      <c r="H288" s="73"/>
      <c r="I288" s="74"/>
      <c r="J288" s="36"/>
      <c r="K288" s="74"/>
      <c r="L288" s="74"/>
      <c r="M288" s="74" t="s">
        <v>260</v>
      </c>
      <c r="N288" s="74" t="str">
        <f>IFERROR(__xludf.DUMMYFUNCTION("""COMPUTED_VALUE"""),"")</f>
        <v/>
      </c>
    </row>
    <row r="289">
      <c r="B289" s="73"/>
      <c r="C289" s="73"/>
      <c r="D289" s="73"/>
      <c r="E289" s="73"/>
      <c r="F289" s="73"/>
      <c r="G289" s="74"/>
      <c r="H289" s="73"/>
      <c r="I289" s="74"/>
      <c r="J289" s="36"/>
      <c r="K289" s="74"/>
      <c r="L289" s="74"/>
      <c r="M289" s="74" t="s">
        <v>260</v>
      </c>
      <c r="N289" s="74" t="str">
        <f>IFERROR(__xludf.DUMMYFUNCTION("""COMPUTED_VALUE"""),"")</f>
        <v/>
      </c>
    </row>
    <row r="290">
      <c r="B290" s="73"/>
      <c r="C290" s="73"/>
      <c r="D290" s="73"/>
      <c r="E290" s="73"/>
      <c r="F290" s="73"/>
      <c r="G290" s="74"/>
      <c r="H290" s="73"/>
      <c r="I290" s="74"/>
      <c r="J290" s="36"/>
      <c r="K290" s="74"/>
      <c r="L290" s="74"/>
      <c r="M290" s="74" t="s">
        <v>260</v>
      </c>
      <c r="N290" s="74" t="str">
        <f>IFERROR(__xludf.DUMMYFUNCTION("""COMPUTED_VALUE"""),"")</f>
        <v/>
      </c>
    </row>
    <row r="291">
      <c r="B291" s="73"/>
      <c r="C291" s="73"/>
      <c r="D291" s="73"/>
      <c r="E291" s="73"/>
      <c r="F291" s="73"/>
      <c r="G291" s="74"/>
      <c r="H291" s="73"/>
      <c r="I291" s="74"/>
      <c r="J291" s="36"/>
      <c r="K291" s="74"/>
      <c r="L291" s="74"/>
      <c r="M291" s="74" t="s">
        <v>260</v>
      </c>
      <c r="N291" s="74" t="str">
        <f>IFERROR(__xludf.DUMMYFUNCTION("""COMPUTED_VALUE"""),"")</f>
        <v/>
      </c>
    </row>
    <row r="292">
      <c r="B292" s="73"/>
      <c r="C292" s="73"/>
      <c r="D292" s="73"/>
      <c r="E292" s="73"/>
      <c r="F292" s="73"/>
      <c r="G292" s="74"/>
      <c r="H292" s="73"/>
      <c r="I292" s="74"/>
      <c r="J292" s="36"/>
      <c r="K292" s="74"/>
      <c r="L292" s="74"/>
      <c r="M292" s="74" t="s">
        <v>260</v>
      </c>
      <c r="N292" s="74" t="str">
        <f>IFERROR(__xludf.DUMMYFUNCTION("""COMPUTED_VALUE"""),"")</f>
        <v/>
      </c>
    </row>
    <row r="293">
      <c r="B293" s="73"/>
      <c r="C293" s="73"/>
      <c r="D293" s="73"/>
      <c r="E293" s="73"/>
      <c r="F293" s="73"/>
      <c r="G293" s="74"/>
      <c r="H293" s="73"/>
      <c r="I293" s="74"/>
      <c r="J293" s="36"/>
      <c r="K293" s="74"/>
      <c r="L293" s="74"/>
      <c r="M293" s="74" t="s">
        <v>260</v>
      </c>
      <c r="N293" s="74" t="str">
        <f>IFERROR(__xludf.DUMMYFUNCTION("""COMPUTED_VALUE"""),"")</f>
        <v/>
      </c>
    </row>
    <row r="294">
      <c r="B294" s="73"/>
      <c r="C294" s="73"/>
      <c r="D294" s="73"/>
      <c r="E294" s="73"/>
      <c r="F294" s="73"/>
      <c r="G294" s="74"/>
      <c r="H294" s="73"/>
      <c r="I294" s="74"/>
      <c r="J294" s="36"/>
      <c r="K294" s="74"/>
      <c r="L294" s="74"/>
      <c r="M294" s="74" t="s">
        <v>260</v>
      </c>
      <c r="N294" s="74" t="str">
        <f>IFERROR(__xludf.DUMMYFUNCTION("""COMPUTED_VALUE"""),"")</f>
        <v/>
      </c>
    </row>
    <row r="295">
      <c r="B295" s="73"/>
      <c r="C295" s="73"/>
      <c r="D295" s="73"/>
      <c r="E295" s="73"/>
      <c r="F295" s="73"/>
      <c r="G295" s="74"/>
      <c r="H295" s="73"/>
      <c r="I295" s="74"/>
      <c r="J295" s="36"/>
      <c r="K295" s="74"/>
      <c r="L295" s="74"/>
      <c r="M295" s="74" t="s">
        <v>260</v>
      </c>
      <c r="N295" s="74" t="str">
        <f>IFERROR(__xludf.DUMMYFUNCTION("""COMPUTED_VALUE"""),"")</f>
        <v/>
      </c>
    </row>
    <row r="296">
      <c r="B296" s="73"/>
      <c r="C296" s="73"/>
      <c r="D296" s="73"/>
      <c r="E296" s="73"/>
      <c r="F296" s="73"/>
      <c r="G296" s="74"/>
      <c r="H296" s="73"/>
      <c r="I296" s="74"/>
      <c r="J296" s="36"/>
      <c r="K296" s="74"/>
      <c r="L296" s="74"/>
      <c r="M296" s="74" t="s">
        <v>260</v>
      </c>
      <c r="N296" s="74" t="str">
        <f>IFERROR(__xludf.DUMMYFUNCTION("""COMPUTED_VALUE"""),"")</f>
        <v/>
      </c>
    </row>
    <row r="297">
      <c r="B297" s="73"/>
      <c r="C297" s="73"/>
      <c r="D297" s="73"/>
      <c r="E297" s="73"/>
      <c r="F297" s="73"/>
      <c r="G297" s="74"/>
      <c r="H297" s="73"/>
      <c r="I297" s="74"/>
      <c r="J297" s="36"/>
      <c r="K297" s="74"/>
      <c r="L297" s="74"/>
      <c r="M297" s="74" t="s">
        <v>260</v>
      </c>
      <c r="N297" s="74" t="str">
        <f>IFERROR(__xludf.DUMMYFUNCTION("""COMPUTED_VALUE"""),"")</f>
        <v/>
      </c>
    </row>
    <row r="298">
      <c r="B298" s="73"/>
      <c r="C298" s="73"/>
      <c r="D298" s="73"/>
      <c r="E298" s="73"/>
      <c r="F298" s="73"/>
      <c r="G298" s="74"/>
      <c r="H298" s="73"/>
      <c r="I298" s="74"/>
      <c r="J298" s="36"/>
      <c r="K298" s="74"/>
      <c r="L298" s="74"/>
      <c r="M298" s="74" t="s">
        <v>260</v>
      </c>
      <c r="N298" s="74" t="str">
        <f>IFERROR(__xludf.DUMMYFUNCTION("""COMPUTED_VALUE"""),"")</f>
        <v/>
      </c>
    </row>
    <row r="299">
      <c r="B299" s="73"/>
      <c r="C299" s="73"/>
      <c r="D299" s="73"/>
      <c r="E299" s="73"/>
      <c r="F299" s="73"/>
      <c r="G299" s="74"/>
      <c r="H299" s="73"/>
      <c r="I299" s="74"/>
      <c r="J299" s="36"/>
      <c r="K299" s="74"/>
      <c r="L299" s="74"/>
      <c r="M299" s="74" t="s">
        <v>260</v>
      </c>
      <c r="N299" s="74" t="str">
        <f>IFERROR(__xludf.DUMMYFUNCTION("""COMPUTED_VALUE"""),"")</f>
        <v/>
      </c>
    </row>
    <row r="300">
      <c r="B300" s="73"/>
      <c r="C300" s="73"/>
      <c r="D300" s="73"/>
      <c r="E300" s="73"/>
      <c r="F300" s="73"/>
      <c r="G300" s="74"/>
      <c r="H300" s="73"/>
      <c r="I300" s="74"/>
      <c r="J300" s="36"/>
      <c r="K300" s="74"/>
      <c r="L300" s="74"/>
      <c r="M300" s="74" t="s">
        <v>260</v>
      </c>
      <c r="N300" s="74" t="str">
        <f>IFERROR(__xludf.DUMMYFUNCTION("""COMPUTED_VALUE"""),"")</f>
        <v/>
      </c>
    </row>
    <row r="301">
      <c r="B301" s="73"/>
      <c r="C301" s="73"/>
      <c r="D301" s="73"/>
      <c r="E301" s="73"/>
      <c r="F301" s="73"/>
      <c r="G301" s="74"/>
      <c r="H301" s="73"/>
      <c r="I301" s="74"/>
      <c r="J301" s="36"/>
      <c r="K301" s="74"/>
      <c r="L301" s="74"/>
      <c r="M301" s="74" t="s">
        <v>260</v>
      </c>
      <c r="N301" s="74" t="str">
        <f>IFERROR(__xludf.DUMMYFUNCTION("""COMPUTED_VALUE"""),"")</f>
        <v/>
      </c>
    </row>
    <row r="302">
      <c r="B302" s="73"/>
      <c r="C302" s="73"/>
      <c r="D302" s="73"/>
      <c r="E302" s="73"/>
      <c r="F302" s="73"/>
      <c r="G302" s="74"/>
      <c r="H302" s="73"/>
      <c r="I302" s="74"/>
      <c r="J302" s="36"/>
      <c r="K302" s="74"/>
      <c r="L302" s="74"/>
      <c r="M302" s="74" t="s">
        <v>260</v>
      </c>
      <c r="N302" s="74" t="str">
        <f>IFERROR(__xludf.DUMMYFUNCTION("""COMPUTED_VALUE"""),"")</f>
        <v/>
      </c>
    </row>
    <row r="303">
      <c r="B303" s="73"/>
      <c r="C303" s="73"/>
      <c r="D303" s="73"/>
      <c r="E303" s="73"/>
      <c r="F303" s="73"/>
      <c r="G303" s="74"/>
      <c r="H303" s="73"/>
      <c r="I303" s="74"/>
      <c r="J303" s="36"/>
      <c r="K303" s="74"/>
      <c r="L303" s="74"/>
      <c r="M303" s="74" t="s">
        <v>260</v>
      </c>
      <c r="N303" s="74" t="str">
        <f>IFERROR(__xludf.DUMMYFUNCTION("""COMPUTED_VALUE"""),"")</f>
        <v/>
      </c>
    </row>
    <row r="304">
      <c r="B304" s="73"/>
      <c r="C304" s="73"/>
      <c r="D304" s="73"/>
      <c r="E304" s="73"/>
      <c r="F304" s="73"/>
      <c r="G304" s="74"/>
      <c r="H304" s="73"/>
      <c r="I304" s="74"/>
      <c r="J304" s="36"/>
      <c r="K304" s="74"/>
      <c r="L304" s="74"/>
      <c r="M304" s="74" t="s">
        <v>260</v>
      </c>
      <c r="N304" s="74" t="str">
        <f>IFERROR(__xludf.DUMMYFUNCTION("""COMPUTED_VALUE"""),"")</f>
        <v/>
      </c>
    </row>
    <row r="305">
      <c r="B305" s="73"/>
      <c r="C305" s="73"/>
      <c r="D305" s="73"/>
      <c r="E305" s="73"/>
      <c r="F305" s="73"/>
      <c r="G305" s="74"/>
      <c r="H305" s="73"/>
      <c r="I305" s="74"/>
      <c r="J305" s="36"/>
      <c r="K305" s="74"/>
      <c r="L305" s="74"/>
      <c r="M305" s="74" t="s">
        <v>260</v>
      </c>
      <c r="N305" s="74" t="str">
        <f>IFERROR(__xludf.DUMMYFUNCTION("""COMPUTED_VALUE"""),"")</f>
        <v/>
      </c>
    </row>
    <row r="306">
      <c r="B306" s="73"/>
      <c r="C306" s="73"/>
      <c r="D306" s="73"/>
      <c r="E306" s="73"/>
      <c r="F306" s="73"/>
      <c r="G306" s="74"/>
      <c r="H306" s="73"/>
      <c r="I306" s="74"/>
      <c r="J306" s="36"/>
      <c r="K306" s="74"/>
      <c r="L306" s="74"/>
      <c r="M306" s="74" t="s">
        <v>260</v>
      </c>
      <c r="N306" s="74" t="str">
        <f>IFERROR(__xludf.DUMMYFUNCTION("""COMPUTED_VALUE"""),"")</f>
        <v/>
      </c>
    </row>
    <row r="307">
      <c r="B307" s="73"/>
      <c r="C307" s="73"/>
      <c r="D307" s="73"/>
      <c r="E307" s="73"/>
      <c r="F307" s="73"/>
      <c r="G307" s="74"/>
      <c r="H307" s="73"/>
      <c r="I307" s="74"/>
      <c r="J307" s="36"/>
      <c r="K307" s="74"/>
      <c r="L307" s="74"/>
      <c r="M307" s="74" t="s">
        <v>260</v>
      </c>
      <c r="N307" s="74" t="str">
        <f>IFERROR(__xludf.DUMMYFUNCTION("""COMPUTED_VALUE"""),"")</f>
        <v/>
      </c>
    </row>
    <row r="308">
      <c r="B308" s="73"/>
      <c r="C308" s="73"/>
      <c r="D308" s="73"/>
      <c r="E308" s="73"/>
      <c r="F308" s="73"/>
      <c r="G308" s="74"/>
      <c r="H308" s="73"/>
      <c r="I308" s="74"/>
      <c r="J308" s="36"/>
      <c r="K308" s="74"/>
      <c r="L308" s="74"/>
      <c r="M308" s="74" t="s">
        <v>260</v>
      </c>
      <c r="N308" s="74" t="str">
        <f>IFERROR(__xludf.DUMMYFUNCTION("""COMPUTED_VALUE"""),"")</f>
        <v/>
      </c>
    </row>
    <row r="309">
      <c r="B309" s="73"/>
      <c r="C309" s="73"/>
      <c r="D309" s="73"/>
      <c r="E309" s="73"/>
      <c r="F309" s="73"/>
      <c r="G309" s="74"/>
      <c r="H309" s="73"/>
      <c r="I309" s="74"/>
      <c r="J309" s="36"/>
      <c r="K309" s="74"/>
      <c r="L309" s="74"/>
      <c r="M309" s="74" t="s">
        <v>260</v>
      </c>
      <c r="N309" s="74" t="str">
        <f>IFERROR(__xludf.DUMMYFUNCTION("""COMPUTED_VALUE"""),"")</f>
        <v/>
      </c>
    </row>
    <row r="310">
      <c r="B310" s="73"/>
      <c r="C310" s="73"/>
      <c r="D310" s="73"/>
      <c r="E310" s="73"/>
      <c r="F310" s="73"/>
      <c r="G310" s="74"/>
      <c r="H310" s="73"/>
      <c r="I310" s="74"/>
      <c r="J310" s="36"/>
      <c r="K310" s="74"/>
      <c r="L310" s="74"/>
      <c r="M310" s="74" t="s">
        <v>260</v>
      </c>
      <c r="N310" s="74" t="str">
        <f>IFERROR(__xludf.DUMMYFUNCTION("""COMPUTED_VALUE"""),"")</f>
        <v/>
      </c>
    </row>
    <row r="311">
      <c r="B311" s="73"/>
      <c r="C311" s="73"/>
      <c r="D311" s="73"/>
      <c r="E311" s="73"/>
      <c r="F311" s="73"/>
      <c r="G311" s="74"/>
      <c r="H311" s="73"/>
      <c r="I311" s="74"/>
      <c r="J311" s="36"/>
      <c r="K311" s="74"/>
      <c r="L311" s="74"/>
      <c r="M311" s="74" t="s">
        <v>260</v>
      </c>
      <c r="N311" s="74" t="str">
        <f>IFERROR(__xludf.DUMMYFUNCTION("""COMPUTED_VALUE"""),"")</f>
        <v/>
      </c>
    </row>
    <row r="312">
      <c r="B312" s="73"/>
      <c r="C312" s="73"/>
      <c r="D312" s="73"/>
      <c r="E312" s="73"/>
      <c r="F312" s="73"/>
      <c r="G312" s="74"/>
      <c r="H312" s="73"/>
      <c r="I312" s="74"/>
      <c r="J312" s="36"/>
      <c r="K312" s="74"/>
      <c r="L312" s="74"/>
      <c r="M312" s="74" t="s">
        <v>260</v>
      </c>
      <c r="N312" s="74" t="str">
        <f>IFERROR(__xludf.DUMMYFUNCTION("""COMPUTED_VALUE"""),"")</f>
        <v/>
      </c>
    </row>
    <row r="313">
      <c r="B313" s="73"/>
      <c r="C313" s="73"/>
      <c r="D313" s="73"/>
      <c r="E313" s="73"/>
      <c r="F313" s="73"/>
      <c r="G313" s="74"/>
      <c r="H313" s="73"/>
      <c r="I313" s="74"/>
      <c r="J313" s="36"/>
      <c r="K313" s="74"/>
      <c r="L313" s="74"/>
      <c r="M313" s="74" t="s">
        <v>260</v>
      </c>
      <c r="N313" s="74" t="str">
        <f>IFERROR(__xludf.DUMMYFUNCTION("""COMPUTED_VALUE"""),"")</f>
        <v/>
      </c>
    </row>
    <row r="314">
      <c r="B314" s="73"/>
      <c r="C314" s="73"/>
      <c r="D314" s="73"/>
      <c r="E314" s="73"/>
      <c r="F314" s="73"/>
      <c r="G314" s="74"/>
      <c r="H314" s="73"/>
      <c r="I314" s="74"/>
      <c r="J314" s="36"/>
      <c r="K314" s="74"/>
      <c r="L314" s="74"/>
      <c r="M314" s="74" t="s">
        <v>260</v>
      </c>
      <c r="N314" s="74" t="str">
        <f>IFERROR(__xludf.DUMMYFUNCTION("""COMPUTED_VALUE"""),"")</f>
        <v/>
      </c>
    </row>
    <row r="315">
      <c r="B315" s="73"/>
      <c r="C315" s="73"/>
      <c r="D315" s="73"/>
      <c r="E315" s="73"/>
      <c r="F315" s="73"/>
      <c r="G315" s="74"/>
      <c r="H315" s="73"/>
      <c r="I315" s="74"/>
      <c r="J315" s="36"/>
      <c r="K315" s="74"/>
      <c r="L315" s="74"/>
      <c r="M315" s="74" t="s">
        <v>260</v>
      </c>
      <c r="N315" s="74" t="str">
        <f>IFERROR(__xludf.DUMMYFUNCTION("""COMPUTED_VALUE"""),"")</f>
        <v/>
      </c>
    </row>
    <row r="316">
      <c r="B316" s="73"/>
      <c r="C316" s="73"/>
      <c r="D316" s="73"/>
      <c r="E316" s="73"/>
      <c r="F316" s="73"/>
      <c r="G316" s="74"/>
      <c r="H316" s="73"/>
      <c r="I316" s="74"/>
      <c r="J316" s="36"/>
      <c r="K316" s="74"/>
      <c r="L316" s="74"/>
      <c r="M316" s="74" t="s">
        <v>260</v>
      </c>
      <c r="N316" s="74" t="str">
        <f>IFERROR(__xludf.DUMMYFUNCTION("""COMPUTED_VALUE"""),"")</f>
        <v/>
      </c>
    </row>
    <row r="317">
      <c r="B317" s="73"/>
      <c r="C317" s="73"/>
      <c r="D317" s="73"/>
      <c r="E317" s="73"/>
      <c r="F317" s="73"/>
      <c r="G317" s="74"/>
      <c r="H317" s="73"/>
      <c r="I317" s="74"/>
      <c r="J317" s="36"/>
      <c r="K317" s="74"/>
      <c r="L317" s="74"/>
      <c r="M317" s="74" t="s">
        <v>260</v>
      </c>
      <c r="N317" s="74" t="str">
        <f>IFERROR(__xludf.DUMMYFUNCTION("""COMPUTED_VALUE"""),"")</f>
        <v/>
      </c>
    </row>
    <row r="318">
      <c r="B318" s="73"/>
      <c r="C318" s="73"/>
      <c r="D318" s="73"/>
      <c r="E318" s="73"/>
      <c r="F318" s="73"/>
      <c r="G318" s="74"/>
      <c r="H318" s="73"/>
      <c r="I318" s="74"/>
      <c r="J318" s="36"/>
      <c r="K318" s="74"/>
      <c r="L318" s="74"/>
      <c r="M318" s="74" t="s">
        <v>260</v>
      </c>
      <c r="N318" s="74" t="str">
        <f>IFERROR(__xludf.DUMMYFUNCTION("""COMPUTED_VALUE"""),"")</f>
        <v/>
      </c>
    </row>
    <row r="319">
      <c r="B319" s="73"/>
      <c r="C319" s="73"/>
      <c r="D319" s="73"/>
      <c r="E319" s="73"/>
      <c r="F319" s="73"/>
      <c r="G319" s="74"/>
      <c r="H319" s="73"/>
      <c r="I319" s="74"/>
      <c r="J319" s="36"/>
      <c r="K319" s="74"/>
      <c r="L319" s="74"/>
      <c r="M319" s="74" t="s">
        <v>260</v>
      </c>
      <c r="N319" s="74" t="str">
        <f>IFERROR(__xludf.DUMMYFUNCTION("""COMPUTED_VALUE"""),"")</f>
        <v/>
      </c>
    </row>
    <row r="320">
      <c r="B320" s="73"/>
      <c r="C320" s="73"/>
      <c r="D320" s="73"/>
      <c r="E320" s="73"/>
      <c r="F320" s="73"/>
      <c r="G320" s="74"/>
      <c r="H320" s="73"/>
      <c r="I320" s="74"/>
      <c r="J320" s="36"/>
      <c r="K320" s="74"/>
      <c r="L320" s="74"/>
      <c r="M320" s="74" t="s">
        <v>260</v>
      </c>
      <c r="N320" s="74" t="str">
        <f>IFERROR(__xludf.DUMMYFUNCTION("""COMPUTED_VALUE"""),"")</f>
        <v/>
      </c>
    </row>
    <row r="321">
      <c r="B321" s="73"/>
      <c r="C321" s="73"/>
      <c r="D321" s="73"/>
      <c r="E321" s="73"/>
      <c r="F321" s="73"/>
      <c r="G321" s="74"/>
      <c r="H321" s="73"/>
      <c r="I321" s="74"/>
      <c r="J321" s="36"/>
      <c r="K321" s="74"/>
      <c r="L321" s="74"/>
      <c r="M321" s="74" t="s">
        <v>260</v>
      </c>
      <c r="N321" s="74" t="str">
        <f>IFERROR(__xludf.DUMMYFUNCTION("""COMPUTED_VALUE"""),"")</f>
        <v/>
      </c>
    </row>
    <row r="322">
      <c r="B322" s="73"/>
      <c r="C322" s="73"/>
      <c r="D322" s="73"/>
      <c r="E322" s="73"/>
      <c r="F322" s="73"/>
      <c r="G322" s="74"/>
      <c r="H322" s="73"/>
      <c r="I322" s="74"/>
      <c r="J322" s="36"/>
      <c r="K322" s="74"/>
      <c r="L322" s="74"/>
      <c r="M322" s="74" t="s">
        <v>260</v>
      </c>
      <c r="N322" s="74" t="str">
        <f>IFERROR(__xludf.DUMMYFUNCTION("""COMPUTED_VALUE"""),"")</f>
        <v/>
      </c>
    </row>
    <row r="323">
      <c r="B323" s="73"/>
      <c r="C323" s="73"/>
      <c r="D323" s="73"/>
      <c r="E323" s="73"/>
      <c r="F323" s="73"/>
      <c r="G323" s="74"/>
      <c r="H323" s="73"/>
      <c r="I323" s="74"/>
      <c r="J323" s="36"/>
      <c r="K323" s="74"/>
      <c r="L323" s="74"/>
      <c r="M323" s="74" t="s">
        <v>260</v>
      </c>
      <c r="N323" s="74" t="str">
        <f>IFERROR(__xludf.DUMMYFUNCTION("""COMPUTED_VALUE"""),"")</f>
        <v/>
      </c>
    </row>
    <row r="324">
      <c r="B324" s="73"/>
      <c r="C324" s="73"/>
      <c r="D324" s="73"/>
      <c r="E324" s="73"/>
      <c r="F324" s="73"/>
      <c r="G324" s="74"/>
      <c r="H324" s="73"/>
      <c r="I324" s="74"/>
      <c r="J324" s="36"/>
      <c r="K324" s="74"/>
      <c r="L324" s="74"/>
      <c r="M324" s="74" t="s">
        <v>260</v>
      </c>
      <c r="N324" s="74" t="str">
        <f>IFERROR(__xludf.DUMMYFUNCTION("""COMPUTED_VALUE"""),"")</f>
        <v/>
      </c>
    </row>
    <row r="325">
      <c r="B325" s="73"/>
      <c r="C325" s="73"/>
      <c r="D325" s="73"/>
      <c r="E325" s="73"/>
      <c r="F325" s="73"/>
      <c r="G325" s="74"/>
      <c r="H325" s="73"/>
      <c r="I325" s="74"/>
      <c r="J325" s="36"/>
      <c r="K325" s="74"/>
      <c r="L325" s="74"/>
      <c r="M325" s="74" t="s">
        <v>260</v>
      </c>
      <c r="N325" s="74" t="str">
        <f>IFERROR(__xludf.DUMMYFUNCTION("""COMPUTED_VALUE"""),"")</f>
        <v/>
      </c>
    </row>
    <row r="326">
      <c r="B326" s="73"/>
      <c r="C326" s="73"/>
      <c r="D326" s="73"/>
      <c r="E326" s="73"/>
      <c r="F326" s="73"/>
      <c r="G326" s="74"/>
      <c r="H326" s="73"/>
      <c r="I326" s="74"/>
      <c r="J326" s="36"/>
      <c r="K326" s="74"/>
      <c r="L326" s="74"/>
      <c r="M326" s="74" t="s">
        <v>260</v>
      </c>
      <c r="N326" s="74" t="str">
        <f>IFERROR(__xludf.DUMMYFUNCTION("""COMPUTED_VALUE"""),"")</f>
        <v/>
      </c>
    </row>
    <row r="327">
      <c r="B327" s="73"/>
      <c r="C327" s="73"/>
      <c r="D327" s="73"/>
      <c r="E327" s="73"/>
      <c r="F327" s="73"/>
      <c r="G327" s="74"/>
      <c r="H327" s="73"/>
      <c r="I327" s="74"/>
      <c r="J327" s="36"/>
      <c r="K327" s="74"/>
      <c r="L327" s="74"/>
      <c r="M327" s="74" t="s">
        <v>260</v>
      </c>
      <c r="N327" s="74" t="str">
        <f>IFERROR(__xludf.DUMMYFUNCTION("""COMPUTED_VALUE"""),"")</f>
        <v/>
      </c>
    </row>
    <row r="328">
      <c r="B328" s="73"/>
      <c r="C328" s="73"/>
      <c r="D328" s="73"/>
      <c r="E328" s="73"/>
      <c r="F328" s="73"/>
      <c r="G328" s="74"/>
      <c r="H328" s="73"/>
      <c r="I328" s="74"/>
      <c r="J328" s="36"/>
      <c r="K328" s="74"/>
      <c r="L328" s="74"/>
      <c r="M328" s="74" t="s">
        <v>260</v>
      </c>
      <c r="N328" s="74" t="str">
        <f>IFERROR(__xludf.DUMMYFUNCTION("""COMPUTED_VALUE"""),"")</f>
        <v/>
      </c>
    </row>
    <row r="329">
      <c r="B329" s="73"/>
      <c r="C329" s="73"/>
      <c r="D329" s="73"/>
      <c r="E329" s="73"/>
      <c r="F329" s="73"/>
      <c r="G329" s="74"/>
      <c r="H329" s="73"/>
      <c r="I329" s="74"/>
      <c r="J329" s="36"/>
      <c r="K329" s="74"/>
      <c r="L329" s="74"/>
      <c r="M329" s="74" t="s">
        <v>260</v>
      </c>
      <c r="N329" s="74" t="str">
        <f>IFERROR(__xludf.DUMMYFUNCTION("""COMPUTED_VALUE"""),"")</f>
        <v/>
      </c>
    </row>
    <row r="330">
      <c r="B330" s="73"/>
      <c r="C330" s="73"/>
      <c r="D330" s="73"/>
      <c r="E330" s="73"/>
      <c r="F330" s="73"/>
      <c r="G330" s="74"/>
      <c r="H330" s="73"/>
      <c r="I330" s="74"/>
      <c r="J330" s="36"/>
      <c r="K330" s="74"/>
      <c r="L330" s="74"/>
      <c r="M330" s="74" t="s">
        <v>260</v>
      </c>
      <c r="N330" s="74" t="str">
        <f>IFERROR(__xludf.DUMMYFUNCTION("""COMPUTED_VALUE"""),"")</f>
        <v/>
      </c>
    </row>
    <row r="331">
      <c r="B331" s="73"/>
      <c r="C331" s="73"/>
      <c r="D331" s="73"/>
      <c r="E331" s="73"/>
      <c r="F331" s="73"/>
      <c r="G331" s="74"/>
      <c r="H331" s="73"/>
      <c r="I331" s="74"/>
      <c r="J331" s="36"/>
      <c r="K331" s="74"/>
      <c r="L331" s="74"/>
      <c r="M331" s="74" t="s">
        <v>260</v>
      </c>
      <c r="N331" s="74" t="str">
        <f>IFERROR(__xludf.DUMMYFUNCTION("""COMPUTED_VALUE"""),"")</f>
        <v/>
      </c>
    </row>
    <row r="332">
      <c r="B332" s="73"/>
      <c r="C332" s="73"/>
      <c r="D332" s="73"/>
      <c r="E332" s="73"/>
      <c r="F332" s="73"/>
      <c r="G332" s="74"/>
      <c r="H332" s="73"/>
      <c r="I332" s="74"/>
      <c r="J332" s="36"/>
      <c r="K332" s="74"/>
      <c r="L332" s="74"/>
      <c r="M332" s="74" t="s">
        <v>260</v>
      </c>
      <c r="N332" s="74" t="str">
        <f>IFERROR(__xludf.DUMMYFUNCTION("""COMPUTED_VALUE"""),"")</f>
        <v/>
      </c>
    </row>
    <row r="333">
      <c r="B333" s="73"/>
      <c r="C333" s="73"/>
      <c r="D333" s="73"/>
      <c r="E333" s="73"/>
      <c r="F333" s="73"/>
      <c r="G333" s="74"/>
      <c r="H333" s="73"/>
      <c r="I333" s="74"/>
      <c r="J333" s="36"/>
      <c r="K333" s="74"/>
      <c r="L333" s="74"/>
      <c r="M333" s="74" t="s">
        <v>260</v>
      </c>
      <c r="N333" s="74" t="str">
        <f>IFERROR(__xludf.DUMMYFUNCTION("""COMPUTED_VALUE"""),"")</f>
        <v/>
      </c>
    </row>
    <row r="334">
      <c r="B334" s="73"/>
      <c r="C334" s="73"/>
      <c r="D334" s="73"/>
      <c r="E334" s="73"/>
      <c r="F334" s="73"/>
      <c r="G334" s="74"/>
      <c r="H334" s="73"/>
      <c r="I334" s="74"/>
      <c r="J334" s="36"/>
      <c r="K334" s="74"/>
      <c r="L334" s="74"/>
      <c r="M334" s="74" t="s">
        <v>260</v>
      </c>
      <c r="N334" s="74" t="str">
        <f>IFERROR(__xludf.DUMMYFUNCTION("""COMPUTED_VALUE"""),"")</f>
        <v/>
      </c>
    </row>
    <row r="335">
      <c r="B335" s="73"/>
      <c r="C335" s="73"/>
      <c r="D335" s="73"/>
      <c r="E335" s="73"/>
      <c r="F335" s="73"/>
      <c r="G335" s="74"/>
      <c r="H335" s="73"/>
      <c r="I335" s="74"/>
      <c r="J335" s="36"/>
      <c r="K335" s="74"/>
      <c r="L335" s="74"/>
      <c r="M335" s="74" t="s">
        <v>260</v>
      </c>
      <c r="N335" s="74" t="str">
        <f>IFERROR(__xludf.DUMMYFUNCTION("""COMPUTED_VALUE"""),"")</f>
        <v/>
      </c>
    </row>
    <row r="336">
      <c r="B336" s="73"/>
      <c r="C336" s="73"/>
      <c r="D336" s="73"/>
      <c r="E336" s="73"/>
      <c r="F336" s="73"/>
      <c r="G336" s="74"/>
      <c r="H336" s="73"/>
      <c r="I336" s="74"/>
      <c r="J336" s="36"/>
      <c r="K336" s="74"/>
      <c r="L336" s="74"/>
      <c r="M336" s="74" t="s">
        <v>260</v>
      </c>
      <c r="N336" s="74" t="str">
        <f>IFERROR(__xludf.DUMMYFUNCTION("""COMPUTED_VALUE"""),"")</f>
        <v/>
      </c>
    </row>
    <row r="337">
      <c r="B337" s="73"/>
      <c r="C337" s="73"/>
      <c r="D337" s="73"/>
      <c r="E337" s="73"/>
      <c r="F337" s="73"/>
      <c r="G337" s="74"/>
      <c r="H337" s="73"/>
      <c r="I337" s="74"/>
      <c r="J337" s="36"/>
      <c r="K337" s="74"/>
      <c r="L337" s="74"/>
      <c r="M337" s="74" t="s">
        <v>260</v>
      </c>
      <c r="N337" s="74" t="str">
        <f>IFERROR(__xludf.DUMMYFUNCTION("""COMPUTED_VALUE"""),"")</f>
        <v/>
      </c>
    </row>
    <row r="338">
      <c r="B338" s="73"/>
      <c r="C338" s="73"/>
      <c r="D338" s="73"/>
      <c r="E338" s="73"/>
      <c r="F338" s="73"/>
      <c r="G338" s="74"/>
      <c r="H338" s="73"/>
      <c r="I338" s="74"/>
      <c r="J338" s="36"/>
      <c r="K338" s="74"/>
      <c r="L338" s="74"/>
      <c r="M338" s="74" t="s">
        <v>260</v>
      </c>
      <c r="N338" s="74" t="str">
        <f>IFERROR(__xludf.DUMMYFUNCTION("""COMPUTED_VALUE"""),"")</f>
        <v/>
      </c>
    </row>
    <row r="339">
      <c r="B339" s="73"/>
      <c r="C339" s="73"/>
      <c r="D339" s="73"/>
      <c r="E339" s="73"/>
      <c r="F339" s="73"/>
      <c r="G339" s="74"/>
      <c r="H339" s="73"/>
      <c r="I339" s="74"/>
      <c r="J339" s="36"/>
      <c r="K339" s="74"/>
      <c r="L339" s="74"/>
      <c r="M339" s="74" t="s">
        <v>260</v>
      </c>
      <c r="N339" s="74" t="str">
        <f>IFERROR(__xludf.DUMMYFUNCTION("""COMPUTED_VALUE"""),"")</f>
        <v/>
      </c>
    </row>
    <row r="340">
      <c r="B340" s="73"/>
      <c r="C340" s="73"/>
      <c r="D340" s="73"/>
      <c r="E340" s="73"/>
      <c r="F340" s="73"/>
      <c r="G340" s="74"/>
      <c r="H340" s="73"/>
      <c r="I340" s="74"/>
      <c r="J340" s="36"/>
      <c r="K340" s="74"/>
      <c r="L340" s="74"/>
      <c r="M340" s="74" t="s">
        <v>260</v>
      </c>
      <c r="N340" s="74" t="str">
        <f>IFERROR(__xludf.DUMMYFUNCTION("""COMPUTED_VALUE"""),"")</f>
        <v/>
      </c>
    </row>
    <row r="341">
      <c r="B341" s="73"/>
      <c r="C341" s="73"/>
      <c r="D341" s="73"/>
      <c r="E341" s="73"/>
      <c r="F341" s="73"/>
      <c r="G341" s="74"/>
      <c r="H341" s="73"/>
      <c r="I341" s="74"/>
      <c r="J341" s="36"/>
      <c r="K341" s="74"/>
      <c r="L341" s="74"/>
      <c r="M341" s="74" t="s">
        <v>260</v>
      </c>
      <c r="N341" s="74" t="str">
        <f>IFERROR(__xludf.DUMMYFUNCTION("""COMPUTED_VALUE"""),"")</f>
        <v/>
      </c>
    </row>
    <row r="342">
      <c r="B342" s="73"/>
      <c r="C342" s="73"/>
      <c r="D342" s="73"/>
      <c r="E342" s="73"/>
      <c r="F342" s="73"/>
      <c r="G342" s="74"/>
      <c r="H342" s="73"/>
      <c r="J342" s="36"/>
      <c r="K342" s="74"/>
      <c r="L342" s="74"/>
      <c r="M342" s="74" t="s">
        <v>260</v>
      </c>
      <c r="N342" s="74" t="str">
        <f>IFERROR(__xludf.DUMMYFUNCTION("""COMPUTED_VALUE"""),"")</f>
        <v/>
      </c>
    </row>
    <row r="343">
      <c r="B343" s="73"/>
      <c r="C343" s="73"/>
      <c r="D343" s="73"/>
      <c r="E343" s="73"/>
      <c r="F343" s="73"/>
      <c r="G343" s="74"/>
      <c r="H343" s="73"/>
      <c r="J343" s="36"/>
      <c r="K343" s="74"/>
      <c r="L343" s="74"/>
      <c r="M343" s="74" t="s">
        <v>260</v>
      </c>
      <c r="N343" s="74" t="str">
        <f>IFERROR(__xludf.DUMMYFUNCTION("""COMPUTED_VALUE"""),"")</f>
        <v/>
      </c>
    </row>
    <row r="344">
      <c r="B344" s="73"/>
      <c r="C344" s="73"/>
      <c r="D344" s="73"/>
      <c r="E344" s="73"/>
      <c r="F344" s="73"/>
      <c r="G344" s="74"/>
      <c r="H344" s="73"/>
      <c r="J344" s="36"/>
      <c r="K344" s="74"/>
      <c r="L344" s="74"/>
      <c r="M344" s="74" t="s">
        <v>260</v>
      </c>
      <c r="N344" s="74" t="str">
        <f>IFERROR(__xludf.DUMMYFUNCTION("""COMPUTED_VALUE"""),"")</f>
        <v/>
      </c>
    </row>
    <row r="345">
      <c r="B345" s="73"/>
      <c r="C345" s="73"/>
      <c r="D345" s="73"/>
      <c r="E345" s="73"/>
      <c r="F345" s="73"/>
      <c r="G345" s="74"/>
      <c r="H345" s="73"/>
      <c r="J345" s="36"/>
      <c r="K345" s="74"/>
      <c r="L345" s="74"/>
      <c r="M345" s="74" t="s">
        <v>260</v>
      </c>
      <c r="N345" s="74" t="str">
        <f>IFERROR(__xludf.DUMMYFUNCTION("""COMPUTED_VALUE"""),"")</f>
        <v/>
      </c>
    </row>
    <row r="346">
      <c r="B346" s="73"/>
      <c r="C346" s="73"/>
      <c r="D346" s="73"/>
      <c r="E346" s="73"/>
      <c r="F346" s="73"/>
      <c r="G346" s="74"/>
      <c r="H346" s="73"/>
      <c r="J346" s="36"/>
      <c r="K346" s="74"/>
      <c r="L346" s="74"/>
      <c r="M346" s="74" t="s">
        <v>260</v>
      </c>
      <c r="N346" s="74" t="str">
        <f>IFERROR(__xludf.DUMMYFUNCTION("""COMPUTED_VALUE"""),"")</f>
        <v/>
      </c>
    </row>
    <row r="347">
      <c r="B347" s="73"/>
      <c r="C347" s="73"/>
      <c r="D347" s="73"/>
      <c r="E347" s="73"/>
      <c r="F347" s="73"/>
      <c r="G347" s="74"/>
      <c r="H347" s="73"/>
      <c r="J347" s="36"/>
      <c r="K347" s="74"/>
      <c r="L347" s="74"/>
      <c r="M347" s="74" t="s">
        <v>260</v>
      </c>
      <c r="N347" s="74" t="str">
        <f>IFERROR(__xludf.DUMMYFUNCTION("""COMPUTED_VALUE"""),"")</f>
        <v/>
      </c>
    </row>
    <row r="348">
      <c r="B348" s="73"/>
      <c r="C348" s="73"/>
      <c r="D348" s="73"/>
      <c r="E348" s="73"/>
      <c r="F348" s="73"/>
      <c r="G348" s="74"/>
      <c r="H348" s="73"/>
      <c r="J348" s="36"/>
      <c r="K348" s="74"/>
      <c r="L348" s="74"/>
      <c r="M348" s="74" t="s">
        <v>260</v>
      </c>
      <c r="N348" s="74" t="str">
        <f>IFERROR(__xludf.DUMMYFUNCTION("""COMPUTED_VALUE"""),"")</f>
        <v/>
      </c>
    </row>
    <row r="349">
      <c r="B349" s="73"/>
      <c r="C349" s="73"/>
      <c r="D349" s="73"/>
      <c r="E349" s="73"/>
      <c r="F349" s="73"/>
      <c r="G349" s="74"/>
      <c r="H349" s="73"/>
      <c r="J349" s="36"/>
      <c r="K349" s="74"/>
      <c r="L349" s="74"/>
      <c r="M349" s="74" t="s">
        <v>260</v>
      </c>
      <c r="N349" s="74" t="str">
        <f>IFERROR(__xludf.DUMMYFUNCTION("""COMPUTED_VALUE"""),"")</f>
        <v/>
      </c>
    </row>
    <row r="350">
      <c r="B350" s="73"/>
      <c r="C350" s="73"/>
      <c r="D350" s="73"/>
      <c r="E350" s="73"/>
      <c r="F350" s="73"/>
      <c r="G350" s="74"/>
      <c r="H350" s="73"/>
      <c r="J350" s="36"/>
      <c r="K350" s="74"/>
      <c r="L350" s="74"/>
      <c r="M350" s="74" t="s">
        <v>260</v>
      </c>
      <c r="N350" s="74" t="str">
        <f>IFERROR(__xludf.DUMMYFUNCTION("""COMPUTED_VALUE"""),"")</f>
        <v/>
      </c>
    </row>
    <row r="351">
      <c r="B351" s="73"/>
      <c r="C351" s="73"/>
      <c r="D351" s="73"/>
      <c r="E351" s="73"/>
      <c r="F351" s="73"/>
      <c r="G351" s="74"/>
      <c r="H351" s="73"/>
      <c r="J351" s="36"/>
      <c r="K351" s="74"/>
      <c r="L351" s="74"/>
      <c r="M351" s="74" t="s">
        <v>260</v>
      </c>
      <c r="N351" s="74" t="str">
        <f>IFERROR(__xludf.DUMMYFUNCTION("""COMPUTED_VALUE"""),"")</f>
        <v/>
      </c>
    </row>
    <row r="352">
      <c r="B352" s="73"/>
      <c r="C352" s="73"/>
      <c r="D352" s="73"/>
      <c r="E352" s="73"/>
      <c r="F352" s="73"/>
      <c r="G352" s="74"/>
      <c r="H352" s="73"/>
      <c r="J352" s="36"/>
      <c r="K352" s="74"/>
      <c r="L352" s="74"/>
      <c r="M352" s="74" t="s">
        <v>260</v>
      </c>
      <c r="N352" s="74" t="str">
        <f>IFERROR(__xludf.DUMMYFUNCTION("""COMPUTED_VALUE"""),"")</f>
        <v/>
      </c>
    </row>
    <row r="353">
      <c r="B353" s="73"/>
      <c r="C353" s="73"/>
      <c r="D353" s="73"/>
      <c r="E353" s="73"/>
      <c r="F353" s="73"/>
      <c r="G353" s="74"/>
      <c r="H353" s="73"/>
      <c r="J353" s="36"/>
      <c r="K353" s="74"/>
      <c r="L353" s="74"/>
      <c r="M353" s="74" t="s">
        <v>260</v>
      </c>
      <c r="N353" s="74" t="str">
        <f>IFERROR(__xludf.DUMMYFUNCTION("""COMPUTED_VALUE"""),"")</f>
        <v/>
      </c>
    </row>
    <row r="354">
      <c r="B354" s="73"/>
      <c r="C354" s="73"/>
      <c r="D354" s="73"/>
      <c r="E354" s="73"/>
      <c r="F354" s="73"/>
      <c r="G354" s="74"/>
      <c r="H354" s="73"/>
      <c r="J354" s="36"/>
      <c r="K354" s="74"/>
      <c r="L354" s="74"/>
      <c r="M354" s="74" t="s">
        <v>260</v>
      </c>
      <c r="N354" s="74" t="str">
        <f>IFERROR(__xludf.DUMMYFUNCTION("""COMPUTED_VALUE"""),"")</f>
        <v/>
      </c>
    </row>
    <row r="355">
      <c r="B355" s="73"/>
      <c r="C355" s="73"/>
      <c r="D355" s="73"/>
      <c r="E355" s="73"/>
      <c r="F355" s="73"/>
      <c r="G355" s="74"/>
      <c r="H355" s="73"/>
      <c r="J355" s="36"/>
      <c r="K355" s="74"/>
      <c r="L355" s="74"/>
      <c r="M355" s="74" t="s">
        <v>260</v>
      </c>
      <c r="N355" s="74" t="str">
        <f>IFERROR(__xludf.DUMMYFUNCTION("""COMPUTED_VALUE"""),"")</f>
        <v/>
      </c>
    </row>
    <row r="356">
      <c r="B356" s="73"/>
      <c r="C356" s="73"/>
      <c r="D356" s="73"/>
      <c r="E356" s="73"/>
      <c r="F356" s="73"/>
      <c r="G356" s="74"/>
      <c r="H356" s="73"/>
      <c r="J356" s="36"/>
      <c r="K356" s="74"/>
      <c r="L356" s="74"/>
      <c r="M356" s="74" t="s">
        <v>260</v>
      </c>
      <c r="N356" s="74" t="str">
        <f>IFERROR(__xludf.DUMMYFUNCTION("""COMPUTED_VALUE"""),"")</f>
        <v/>
      </c>
    </row>
    <row r="357">
      <c r="B357" s="73"/>
      <c r="C357" s="73"/>
      <c r="D357" s="73"/>
      <c r="E357" s="73"/>
      <c r="F357" s="73"/>
      <c r="G357" s="74"/>
      <c r="H357" s="73"/>
      <c r="J357" s="36"/>
      <c r="K357" s="74"/>
      <c r="L357" s="74"/>
      <c r="M357" s="74" t="s">
        <v>260</v>
      </c>
      <c r="N357" s="74" t="str">
        <f>IFERROR(__xludf.DUMMYFUNCTION("""COMPUTED_VALUE"""),"")</f>
        <v/>
      </c>
    </row>
    <row r="358">
      <c r="B358" s="73"/>
      <c r="C358" s="73"/>
      <c r="D358" s="73"/>
      <c r="E358" s="73"/>
      <c r="F358" s="73"/>
      <c r="G358" s="74"/>
      <c r="H358" s="73"/>
      <c r="J358" s="36"/>
      <c r="K358" s="74"/>
      <c r="L358" s="74"/>
      <c r="M358" s="74" t="s">
        <v>260</v>
      </c>
      <c r="N358" s="74" t="str">
        <f>IFERROR(__xludf.DUMMYFUNCTION("""COMPUTED_VALUE"""),"")</f>
        <v/>
      </c>
    </row>
    <row r="359">
      <c r="B359" s="73"/>
      <c r="C359" s="73"/>
      <c r="D359" s="73"/>
      <c r="E359" s="73"/>
      <c r="F359" s="73"/>
      <c r="G359" s="74"/>
      <c r="H359" s="73"/>
      <c r="J359" s="36"/>
      <c r="L359" s="74"/>
      <c r="M359" s="74" t="s">
        <v>260</v>
      </c>
      <c r="N359" s="74" t="str">
        <f>IFERROR(__xludf.DUMMYFUNCTION("""COMPUTED_VALUE"""),"")</f>
        <v/>
      </c>
    </row>
    <row r="360">
      <c r="B360" s="73"/>
      <c r="C360" s="73"/>
      <c r="D360" s="73"/>
      <c r="E360" s="73"/>
      <c r="F360" s="73"/>
      <c r="G360" s="74"/>
      <c r="H360" s="73"/>
      <c r="J360" s="36"/>
      <c r="L360" s="74"/>
      <c r="M360" s="74" t="s">
        <v>260</v>
      </c>
      <c r="N360" s="74" t="str">
        <f>IFERROR(__xludf.DUMMYFUNCTION("""COMPUTED_VALUE"""),"")</f>
        <v/>
      </c>
    </row>
    <row r="361">
      <c r="B361" s="73"/>
      <c r="C361" s="73"/>
      <c r="D361" s="73"/>
      <c r="E361" s="73"/>
      <c r="F361" s="73"/>
      <c r="G361" s="74"/>
      <c r="H361" s="73"/>
      <c r="J361" s="36"/>
      <c r="L361" s="74"/>
      <c r="M361" s="74" t="s">
        <v>260</v>
      </c>
      <c r="N361" s="74" t="str">
        <f>IFERROR(__xludf.DUMMYFUNCTION("""COMPUTED_VALUE"""),"")</f>
        <v/>
      </c>
    </row>
    <row r="362">
      <c r="B362" s="73"/>
      <c r="C362" s="73"/>
      <c r="D362" s="73"/>
      <c r="E362" s="73"/>
      <c r="F362" s="73"/>
      <c r="G362" s="74"/>
      <c r="H362" s="73"/>
      <c r="J362" s="36"/>
      <c r="L362" s="74"/>
      <c r="M362" s="74" t="s">
        <v>260</v>
      </c>
      <c r="N362" s="74" t="str">
        <f>IFERROR(__xludf.DUMMYFUNCTION("""COMPUTED_VALUE"""),"")</f>
        <v/>
      </c>
    </row>
    <row r="363">
      <c r="B363" s="73"/>
      <c r="C363" s="73"/>
      <c r="D363" s="73"/>
      <c r="E363" s="73"/>
      <c r="F363" s="73"/>
      <c r="G363" s="74"/>
      <c r="H363" s="73"/>
      <c r="J363" s="36"/>
      <c r="L363" s="74"/>
      <c r="M363" s="74" t="s">
        <v>260</v>
      </c>
      <c r="N363" s="74" t="str">
        <f>IFERROR(__xludf.DUMMYFUNCTION("""COMPUTED_VALUE"""),"")</f>
        <v/>
      </c>
    </row>
    <row r="364">
      <c r="B364" s="73"/>
      <c r="C364" s="73"/>
      <c r="D364" s="73"/>
      <c r="E364" s="73"/>
      <c r="F364" s="73"/>
      <c r="G364" s="74"/>
      <c r="H364" s="73"/>
      <c r="J364" s="36"/>
      <c r="L364" s="74"/>
      <c r="M364" s="74" t="s">
        <v>260</v>
      </c>
      <c r="N364" s="74" t="str">
        <f>IFERROR(__xludf.DUMMYFUNCTION("""COMPUTED_VALUE"""),"")</f>
        <v/>
      </c>
    </row>
    <row r="365">
      <c r="B365" s="73"/>
      <c r="C365" s="73"/>
      <c r="D365" s="73"/>
      <c r="E365" s="73"/>
      <c r="F365" s="73"/>
      <c r="G365" s="74"/>
      <c r="H365" s="73"/>
      <c r="L365" s="74"/>
      <c r="M365" s="74" t="s">
        <v>260</v>
      </c>
      <c r="N365" s="74" t="str">
        <f>IFERROR(__xludf.DUMMYFUNCTION("""COMPUTED_VALUE"""),"")</f>
        <v/>
      </c>
    </row>
    <row r="366">
      <c r="B366" s="73"/>
      <c r="C366" s="73"/>
      <c r="D366" s="73"/>
      <c r="E366" s="73"/>
      <c r="F366" s="73"/>
      <c r="G366" s="74"/>
      <c r="H366" s="73"/>
      <c r="L366" s="74"/>
      <c r="M366" s="74" t="s">
        <v>260</v>
      </c>
      <c r="N366" s="74" t="str">
        <f>IFERROR(__xludf.DUMMYFUNCTION("""COMPUTED_VALUE"""),"")</f>
        <v/>
      </c>
    </row>
    <row r="367">
      <c r="B367" s="73"/>
      <c r="C367" s="73"/>
      <c r="D367" s="73"/>
      <c r="E367" s="73"/>
      <c r="F367" s="73"/>
      <c r="G367" s="74"/>
      <c r="H367" s="73"/>
      <c r="L367" s="74"/>
      <c r="M367" s="74" t="s">
        <v>260</v>
      </c>
      <c r="N367" s="74" t="str">
        <f>IFERROR(__xludf.DUMMYFUNCTION("""COMPUTED_VALUE"""),"")</f>
        <v/>
      </c>
    </row>
    <row r="368">
      <c r="B368" s="73"/>
      <c r="C368" s="73"/>
      <c r="D368" s="73"/>
      <c r="E368" s="73"/>
      <c r="F368" s="73"/>
      <c r="G368" s="74"/>
      <c r="H368" s="73"/>
      <c r="L368" s="74"/>
      <c r="M368" s="74" t="s">
        <v>260</v>
      </c>
      <c r="N368" s="74" t="str">
        <f>IFERROR(__xludf.DUMMYFUNCTION("""COMPUTED_VALUE"""),"")</f>
        <v/>
      </c>
    </row>
    <row r="369">
      <c r="B369" s="73"/>
      <c r="C369" s="73"/>
      <c r="D369" s="73"/>
      <c r="E369" s="73"/>
      <c r="F369" s="73"/>
      <c r="G369" s="74"/>
      <c r="H369" s="73"/>
      <c r="L369" s="74"/>
      <c r="M369" s="74" t="s">
        <v>260</v>
      </c>
      <c r="N369" s="74" t="str">
        <f>IFERROR(__xludf.DUMMYFUNCTION("""COMPUTED_VALUE"""),"")</f>
        <v/>
      </c>
    </row>
    <row r="370">
      <c r="B370" s="73"/>
      <c r="C370" s="73"/>
      <c r="D370" s="73"/>
      <c r="E370" s="73"/>
      <c r="G370" s="74"/>
      <c r="H370" s="73"/>
      <c r="L370" s="74"/>
      <c r="M370" s="74" t="s">
        <v>260</v>
      </c>
      <c r="N370" s="74" t="str">
        <f>IFERROR(__xludf.DUMMYFUNCTION("""COMPUTED_VALUE"""),"")</f>
        <v/>
      </c>
    </row>
    <row r="371">
      <c r="B371" s="73"/>
      <c r="C371" s="73"/>
      <c r="D371" s="73"/>
      <c r="E371" s="73"/>
      <c r="G371" s="74"/>
      <c r="H371" s="73"/>
      <c r="L371" s="74"/>
      <c r="M371" s="74" t="s">
        <v>260</v>
      </c>
      <c r="N371" s="74" t="str">
        <f>IFERROR(__xludf.DUMMYFUNCTION("""COMPUTED_VALUE"""),"")</f>
        <v/>
      </c>
    </row>
    <row r="372">
      <c r="B372" s="73"/>
      <c r="C372" s="73"/>
      <c r="D372" s="73"/>
      <c r="E372" s="73"/>
      <c r="G372" s="74"/>
      <c r="H372" s="73"/>
      <c r="L372" s="74"/>
      <c r="M372" s="74" t="s">
        <v>260</v>
      </c>
      <c r="N372" s="74" t="str">
        <f>IFERROR(__xludf.DUMMYFUNCTION("""COMPUTED_VALUE"""),"")</f>
        <v/>
      </c>
    </row>
    <row r="373">
      <c r="B373" s="73"/>
      <c r="C373" s="73"/>
      <c r="D373" s="73"/>
      <c r="E373" s="73"/>
      <c r="H373" s="73"/>
      <c r="L373" s="74"/>
      <c r="M373" s="74" t="s">
        <v>260</v>
      </c>
      <c r="N373" s="74" t="str">
        <f>IFERROR(__xludf.DUMMYFUNCTION("""COMPUTED_VALUE"""),"")</f>
        <v/>
      </c>
    </row>
    <row r="374">
      <c r="B374" s="73"/>
      <c r="C374" s="73"/>
      <c r="D374" s="73"/>
      <c r="E374" s="73"/>
      <c r="H374" s="73"/>
      <c r="L374" s="74"/>
      <c r="M374" s="74" t="s">
        <v>260</v>
      </c>
      <c r="N374" s="74" t="str">
        <f>IFERROR(__xludf.DUMMYFUNCTION("""COMPUTED_VALUE"""),"")</f>
        <v/>
      </c>
    </row>
    <row r="375">
      <c r="B375" s="73"/>
      <c r="C375" s="73"/>
      <c r="D375" s="73"/>
      <c r="E375" s="73"/>
      <c r="H375" s="73"/>
      <c r="L375" s="74"/>
      <c r="M375" s="34" t="s">
        <v>260</v>
      </c>
      <c r="N375" s="74" t="str">
        <f>IFERROR(__xludf.DUMMYFUNCTION("""COMPUTED_VALUE"""),"")</f>
        <v/>
      </c>
    </row>
    <row r="376">
      <c r="B376" s="73"/>
      <c r="C376" s="73"/>
      <c r="D376" s="73"/>
      <c r="E376" s="73"/>
      <c r="H376" s="73"/>
      <c r="L376" s="74"/>
      <c r="M376" s="34" t="s">
        <v>260</v>
      </c>
      <c r="N376" s="74" t="str">
        <f>IFERROR(__xludf.DUMMYFUNCTION("""COMPUTED_VALUE"""),"")</f>
        <v/>
      </c>
    </row>
    <row r="377">
      <c r="B377" s="73"/>
      <c r="C377" s="73"/>
      <c r="D377" s="73"/>
      <c r="E377" s="73"/>
      <c r="H377" s="73"/>
      <c r="L377" s="74"/>
      <c r="M377" s="34" t="s">
        <v>260</v>
      </c>
      <c r="N377" s="74" t="str">
        <f>IFERROR(__xludf.DUMMYFUNCTION("""COMPUTED_VALUE"""),"")</f>
        <v/>
      </c>
    </row>
    <row r="378">
      <c r="B378" s="73"/>
      <c r="C378" s="73"/>
      <c r="D378" s="73"/>
      <c r="E378" s="73"/>
      <c r="H378" s="73"/>
      <c r="L378" s="74"/>
      <c r="M378" s="34" t="s">
        <v>260</v>
      </c>
      <c r="N378" s="74" t="str">
        <f>IFERROR(__xludf.DUMMYFUNCTION("""COMPUTED_VALUE"""),"")</f>
        <v/>
      </c>
    </row>
    <row r="379">
      <c r="B379" s="73"/>
      <c r="C379" s="73"/>
      <c r="D379" s="73"/>
      <c r="E379" s="73"/>
      <c r="L379" s="74"/>
      <c r="M379" s="34" t="s">
        <v>260</v>
      </c>
      <c r="N379" s="74" t="str">
        <f>IFERROR(__xludf.DUMMYFUNCTION("""COMPUTED_VALUE"""),"")</f>
        <v/>
      </c>
    </row>
    <row r="380">
      <c r="B380" s="73"/>
      <c r="C380" s="73"/>
      <c r="D380" s="73"/>
      <c r="E380" s="73"/>
      <c r="L380" s="74"/>
      <c r="M380" s="34" t="s">
        <v>260</v>
      </c>
      <c r="N380" s="74" t="str">
        <f>IFERROR(__xludf.DUMMYFUNCTION("""COMPUTED_VALUE"""),"")</f>
        <v/>
      </c>
    </row>
    <row r="381">
      <c r="B381" s="73"/>
      <c r="C381" s="73"/>
      <c r="D381" s="73"/>
      <c r="E381" s="73"/>
      <c r="L381" s="74"/>
      <c r="M381" s="34" t="s">
        <v>260</v>
      </c>
      <c r="N381" s="74" t="str">
        <f>IFERROR(__xludf.DUMMYFUNCTION("""COMPUTED_VALUE"""),"")</f>
        <v/>
      </c>
    </row>
    <row r="382">
      <c r="B382" s="73"/>
      <c r="C382" s="73"/>
      <c r="D382" s="73"/>
      <c r="E382" s="73"/>
      <c r="L382" s="74"/>
      <c r="M382" s="34" t="s">
        <v>260</v>
      </c>
      <c r="N382" s="74" t="str">
        <f>IFERROR(__xludf.DUMMYFUNCTION("""COMPUTED_VALUE"""),"")</f>
        <v/>
      </c>
    </row>
    <row r="383">
      <c r="B383" s="73"/>
      <c r="C383" s="73"/>
      <c r="D383" s="73"/>
      <c r="E383" s="73"/>
      <c r="L383" s="74"/>
      <c r="M383" s="34" t="s">
        <v>260</v>
      </c>
      <c r="N383" s="74" t="str">
        <f>IFERROR(__xludf.DUMMYFUNCTION("""COMPUTED_VALUE"""),"")</f>
        <v/>
      </c>
    </row>
    <row r="384">
      <c r="B384" s="73"/>
      <c r="C384" s="73"/>
      <c r="D384" s="73"/>
      <c r="E384" s="73"/>
      <c r="L384" s="74"/>
      <c r="M384" s="34" t="s">
        <v>260</v>
      </c>
      <c r="N384" s="74" t="str">
        <f>IFERROR(__xludf.DUMMYFUNCTION("""COMPUTED_VALUE"""),"")</f>
        <v/>
      </c>
    </row>
    <row r="385">
      <c r="B385" s="73"/>
      <c r="C385" s="73"/>
      <c r="D385" s="73"/>
      <c r="E385" s="73"/>
      <c r="L385" s="74"/>
      <c r="M385" s="34" t="s">
        <v>260</v>
      </c>
      <c r="N385" s="34" t="str">
        <f>IFERROR(__xludf.DUMMYFUNCTION("""COMPUTED_VALUE"""),"")</f>
        <v/>
      </c>
    </row>
    <row r="386">
      <c r="B386" s="73"/>
      <c r="C386" s="73"/>
      <c r="D386" s="73"/>
      <c r="E386" s="73"/>
      <c r="L386" s="74"/>
      <c r="M386" s="34" t="s">
        <v>260</v>
      </c>
      <c r="N386" s="34" t="str">
        <f>IFERROR(__xludf.DUMMYFUNCTION("""COMPUTED_VALUE"""),"")</f>
        <v/>
      </c>
    </row>
    <row r="387">
      <c r="B387" s="73"/>
      <c r="C387" s="73"/>
      <c r="D387" s="73"/>
      <c r="E387" s="73"/>
      <c r="L387" s="74"/>
      <c r="M387" s="34" t="s">
        <v>260</v>
      </c>
      <c r="N387" s="34" t="str">
        <f>IFERROR(__xludf.DUMMYFUNCTION("""COMPUTED_VALUE"""),"")</f>
        <v/>
      </c>
    </row>
    <row r="388">
      <c r="B388" s="73"/>
      <c r="C388" s="73"/>
      <c r="D388" s="73"/>
      <c r="E388" s="73"/>
      <c r="L388" s="74"/>
      <c r="M388" s="34" t="s">
        <v>260</v>
      </c>
      <c r="N388" s="34" t="str">
        <f>IFERROR(__xludf.DUMMYFUNCTION("""COMPUTED_VALUE"""),"")</f>
        <v/>
      </c>
    </row>
    <row r="389">
      <c r="B389" s="73"/>
      <c r="C389" s="73"/>
      <c r="D389" s="73"/>
      <c r="E389" s="73"/>
      <c r="L389" s="74"/>
      <c r="M389" s="34" t="s">
        <v>260</v>
      </c>
      <c r="N389" s="34" t="str">
        <f>IFERROR(__xludf.DUMMYFUNCTION("""COMPUTED_VALUE"""),"")</f>
        <v/>
      </c>
    </row>
    <row r="390">
      <c r="B390" s="73"/>
      <c r="C390" s="73"/>
      <c r="D390" s="73"/>
      <c r="E390" s="73"/>
      <c r="L390" s="74"/>
      <c r="M390" s="34" t="s">
        <v>260</v>
      </c>
      <c r="N390" s="34" t="str">
        <f>IFERROR(__xludf.DUMMYFUNCTION("""COMPUTED_VALUE"""),"")</f>
        <v/>
      </c>
    </row>
    <row r="391">
      <c r="B391" s="73"/>
      <c r="C391" s="73"/>
      <c r="D391" s="73"/>
      <c r="L391" s="74"/>
      <c r="M391" s="34" t="s">
        <v>260</v>
      </c>
      <c r="N391" s="34" t="str">
        <f>IFERROR(__xludf.DUMMYFUNCTION("""COMPUTED_VALUE"""),"")</f>
        <v/>
      </c>
    </row>
    <row r="392">
      <c r="B392" s="73"/>
      <c r="C392" s="73"/>
      <c r="D392" s="73"/>
      <c r="L392" s="74"/>
      <c r="M392" s="34" t="s">
        <v>260</v>
      </c>
      <c r="N392" s="34" t="str">
        <f>IFERROR(__xludf.DUMMYFUNCTION("""COMPUTED_VALUE"""),"")</f>
        <v/>
      </c>
    </row>
    <row r="393">
      <c r="B393" s="73"/>
      <c r="C393" s="73"/>
      <c r="D393" s="73"/>
      <c r="L393" s="74"/>
      <c r="M393" s="34" t="s">
        <v>260</v>
      </c>
      <c r="N393" s="34" t="str">
        <f>IFERROR(__xludf.DUMMYFUNCTION("""COMPUTED_VALUE"""),"")</f>
        <v/>
      </c>
    </row>
    <row r="394">
      <c r="B394" s="73"/>
      <c r="C394" s="73"/>
      <c r="D394" s="73"/>
      <c r="L394" s="74"/>
      <c r="M394" s="34" t="s">
        <v>260</v>
      </c>
      <c r="N394" s="34" t="str">
        <f>IFERROR(__xludf.DUMMYFUNCTION("""COMPUTED_VALUE"""),"")</f>
        <v/>
      </c>
    </row>
    <row r="395">
      <c r="B395" s="73"/>
      <c r="C395" s="73"/>
      <c r="D395" s="73"/>
      <c r="L395" s="74"/>
      <c r="M395" s="34" t="s">
        <v>260</v>
      </c>
      <c r="N395" s="34" t="str">
        <f>IFERROR(__xludf.DUMMYFUNCTION("""COMPUTED_VALUE"""),"")</f>
        <v/>
      </c>
    </row>
    <row r="396">
      <c r="B396" s="73"/>
      <c r="C396" s="73"/>
      <c r="D396" s="73"/>
      <c r="L396" s="74"/>
      <c r="M396" s="34" t="s">
        <v>260</v>
      </c>
      <c r="N396" s="34" t="str">
        <f>IFERROR(__xludf.DUMMYFUNCTION("""COMPUTED_VALUE"""),"")</f>
        <v/>
      </c>
    </row>
    <row r="397">
      <c r="B397" s="73"/>
      <c r="C397" s="73"/>
      <c r="D397" s="73"/>
      <c r="M397" s="34" t="s">
        <v>260</v>
      </c>
      <c r="N397" s="34" t="str">
        <f>IFERROR(__xludf.DUMMYFUNCTION("""COMPUTED_VALUE"""),"")</f>
        <v/>
      </c>
    </row>
    <row r="398">
      <c r="B398" s="73"/>
      <c r="C398" s="73"/>
      <c r="D398" s="73"/>
      <c r="M398" s="34" t="s">
        <v>260</v>
      </c>
      <c r="N398" s="34" t="str">
        <f>IFERROR(__xludf.DUMMYFUNCTION("""COMPUTED_VALUE"""),"")</f>
        <v/>
      </c>
    </row>
    <row r="399">
      <c r="B399" s="73"/>
      <c r="C399" s="73"/>
      <c r="D399" s="73"/>
      <c r="M399" s="34" t="s">
        <v>260</v>
      </c>
      <c r="N399" s="34" t="str">
        <f>IFERROR(__xludf.DUMMYFUNCTION("""COMPUTED_VALUE"""),"")</f>
        <v/>
      </c>
    </row>
    <row r="400">
      <c r="B400" s="73"/>
      <c r="C400" s="73"/>
      <c r="D400" s="73"/>
      <c r="M400" s="34" t="s">
        <v>260</v>
      </c>
      <c r="N400" s="34" t="str">
        <f>IFERROR(__xludf.DUMMYFUNCTION("""COMPUTED_VALUE"""),"")</f>
        <v/>
      </c>
    </row>
    <row r="401">
      <c r="B401" s="73"/>
      <c r="C401" s="73"/>
      <c r="D401" s="73"/>
      <c r="M401" s="34" t="s">
        <v>260</v>
      </c>
      <c r="N401" s="34" t="str">
        <f>IFERROR(__xludf.DUMMYFUNCTION("""COMPUTED_VALUE"""),"")</f>
        <v/>
      </c>
    </row>
    <row r="402">
      <c r="B402" s="73"/>
      <c r="C402" s="73"/>
      <c r="D402" s="73"/>
      <c r="M402" s="34" t="s">
        <v>260</v>
      </c>
      <c r="N402" s="34" t="str">
        <f>IFERROR(__xludf.DUMMYFUNCTION("""COMPUTED_VALUE"""),"")</f>
        <v/>
      </c>
    </row>
    <row r="403">
      <c r="B403" s="73"/>
      <c r="C403" s="73"/>
      <c r="D403" s="73"/>
      <c r="M403" s="34" t="s">
        <v>260</v>
      </c>
      <c r="N403" s="34" t="str">
        <f>IFERROR(__xludf.DUMMYFUNCTION("""COMPUTED_VALUE"""),"")</f>
        <v/>
      </c>
    </row>
    <row r="404">
      <c r="B404" s="73"/>
      <c r="C404" s="73"/>
      <c r="D404" s="73"/>
      <c r="M404" s="34" t="s">
        <v>260</v>
      </c>
      <c r="N404" s="34" t="str">
        <f>IFERROR(__xludf.DUMMYFUNCTION("""COMPUTED_VALUE"""),"")</f>
        <v/>
      </c>
    </row>
    <row r="405">
      <c r="B405" s="73"/>
      <c r="C405" s="73"/>
      <c r="D405" s="73"/>
      <c r="M405" s="34" t="s">
        <v>260</v>
      </c>
      <c r="N405" s="34" t="str">
        <f>IFERROR(__xludf.DUMMYFUNCTION("""COMPUTED_VALUE"""),"")</f>
        <v/>
      </c>
    </row>
    <row r="406">
      <c r="B406" s="73"/>
      <c r="C406" s="73"/>
      <c r="D406" s="73"/>
      <c r="M406" s="34" t="s">
        <v>260</v>
      </c>
      <c r="N406" s="34" t="str">
        <f>IFERROR(__xludf.DUMMYFUNCTION("""COMPUTED_VALUE"""),"")</f>
        <v/>
      </c>
    </row>
    <row r="407">
      <c r="B407" s="73"/>
      <c r="C407" s="73"/>
      <c r="D407" s="73"/>
      <c r="M407" s="34" t="s">
        <v>260</v>
      </c>
      <c r="N407" s="34" t="str">
        <f>IFERROR(__xludf.DUMMYFUNCTION("""COMPUTED_VALUE"""),"")</f>
        <v/>
      </c>
    </row>
    <row r="408">
      <c r="B408" s="73"/>
      <c r="C408" s="73"/>
      <c r="D408" s="73"/>
      <c r="M408" s="34" t="s">
        <v>260</v>
      </c>
      <c r="N408" s="34" t="str">
        <f>IFERROR(__xludf.DUMMYFUNCTION("""COMPUTED_VALUE"""),"")</f>
        <v/>
      </c>
    </row>
    <row r="409">
      <c r="B409" s="73"/>
      <c r="C409" s="73"/>
      <c r="D409" s="73"/>
      <c r="M409" s="34" t="s">
        <v>260</v>
      </c>
      <c r="N409" s="34" t="str">
        <f>IFERROR(__xludf.DUMMYFUNCTION("""COMPUTED_VALUE"""),"")</f>
        <v/>
      </c>
    </row>
    <row r="410">
      <c r="B410" s="73"/>
      <c r="C410" s="73"/>
      <c r="D410" s="73"/>
      <c r="M410" s="34" t="s">
        <v>260</v>
      </c>
      <c r="N410" s="34" t="str">
        <f>IFERROR(__xludf.DUMMYFUNCTION("""COMPUTED_VALUE"""),"")</f>
        <v/>
      </c>
    </row>
    <row r="411">
      <c r="B411" s="73"/>
      <c r="C411" s="73"/>
      <c r="D411" s="73"/>
      <c r="M411" s="34" t="s">
        <v>260</v>
      </c>
      <c r="N411" s="34" t="str">
        <f>IFERROR(__xludf.DUMMYFUNCTION("""COMPUTED_VALUE"""),"")</f>
        <v/>
      </c>
    </row>
    <row r="412">
      <c r="B412" s="73"/>
      <c r="C412" s="73"/>
      <c r="D412" s="73"/>
      <c r="M412" s="34" t="s">
        <v>260</v>
      </c>
      <c r="N412" s="34" t="str">
        <f>IFERROR(__xludf.DUMMYFUNCTION("""COMPUTED_VALUE"""),"")</f>
        <v/>
      </c>
    </row>
    <row r="413">
      <c r="B413" s="73"/>
      <c r="C413" s="73"/>
      <c r="D413" s="73"/>
      <c r="M413" s="34" t="s">
        <v>260</v>
      </c>
      <c r="N413" s="34" t="str">
        <f>IFERROR(__xludf.DUMMYFUNCTION("""COMPUTED_VALUE"""),"")</f>
        <v/>
      </c>
    </row>
    <row r="414">
      <c r="B414" s="73"/>
      <c r="C414" s="73"/>
      <c r="D414" s="73"/>
      <c r="M414" s="34" t="s">
        <v>260</v>
      </c>
      <c r="N414" s="34" t="str">
        <f>IFERROR(__xludf.DUMMYFUNCTION("""COMPUTED_VALUE"""),"")</f>
        <v/>
      </c>
    </row>
    <row r="415">
      <c r="B415" s="73"/>
      <c r="C415" s="73"/>
      <c r="D415" s="73"/>
      <c r="M415" s="34" t="s">
        <v>260</v>
      </c>
      <c r="N415" s="34" t="str">
        <f>IFERROR(__xludf.DUMMYFUNCTION("""COMPUTED_VALUE"""),"")</f>
        <v/>
      </c>
    </row>
    <row r="416">
      <c r="B416" s="73"/>
      <c r="C416" s="73"/>
      <c r="D416" s="73"/>
      <c r="M416" s="34" t="s">
        <v>260</v>
      </c>
      <c r="N416" s="34" t="str">
        <f>IFERROR(__xludf.DUMMYFUNCTION("""COMPUTED_VALUE"""),"")</f>
        <v/>
      </c>
    </row>
    <row r="417">
      <c r="B417" s="73"/>
      <c r="C417" s="73"/>
      <c r="D417" s="73"/>
      <c r="M417" s="34" t="s">
        <v>260</v>
      </c>
      <c r="N417" s="34" t="str">
        <f>IFERROR(__xludf.DUMMYFUNCTION("""COMPUTED_VALUE"""),"")</f>
        <v/>
      </c>
    </row>
    <row r="418">
      <c r="B418" s="73"/>
      <c r="C418" s="73"/>
      <c r="D418" s="73"/>
      <c r="M418" s="34" t="s">
        <v>260</v>
      </c>
      <c r="N418" s="34" t="str">
        <f>IFERROR(__xludf.DUMMYFUNCTION("""COMPUTED_VALUE"""),"")</f>
        <v/>
      </c>
    </row>
    <row r="419">
      <c r="B419" s="73"/>
      <c r="C419" s="73"/>
      <c r="D419" s="73"/>
      <c r="M419" s="34" t="s">
        <v>260</v>
      </c>
      <c r="N419" s="34" t="str">
        <f>IFERROR(__xludf.DUMMYFUNCTION("""COMPUTED_VALUE"""),"")</f>
        <v/>
      </c>
    </row>
    <row r="420">
      <c r="B420" s="73"/>
      <c r="C420" s="73"/>
      <c r="D420" s="73"/>
      <c r="M420" s="34" t="s">
        <v>260</v>
      </c>
      <c r="N420" s="34" t="str">
        <f>IFERROR(__xludf.DUMMYFUNCTION("""COMPUTED_VALUE"""),"")</f>
        <v/>
      </c>
    </row>
    <row r="421">
      <c r="B421" s="73"/>
      <c r="C421" s="73"/>
      <c r="D421" s="73"/>
      <c r="M421" s="34" t="s">
        <v>260</v>
      </c>
      <c r="N421" s="34" t="str">
        <f>IFERROR(__xludf.DUMMYFUNCTION("""COMPUTED_VALUE"""),"")</f>
        <v/>
      </c>
    </row>
    <row r="422">
      <c r="B422" s="73"/>
      <c r="C422" s="73"/>
      <c r="D422" s="73"/>
      <c r="M422" s="34" t="s">
        <v>260</v>
      </c>
      <c r="N422" s="34" t="str">
        <f>IFERROR(__xludf.DUMMYFUNCTION("""COMPUTED_VALUE"""),"")</f>
        <v/>
      </c>
    </row>
    <row r="423">
      <c r="B423" s="73"/>
      <c r="C423" s="73"/>
      <c r="D423" s="73"/>
      <c r="M423" s="34" t="s">
        <v>260</v>
      </c>
      <c r="N423" s="34" t="str">
        <f>IFERROR(__xludf.DUMMYFUNCTION("""COMPUTED_VALUE"""),"")</f>
        <v/>
      </c>
    </row>
    <row r="424">
      <c r="C424" s="73"/>
      <c r="D424" s="73"/>
      <c r="M424" s="34" t="s">
        <v>260</v>
      </c>
      <c r="N424" s="34" t="str">
        <f>IFERROR(__xludf.DUMMYFUNCTION("""COMPUTED_VALUE"""),"")</f>
        <v/>
      </c>
    </row>
    <row r="425">
      <c r="C425" s="73"/>
      <c r="D425" s="73"/>
      <c r="M425" s="34" t="s">
        <v>260</v>
      </c>
      <c r="N425" s="34" t="str">
        <f>IFERROR(__xludf.DUMMYFUNCTION("""COMPUTED_VALUE"""),"")</f>
        <v/>
      </c>
    </row>
    <row r="426">
      <c r="C426" s="73"/>
      <c r="D426" s="73"/>
      <c r="M426" s="34" t="s">
        <v>260</v>
      </c>
      <c r="N426" s="34" t="str">
        <f>IFERROR(__xludf.DUMMYFUNCTION("""COMPUTED_VALUE"""),"")</f>
        <v/>
      </c>
    </row>
    <row r="427">
      <c r="C427" s="73"/>
      <c r="D427" s="73"/>
      <c r="M427" s="34" t="s">
        <v>260</v>
      </c>
      <c r="N427" s="34" t="str">
        <f>IFERROR(__xludf.DUMMYFUNCTION("""COMPUTED_VALUE"""),"")</f>
        <v/>
      </c>
    </row>
    <row r="428">
      <c r="C428" s="73"/>
      <c r="D428" s="73"/>
      <c r="M428" s="34" t="s">
        <v>260</v>
      </c>
      <c r="N428" s="34" t="str">
        <f>IFERROR(__xludf.DUMMYFUNCTION("""COMPUTED_VALUE"""),"")</f>
        <v/>
      </c>
    </row>
    <row r="429">
      <c r="C429" s="73"/>
      <c r="D429" s="73"/>
      <c r="M429" s="34" t="s">
        <v>260</v>
      </c>
      <c r="N429" s="34" t="str">
        <f>IFERROR(__xludf.DUMMYFUNCTION("""COMPUTED_VALUE"""),"")</f>
        <v/>
      </c>
    </row>
    <row r="430">
      <c r="C430" s="73"/>
      <c r="D430" s="73"/>
      <c r="M430" s="34" t="s">
        <v>260</v>
      </c>
      <c r="N430" s="34" t="str">
        <f>IFERROR(__xludf.DUMMYFUNCTION("""COMPUTED_VALUE"""),"")</f>
        <v/>
      </c>
    </row>
    <row r="431">
      <c r="C431" s="73"/>
      <c r="M431" s="34" t="s">
        <v>260</v>
      </c>
      <c r="N431" s="34" t="str">
        <f>IFERROR(__xludf.DUMMYFUNCTION("""COMPUTED_VALUE"""),"")</f>
        <v/>
      </c>
    </row>
    <row r="432">
      <c r="C432" s="73"/>
      <c r="M432" s="34" t="s">
        <v>260</v>
      </c>
      <c r="N432" s="34" t="str">
        <f>IFERROR(__xludf.DUMMYFUNCTION("""COMPUTED_VALUE"""),"")</f>
        <v/>
      </c>
    </row>
    <row r="433">
      <c r="C433" s="73"/>
      <c r="M433" s="34" t="s">
        <v>260</v>
      </c>
      <c r="N433" s="34" t="str">
        <f>IFERROR(__xludf.DUMMYFUNCTION("""COMPUTED_VALUE"""),"")</f>
        <v/>
      </c>
    </row>
    <row r="434">
      <c r="C434" s="73"/>
      <c r="M434" s="34" t="s">
        <v>260</v>
      </c>
      <c r="N434" s="34" t="str">
        <f>IFERROR(__xludf.DUMMYFUNCTION("""COMPUTED_VALUE"""),"")</f>
        <v/>
      </c>
    </row>
    <row r="435">
      <c r="C435" s="73"/>
      <c r="M435" s="34" t="s">
        <v>260</v>
      </c>
      <c r="N435" s="34" t="str">
        <f>IFERROR(__xludf.DUMMYFUNCTION("""COMPUTED_VALUE"""),"")</f>
        <v/>
      </c>
    </row>
    <row r="436">
      <c r="C436" s="73"/>
      <c r="M436" s="34" t="s">
        <v>260</v>
      </c>
      <c r="N436" s="34" t="str">
        <f>IFERROR(__xludf.DUMMYFUNCTION("""COMPUTED_VALUE"""),"")</f>
        <v/>
      </c>
    </row>
    <row r="437">
      <c r="C437" s="73"/>
      <c r="M437" s="34" t="s">
        <v>260</v>
      </c>
      <c r="N437" s="34" t="str">
        <f>IFERROR(__xludf.DUMMYFUNCTION("""COMPUTED_VALUE"""),"")</f>
        <v/>
      </c>
    </row>
    <row r="438">
      <c r="C438" s="73"/>
      <c r="M438" s="34" t="s">
        <v>260</v>
      </c>
      <c r="N438" s="34" t="str">
        <f>IFERROR(__xludf.DUMMYFUNCTION("""COMPUTED_VALUE"""),"")</f>
        <v/>
      </c>
    </row>
    <row r="439">
      <c r="C439" s="73"/>
      <c r="M439" s="34" t="s">
        <v>260</v>
      </c>
      <c r="N439" s="34" t="str">
        <f>IFERROR(__xludf.DUMMYFUNCTION("""COMPUTED_VALUE"""),"")</f>
        <v/>
      </c>
    </row>
    <row r="440">
      <c r="C440" s="73"/>
      <c r="M440" s="34" t="s">
        <v>260</v>
      </c>
      <c r="N440" s="34" t="str">
        <f>IFERROR(__xludf.DUMMYFUNCTION("""COMPUTED_VALUE"""),"")</f>
        <v/>
      </c>
    </row>
    <row r="441">
      <c r="C441" s="73"/>
      <c r="M441" s="34" t="s">
        <v>260</v>
      </c>
      <c r="N441" s="34" t="str">
        <f>IFERROR(__xludf.DUMMYFUNCTION("""COMPUTED_VALUE"""),"")</f>
        <v/>
      </c>
    </row>
    <row r="442">
      <c r="C442" s="73"/>
      <c r="M442" s="34" t="s">
        <v>260</v>
      </c>
      <c r="N442" s="34" t="str">
        <f>IFERROR(__xludf.DUMMYFUNCTION("""COMPUTED_VALUE"""),"")</f>
        <v/>
      </c>
    </row>
    <row r="443">
      <c r="C443" s="73"/>
      <c r="M443" s="34" t="s">
        <v>260</v>
      </c>
      <c r="N443" s="34" t="str">
        <f>IFERROR(__xludf.DUMMYFUNCTION("""COMPUTED_VALUE"""),"")</f>
        <v/>
      </c>
    </row>
    <row r="444">
      <c r="C444" s="73"/>
      <c r="M444" s="34" t="s">
        <v>260</v>
      </c>
      <c r="N444" s="34" t="str">
        <f>IFERROR(__xludf.DUMMYFUNCTION("""COMPUTED_VALUE"""),"")</f>
        <v/>
      </c>
    </row>
    <row r="445">
      <c r="C445" s="73"/>
      <c r="M445" s="34" t="s">
        <v>260</v>
      </c>
      <c r="N445" s="34" t="str">
        <f>IFERROR(__xludf.DUMMYFUNCTION("""COMPUTED_VALUE"""),"")</f>
        <v/>
      </c>
    </row>
    <row r="446">
      <c r="C446" s="73"/>
      <c r="M446" s="34" t="s">
        <v>260</v>
      </c>
      <c r="N446" s="34" t="str">
        <f>IFERROR(__xludf.DUMMYFUNCTION("""COMPUTED_VALUE"""),"")</f>
        <v/>
      </c>
    </row>
    <row r="447">
      <c r="C447" s="73"/>
      <c r="M447" s="34" t="s">
        <v>260</v>
      </c>
      <c r="N447" s="34" t="str">
        <f>IFERROR(__xludf.DUMMYFUNCTION("""COMPUTED_VALUE"""),"")</f>
        <v/>
      </c>
    </row>
    <row r="448">
      <c r="C448" s="73"/>
      <c r="M448" s="34" t="s">
        <v>260</v>
      </c>
      <c r="N448" s="34" t="str">
        <f>IFERROR(__xludf.DUMMYFUNCTION("""COMPUTED_VALUE"""),"")</f>
        <v/>
      </c>
    </row>
    <row r="449">
      <c r="C449" s="73"/>
      <c r="M449" s="34" t="s">
        <v>260</v>
      </c>
      <c r="N449" s="34" t="str">
        <f>IFERROR(__xludf.DUMMYFUNCTION("""COMPUTED_VALUE"""),"")</f>
        <v/>
      </c>
    </row>
    <row r="450">
      <c r="C450" s="73"/>
      <c r="M450" s="34" t="s">
        <v>260</v>
      </c>
      <c r="N450" s="34" t="str">
        <f>IFERROR(__xludf.DUMMYFUNCTION("""COMPUTED_VALUE"""),"")</f>
        <v/>
      </c>
    </row>
    <row r="451">
      <c r="C451" s="73"/>
      <c r="M451" s="34" t="s">
        <v>260</v>
      </c>
      <c r="N451" s="34" t="str">
        <f>IFERROR(__xludf.DUMMYFUNCTION("""COMPUTED_VALUE"""),"")</f>
        <v/>
      </c>
    </row>
    <row r="452">
      <c r="C452" s="73"/>
      <c r="M452" s="34" t="s">
        <v>260</v>
      </c>
      <c r="N452" s="34" t="str">
        <f>IFERROR(__xludf.DUMMYFUNCTION("""COMPUTED_VALUE"""),"")</f>
        <v/>
      </c>
    </row>
    <row r="453">
      <c r="C453" s="73"/>
      <c r="M453" s="34" t="s">
        <v>260</v>
      </c>
      <c r="N453" s="34" t="str">
        <f>IFERROR(__xludf.DUMMYFUNCTION("""COMPUTED_VALUE"""),"")</f>
        <v/>
      </c>
    </row>
    <row r="454">
      <c r="C454" s="73"/>
      <c r="M454" s="34" t="s">
        <v>260</v>
      </c>
      <c r="N454" s="34" t="str">
        <f>IFERROR(__xludf.DUMMYFUNCTION("""COMPUTED_VALUE"""),"")</f>
        <v/>
      </c>
    </row>
    <row r="455">
      <c r="C455" s="73"/>
      <c r="M455" s="34" t="s">
        <v>260</v>
      </c>
      <c r="N455" s="34" t="str">
        <f>IFERROR(__xludf.DUMMYFUNCTION("""COMPUTED_VALUE"""),"")</f>
        <v/>
      </c>
    </row>
    <row r="456">
      <c r="C456" s="73"/>
      <c r="M456" s="34" t="s">
        <v>260</v>
      </c>
      <c r="N456" s="34" t="str">
        <f>IFERROR(__xludf.DUMMYFUNCTION("""COMPUTED_VALUE"""),"")</f>
        <v/>
      </c>
    </row>
    <row r="457">
      <c r="C457" s="73"/>
      <c r="M457" s="34" t="s">
        <v>260</v>
      </c>
      <c r="N457" s="34" t="str">
        <f>IFERROR(__xludf.DUMMYFUNCTION("""COMPUTED_VALUE"""),"")</f>
        <v/>
      </c>
    </row>
    <row r="458">
      <c r="C458" s="73"/>
      <c r="M458" s="34" t="s">
        <v>260</v>
      </c>
      <c r="N458" s="34" t="str">
        <f>IFERROR(__xludf.DUMMYFUNCTION("""COMPUTED_VALUE"""),"")</f>
        <v/>
      </c>
    </row>
    <row r="459">
      <c r="C459" s="73"/>
      <c r="M459" s="34" t="s">
        <v>260</v>
      </c>
      <c r="N459" s="34" t="str">
        <f>IFERROR(__xludf.DUMMYFUNCTION("""COMPUTED_VALUE"""),"")</f>
        <v/>
      </c>
    </row>
    <row r="460">
      <c r="C460" s="73"/>
      <c r="M460" s="34" t="s">
        <v>260</v>
      </c>
      <c r="N460" s="34" t="str">
        <f>IFERROR(__xludf.DUMMYFUNCTION("""COMPUTED_VALUE"""),"")</f>
        <v/>
      </c>
    </row>
    <row r="461">
      <c r="C461" s="73"/>
      <c r="M461" s="34" t="s">
        <v>260</v>
      </c>
      <c r="N461" s="34" t="str">
        <f>IFERROR(__xludf.DUMMYFUNCTION("""COMPUTED_VALUE"""),"")</f>
        <v/>
      </c>
    </row>
    <row r="462">
      <c r="C462" s="73"/>
      <c r="M462" s="34" t="s">
        <v>260</v>
      </c>
      <c r="N462" s="34" t="str">
        <f>IFERROR(__xludf.DUMMYFUNCTION("""COMPUTED_VALUE"""),"")</f>
        <v/>
      </c>
    </row>
    <row r="463">
      <c r="C463" s="73"/>
      <c r="M463" s="34" t="s">
        <v>260</v>
      </c>
      <c r="N463" s="34" t="str">
        <f>IFERROR(__xludf.DUMMYFUNCTION("""COMPUTED_VALUE"""),"")</f>
        <v/>
      </c>
    </row>
    <row r="464">
      <c r="C464" s="73"/>
      <c r="M464" s="34" t="s">
        <v>260</v>
      </c>
      <c r="N464" s="34" t="str">
        <f>IFERROR(__xludf.DUMMYFUNCTION("""COMPUTED_VALUE"""),"")</f>
        <v/>
      </c>
    </row>
    <row r="465">
      <c r="C465" s="73"/>
      <c r="M465" s="34" t="s">
        <v>260</v>
      </c>
      <c r="N465" s="34" t="str">
        <f>IFERROR(__xludf.DUMMYFUNCTION("""COMPUTED_VALUE"""),"")</f>
        <v/>
      </c>
    </row>
    <row r="466">
      <c r="C466" s="73"/>
      <c r="M466" s="34" t="s">
        <v>260</v>
      </c>
      <c r="N466" s="34" t="str">
        <f>IFERROR(__xludf.DUMMYFUNCTION("""COMPUTED_VALUE"""),"")</f>
        <v/>
      </c>
    </row>
    <row r="467">
      <c r="C467" s="73"/>
      <c r="M467" s="34" t="s">
        <v>260</v>
      </c>
      <c r="N467" s="34" t="str">
        <f>IFERROR(__xludf.DUMMYFUNCTION("""COMPUTED_VALUE"""),"")</f>
        <v/>
      </c>
    </row>
    <row r="468">
      <c r="C468" s="73"/>
      <c r="M468" s="34" t="s">
        <v>260</v>
      </c>
      <c r="N468" s="34" t="str">
        <f>IFERROR(__xludf.DUMMYFUNCTION("""COMPUTED_VALUE"""),"")</f>
        <v/>
      </c>
    </row>
    <row r="469">
      <c r="M469" s="34" t="s">
        <v>260</v>
      </c>
      <c r="N469" s="34" t="str">
        <f>IFERROR(__xludf.DUMMYFUNCTION("""COMPUTED_VALUE"""),"")</f>
        <v/>
      </c>
    </row>
    <row r="470">
      <c r="M470" s="34" t="s">
        <v>260</v>
      </c>
      <c r="N470" s="34" t="str">
        <f>IFERROR(__xludf.DUMMYFUNCTION("""COMPUTED_VALUE"""),"")</f>
        <v/>
      </c>
    </row>
    <row r="471">
      <c r="M471" s="34" t="s">
        <v>260</v>
      </c>
      <c r="N471" s="34" t="str">
        <f>IFERROR(__xludf.DUMMYFUNCTION("""COMPUTED_VALUE"""),"")</f>
        <v/>
      </c>
    </row>
    <row r="472">
      <c r="M472" s="34" t="s">
        <v>260</v>
      </c>
      <c r="N472" s="34" t="str">
        <f>IFERROR(__xludf.DUMMYFUNCTION("""COMPUTED_VALUE"""),"")</f>
        <v/>
      </c>
    </row>
    <row r="473">
      <c r="M473" s="34" t="s">
        <v>260</v>
      </c>
      <c r="N473" s="34" t="str">
        <f>IFERROR(__xludf.DUMMYFUNCTION("""COMPUTED_VALUE"""),"")</f>
        <v/>
      </c>
    </row>
    <row r="474">
      <c r="M474" s="34" t="s">
        <v>260</v>
      </c>
      <c r="N474" s="34" t="str">
        <f>IFERROR(__xludf.DUMMYFUNCTION("""COMPUTED_VALUE"""),"")</f>
        <v/>
      </c>
    </row>
    <row r="475">
      <c r="M475" s="34" t="s">
        <v>260</v>
      </c>
      <c r="N475" s="34" t="str">
        <f>IFERROR(__xludf.DUMMYFUNCTION("""COMPUTED_VALUE"""),"")</f>
        <v/>
      </c>
    </row>
    <row r="476">
      <c r="M476" s="34" t="s">
        <v>260</v>
      </c>
      <c r="N476" s="34" t="str">
        <f>IFERROR(__xludf.DUMMYFUNCTION("""COMPUTED_VALUE"""),"")</f>
        <v/>
      </c>
    </row>
    <row r="477">
      <c r="M477" s="34" t="s">
        <v>260</v>
      </c>
      <c r="N477" s="34" t="str">
        <f>IFERROR(__xludf.DUMMYFUNCTION("""COMPUTED_VALUE"""),"")</f>
        <v/>
      </c>
    </row>
    <row r="478">
      <c r="M478" s="34" t="s">
        <v>260</v>
      </c>
      <c r="N478" s="34" t="str">
        <f>IFERROR(__xludf.DUMMYFUNCTION("""COMPUTED_VALUE"""),"")</f>
        <v/>
      </c>
    </row>
    <row r="479">
      <c r="M479" s="34" t="s">
        <v>260</v>
      </c>
      <c r="N479" s="34" t="str">
        <f>IFERROR(__xludf.DUMMYFUNCTION("""COMPUTED_VALUE"""),"")</f>
        <v/>
      </c>
    </row>
    <row r="480">
      <c r="M480" s="34" t="s">
        <v>260</v>
      </c>
      <c r="N480" s="34" t="str">
        <f>IFERROR(__xludf.DUMMYFUNCTION("""COMPUTED_VALUE"""),"")</f>
        <v/>
      </c>
    </row>
    <row r="481">
      <c r="M481" s="34" t="s">
        <v>260</v>
      </c>
      <c r="N481" s="34" t="str">
        <f>IFERROR(__xludf.DUMMYFUNCTION("""COMPUTED_VALUE"""),"")</f>
        <v/>
      </c>
    </row>
    <row r="482">
      <c r="M482" s="34" t="s">
        <v>260</v>
      </c>
      <c r="N482" s="34" t="str">
        <f>IFERROR(__xludf.DUMMYFUNCTION("""COMPUTED_VALUE"""),"")</f>
        <v/>
      </c>
    </row>
    <row r="483">
      <c r="M483" s="34" t="s">
        <v>260</v>
      </c>
      <c r="N483" s="34" t="str">
        <f>IFERROR(__xludf.DUMMYFUNCTION("""COMPUTED_VALUE"""),"")</f>
        <v/>
      </c>
    </row>
    <row r="484">
      <c r="M484" s="34" t="s">
        <v>260</v>
      </c>
      <c r="N484" s="34" t="str">
        <f>IFERROR(__xludf.DUMMYFUNCTION("""COMPUTED_VALUE"""),"")</f>
        <v/>
      </c>
    </row>
    <row r="485">
      <c r="M485" s="34" t="s">
        <v>260</v>
      </c>
      <c r="N485" s="34" t="str">
        <f>IFERROR(__xludf.DUMMYFUNCTION("""COMPUTED_VALUE"""),"")</f>
        <v/>
      </c>
    </row>
    <row r="486">
      <c r="M486" s="34" t="s">
        <v>260</v>
      </c>
      <c r="N486" s="34" t="str">
        <f>IFERROR(__xludf.DUMMYFUNCTION("""COMPUTED_VALUE"""),"")</f>
        <v/>
      </c>
    </row>
    <row r="487">
      <c r="M487" s="34" t="s">
        <v>260</v>
      </c>
      <c r="N487" s="34" t="str">
        <f>IFERROR(__xludf.DUMMYFUNCTION("""COMPUTED_VALUE"""),"")</f>
        <v/>
      </c>
    </row>
    <row r="488">
      <c r="M488" s="34" t="s">
        <v>260</v>
      </c>
      <c r="N488" s="34" t="str">
        <f>IFERROR(__xludf.DUMMYFUNCTION("""COMPUTED_VALUE"""),"")</f>
        <v/>
      </c>
    </row>
    <row r="489">
      <c r="M489" s="34" t="s">
        <v>260</v>
      </c>
      <c r="N489" s="34" t="str">
        <f>IFERROR(__xludf.DUMMYFUNCTION("""COMPUTED_VALUE"""),"")</f>
        <v/>
      </c>
    </row>
    <row r="490">
      <c r="M490" s="34" t="s">
        <v>260</v>
      </c>
      <c r="N490" s="34" t="str">
        <f>IFERROR(__xludf.DUMMYFUNCTION("""COMPUTED_VALUE"""),"")</f>
        <v/>
      </c>
    </row>
    <row r="491">
      <c r="M491" s="34" t="s">
        <v>260</v>
      </c>
      <c r="N491" s="34" t="str">
        <f>IFERROR(__xludf.DUMMYFUNCTION("""COMPUTED_VALUE"""),"")</f>
        <v/>
      </c>
    </row>
    <row r="492">
      <c r="M492" s="34" t="s">
        <v>260</v>
      </c>
      <c r="N492" s="34" t="str">
        <f>IFERROR(__xludf.DUMMYFUNCTION("""COMPUTED_VALUE"""),"")</f>
        <v/>
      </c>
    </row>
    <row r="493">
      <c r="M493" s="34" t="s">
        <v>260</v>
      </c>
      <c r="N493" s="34" t="str">
        <f>IFERROR(__xludf.DUMMYFUNCTION("""COMPUTED_VALUE"""),"")</f>
        <v/>
      </c>
    </row>
    <row r="494">
      <c r="M494" s="34" t="s">
        <v>260</v>
      </c>
      <c r="N494" s="34" t="str">
        <f>IFERROR(__xludf.DUMMYFUNCTION("""COMPUTED_VALUE"""),"")</f>
        <v/>
      </c>
    </row>
    <row r="495">
      <c r="M495" s="34" t="s">
        <v>260</v>
      </c>
      <c r="N495" s="34" t="str">
        <f>IFERROR(__xludf.DUMMYFUNCTION("""COMPUTED_VALUE"""),"")</f>
        <v/>
      </c>
    </row>
    <row r="496">
      <c r="M496" s="34" t="s">
        <v>260</v>
      </c>
      <c r="N496" s="34" t="str">
        <f>IFERROR(__xludf.DUMMYFUNCTION("""COMPUTED_VALUE"""),"")</f>
        <v/>
      </c>
    </row>
    <row r="497">
      <c r="M497" s="34" t="s">
        <v>260</v>
      </c>
      <c r="N497" s="34" t="str">
        <f>IFERROR(__xludf.DUMMYFUNCTION("""COMPUTED_VALUE"""),"")</f>
        <v/>
      </c>
    </row>
    <row r="498">
      <c r="M498" s="34" t="s">
        <v>260</v>
      </c>
      <c r="N498" s="34" t="str">
        <f>IFERROR(__xludf.DUMMYFUNCTION("""COMPUTED_VALUE"""),"")</f>
        <v/>
      </c>
    </row>
    <row r="499">
      <c r="M499" s="34" t="s">
        <v>260</v>
      </c>
      <c r="N499" s="34" t="str">
        <f>IFERROR(__xludf.DUMMYFUNCTION("""COMPUTED_VALUE"""),"")</f>
        <v/>
      </c>
    </row>
    <row r="500">
      <c r="M500" s="34" t="s">
        <v>260</v>
      </c>
      <c r="N500" s="34" t="str">
        <f>IFERROR(__xludf.DUMMYFUNCTION("""COMPUTED_VALUE"""),"")</f>
        <v/>
      </c>
    </row>
    <row r="501">
      <c r="M501" s="34" t="s">
        <v>260</v>
      </c>
      <c r="N501" s="34" t="str">
        <f>IFERROR(__xludf.DUMMYFUNCTION("""COMPUTED_VALUE"""),"")</f>
        <v/>
      </c>
    </row>
    <row r="502">
      <c r="M502" s="34" t="s">
        <v>260</v>
      </c>
      <c r="N502" s="34" t="str">
        <f>IFERROR(__xludf.DUMMYFUNCTION("""COMPUTED_VALUE"""),"")</f>
        <v/>
      </c>
    </row>
    <row r="503">
      <c r="M503" s="34" t="s">
        <v>260</v>
      </c>
      <c r="N503" s="34" t="str">
        <f>IFERROR(__xludf.DUMMYFUNCTION("""COMPUTED_VALUE"""),"")</f>
        <v/>
      </c>
    </row>
    <row r="504">
      <c r="M504" s="34" t="s">
        <v>260</v>
      </c>
      <c r="N504" s="34" t="str">
        <f>IFERROR(__xludf.DUMMYFUNCTION("""COMPUTED_VALUE"""),"")</f>
        <v/>
      </c>
    </row>
    <row r="505">
      <c r="M505" s="34" t="s">
        <v>260</v>
      </c>
      <c r="N505" s="34" t="str">
        <f>IFERROR(__xludf.DUMMYFUNCTION("""COMPUTED_VALUE"""),"")</f>
        <v/>
      </c>
    </row>
    <row r="506">
      <c r="M506" s="34" t="s">
        <v>260</v>
      </c>
      <c r="N506" s="34" t="str">
        <f>IFERROR(__xludf.DUMMYFUNCTION("""COMPUTED_VALUE"""),"")</f>
        <v/>
      </c>
    </row>
    <row r="507">
      <c r="M507" s="34" t="s">
        <v>260</v>
      </c>
      <c r="N507" s="34" t="str">
        <f>IFERROR(__xludf.DUMMYFUNCTION("""COMPUTED_VALUE"""),"")</f>
        <v/>
      </c>
    </row>
    <row r="508">
      <c r="M508" s="34" t="s">
        <v>260</v>
      </c>
      <c r="N508" s="34" t="str">
        <f>IFERROR(__xludf.DUMMYFUNCTION("""COMPUTED_VALUE"""),"")</f>
        <v/>
      </c>
    </row>
    <row r="509">
      <c r="M509" s="34" t="s">
        <v>260</v>
      </c>
      <c r="N509" s="34" t="str">
        <f>IFERROR(__xludf.DUMMYFUNCTION("""COMPUTED_VALUE"""),"")</f>
        <v/>
      </c>
    </row>
    <row r="510">
      <c r="M510" s="34" t="s">
        <v>260</v>
      </c>
      <c r="N510" s="34" t="str">
        <f>IFERROR(__xludf.DUMMYFUNCTION("""COMPUTED_VALUE"""),"")</f>
        <v/>
      </c>
    </row>
    <row r="511">
      <c r="M511" s="34" t="s">
        <v>260</v>
      </c>
      <c r="N511" s="34" t="str">
        <f>IFERROR(__xludf.DUMMYFUNCTION("""COMPUTED_VALUE"""),"")</f>
        <v/>
      </c>
    </row>
    <row r="512">
      <c r="M512" s="34" t="s">
        <v>260</v>
      </c>
      <c r="N512" s="34" t="str">
        <f>IFERROR(__xludf.DUMMYFUNCTION("""COMPUTED_VALUE"""),"")</f>
        <v/>
      </c>
    </row>
    <row r="513">
      <c r="M513" s="34" t="s">
        <v>260</v>
      </c>
      <c r="N513" s="34" t="str">
        <f>IFERROR(__xludf.DUMMYFUNCTION("""COMPUTED_VALUE"""),"")</f>
        <v/>
      </c>
    </row>
    <row r="514">
      <c r="M514" s="34" t="s">
        <v>260</v>
      </c>
      <c r="N514" s="34" t="str">
        <f>IFERROR(__xludf.DUMMYFUNCTION("""COMPUTED_VALUE"""),"")</f>
        <v/>
      </c>
    </row>
    <row r="515">
      <c r="M515" s="34" t="s">
        <v>260</v>
      </c>
      <c r="N515" s="34" t="str">
        <f>IFERROR(__xludf.DUMMYFUNCTION("""COMPUTED_VALUE"""),"")</f>
        <v/>
      </c>
    </row>
    <row r="516">
      <c r="M516" s="34" t="s">
        <v>260</v>
      </c>
      <c r="N516" s="34" t="str">
        <f>IFERROR(__xludf.DUMMYFUNCTION("""COMPUTED_VALUE"""),"")</f>
        <v/>
      </c>
    </row>
    <row r="517">
      <c r="M517" s="34" t="s">
        <v>260</v>
      </c>
      <c r="N517" s="34" t="str">
        <f>IFERROR(__xludf.DUMMYFUNCTION("""COMPUTED_VALUE"""),"")</f>
        <v/>
      </c>
    </row>
    <row r="518">
      <c r="M518" s="34" t="s">
        <v>260</v>
      </c>
      <c r="N518" s="34" t="str">
        <f>IFERROR(__xludf.DUMMYFUNCTION("""COMPUTED_VALUE"""),"")</f>
        <v/>
      </c>
    </row>
    <row r="519">
      <c r="M519" s="34" t="s">
        <v>260</v>
      </c>
      <c r="N519" s="34" t="str">
        <f>IFERROR(__xludf.DUMMYFUNCTION("""COMPUTED_VALUE"""),"")</f>
        <v/>
      </c>
    </row>
    <row r="520">
      <c r="M520" s="34" t="s">
        <v>260</v>
      </c>
      <c r="N520" s="34" t="str">
        <f>IFERROR(__xludf.DUMMYFUNCTION("""COMPUTED_VALUE"""),"")</f>
        <v/>
      </c>
    </row>
    <row r="521">
      <c r="M521" s="34" t="s">
        <v>260</v>
      </c>
      <c r="N521" s="34" t="str">
        <f>IFERROR(__xludf.DUMMYFUNCTION("""COMPUTED_VALUE"""),"")</f>
        <v/>
      </c>
    </row>
    <row r="522">
      <c r="M522" s="34" t="s">
        <v>260</v>
      </c>
      <c r="N522" s="34" t="str">
        <f>IFERROR(__xludf.DUMMYFUNCTION("""COMPUTED_VALUE"""),"")</f>
        <v/>
      </c>
    </row>
    <row r="523">
      <c r="M523" s="34" t="s">
        <v>260</v>
      </c>
      <c r="N523" s="34" t="str">
        <f>IFERROR(__xludf.DUMMYFUNCTION("""COMPUTED_VALUE"""),"")</f>
        <v/>
      </c>
    </row>
    <row r="524">
      <c r="M524" s="34" t="s">
        <v>260</v>
      </c>
      <c r="N524" s="34" t="str">
        <f>IFERROR(__xludf.DUMMYFUNCTION("""COMPUTED_VALUE"""),"")</f>
        <v/>
      </c>
    </row>
    <row r="525">
      <c r="M525" s="34" t="s">
        <v>260</v>
      </c>
      <c r="N525" s="34" t="str">
        <f>IFERROR(__xludf.DUMMYFUNCTION("""COMPUTED_VALUE"""),"")</f>
        <v/>
      </c>
    </row>
    <row r="526">
      <c r="M526" s="34" t="s">
        <v>260</v>
      </c>
      <c r="N526" s="34" t="str">
        <f>IFERROR(__xludf.DUMMYFUNCTION("""COMPUTED_VALUE"""),"")</f>
        <v/>
      </c>
    </row>
    <row r="527">
      <c r="M527" s="34" t="s">
        <v>260</v>
      </c>
      <c r="N527" s="34" t="str">
        <f>IFERROR(__xludf.DUMMYFUNCTION("""COMPUTED_VALUE"""),"")</f>
        <v/>
      </c>
    </row>
    <row r="528">
      <c r="M528" s="34" t="s">
        <v>260</v>
      </c>
      <c r="N528" s="34" t="str">
        <f>IFERROR(__xludf.DUMMYFUNCTION("""COMPUTED_VALUE"""),"")</f>
        <v/>
      </c>
    </row>
    <row r="529">
      <c r="M529" s="34" t="s">
        <v>260</v>
      </c>
      <c r="N529" s="34" t="str">
        <f>IFERROR(__xludf.DUMMYFUNCTION("""COMPUTED_VALUE"""),"")</f>
        <v/>
      </c>
    </row>
    <row r="530">
      <c r="M530" s="34" t="s">
        <v>260</v>
      </c>
      <c r="N530" s="34" t="str">
        <f>IFERROR(__xludf.DUMMYFUNCTION("""COMPUTED_VALUE"""),"")</f>
        <v/>
      </c>
    </row>
    <row r="531">
      <c r="M531" s="34" t="s">
        <v>260</v>
      </c>
      <c r="N531" s="34" t="str">
        <f>IFERROR(__xludf.DUMMYFUNCTION("""COMPUTED_VALUE"""),"")</f>
        <v/>
      </c>
    </row>
    <row r="532">
      <c r="M532" s="34" t="s">
        <v>260</v>
      </c>
      <c r="N532" s="34" t="str">
        <f>IFERROR(__xludf.DUMMYFUNCTION("""COMPUTED_VALUE"""),"")</f>
        <v/>
      </c>
    </row>
    <row r="533">
      <c r="M533" s="34" t="s">
        <v>260</v>
      </c>
      <c r="N533" s="34" t="str">
        <f>IFERROR(__xludf.DUMMYFUNCTION("""COMPUTED_VALUE"""),"")</f>
        <v/>
      </c>
    </row>
    <row r="534">
      <c r="M534" s="34" t="s">
        <v>260</v>
      </c>
      <c r="N534" s="34" t="str">
        <f>IFERROR(__xludf.DUMMYFUNCTION("""COMPUTED_VALUE"""),"")</f>
        <v/>
      </c>
    </row>
    <row r="535">
      <c r="M535" s="34" t="s">
        <v>260</v>
      </c>
      <c r="N535" s="34" t="str">
        <f>IFERROR(__xludf.DUMMYFUNCTION("""COMPUTED_VALUE"""),"")</f>
        <v/>
      </c>
    </row>
    <row r="536">
      <c r="M536" s="34" t="s">
        <v>260</v>
      </c>
      <c r="N536" s="34" t="str">
        <f>IFERROR(__xludf.DUMMYFUNCTION("""COMPUTED_VALUE"""),"")</f>
        <v/>
      </c>
    </row>
    <row r="537">
      <c r="M537" s="34" t="s">
        <v>260</v>
      </c>
      <c r="N537" s="34" t="str">
        <f>IFERROR(__xludf.DUMMYFUNCTION("""COMPUTED_VALUE"""),"")</f>
        <v/>
      </c>
    </row>
    <row r="538">
      <c r="M538" s="34" t="s">
        <v>260</v>
      </c>
      <c r="N538" s="34" t="str">
        <f>IFERROR(__xludf.DUMMYFUNCTION("""COMPUTED_VALUE"""),"")</f>
        <v/>
      </c>
    </row>
    <row r="539">
      <c r="M539" s="34" t="s">
        <v>260</v>
      </c>
      <c r="N539" s="34" t="str">
        <f>IFERROR(__xludf.DUMMYFUNCTION("""COMPUTED_VALUE"""),"")</f>
        <v/>
      </c>
    </row>
    <row r="540">
      <c r="M540" s="34" t="s">
        <v>260</v>
      </c>
      <c r="N540" s="34" t="str">
        <f>IFERROR(__xludf.DUMMYFUNCTION("""COMPUTED_VALUE"""),"")</f>
        <v/>
      </c>
    </row>
    <row r="541">
      <c r="M541" s="34" t="s">
        <v>260</v>
      </c>
      <c r="N541" s="34" t="str">
        <f>IFERROR(__xludf.DUMMYFUNCTION("""COMPUTED_VALUE"""),"")</f>
        <v/>
      </c>
    </row>
    <row r="542">
      <c r="M542" s="34" t="s">
        <v>260</v>
      </c>
      <c r="N542" s="34" t="str">
        <f>IFERROR(__xludf.DUMMYFUNCTION("""COMPUTED_VALUE"""),"")</f>
        <v/>
      </c>
    </row>
    <row r="543">
      <c r="M543" s="34" t="s">
        <v>260</v>
      </c>
      <c r="N543" s="34" t="str">
        <f>IFERROR(__xludf.DUMMYFUNCTION("""COMPUTED_VALUE"""),"")</f>
        <v/>
      </c>
    </row>
    <row r="544">
      <c r="M544" s="34" t="s">
        <v>260</v>
      </c>
      <c r="N544" s="34" t="str">
        <f>IFERROR(__xludf.DUMMYFUNCTION("""COMPUTED_VALUE"""),"")</f>
        <v/>
      </c>
    </row>
    <row r="545">
      <c r="M545" s="34" t="s">
        <v>260</v>
      </c>
      <c r="N545" s="34" t="str">
        <f>IFERROR(__xludf.DUMMYFUNCTION("""COMPUTED_VALUE"""),"")</f>
        <v/>
      </c>
    </row>
    <row r="546">
      <c r="M546" s="34" t="s">
        <v>260</v>
      </c>
      <c r="N546" s="34" t="str">
        <f>IFERROR(__xludf.DUMMYFUNCTION("""COMPUTED_VALUE"""),"")</f>
        <v/>
      </c>
    </row>
    <row r="547">
      <c r="M547" s="34" t="s">
        <v>260</v>
      </c>
      <c r="N547" s="34" t="str">
        <f>IFERROR(__xludf.DUMMYFUNCTION("""COMPUTED_VALUE"""),"")</f>
        <v/>
      </c>
    </row>
    <row r="548">
      <c r="M548" s="34" t="s">
        <v>260</v>
      </c>
      <c r="N548" s="34" t="str">
        <f>IFERROR(__xludf.DUMMYFUNCTION("""COMPUTED_VALUE"""),"")</f>
        <v/>
      </c>
    </row>
    <row r="549">
      <c r="M549" s="34" t="s">
        <v>260</v>
      </c>
      <c r="N549" s="34" t="str">
        <f>IFERROR(__xludf.DUMMYFUNCTION("""COMPUTED_VALUE"""),"")</f>
        <v/>
      </c>
    </row>
    <row r="550">
      <c r="M550" s="34" t="s">
        <v>260</v>
      </c>
      <c r="N550" s="34" t="str">
        <f>IFERROR(__xludf.DUMMYFUNCTION("""COMPUTED_VALUE"""),"")</f>
        <v/>
      </c>
    </row>
    <row r="551">
      <c r="M551" s="34" t="s">
        <v>260</v>
      </c>
      <c r="N551" s="34" t="str">
        <f>IFERROR(__xludf.DUMMYFUNCTION("""COMPUTED_VALUE"""),"")</f>
        <v/>
      </c>
    </row>
    <row r="552">
      <c r="M552" s="34" t="s">
        <v>260</v>
      </c>
      <c r="N552" s="34" t="str">
        <f>IFERROR(__xludf.DUMMYFUNCTION("""COMPUTED_VALUE"""),"")</f>
        <v/>
      </c>
    </row>
    <row r="553">
      <c r="M553" s="34" t="s">
        <v>260</v>
      </c>
      <c r="N553" s="34" t="str">
        <f>IFERROR(__xludf.DUMMYFUNCTION("""COMPUTED_VALUE"""),"")</f>
        <v/>
      </c>
    </row>
    <row r="554">
      <c r="M554" s="34" t="s">
        <v>260</v>
      </c>
      <c r="N554" s="34" t="str">
        <f>IFERROR(__xludf.DUMMYFUNCTION("""COMPUTED_VALUE"""),"")</f>
        <v/>
      </c>
    </row>
    <row r="555">
      <c r="M555" s="34" t="s">
        <v>260</v>
      </c>
      <c r="N555" s="34" t="str">
        <f>IFERROR(__xludf.DUMMYFUNCTION("""COMPUTED_VALUE"""),"")</f>
        <v/>
      </c>
    </row>
    <row r="556">
      <c r="M556" s="34" t="s">
        <v>260</v>
      </c>
      <c r="N556" s="34" t="str">
        <f>IFERROR(__xludf.DUMMYFUNCTION("""COMPUTED_VALUE"""),"")</f>
        <v/>
      </c>
    </row>
    <row r="557">
      <c r="M557" s="34" t="s">
        <v>260</v>
      </c>
      <c r="N557" s="34" t="str">
        <f>IFERROR(__xludf.DUMMYFUNCTION("""COMPUTED_VALUE"""),"")</f>
        <v/>
      </c>
    </row>
    <row r="558">
      <c r="M558" s="34" t="s">
        <v>260</v>
      </c>
      <c r="N558" s="34" t="str">
        <f>IFERROR(__xludf.DUMMYFUNCTION("""COMPUTED_VALUE"""),"")</f>
        <v/>
      </c>
    </row>
    <row r="559">
      <c r="M559" s="34" t="s">
        <v>260</v>
      </c>
      <c r="N559" s="34" t="str">
        <f>IFERROR(__xludf.DUMMYFUNCTION("""COMPUTED_VALUE"""),"")</f>
        <v/>
      </c>
    </row>
    <row r="560">
      <c r="M560" s="34" t="s">
        <v>260</v>
      </c>
      <c r="N560" s="34" t="str">
        <f>IFERROR(__xludf.DUMMYFUNCTION("""COMPUTED_VALUE"""),"")</f>
        <v/>
      </c>
    </row>
    <row r="561">
      <c r="M561" s="34" t="s">
        <v>260</v>
      </c>
      <c r="N561" s="34" t="str">
        <f>IFERROR(__xludf.DUMMYFUNCTION("""COMPUTED_VALUE"""),"")</f>
        <v/>
      </c>
    </row>
    <row r="562">
      <c r="M562" s="34" t="s">
        <v>260</v>
      </c>
      <c r="N562" s="34" t="str">
        <f>IFERROR(__xludf.DUMMYFUNCTION("""COMPUTED_VALUE"""),"")</f>
        <v/>
      </c>
    </row>
    <row r="563">
      <c r="M563" s="34" t="s">
        <v>260</v>
      </c>
      <c r="N563" s="34" t="str">
        <f>IFERROR(__xludf.DUMMYFUNCTION("""COMPUTED_VALUE"""),"")</f>
        <v/>
      </c>
    </row>
    <row r="564">
      <c r="M564" s="34" t="s">
        <v>260</v>
      </c>
      <c r="N564" s="34" t="str">
        <f>IFERROR(__xludf.DUMMYFUNCTION("""COMPUTED_VALUE"""),"")</f>
        <v/>
      </c>
    </row>
    <row r="565">
      <c r="M565" s="34" t="s">
        <v>260</v>
      </c>
      <c r="N565" s="34" t="str">
        <f>IFERROR(__xludf.DUMMYFUNCTION("""COMPUTED_VALUE"""),"")</f>
        <v/>
      </c>
    </row>
    <row r="566">
      <c r="M566" s="34" t="s">
        <v>260</v>
      </c>
      <c r="N566" s="34" t="str">
        <f>IFERROR(__xludf.DUMMYFUNCTION("""COMPUTED_VALUE"""),"")</f>
        <v/>
      </c>
    </row>
    <row r="567">
      <c r="M567" s="34" t="s">
        <v>260</v>
      </c>
      <c r="N567" s="34" t="str">
        <f>IFERROR(__xludf.DUMMYFUNCTION("""COMPUTED_VALUE"""),"")</f>
        <v/>
      </c>
    </row>
    <row r="568">
      <c r="M568" s="34" t="s">
        <v>260</v>
      </c>
      <c r="N568" s="34" t="str">
        <f>IFERROR(__xludf.DUMMYFUNCTION("""COMPUTED_VALUE"""),"")</f>
        <v/>
      </c>
    </row>
    <row r="569">
      <c r="M569" s="34" t="s">
        <v>260</v>
      </c>
      <c r="N569" s="34" t="str">
        <f>IFERROR(__xludf.DUMMYFUNCTION("""COMPUTED_VALUE"""),"")</f>
        <v/>
      </c>
    </row>
    <row r="570">
      <c r="M570" s="34" t="s">
        <v>260</v>
      </c>
      <c r="N570" s="34" t="str">
        <f>IFERROR(__xludf.DUMMYFUNCTION("""COMPUTED_VALUE"""),"")</f>
        <v/>
      </c>
    </row>
    <row r="571">
      <c r="M571" s="34" t="s">
        <v>260</v>
      </c>
      <c r="N571" s="34" t="str">
        <f>IFERROR(__xludf.DUMMYFUNCTION("""COMPUTED_VALUE"""),"")</f>
        <v/>
      </c>
    </row>
    <row r="572">
      <c r="M572" s="34" t="s">
        <v>260</v>
      </c>
      <c r="N572" s="34" t="str">
        <f>IFERROR(__xludf.DUMMYFUNCTION("""COMPUTED_VALUE"""),"")</f>
        <v/>
      </c>
    </row>
    <row r="573">
      <c r="M573" s="34" t="s">
        <v>260</v>
      </c>
      <c r="N573" s="34" t="str">
        <f>IFERROR(__xludf.DUMMYFUNCTION("""COMPUTED_VALUE"""),"")</f>
        <v/>
      </c>
    </row>
    <row r="574">
      <c r="M574" s="34" t="s">
        <v>260</v>
      </c>
      <c r="N574" s="34" t="str">
        <f>IFERROR(__xludf.DUMMYFUNCTION("""COMPUTED_VALUE"""),"")</f>
        <v/>
      </c>
    </row>
    <row r="575">
      <c r="M575" s="34" t="s">
        <v>260</v>
      </c>
      <c r="N575" s="34" t="str">
        <f>IFERROR(__xludf.DUMMYFUNCTION("""COMPUTED_VALUE"""),"")</f>
        <v/>
      </c>
    </row>
    <row r="576">
      <c r="M576" s="34" t="s">
        <v>260</v>
      </c>
      <c r="N576" s="34" t="str">
        <f>IFERROR(__xludf.DUMMYFUNCTION("""COMPUTED_VALUE"""),"")</f>
        <v/>
      </c>
    </row>
    <row r="577">
      <c r="M577" s="34" t="s">
        <v>260</v>
      </c>
      <c r="N577" s="34" t="str">
        <f>IFERROR(__xludf.DUMMYFUNCTION("""COMPUTED_VALUE"""),"")</f>
        <v/>
      </c>
    </row>
    <row r="578">
      <c r="M578" s="34" t="s">
        <v>260</v>
      </c>
      <c r="N578" s="34" t="str">
        <f>IFERROR(__xludf.DUMMYFUNCTION("""COMPUTED_VALUE"""),"")</f>
        <v/>
      </c>
    </row>
    <row r="579">
      <c r="M579" s="34" t="s">
        <v>260</v>
      </c>
      <c r="N579" s="34" t="str">
        <f>IFERROR(__xludf.DUMMYFUNCTION("""COMPUTED_VALUE"""),"")</f>
        <v/>
      </c>
    </row>
    <row r="580">
      <c r="M580" s="34" t="s">
        <v>260</v>
      </c>
      <c r="N580" s="34" t="str">
        <f>IFERROR(__xludf.DUMMYFUNCTION("""COMPUTED_VALUE"""),"")</f>
        <v/>
      </c>
    </row>
    <row r="581">
      <c r="M581" s="34" t="s">
        <v>260</v>
      </c>
      <c r="N581" s="34" t="str">
        <f>IFERROR(__xludf.DUMMYFUNCTION("""COMPUTED_VALUE"""),"")</f>
        <v/>
      </c>
    </row>
    <row r="582">
      <c r="M582" s="34" t="s">
        <v>260</v>
      </c>
      <c r="N582" s="34" t="str">
        <f>IFERROR(__xludf.DUMMYFUNCTION("""COMPUTED_VALUE"""),"")</f>
        <v/>
      </c>
    </row>
    <row r="583">
      <c r="M583" s="34" t="s">
        <v>260</v>
      </c>
      <c r="N583" s="34" t="str">
        <f>IFERROR(__xludf.DUMMYFUNCTION("""COMPUTED_VALUE"""),"")</f>
        <v/>
      </c>
    </row>
    <row r="584">
      <c r="M584" s="34" t="s">
        <v>260</v>
      </c>
      <c r="N584" s="34" t="str">
        <f>IFERROR(__xludf.DUMMYFUNCTION("""COMPUTED_VALUE"""),"")</f>
        <v/>
      </c>
    </row>
    <row r="585">
      <c r="M585" s="34" t="s">
        <v>260</v>
      </c>
      <c r="N585" s="34" t="str">
        <f>IFERROR(__xludf.DUMMYFUNCTION("""COMPUTED_VALUE"""),"")</f>
        <v/>
      </c>
    </row>
    <row r="586">
      <c r="M586" s="34" t="s">
        <v>260</v>
      </c>
      <c r="N586" s="34" t="str">
        <f>IFERROR(__xludf.DUMMYFUNCTION("""COMPUTED_VALUE"""),"")</f>
        <v/>
      </c>
    </row>
    <row r="587">
      <c r="M587" s="34" t="s">
        <v>260</v>
      </c>
      <c r="N587" s="34" t="str">
        <f>IFERROR(__xludf.DUMMYFUNCTION("""COMPUTED_VALUE"""),"")</f>
        <v/>
      </c>
    </row>
    <row r="588">
      <c r="M588" s="34" t="s">
        <v>260</v>
      </c>
      <c r="N588" s="34" t="str">
        <f>IFERROR(__xludf.DUMMYFUNCTION("""COMPUTED_VALUE"""),"")</f>
        <v/>
      </c>
    </row>
    <row r="589">
      <c r="M589" s="34" t="s">
        <v>260</v>
      </c>
      <c r="N589" s="34" t="str">
        <f>IFERROR(__xludf.DUMMYFUNCTION("""COMPUTED_VALUE"""),"")</f>
        <v/>
      </c>
    </row>
    <row r="590">
      <c r="M590" s="34" t="s">
        <v>260</v>
      </c>
      <c r="N590" s="34" t="str">
        <f>IFERROR(__xludf.DUMMYFUNCTION("""COMPUTED_VALUE"""),"")</f>
        <v/>
      </c>
    </row>
    <row r="591">
      <c r="M591" s="34" t="s">
        <v>260</v>
      </c>
      <c r="N591" s="34" t="str">
        <f>IFERROR(__xludf.DUMMYFUNCTION("""COMPUTED_VALUE"""),"")</f>
        <v/>
      </c>
    </row>
    <row r="592">
      <c r="M592" s="34" t="s">
        <v>260</v>
      </c>
      <c r="N592" s="34" t="str">
        <f>IFERROR(__xludf.DUMMYFUNCTION("""COMPUTED_VALUE"""),"")</f>
        <v/>
      </c>
    </row>
    <row r="593">
      <c r="M593" s="34" t="s">
        <v>260</v>
      </c>
      <c r="N593" s="34" t="str">
        <f>IFERROR(__xludf.DUMMYFUNCTION("""COMPUTED_VALUE"""),"")</f>
        <v/>
      </c>
    </row>
    <row r="594">
      <c r="M594" s="34" t="s">
        <v>260</v>
      </c>
      <c r="N594" s="34" t="str">
        <f>IFERROR(__xludf.DUMMYFUNCTION("""COMPUTED_VALUE"""),"")</f>
        <v/>
      </c>
    </row>
    <row r="595">
      <c r="M595" s="34" t="s">
        <v>260</v>
      </c>
      <c r="N595" s="34" t="str">
        <f>IFERROR(__xludf.DUMMYFUNCTION("""COMPUTED_VALUE"""),"")</f>
        <v/>
      </c>
    </row>
    <row r="596">
      <c r="M596" s="34" t="s">
        <v>260</v>
      </c>
      <c r="N596" s="34" t="str">
        <f>IFERROR(__xludf.DUMMYFUNCTION("""COMPUTED_VALUE"""),"")</f>
        <v/>
      </c>
    </row>
    <row r="597">
      <c r="M597" s="34" t="s">
        <v>260</v>
      </c>
      <c r="N597" s="34" t="str">
        <f>IFERROR(__xludf.DUMMYFUNCTION("""COMPUTED_VALUE"""),"")</f>
        <v/>
      </c>
    </row>
    <row r="598">
      <c r="M598" s="34" t="s">
        <v>260</v>
      </c>
      <c r="N598" s="34" t="str">
        <f>IFERROR(__xludf.DUMMYFUNCTION("""COMPUTED_VALUE"""),"")</f>
        <v/>
      </c>
    </row>
    <row r="599">
      <c r="M599" s="34" t="s">
        <v>260</v>
      </c>
      <c r="N599" s="34" t="str">
        <f>IFERROR(__xludf.DUMMYFUNCTION("""COMPUTED_VALUE"""),"")</f>
        <v/>
      </c>
    </row>
    <row r="600">
      <c r="M600" s="34" t="s">
        <v>260</v>
      </c>
      <c r="N600" s="34" t="str">
        <f>IFERROR(__xludf.DUMMYFUNCTION("""COMPUTED_VALUE"""),"")</f>
        <v/>
      </c>
    </row>
    <row r="601">
      <c r="M601" s="34" t="s">
        <v>260</v>
      </c>
      <c r="N601" s="34" t="str">
        <f>IFERROR(__xludf.DUMMYFUNCTION("""COMPUTED_VALUE"""),"")</f>
        <v/>
      </c>
    </row>
    <row r="602">
      <c r="M602" s="34" t="s">
        <v>260</v>
      </c>
      <c r="N602" s="34" t="str">
        <f>IFERROR(__xludf.DUMMYFUNCTION("""COMPUTED_VALUE"""),"")</f>
        <v/>
      </c>
    </row>
    <row r="603">
      <c r="M603" s="34" t="s">
        <v>260</v>
      </c>
      <c r="N603" s="34" t="str">
        <f>IFERROR(__xludf.DUMMYFUNCTION("""COMPUTED_VALUE"""),"")</f>
        <v/>
      </c>
    </row>
    <row r="604">
      <c r="M604" s="34" t="s">
        <v>260</v>
      </c>
      <c r="N604" s="34" t="str">
        <f>IFERROR(__xludf.DUMMYFUNCTION("""COMPUTED_VALUE"""),"")</f>
        <v/>
      </c>
    </row>
    <row r="605">
      <c r="M605" s="34" t="s">
        <v>260</v>
      </c>
      <c r="N605" s="34" t="str">
        <f>IFERROR(__xludf.DUMMYFUNCTION("""COMPUTED_VALUE"""),"")</f>
        <v/>
      </c>
    </row>
    <row r="606">
      <c r="M606" s="34" t="s">
        <v>260</v>
      </c>
      <c r="N606" s="34" t="str">
        <f>IFERROR(__xludf.DUMMYFUNCTION("""COMPUTED_VALUE"""),"")</f>
        <v/>
      </c>
    </row>
    <row r="607">
      <c r="M607" s="34" t="s">
        <v>260</v>
      </c>
      <c r="N607" s="34" t="str">
        <f>IFERROR(__xludf.DUMMYFUNCTION("""COMPUTED_VALUE"""),"")</f>
        <v/>
      </c>
    </row>
    <row r="608">
      <c r="M608" s="34" t="s">
        <v>260</v>
      </c>
      <c r="N608" s="34" t="str">
        <f>IFERROR(__xludf.DUMMYFUNCTION("""COMPUTED_VALUE"""),"")</f>
        <v/>
      </c>
    </row>
    <row r="609">
      <c r="M609" s="34" t="s">
        <v>260</v>
      </c>
      <c r="N609" s="34" t="str">
        <f>IFERROR(__xludf.DUMMYFUNCTION("""COMPUTED_VALUE"""),"")</f>
        <v/>
      </c>
    </row>
    <row r="610">
      <c r="M610" s="34" t="s">
        <v>260</v>
      </c>
      <c r="N610" s="34" t="str">
        <f>IFERROR(__xludf.DUMMYFUNCTION("""COMPUTED_VALUE"""),"")</f>
        <v/>
      </c>
    </row>
    <row r="611">
      <c r="M611" s="34" t="s">
        <v>260</v>
      </c>
      <c r="N611" s="34" t="str">
        <f>IFERROR(__xludf.DUMMYFUNCTION("""COMPUTED_VALUE"""),"")</f>
        <v/>
      </c>
    </row>
    <row r="612">
      <c r="M612" s="34" t="s">
        <v>260</v>
      </c>
      <c r="N612" s="34" t="str">
        <f>IFERROR(__xludf.DUMMYFUNCTION("""COMPUTED_VALUE"""),"")</f>
        <v/>
      </c>
    </row>
    <row r="613">
      <c r="M613" s="34" t="s">
        <v>260</v>
      </c>
      <c r="N613" s="34" t="str">
        <f>IFERROR(__xludf.DUMMYFUNCTION("""COMPUTED_VALUE"""),"")</f>
        <v/>
      </c>
    </row>
    <row r="614">
      <c r="M614" s="34" t="s">
        <v>260</v>
      </c>
      <c r="N614" s="34" t="str">
        <f>IFERROR(__xludf.DUMMYFUNCTION("""COMPUTED_VALUE"""),"")</f>
        <v/>
      </c>
    </row>
    <row r="615">
      <c r="M615" s="34" t="s">
        <v>260</v>
      </c>
      <c r="N615" s="34" t="str">
        <f>IFERROR(__xludf.DUMMYFUNCTION("""COMPUTED_VALUE"""),"")</f>
        <v/>
      </c>
    </row>
    <row r="616">
      <c r="M616" s="34" t="s">
        <v>260</v>
      </c>
      <c r="N616" s="34" t="str">
        <f>IFERROR(__xludf.DUMMYFUNCTION("""COMPUTED_VALUE"""),"")</f>
        <v/>
      </c>
    </row>
    <row r="617">
      <c r="M617" s="34" t="s">
        <v>260</v>
      </c>
      <c r="N617" s="34" t="str">
        <f>IFERROR(__xludf.DUMMYFUNCTION("""COMPUTED_VALUE"""),"")</f>
        <v/>
      </c>
    </row>
    <row r="618">
      <c r="M618" s="34" t="s">
        <v>260</v>
      </c>
      <c r="N618" s="34" t="str">
        <f>IFERROR(__xludf.DUMMYFUNCTION("""COMPUTED_VALUE"""),"")</f>
        <v/>
      </c>
    </row>
    <row r="619">
      <c r="M619" s="34" t="s">
        <v>260</v>
      </c>
      <c r="N619" s="34" t="str">
        <f>IFERROR(__xludf.DUMMYFUNCTION("""COMPUTED_VALUE"""),"")</f>
        <v/>
      </c>
    </row>
    <row r="620">
      <c r="M620" s="34" t="s">
        <v>260</v>
      </c>
      <c r="N620" s="34" t="str">
        <f>IFERROR(__xludf.DUMMYFUNCTION("""COMPUTED_VALUE"""),"")</f>
        <v/>
      </c>
    </row>
    <row r="621">
      <c r="M621" s="34" t="s">
        <v>260</v>
      </c>
      <c r="N621" s="34" t="str">
        <f>IFERROR(__xludf.DUMMYFUNCTION("""COMPUTED_VALUE"""),"")</f>
        <v/>
      </c>
    </row>
    <row r="622">
      <c r="M622" s="34" t="s">
        <v>260</v>
      </c>
      <c r="N622" s="34" t="str">
        <f>IFERROR(__xludf.DUMMYFUNCTION("""COMPUTED_VALUE"""),"")</f>
        <v/>
      </c>
    </row>
    <row r="623">
      <c r="M623" s="34" t="s">
        <v>260</v>
      </c>
      <c r="N623" s="34" t="str">
        <f>IFERROR(__xludf.DUMMYFUNCTION("""COMPUTED_VALUE"""),"")</f>
        <v/>
      </c>
    </row>
    <row r="624">
      <c r="M624" s="34" t="s">
        <v>260</v>
      </c>
      <c r="N624" s="34" t="str">
        <f>IFERROR(__xludf.DUMMYFUNCTION("""COMPUTED_VALUE"""),"")</f>
        <v/>
      </c>
    </row>
    <row r="625">
      <c r="M625" s="34" t="s">
        <v>260</v>
      </c>
      <c r="N625" s="34" t="str">
        <f>IFERROR(__xludf.DUMMYFUNCTION("""COMPUTED_VALUE"""),"")</f>
        <v/>
      </c>
    </row>
    <row r="626">
      <c r="M626" s="34" t="s">
        <v>260</v>
      </c>
      <c r="N626" s="34" t="str">
        <f>IFERROR(__xludf.DUMMYFUNCTION("""COMPUTED_VALUE"""),"")</f>
        <v/>
      </c>
    </row>
    <row r="627">
      <c r="M627" s="34" t="s">
        <v>260</v>
      </c>
      <c r="N627" s="34" t="str">
        <f>IFERROR(__xludf.DUMMYFUNCTION("""COMPUTED_VALUE"""),"")</f>
        <v/>
      </c>
    </row>
    <row r="628">
      <c r="M628" s="34" t="s">
        <v>260</v>
      </c>
      <c r="N628" s="34" t="str">
        <f>IFERROR(__xludf.DUMMYFUNCTION("""COMPUTED_VALUE"""),"")</f>
        <v/>
      </c>
    </row>
    <row r="629">
      <c r="M629" s="34" t="s">
        <v>260</v>
      </c>
      <c r="N629" s="34" t="str">
        <f>IFERROR(__xludf.DUMMYFUNCTION("""COMPUTED_VALUE"""),"")</f>
        <v/>
      </c>
    </row>
    <row r="630">
      <c r="M630" s="34" t="s">
        <v>260</v>
      </c>
      <c r="N630" s="34" t="str">
        <f>IFERROR(__xludf.DUMMYFUNCTION("""COMPUTED_VALUE"""),"")</f>
        <v/>
      </c>
    </row>
    <row r="631">
      <c r="M631" s="34" t="s">
        <v>260</v>
      </c>
      <c r="N631" s="34" t="str">
        <f>IFERROR(__xludf.DUMMYFUNCTION("""COMPUTED_VALUE"""),"")</f>
        <v/>
      </c>
    </row>
    <row r="632">
      <c r="M632" s="34" t="s">
        <v>260</v>
      </c>
      <c r="N632" s="34" t="str">
        <f>IFERROR(__xludf.DUMMYFUNCTION("""COMPUTED_VALUE"""),"")</f>
        <v/>
      </c>
    </row>
    <row r="633">
      <c r="M633" s="34" t="s">
        <v>260</v>
      </c>
      <c r="N633" s="34" t="str">
        <f>IFERROR(__xludf.DUMMYFUNCTION("""COMPUTED_VALUE"""),"")</f>
        <v/>
      </c>
    </row>
    <row r="634">
      <c r="M634" s="34" t="s">
        <v>260</v>
      </c>
      <c r="N634" s="34" t="str">
        <f>IFERROR(__xludf.DUMMYFUNCTION("""COMPUTED_VALUE"""),"")</f>
        <v/>
      </c>
    </row>
    <row r="635">
      <c r="M635" s="34" t="s">
        <v>260</v>
      </c>
      <c r="N635" s="34" t="str">
        <f>IFERROR(__xludf.DUMMYFUNCTION("""COMPUTED_VALUE"""),"")</f>
        <v/>
      </c>
    </row>
    <row r="636">
      <c r="M636" s="34" t="s">
        <v>260</v>
      </c>
      <c r="N636" s="34" t="str">
        <f>IFERROR(__xludf.DUMMYFUNCTION("""COMPUTED_VALUE"""),"")</f>
        <v/>
      </c>
    </row>
    <row r="637">
      <c r="M637" s="34" t="s">
        <v>260</v>
      </c>
      <c r="N637" s="34" t="str">
        <f>IFERROR(__xludf.DUMMYFUNCTION("""COMPUTED_VALUE"""),"")</f>
        <v/>
      </c>
    </row>
    <row r="638">
      <c r="M638" s="34" t="s">
        <v>260</v>
      </c>
      <c r="N638" s="34" t="str">
        <f>IFERROR(__xludf.DUMMYFUNCTION("""COMPUTED_VALUE"""),"")</f>
        <v/>
      </c>
    </row>
    <row r="639">
      <c r="M639" s="34" t="s">
        <v>260</v>
      </c>
      <c r="N639" s="34" t="str">
        <f>IFERROR(__xludf.DUMMYFUNCTION("""COMPUTED_VALUE"""),"")</f>
        <v/>
      </c>
    </row>
    <row r="640">
      <c r="M640" s="34" t="s">
        <v>260</v>
      </c>
      <c r="N640" s="34" t="str">
        <f>IFERROR(__xludf.DUMMYFUNCTION("""COMPUTED_VALUE"""),"")</f>
        <v/>
      </c>
    </row>
    <row r="641">
      <c r="M641" s="34" t="s">
        <v>260</v>
      </c>
      <c r="N641" s="34" t="str">
        <f>IFERROR(__xludf.DUMMYFUNCTION("""COMPUTED_VALUE"""),"")</f>
        <v/>
      </c>
    </row>
    <row r="642">
      <c r="M642" s="34" t="s">
        <v>260</v>
      </c>
      <c r="N642" s="34" t="str">
        <f>IFERROR(__xludf.DUMMYFUNCTION("""COMPUTED_VALUE"""),"")</f>
        <v/>
      </c>
    </row>
    <row r="643">
      <c r="M643" s="34" t="s">
        <v>260</v>
      </c>
      <c r="N643" s="34" t="str">
        <f>IFERROR(__xludf.DUMMYFUNCTION("""COMPUTED_VALUE"""),"")</f>
        <v/>
      </c>
    </row>
    <row r="644">
      <c r="M644" s="34" t="s">
        <v>260</v>
      </c>
      <c r="N644" s="34" t="str">
        <f>IFERROR(__xludf.DUMMYFUNCTION("""COMPUTED_VALUE"""),"")</f>
        <v/>
      </c>
    </row>
    <row r="645">
      <c r="M645" s="34" t="s">
        <v>260</v>
      </c>
      <c r="N645" s="34" t="str">
        <f>IFERROR(__xludf.DUMMYFUNCTION("""COMPUTED_VALUE"""),"")</f>
        <v/>
      </c>
    </row>
    <row r="646">
      <c r="M646" s="34" t="s">
        <v>260</v>
      </c>
      <c r="N646" s="34" t="str">
        <f>IFERROR(__xludf.DUMMYFUNCTION("""COMPUTED_VALUE"""),"")</f>
        <v/>
      </c>
    </row>
    <row r="647">
      <c r="M647" s="34" t="s">
        <v>260</v>
      </c>
      <c r="N647" s="34" t="str">
        <f>IFERROR(__xludf.DUMMYFUNCTION("""COMPUTED_VALUE"""),"")</f>
        <v/>
      </c>
    </row>
    <row r="648">
      <c r="M648" s="34" t="s">
        <v>260</v>
      </c>
      <c r="N648" s="34" t="str">
        <f>IFERROR(__xludf.DUMMYFUNCTION("""COMPUTED_VALUE"""),"")</f>
        <v/>
      </c>
    </row>
    <row r="649">
      <c r="M649" s="34" t="s">
        <v>260</v>
      </c>
      <c r="N649" s="34" t="str">
        <f>IFERROR(__xludf.DUMMYFUNCTION("""COMPUTED_VALUE"""),"")</f>
        <v/>
      </c>
    </row>
    <row r="650">
      <c r="M650" s="34" t="s">
        <v>260</v>
      </c>
      <c r="N650" s="34" t="str">
        <f>IFERROR(__xludf.DUMMYFUNCTION("""COMPUTED_VALUE"""),"")</f>
        <v/>
      </c>
    </row>
    <row r="651">
      <c r="M651" s="34" t="s">
        <v>260</v>
      </c>
      <c r="N651" s="34" t="str">
        <f>IFERROR(__xludf.DUMMYFUNCTION("""COMPUTED_VALUE"""),"")</f>
        <v/>
      </c>
    </row>
    <row r="652">
      <c r="M652" s="34" t="s">
        <v>260</v>
      </c>
      <c r="N652" s="34" t="str">
        <f>IFERROR(__xludf.DUMMYFUNCTION("""COMPUTED_VALUE"""),"")</f>
        <v/>
      </c>
    </row>
    <row r="653">
      <c r="M653" s="34" t="s">
        <v>260</v>
      </c>
      <c r="N653" s="34" t="str">
        <f>IFERROR(__xludf.DUMMYFUNCTION("""COMPUTED_VALUE"""),"")</f>
        <v/>
      </c>
    </row>
    <row r="654">
      <c r="M654" s="34" t="s">
        <v>260</v>
      </c>
      <c r="N654" s="34" t="str">
        <f>IFERROR(__xludf.DUMMYFUNCTION("""COMPUTED_VALUE"""),"")</f>
        <v/>
      </c>
    </row>
    <row r="655">
      <c r="M655" s="34" t="s">
        <v>260</v>
      </c>
      <c r="N655" s="34" t="str">
        <f>IFERROR(__xludf.DUMMYFUNCTION("""COMPUTED_VALUE"""),"")</f>
        <v/>
      </c>
    </row>
    <row r="656">
      <c r="M656" s="34" t="s">
        <v>260</v>
      </c>
      <c r="N656" s="34" t="str">
        <f>IFERROR(__xludf.DUMMYFUNCTION("""COMPUTED_VALUE"""),"")</f>
        <v/>
      </c>
    </row>
    <row r="657">
      <c r="M657" s="34" t="s">
        <v>260</v>
      </c>
      <c r="N657" s="34" t="str">
        <f>IFERROR(__xludf.DUMMYFUNCTION("""COMPUTED_VALUE"""),"")</f>
        <v/>
      </c>
    </row>
    <row r="658">
      <c r="M658" s="34" t="s">
        <v>260</v>
      </c>
      <c r="N658" s="34" t="str">
        <f>IFERROR(__xludf.DUMMYFUNCTION("""COMPUTED_VALUE"""),"")</f>
        <v/>
      </c>
    </row>
    <row r="659">
      <c r="M659" s="34" t="s">
        <v>260</v>
      </c>
      <c r="N659" s="34" t="str">
        <f>IFERROR(__xludf.DUMMYFUNCTION("""COMPUTED_VALUE"""),"")</f>
        <v/>
      </c>
    </row>
    <row r="660">
      <c r="M660" s="34" t="s">
        <v>260</v>
      </c>
      <c r="N660" s="34" t="str">
        <f>IFERROR(__xludf.DUMMYFUNCTION("""COMPUTED_VALUE"""),"")</f>
        <v/>
      </c>
    </row>
    <row r="661">
      <c r="M661" s="34" t="s">
        <v>260</v>
      </c>
      <c r="N661" s="34" t="str">
        <f>IFERROR(__xludf.DUMMYFUNCTION("""COMPUTED_VALUE"""),"")</f>
        <v/>
      </c>
    </row>
    <row r="662">
      <c r="M662" s="34" t="s">
        <v>260</v>
      </c>
      <c r="N662" s="34" t="str">
        <f>IFERROR(__xludf.DUMMYFUNCTION("""COMPUTED_VALUE"""),"")</f>
        <v/>
      </c>
    </row>
    <row r="663">
      <c r="M663" s="34" t="s">
        <v>260</v>
      </c>
      <c r="N663" s="34" t="str">
        <f>IFERROR(__xludf.DUMMYFUNCTION("""COMPUTED_VALUE"""),"")</f>
        <v/>
      </c>
    </row>
    <row r="664">
      <c r="M664" s="34" t="s">
        <v>260</v>
      </c>
      <c r="N664" s="34" t="str">
        <f>IFERROR(__xludf.DUMMYFUNCTION("""COMPUTED_VALUE"""),"")</f>
        <v/>
      </c>
    </row>
    <row r="665">
      <c r="M665" s="34" t="s">
        <v>260</v>
      </c>
      <c r="N665" s="34" t="str">
        <f>IFERROR(__xludf.DUMMYFUNCTION("""COMPUTED_VALUE"""),"")</f>
        <v/>
      </c>
    </row>
    <row r="666">
      <c r="M666" s="34" t="s">
        <v>260</v>
      </c>
      <c r="N666" s="34" t="str">
        <f>IFERROR(__xludf.DUMMYFUNCTION("""COMPUTED_VALUE"""),"")</f>
        <v/>
      </c>
    </row>
    <row r="667">
      <c r="M667" s="34" t="s">
        <v>260</v>
      </c>
      <c r="N667" s="34" t="str">
        <f>IFERROR(__xludf.DUMMYFUNCTION("""COMPUTED_VALUE"""),"")</f>
        <v/>
      </c>
    </row>
    <row r="668">
      <c r="M668" s="34" t="s">
        <v>260</v>
      </c>
      <c r="N668" s="34" t="str">
        <f>IFERROR(__xludf.DUMMYFUNCTION("""COMPUTED_VALUE"""),"")</f>
        <v/>
      </c>
    </row>
    <row r="669">
      <c r="M669" s="34" t="s">
        <v>260</v>
      </c>
      <c r="N669" s="34" t="str">
        <f>IFERROR(__xludf.DUMMYFUNCTION("""COMPUTED_VALUE"""),"")</f>
        <v/>
      </c>
    </row>
    <row r="670">
      <c r="M670" s="34" t="s">
        <v>260</v>
      </c>
      <c r="N670" s="34" t="str">
        <f>IFERROR(__xludf.DUMMYFUNCTION("""COMPUTED_VALUE"""),"")</f>
        <v/>
      </c>
    </row>
    <row r="671">
      <c r="M671" s="34" t="s">
        <v>260</v>
      </c>
      <c r="N671" s="34" t="str">
        <f>IFERROR(__xludf.DUMMYFUNCTION("""COMPUTED_VALUE"""),"")</f>
        <v/>
      </c>
    </row>
    <row r="672">
      <c r="M672" s="34" t="s">
        <v>260</v>
      </c>
      <c r="N672" s="34" t="str">
        <f>IFERROR(__xludf.DUMMYFUNCTION("""COMPUTED_VALUE"""),"")</f>
        <v/>
      </c>
    </row>
    <row r="673">
      <c r="M673" s="34" t="s">
        <v>260</v>
      </c>
      <c r="N673" s="34" t="str">
        <f>IFERROR(__xludf.DUMMYFUNCTION("""COMPUTED_VALUE"""),"")</f>
        <v/>
      </c>
    </row>
    <row r="674">
      <c r="M674" s="34" t="s">
        <v>260</v>
      </c>
      <c r="N674" s="34" t="str">
        <f>IFERROR(__xludf.DUMMYFUNCTION("""COMPUTED_VALUE"""),"")</f>
        <v/>
      </c>
    </row>
    <row r="675">
      <c r="M675" s="34" t="s">
        <v>260</v>
      </c>
      <c r="N675" s="34" t="str">
        <f>IFERROR(__xludf.DUMMYFUNCTION("""COMPUTED_VALUE"""),"")</f>
        <v/>
      </c>
    </row>
    <row r="676">
      <c r="M676" s="34" t="s">
        <v>260</v>
      </c>
      <c r="N676" s="34" t="str">
        <f>IFERROR(__xludf.DUMMYFUNCTION("""COMPUTED_VALUE"""),"")</f>
        <v/>
      </c>
    </row>
    <row r="677">
      <c r="M677" s="34" t="s">
        <v>260</v>
      </c>
      <c r="N677" s="34" t="str">
        <f>IFERROR(__xludf.DUMMYFUNCTION("""COMPUTED_VALUE"""),"")</f>
        <v/>
      </c>
    </row>
    <row r="678">
      <c r="M678" s="34" t="s">
        <v>260</v>
      </c>
      <c r="N678" s="34" t="str">
        <f>IFERROR(__xludf.DUMMYFUNCTION("""COMPUTED_VALUE"""),"")</f>
        <v/>
      </c>
    </row>
    <row r="679">
      <c r="M679" s="34" t="s">
        <v>260</v>
      </c>
      <c r="N679" s="34" t="str">
        <f>IFERROR(__xludf.DUMMYFUNCTION("""COMPUTED_VALUE"""),"")</f>
        <v/>
      </c>
    </row>
    <row r="680">
      <c r="M680" s="34" t="s">
        <v>260</v>
      </c>
      <c r="N680" s="34" t="str">
        <f>IFERROR(__xludf.DUMMYFUNCTION("""COMPUTED_VALUE"""),"")</f>
        <v/>
      </c>
    </row>
    <row r="681">
      <c r="M681" s="34" t="s">
        <v>260</v>
      </c>
      <c r="N681" s="34" t="str">
        <f>IFERROR(__xludf.DUMMYFUNCTION("""COMPUTED_VALUE"""),"")</f>
        <v/>
      </c>
    </row>
    <row r="682">
      <c r="M682" s="34" t="s">
        <v>260</v>
      </c>
      <c r="N682" s="34" t="str">
        <f>IFERROR(__xludf.DUMMYFUNCTION("""COMPUTED_VALUE"""),"")</f>
        <v/>
      </c>
    </row>
    <row r="683">
      <c r="M683" s="34" t="s">
        <v>260</v>
      </c>
      <c r="N683" s="34" t="str">
        <f>IFERROR(__xludf.DUMMYFUNCTION("""COMPUTED_VALUE"""),"")</f>
        <v/>
      </c>
    </row>
    <row r="684">
      <c r="M684" s="34" t="s">
        <v>260</v>
      </c>
      <c r="N684" s="34" t="str">
        <f>IFERROR(__xludf.DUMMYFUNCTION("""COMPUTED_VALUE"""),"")</f>
        <v/>
      </c>
    </row>
    <row r="685">
      <c r="M685" s="34" t="s">
        <v>260</v>
      </c>
      <c r="N685" s="34" t="str">
        <f>IFERROR(__xludf.DUMMYFUNCTION("""COMPUTED_VALUE"""),"")</f>
        <v/>
      </c>
    </row>
    <row r="686">
      <c r="M686" s="34" t="s">
        <v>260</v>
      </c>
      <c r="N686" s="34" t="str">
        <f>IFERROR(__xludf.DUMMYFUNCTION("""COMPUTED_VALUE"""),"")</f>
        <v/>
      </c>
    </row>
    <row r="687">
      <c r="M687" s="34" t="s">
        <v>260</v>
      </c>
      <c r="N687" s="34" t="str">
        <f>IFERROR(__xludf.DUMMYFUNCTION("""COMPUTED_VALUE"""),"")</f>
        <v/>
      </c>
    </row>
    <row r="688">
      <c r="M688" s="34" t="s">
        <v>260</v>
      </c>
      <c r="N688" s="34" t="str">
        <f>IFERROR(__xludf.DUMMYFUNCTION("""COMPUTED_VALUE"""),"")</f>
        <v/>
      </c>
    </row>
    <row r="689">
      <c r="M689" s="34" t="s">
        <v>260</v>
      </c>
      <c r="N689" s="34" t="str">
        <f>IFERROR(__xludf.DUMMYFUNCTION("""COMPUTED_VALUE"""),"")</f>
        <v/>
      </c>
    </row>
    <row r="690">
      <c r="M690" s="34" t="s">
        <v>260</v>
      </c>
      <c r="N690" s="34" t="str">
        <f>IFERROR(__xludf.DUMMYFUNCTION("""COMPUTED_VALUE"""),"")</f>
        <v/>
      </c>
    </row>
    <row r="691">
      <c r="M691" s="34" t="s">
        <v>260</v>
      </c>
      <c r="N691" s="34" t="str">
        <f>IFERROR(__xludf.DUMMYFUNCTION("""COMPUTED_VALUE"""),"")</f>
        <v/>
      </c>
    </row>
    <row r="692">
      <c r="M692" s="34" t="s">
        <v>260</v>
      </c>
      <c r="N692" s="34" t="str">
        <f>IFERROR(__xludf.DUMMYFUNCTION("""COMPUTED_VALUE"""),"")</f>
        <v/>
      </c>
    </row>
    <row r="693">
      <c r="M693" s="34" t="s">
        <v>260</v>
      </c>
      <c r="N693" s="34" t="str">
        <f>IFERROR(__xludf.DUMMYFUNCTION("""COMPUTED_VALUE"""),"")</f>
        <v/>
      </c>
    </row>
    <row r="694">
      <c r="M694" s="34" t="s">
        <v>260</v>
      </c>
      <c r="N694" s="34" t="str">
        <f>IFERROR(__xludf.DUMMYFUNCTION("""COMPUTED_VALUE"""),"")</f>
        <v/>
      </c>
    </row>
    <row r="695">
      <c r="M695" s="34" t="s">
        <v>260</v>
      </c>
      <c r="N695" s="34" t="str">
        <f>IFERROR(__xludf.DUMMYFUNCTION("""COMPUTED_VALUE"""),"")</f>
        <v/>
      </c>
    </row>
    <row r="696">
      <c r="M696" s="34" t="s">
        <v>260</v>
      </c>
      <c r="N696" s="34" t="str">
        <f>IFERROR(__xludf.DUMMYFUNCTION("""COMPUTED_VALUE"""),"")</f>
        <v/>
      </c>
    </row>
    <row r="697">
      <c r="M697" s="34" t="s">
        <v>260</v>
      </c>
      <c r="N697" s="34" t="str">
        <f>IFERROR(__xludf.DUMMYFUNCTION("""COMPUTED_VALUE"""),"")</f>
        <v/>
      </c>
    </row>
    <row r="698">
      <c r="M698" s="34" t="s">
        <v>260</v>
      </c>
      <c r="N698" s="34" t="str">
        <f>IFERROR(__xludf.DUMMYFUNCTION("""COMPUTED_VALUE"""),"")</f>
        <v/>
      </c>
    </row>
    <row r="699">
      <c r="M699" s="34" t="s">
        <v>260</v>
      </c>
      <c r="N699" s="34" t="str">
        <f>IFERROR(__xludf.DUMMYFUNCTION("""COMPUTED_VALUE"""),"")</f>
        <v/>
      </c>
    </row>
    <row r="700">
      <c r="M700" s="34" t="s">
        <v>260</v>
      </c>
      <c r="N700" s="34" t="str">
        <f>IFERROR(__xludf.DUMMYFUNCTION("""COMPUTED_VALUE"""),"")</f>
        <v/>
      </c>
    </row>
    <row r="701">
      <c r="M701" s="34" t="s">
        <v>260</v>
      </c>
      <c r="N701" s="34" t="str">
        <f>IFERROR(__xludf.DUMMYFUNCTION("""COMPUTED_VALUE"""),"")</f>
        <v/>
      </c>
    </row>
    <row r="702">
      <c r="M702" s="34" t="s">
        <v>260</v>
      </c>
      <c r="N702" s="34" t="str">
        <f>IFERROR(__xludf.DUMMYFUNCTION("""COMPUTED_VALUE"""),"")</f>
        <v/>
      </c>
    </row>
    <row r="703">
      <c r="M703" s="34" t="s">
        <v>260</v>
      </c>
      <c r="N703" s="34" t="str">
        <f>IFERROR(__xludf.DUMMYFUNCTION("""COMPUTED_VALUE"""),"")</f>
        <v/>
      </c>
    </row>
    <row r="704">
      <c r="M704" s="34" t="s">
        <v>260</v>
      </c>
      <c r="N704" s="34" t="str">
        <f>IFERROR(__xludf.DUMMYFUNCTION("""COMPUTED_VALUE"""),"")</f>
        <v/>
      </c>
    </row>
    <row r="705">
      <c r="M705" s="34" t="s">
        <v>260</v>
      </c>
      <c r="N705" s="34" t="str">
        <f>IFERROR(__xludf.DUMMYFUNCTION("""COMPUTED_VALUE"""),"")</f>
        <v/>
      </c>
    </row>
    <row r="706">
      <c r="M706" s="34" t="s">
        <v>260</v>
      </c>
      <c r="N706" s="34" t="str">
        <f>IFERROR(__xludf.DUMMYFUNCTION("""COMPUTED_VALUE"""),"")</f>
        <v/>
      </c>
    </row>
    <row r="707">
      <c r="M707" s="34" t="s">
        <v>260</v>
      </c>
      <c r="N707" s="34" t="str">
        <f>IFERROR(__xludf.DUMMYFUNCTION("""COMPUTED_VALUE"""),"")</f>
        <v/>
      </c>
    </row>
    <row r="708">
      <c r="M708" s="34" t="s">
        <v>260</v>
      </c>
      <c r="N708" s="34" t="str">
        <f>IFERROR(__xludf.DUMMYFUNCTION("""COMPUTED_VALUE"""),"")</f>
        <v/>
      </c>
    </row>
    <row r="709">
      <c r="M709" s="34" t="s">
        <v>260</v>
      </c>
      <c r="N709" s="34" t="str">
        <f>IFERROR(__xludf.DUMMYFUNCTION("""COMPUTED_VALUE"""),"")</f>
        <v/>
      </c>
    </row>
    <row r="710">
      <c r="M710" s="34" t="s">
        <v>260</v>
      </c>
      <c r="N710" s="34" t="str">
        <f>IFERROR(__xludf.DUMMYFUNCTION("""COMPUTED_VALUE"""),"")</f>
        <v/>
      </c>
    </row>
    <row r="711">
      <c r="M711" s="34" t="s">
        <v>260</v>
      </c>
      <c r="N711" s="34" t="str">
        <f>IFERROR(__xludf.DUMMYFUNCTION("""COMPUTED_VALUE"""),"")</f>
        <v/>
      </c>
    </row>
    <row r="712">
      <c r="M712" s="34" t="s">
        <v>260</v>
      </c>
      <c r="N712" s="34" t="str">
        <f>IFERROR(__xludf.DUMMYFUNCTION("""COMPUTED_VALUE"""),"")</f>
        <v/>
      </c>
    </row>
    <row r="713">
      <c r="M713" s="34" t="s">
        <v>260</v>
      </c>
      <c r="N713" s="34" t="str">
        <f>IFERROR(__xludf.DUMMYFUNCTION("""COMPUTED_VALUE"""),"")</f>
        <v/>
      </c>
    </row>
    <row r="714">
      <c r="M714" s="34" t="s">
        <v>260</v>
      </c>
      <c r="N714" s="34" t="str">
        <f>IFERROR(__xludf.DUMMYFUNCTION("""COMPUTED_VALUE"""),"")</f>
        <v/>
      </c>
    </row>
    <row r="715">
      <c r="M715" s="34" t="s">
        <v>260</v>
      </c>
      <c r="N715" s="34" t="str">
        <f>IFERROR(__xludf.DUMMYFUNCTION("""COMPUTED_VALUE"""),"")</f>
        <v/>
      </c>
    </row>
    <row r="716">
      <c r="M716" s="34" t="s">
        <v>260</v>
      </c>
      <c r="N716" s="34" t="str">
        <f>IFERROR(__xludf.DUMMYFUNCTION("""COMPUTED_VALUE"""),"")</f>
        <v/>
      </c>
    </row>
    <row r="717">
      <c r="M717" s="34" t="s">
        <v>260</v>
      </c>
      <c r="N717" s="34" t="str">
        <f>IFERROR(__xludf.DUMMYFUNCTION("""COMPUTED_VALUE"""),"")</f>
        <v/>
      </c>
    </row>
    <row r="718">
      <c r="M718" s="34" t="s">
        <v>260</v>
      </c>
      <c r="N718" s="34" t="str">
        <f>IFERROR(__xludf.DUMMYFUNCTION("""COMPUTED_VALUE"""),"")</f>
        <v/>
      </c>
    </row>
    <row r="719">
      <c r="M719" s="34" t="s">
        <v>260</v>
      </c>
      <c r="N719" s="34" t="str">
        <f>IFERROR(__xludf.DUMMYFUNCTION("""COMPUTED_VALUE"""),"")</f>
        <v/>
      </c>
    </row>
    <row r="720">
      <c r="M720" s="34" t="s">
        <v>260</v>
      </c>
      <c r="N720" s="34" t="str">
        <f>IFERROR(__xludf.DUMMYFUNCTION("""COMPUTED_VALUE"""),"")</f>
        <v/>
      </c>
    </row>
    <row r="721">
      <c r="M721" s="34" t="s">
        <v>260</v>
      </c>
      <c r="N721" s="34" t="str">
        <f>IFERROR(__xludf.DUMMYFUNCTION("""COMPUTED_VALUE"""),"")</f>
        <v/>
      </c>
    </row>
    <row r="722">
      <c r="M722" s="34" t="s">
        <v>260</v>
      </c>
      <c r="N722" s="34" t="str">
        <f>IFERROR(__xludf.DUMMYFUNCTION("""COMPUTED_VALUE"""),"")</f>
        <v/>
      </c>
    </row>
    <row r="723">
      <c r="M723" s="34" t="s">
        <v>260</v>
      </c>
      <c r="N723" s="34" t="str">
        <f>IFERROR(__xludf.DUMMYFUNCTION("""COMPUTED_VALUE"""),"")</f>
        <v/>
      </c>
    </row>
    <row r="724">
      <c r="M724" s="34" t="s">
        <v>260</v>
      </c>
      <c r="N724" s="34" t="str">
        <f>IFERROR(__xludf.DUMMYFUNCTION("""COMPUTED_VALUE"""),"")</f>
        <v/>
      </c>
    </row>
    <row r="725">
      <c r="M725" s="34" t="s">
        <v>260</v>
      </c>
      <c r="N725" s="34" t="str">
        <f>IFERROR(__xludf.DUMMYFUNCTION("""COMPUTED_VALUE"""),"")</f>
        <v/>
      </c>
    </row>
    <row r="726">
      <c r="M726" s="34" t="s">
        <v>260</v>
      </c>
      <c r="N726" s="34" t="str">
        <f>IFERROR(__xludf.DUMMYFUNCTION("""COMPUTED_VALUE"""),"")</f>
        <v/>
      </c>
    </row>
    <row r="727">
      <c r="M727" s="34" t="s">
        <v>260</v>
      </c>
      <c r="N727" s="34" t="str">
        <f>IFERROR(__xludf.DUMMYFUNCTION("""COMPUTED_VALUE"""),"")</f>
        <v/>
      </c>
    </row>
    <row r="728">
      <c r="M728" s="34" t="s">
        <v>260</v>
      </c>
      <c r="N728" s="34" t="str">
        <f>IFERROR(__xludf.DUMMYFUNCTION("""COMPUTED_VALUE"""),"")</f>
        <v/>
      </c>
    </row>
    <row r="729">
      <c r="M729" s="34" t="s">
        <v>260</v>
      </c>
      <c r="N729" s="34" t="str">
        <f>IFERROR(__xludf.DUMMYFUNCTION("""COMPUTED_VALUE"""),"")</f>
        <v/>
      </c>
    </row>
    <row r="730">
      <c r="M730" s="34" t="s">
        <v>260</v>
      </c>
      <c r="N730" s="34" t="str">
        <f>IFERROR(__xludf.DUMMYFUNCTION("""COMPUTED_VALUE"""),"")</f>
        <v/>
      </c>
    </row>
    <row r="731">
      <c r="M731" s="34" t="s">
        <v>260</v>
      </c>
      <c r="N731" s="34" t="str">
        <f>IFERROR(__xludf.DUMMYFUNCTION("""COMPUTED_VALUE"""),"")</f>
        <v/>
      </c>
    </row>
    <row r="732">
      <c r="M732" s="34" t="s">
        <v>260</v>
      </c>
      <c r="N732" s="34" t="str">
        <f>IFERROR(__xludf.DUMMYFUNCTION("""COMPUTED_VALUE"""),"")</f>
        <v/>
      </c>
    </row>
    <row r="733">
      <c r="M733" s="34" t="s">
        <v>260</v>
      </c>
      <c r="N733" s="34" t="str">
        <f>IFERROR(__xludf.DUMMYFUNCTION("""COMPUTED_VALUE"""),"")</f>
        <v/>
      </c>
    </row>
    <row r="734">
      <c r="M734" s="34" t="s">
        <v>260</v>
      </c>
      <c r="N734" s="34" t="str">
        <f>IFERROR(__xludf.DUMMYFUNCTION("""COMPUTED_VALUE"""),"")</f>
        <v/>
      </c>
    </row>
    <row r="735">
      <c r="M735" s="34" t="s">
        <v>260</v>
      </c>
      <c r="N735" s="34" t="str">
        <f>IFERROR(__xludf.DUMMYFUNCTION("""COMPUTED_VALUE"""),"")</f>
        <v/>
      </c>
    </row>
    <row r="736">
      <c r="M736" s="34" t="s">
        <v>260</v>
      </c>
      <c r="N736" s="34" t="str">
        <f>IFERROR(__xludf.DUMMYFUNCTION("""COMPUTED_VALUE"""),"")</f>
        <v/>
      </c>
    </row>
    <row r="737">
      <c r="M737" s="34" t="s">
        <v>260</v>
      </c>
      <c r="N737" s="34" t="str">
        <f>IFERROR(__xludf.DUMMYFUNCTION("""COMPUTED_VALUE"""),"")</f>
        <v/>
      </c>
    </row>
    <row r="738">
      <c r="M738" s="34" t="s">
        <v>260</v>
      </c>
      <c r="N738" s="34" t="str">
        <f>IFERROR(__xludf.DUMMYFUNCTION("""COMPUTED_VALUE"""),"")</f>
        <v/>
      </c>
    </row>
    <row r="739">
      <c r="M739" s="34" t="s">
        <v>260</v>
      </c>
      <c r="N739" s="34" t="str">
        <f>IFERROR(__xludf.DUMMYFUNCTION("""COMPUTED_VALUE"""),"")</f>
        <v/>
      </c>
    </row>
    <row r="740">
      <c r="M740" s="34" t="s">
        <v>260</v>
      </c>
      <c r="N740" s="34" t="str">
        <f>IFERROR(__xludf.DUMMYFUNCTION("""COMPUTED_VALUE"""),"")</f>
        <v/>
      </c>
    </row>
    <row r="741">
      <c r="M741" s="34" t="s">
        <v>260</v>
      </c>
      <c r="N741" s="34" t="str">
        <f>IFERROR(__xludf.DUMMYFUNCTION("""COMPUTED_VALUE"""),"")</f>
        <v/>
      </c>
    </row>
    <row r="742">
      <c r="M742" s="34" t="s">
        <v>260</v>
      </c>
      <c r="N742" s="34" t="str">
        <f>IFERROR(__xludf.DUMMYFUNCTION("""COMPUTED_VALUE"""),"")</f>
        <v/>
      </c>
    </row>
    <row r="743">
      <c r="M743" s="34" t="s">
        <v>260</v>
      </c>
      <c r="N743" s="34" t="str">
        <f>IFERROR(__xludf.DUMMYFUNCTION("""COMPUTED_VALUE"""),"")</f>
        <v/>
      </c>
    </row>
    <row r="744">
      <c r="M744" s="34" t="s">
        <v>260</v>
      </c>
      <c r="N744" s="34" t="str">
        <f>IFERROR(__xludf.DUMMYFUNCTION("""COMPUTED_VALUE"""),"")</f>
        <v/>
      </c>
    </row>
    <row r="745">
      <c r="M745" s="34" t="s">
        <v>260</v>
      </c>
      <c r="N745" s="34" t="str">
        <f>IFERROR(__xludf.DUMMYFUNCTION("""COMPUTED_VALUE"""),"")</f>
        <v/>
      </c>
    </row>
    <row r="746">
      <c r="M746" s="34" t="s">
        <v>260</v>
      </c>
      <c r="N746" s="34" t="str">
        <f>IFERROR(__xludf.DUMMYFUNCTION("""COMPUTED_VALUE"""),"")</f>
        <v/>
      </c>
    </row>
    <row r="747">
      <c r="M747" s="34" t="s">
        <v>260</v>
      </c>
      <c r="N747" s="34" t="str">
        <f>IFERROR(__xludf.DUMMYFUNCTION("""COMPUTED_VALUE"""),"")</f>
        <v/>
      </c>
    </row>
    <row r="748">
      <c r="M748" s="34" t="s">
        <v>260</v>
      </c>
      <c r="N748" s="34" t="str">
        <f>IFERROR(__xludf.DUMMYFUNCTION("""COMPUTED_VALUE"""),"")</f>
        <v/>
      </c>
    </row>
    <row r="749">
      <c r="M749" s="34" t="s">
        <v>260</v>
      </c>
      <c r="N749" s="34" t="str">
        <f>IFERROR(__xludf.DUMMYFUNCTION("""COMPUTED_VALUE"""),"")</f>
        <v/>
      </c>
    </row>
    <row r="750">
      <c r="M750" s="34" t="s">
        <v>260</v>
      </c>
      <c r="N750" s="34" t="str">
        <f>IFERROR(__xludf.DUMMYFUNCTION("""COMPUTED_VALUE"""),"")</f>
        <v/>
      </c>
    </row>
    <row r="751">
      <c r="M751" s="34" t="s">
        <v>260</v>
      </c>
      <c r="N751" s="34" t="str">
        <f>IFERROR(__xludf.DUMMYFUNCTION("""COMPUTED_VALUE"""),"")</f>
        <v/>
      </c>
    </row>
    <row r="752">
      <c r="M752" s="34" t="s">
        <v>260</v>
      </c>
      <c r="N752" s="34" t="str">
        <f>IFERROR(__xludf.DUMMYFUNCTION("""COMPUTED_VALUE"""),"")</f>
        <v/>
      </c>
    </row>
    <row r="753">
      <c r="M753" s="34" t="s">
        <v>260</v>
      </c>
      <c r="N753" s="34" t="str">
        <f>IFERROR(__xludf.DUMMYFUNCTION("""COMPUTED_VALUE"""),"")</f>
        <v/>
      </c>
    </row>
    <row r="754">
      <c r="M754" s="34" t="s">
        <v>260</v>
      </c>
      <c r="N754" s="34" t="str">
        <f>IFERROR(__xludf.DUMMYFUNCTION("""COMPUTED_VALUE"""),"")</f>
        <v/>
      </c>
    </row>
    <row r="755">
      <c r="M755" s="34" t="s">
        <v>260</v>
      </c>
      <c r="N755" s="34" t="str">
        <f>IFERROR(__xludf.DUMMYFUNCTION("""COMPUTED_VALUE"""),"")</f>
        <v/>
      </c>
    </row>
    <row r="756">
      <c r="M756" s="34" t="s">
        <v>260</v>
      </c>
      <c r="N756" s="34" t="str">
        <f>IFERROR(__xludf.DUMMYFUNCTION("""COMPUTED_VALUE"""),"")</f>
        <v/>
      </c>
    </row>
    <row r="757">
      <c r="M757" s="34" t="s">
        <v>260</v>
      </c>
      <c r="N757" s="34" t="str">
        <f>IFERROR(__xludf.DUMMYFUNCTION("""COMPUTED_VALUE"""),"")</f>
        <v/>
      </c>
    </row>
    <row r="758">
      <c r="M758" s="34" t="s">
        <v>260</v>
      </c>
      <c r="N758" s="34" t="str">
        <f>IFERROR(__xludf.DUMMYFUNCTION("""COMPUTED_VALUE"""),"")</f>
        <v/>
      </c>
    </row>
    <row r="759">
      <c r="M759" s="34" t="s">
        <v>260</v>
      </c>
      <c r="N759" s="34" t="str">
        <f>IFERROR(__xludf.DUMMYFUNCTION("""COMPUTED_VALUE"""),"")</f>
        <v/>
      </c>
    </row>
    <row r="760">
      <c r="M760" s="34" t="s">
        <v>260</v>
      </c>
      <c r="N760" s="34" t="str">
        <f>IFERROR(__xludf.DUMMYFUNCTION("""COMPUTED_VALUE"""),"")</f>
        <v/>
      </c>
    </row>
    <row r="761">
      <c r="M761" s="34" t="s">
        <v>260</v>
      </c>
      <c r="N761" s="34" t="str">
        <f>IFERROR(__xludf.DUMMYFUNCTION("""COMPUTED_VALUE"""),"")</f>
        <v/>
      </c>
    </row>
    <row r="762">
      <c r="M762" s="34" t="s">
        <v>260</v>
      </c>
      <c r="N762" s="34" t="str">
        <f>IFERROR(__xludf.DUMMYFUNCTION("""COMPUTED_VALUE"""),"")</f>
        <v/>
      </c>
    </row>
    <row r="763">
      <c r="M763" s="34" t="s">
        <v>260</v>
      </c>
      <c r="N763" s="34" t="str">
        <f>IFERROR(__xludf.DUMMYFUNCTION("""COMPUTED_VALUE"""),"")</f>
        <v/>
      </c>
    </row>
    <row r="764">
      <c r="M764" s="34" t="s">
        <v>260</v>
      </c>
      <c r="N764" s="34" t="str">
        <f>IFERROR(__xludf.DUMMYFUNCTION("""COMPUTED_VALUE"""),"")</f>
        <v/>
      </c>
    </row>
    <row r="765">
      <c r="M765" s="34" t="s">
        <v>260</v>
      </c>
      <c r="N765" s="34" t="str">
        <f>IFERROR(__xludf.DUMMYFUNCTION("""COMPUTED_VALUE"""),"")</f>
        <v/>
      </c>
    </row>
    <row r="766">
      <c r="M766" s="34" t="s">
        <v>260</v>
      </c>
      <c r="N766" s="34" t="str">
        <f>IFERROR(__xludf.DUMMYFUNCTION("""COMPUTED_VALUE"""),"")</f>
        <v/>
      </c>
    </row>
    <row r="767">
      <c r="M767" s="34" t="s">
        <v>260</v>
      </c>
      <c r="N767" s="34" t="str">
        <f>IFERROR(__xludf.DUMMYFUNCTION("""COMPUTED_VALUE"""),"")</f>
        <v/>
      </c>
    </row>
    <row r="768">
      <c r="M768" s="34" t="s">
        <v>260</v>
      </c>
      <c r="N768" s="34" t="str">
        <f>IFERROR(__xludf.DUMMYFUNCTION("""COMPUTED_VALUE"""),"")</f>
        <v/>
      </c>
    </row>
    <row r="769">
      <c r="M769" s="34" t="s">
        <v>260</v>
      </c>
      <c r="N769" s="34" t="str">
        <f>IFERROR(__xludf.DUMMYFUNCTION("""COMPUTED_VALUE"""),"")</f>
        <v/>
      </c>
    </row>
    <row r="770">
      <c r="M770" s="34" t="s">
        <v>260</v>
      </c>
      <c r="N770" s="34" t="str">
        <f>IFERROR(__xludf.DUMMYFUNCTION("""COMPUTED_VALUE"""),"")</f>
        <v/>
      </c>
    </row>
    <row r="771">
      <c r="M771" s="34" t="s">
        <v>260</v>
      </c>
      <c r="N771" s="34" t="str">
        <f>IFERROR(__xludf.DUMMYFUNCTION("""COMPUTED_VALUE"""),"")</f>
        <v/>
      </c>
    </row>
    <row r="772">
      <c r="M772" s="34" t="s">
        <v>260</v>
      </c>
      <c r="N772" s="34" t="str">
        <f>IFERROR(__xludf.DUMMYFUNCTION("""COMPUTED_VALUE"""),"")</f>
        <v/>
      </c>
    </row>
    <row r="773">
      <c r="M773" s="34" t="s">
        <v>260</v>
      </c>
      <c r="N773" s="34" t="str">
        <f>IFERROR(__xludf.DUMMYFUNCTION("""COMPUTED_VALUE"""),"")</f>
        <v/>
      </c>
    </row>
    <row r="774">
      <c r="M774" s="34" t="s">
        <v>260</v>
      </c>
      <c r="N774" s="34" t="str">
        <f>IFERROR(__xludf.DUMMYFUNCTION("""COMPUTED_VALUE"""),"")</f>
        <v/>
      </c>
    </row>
    <row r="775">
      <c r="M775" s="34" t="s">
        <v>260</v>
      </c>
      <c r="N775" s="34" t="str">
        <f>IFERROR(__xludf.DUMMYFUNCTION("""COMPUTED_VALUE"""),"")</f>
        <v/>
      </c>
    </row>
    <row r="776">
      <c r="M776" s="34" t="s">
        <v>260</v>
      </c>
      <c r="N776" s="34" t="str">
        <f>IFERROR(__xludf.DUMMYFUNCTION("""COMPUTED_VALUE"""),"")</f>
        <v/>
      </c>
    </row>
    <row r="777">
      <c r="M777" s="34" t="s">
        <v>260</v>
      </c>
      <c r="N777" s="34" t="str">
        <f>IFERROR(__xludf.DUMMYFUNCTION("""COMPUTED_VALUE"""),"")</f>
        <v/>
      </c>
    </row>
    <row r="778">
      <c r="M778" s="34" t="s">
        <v>260</v>
      </c>
      <c r="N778" s="34" t="str">
        <f>IFERROR(__xludf.DUMMYFUNCTION("""COMPUTED_VALUE"""),"")</f>
        <v/>
      </c>
    </row>
    <row r="779">
      <c r="M779" s="34" t="s">
        <v>260</v>
      </c>
      <c r="N779" s="34" t="str">
        <f>IFERROR(__xludf.DUMMYFUNCTION("""COMPUTED_VALUE"""),"")</f>
        <v/>
      </c>
    </row>
    <row r="780">
      <c r="M780" s="34" t="s">
        <v>260</v>
      </c>
      <c r="N780" s="34" t="str">
        <f>IFERROR(__xludf.DUMMYFUNCTION("""COMPUTED_VALUE"""),"")</f>
        <v/>
      </c>
    </row>
    <row r="781">
      <c r="M781" s="34" t="s">
        <v>260</v>
      </c>
      <c r="N781" s="34" t="str">
        <f>IFERROR(__xludf.DUMMYFUNCTION("""COMPUTED_VALUE"""),"")</f>
        <v/>
      </c>
    </row>
    <row r="782">
      <c r="M782" s="34" t="s">
        <v>260</v>
      </c>
      <c r="N782" s="34" t="str">
        <f>IFERROR(__xludf.DUMMYFUNCTION("""COMPUTED_VALUE"""),"")</f>
        <v/>
      </c>
    </row>
    <row r="783">
      <c r="M783" s="34" t="s">
        <v>260</v>
      </c>
      <c r="N783" s="34" t="str">
        <f>IFERROR(__xludf.DUMMYFUNCTION("""COMPUTED_VALUE"""),"")</f>
        <v/>
      </c>
    </row>
    <row r="784">
      <c r="M784" s="34" t="s">
        <v>260</v>
      </c>
      <c r="N784" s="34" t="str">
        <f>IFERROR(__xludf.DUMMYFUNCTION("""COMPUTED_VALUE"""),"")</f>
        <v/>
      </c>
    </row>
    <row r="785">
      <c r="M785" s="34" t="s">
        <v>260</v>
      </c>
      <c r="N785" s="34" t="str">
        <f>IFERROR(__xludf.DUMMYFUNCTION("""COMPUTED_VALUE"""),"")</f>
        <v/>
      </c>
    </row>
    <row r="786">
      <c r="M786" s="34" t="s">
        <v>260</v>
      </c>
      <c r="N786" s="34" t="str">
        <f>IFERROR(__xludf.DUMMYFUNCTION("""COMPUTED_VALUE"""),"")</f>
        <v/>
      </c>
    </row>
    <row r="787">
      <c r="M787" s="34" t="s">
        <v>260</v>
      </c>
      <c r="N787" s="34" t="str">
        <f>IFERROR(__xludf.DUMMYFUNCTION("""COMPUTED_VALUE"""),"")</f>
        <v/>
      </c>
    </row>
    <row r="788">
      <c r="M788" s="34" t="s">
        <v>260</v>
      </c>
      <c r="N788" s="34" t="str">
        <f>IFERROR(__xludf.DUMMYFUNCTION("""COMPUTED_VALUE"""),"")</f>
        <v/>
      </c>
    </row>
    <row r="789">
      <c r="M789" s="34" t="s">
        <v>260</v>
      </c>
      <c r="N789" s="34" t="str">
        <f>IFERROR(__xludf.DUMMYFUNCTION("""COMPUTED_VALUE"""),"")</f>
        <v/>
      </c>
    </row>
    <row r="790">
      <c r="M790" s="34" t="s">
        <v>260</v>
      </c>
      <c r="N790" s="34" t="str">
        <f>IFERROR(__xludf.DUMMYFUNCTION("""COMPUTED_VALUE"""),"")</f>
        <v/>
      </c>
    </row>
    <row r="791">
      <c r="M791" s="34" t="s">
        <v>260</v>
      </c>
      <c r="N791" s="34" t="str">
        <f>IFERROR(__xludf.DUMMYFUNCTION("""COMPUTED_VALUE"""),"")</f>
        <v/>
      </c>
    </row>
    <row r="792">
      <c r="M792" s="34" t="s">
        <v>260</v>
      </c>
      <c r="N792" s="34" t="str">
        <f>IFERROR(__xludf.DUMMYFUNCTION("""COMPUTED_VALUE"""),"")</f>
        <v/>
      </c>
    </row>
    <row r="793">
      <c r="M793" s="34" t="s">
        <v>260</v>
      </c>
      <c r="N793" s="34" t="str">
        <f>IFERROR(__xludf.DUMMYFUNCTION("""COMPUTED_VALUE"""),"")</f>
        <v/>
      </c>
    </row>
    <row r="794">
      <c r="M794" s="34" t="s">
        <v>260</v>
      </c>
      <c r="N794" s="34" t="str">
        <f>IFERROR(__xludf.DUMMYFUNCTION("""COMPUTED_VALUE"""),"")</f>
        <v/>
      </c>
    </row>
    <row r="795">
      <c r="M795" s="34" t="s">
        <v>260</v>
      </c>
      <c r="N795" s="34" t="str">
        <f>IFERROR(__xludf.DUMMYFUNCTION("""COMPUTED_VALUE"""),"")</f>
        <v/>
      </c>
    </row>
    <row r="796">
      <c r="M796" s="34" t="s">
        <v>260</v>
      </c>
      <c r="N796" s="34" t="str">
        <f>IFERROR(__xludf.DUMMYFUNCTION("""COMPUTED_VALUE"""),"")</f>
        <v/>
      </c>
    </row>
    <row r="797">
      <c r="M797" s="34" t="s">
        <v>260</v>
      </c>
      <c r="N797" s="34" t="str">
        <f>IFERROR(__xludf.DUMMYFUNCTION("""COMPUTED_VALUE"""),"")</f>
        <v/>
      </c>
    </row>
    <row r="798">
      <c r="M798" s="34" t="s">
        <v>260</v>
      </c>
      <c r="N798" s="34" t="str">
        <f>IFERROR(__xludf.DUMMYFUNCTION("""COMPUTED_VALUE"""),"")</f>
        <v/>
      </c>
    </row>
    <row r="799">
      <c r="M799" s="34" t="s">
        <v>260</v>
      </c>
      <c r="N799" s="34" t="str">
        <f>IFERROR(__xludf.DUMMYFUNCTION("""COMPUTED_VALUE"""),"")</f>
        <v/>
      </c>
    </row>
    <row r="800">
      <c r="M800" s="34" t="s">
        <v>260</v>
      </c>
      <c r="N800" s="34" t="str">
        <f>IFERROR(__xludf.DUMMYFUNCTION("""COMPUTED_VALUE"""),"")</f>
        <v/>
      </c>
    </row>
    <row r="801">
      <c r="M801" s="34" t="s">
        <v>260</v>
      </c>
      <c r="N801" s="34" t="str">
        <f>IFERROR(__xludf.DUMMYFUNCTION("""COMPUTED_VALUE"""),"")</f>
        <v/>
      </c>
    </row>
    <row r="802">
      <c r="M802" s="34" t="s">
        <v>260</v>
      </c>
      <c r="N802" s="34" t="str">
        <f>IFERROR(__xludf.DUMMYFUNCTION("""COMPUTED_VALUE"""),"")</f>
        <v/>
      </c>
    </row>
    <row r="803">
      <c r="M803" s="34" t="s">
        <v>260</v>
      </c>
      <c r="N803" s="34" t="str">
        <f>IFERROR(__xludf.DUMMYFUNCTION("""COMPUTED_VALUE"""),"")</f>
        <v/>
      </c>
    </row>
    <row r="804">
      <c r="M804" s="34" t="s">
        <v>260</v>
      </c>
      <c r="N804" s="34" t="str">
        <f>IFERROR(__xludf.DUMMYFUNCTION("""COMPUTED_VALUE"""),"")</f>
        <v/>
      </c>
    </row>
    <row r="805">
      <c r="M805" s="34" t="s">
        <v>260</v>
      </c>
      <c r="N805" s="34" t="str">
        <f>IFERROR(__xludf.DUMMYFUNCTION("""COMPUTED_VALUE"""),"")</f>
        <v/>
      </c>
    </row>
    <row r="806">
      <c r="M806" s="34" t="s">
        <v>260</v>
      </c>
      <c r="N806" s="34" t="str">
        <f>IFERROR(__xludf.DUMMYFUNCTION("""COMPUTED_VALUE"""),"")</f>
        <v/>
      </c>
    </row>
    <row r="807">
      <c r="M807" s="34" t="s">
        <v>260</v>
      </c>
      <c r="N807" s="34" t="str">
        <f>IFERROR(__xludf.DUMMYFUNCTION("""COMPUTED_VALUE"""),"")</f>
        <v/>
      </c>
    </row>
    <row r="808">
      <c r="M808" s="34" t="s">
        <v>260</v>
      </c>
      <c r="N808" s="34" t="str">
        <f>IFERROR(__xludf.DUMMYFUNCTION("""COMPUTED_VALUE"""),"")</f>
        <v/>
      </c>
    </row>
    <row r="809">
      <c r="M809" s="34" t="s">
        <v>260</v>
      </c>
      <c r="N809" s="34" t="str">
        <f>IFERROR(__xludf.DUMMYFUNCTION("""COMPUTED_VALUE"""),"")</f>
        <v/>
      </c>
    </row>
    <row r="810">
      <c r="M810" s="34" t="s">
        <v>260</v>
      </c>
      <c r="N810" s="34" t="str">
        <f>IFERROR(__xludf.DUMMYFUNCTION("""COMPUTED_VALUE"""),"")</f>
        <v/>
      </c>
    </row>
    <row r="811">
      <c r="M811" s="34" t="s">
        <v>260</v>
      </c>
      <c r="N811" s="34" t="str">
        <f>IFERROR(__xludf.DUMMYFUNCTION("""COMPUTED_VALUE"""),"")</f>
        <v/>
      </c>
    </row>
    <row r="812">
      <c r="M812" s="34" t="s">
        <v>260</v>
      </c>
      <c r="N812" s="34" t="str">
        <f>IFERROR(__xludf.DUMMYFUNCTION("""COMPUTED_VALUE"""),"")</f>
        <v/>
      </c>
    </row>
    <row r="813">
      <c r="M813" s="34" t="s">
        <v>260</v>
      </c>
      <c r="N813" s="34" t="str">
        <f>IFERROR(__xludf.DUMMYFUNCTION("""COMPUTED_VALUE"""),"")</f>
        <v/>
      </c>
    </row>
    <row r="814">
      <c r="M814" s="34" t="s">
        <v>260</v>
      </c>
      <c r="N814" s="34" t="str">
        <f>IFERROR(__xludf.DUMMYFUNCTION("""COMPUTED_VALUE"""),"")</f>
        <v/>
      </c>
    </row>
    <row r="815">
      <c r="M815" s="34" t="s">
        <v>260</v>
      </c>
      <c r="N815" s="34" t="str">
        <f>IFERROR(__xludf.DUMMYFUNCTION("""COMPUTED_VALUE"""),"")</f>
        <v/>
      </c>
    </row>
    <row r="816">
      <c r="M816" s="34" t="s">
        <v>260</v>
      </c>
      <c r="N816" s="34" t="str">
        <f>IFERROR(__xludf.DUMMYFUNCTION("""COMPUTED_VALUE"""),"")</f>
        <v/>
      </c>
    </row>
    <row r="817">
      <c r="M817" s="34" t="s">
        <v>260</v>
      </c>
      <c r="N817" s="34" t="str">
        <f>IFERROR(__xludf.DUMMYFUNCTION("""COMPUTED_VALUE"""),"")</f>
        <v/>
      </c>
    </row>
    <row r="818">
      <c r="M818" s="34" t="s">
        <v>260</v>
      </c>
      <c r="N818" s="34" t="str">
        <f>IFERROR(__xludf.DUMMYFUNCTION("""COMPUTED_VALUE"""),"")</f>
        <v/>
      </c>
    </row>
    <row r="819">
      <c r="M819" s="34" t="s">
        <v>260</v>
      </c>
      <c r="N819" s="34" t="str">
        <f>IFERROR(__xludf.DUMMYFUNCTION("""COMPUTED_VALUE"""),"")</f>
        <v/>
      </c>
    </row>
    <row r="820">
      <c r="M820" s="34" t="s">
        <v>260</v>
      </c>
      <c r="N820" s="34" t="str">
        <f>IFERROR(__xludf.DUMMYFUNCTION("""COMPUTED_VALUE"""),"")</f>
        <v/>
      </c>
    </row>
    <row r="821">
      <c r="M821" s="34" t="s">
        <v>260</v>
      </c>
      <c r="N821" s="34" t="str">
        <f>IFERROR(__xludf.DUMMYFUNCTION("""COMPUTED_VALUE"""),"")</f>
        <v/>
      </c>
    </row>
    <row r="822">
      <c r="M822" s="34" t="s">
        <v>260</v>
      </c>
      <c r="N822" s="34" t="str">
        <f>IFERROR(__xludf.DUMMYFUNCTION("""COMPUTED_VALUE"""),"")</f>
        <v/>
      </c>
    </row>
    <row r="823">
      <c r="M823" s="34" t="s">
        <v>260</v>
      </c>
      <c r="N823" s="34" t="str">
        <f>IFERROR(__xludf.DUMMYFUNCTION("""COMPUTED_VALUE"""),"")</f>
        <v/>
      </c>
    </row>
    <row r="824">
      <c r="M824" s="34" t="s">
        <v>260</v>
      </c>
      <c r="N824" s="34" t="str">
        <f>IFERROR(__xludf.DUMMYFUNCTION("""COMPUTED_VALUE"""),"")</f>
        <v/>
      </c>
    </row>
    <row r="825">
      <c r="M825" s="34" t="s">
        <v>260</v>
      </c>
      <c r="N825" s="34" t="str">
        <f>IFERROR(__xludf.DUMMYFUNCTION("""COMPUTED_VALUE"""),"")</f>
        <v/>
      </c>
    </row>
    <row r="826">
      <c r="M826" s="34" t="s">
        <v>260</v>
      </c>
      <c r="N826" s="34" t="str">
        <f>IFERROR(__xludf.DUMMYFUNCTION("""COMPUTED_VALUE"""),"")</f>
        <v/>
      </c>
    </row>
    <row r="827">
      <c r="M827" s="34" t="s">
        <v>260</v>
      </c>
      <c r="N827" s="34" t="str">
        <f>IFERROR(__xludf.DUMMYFUNCTION("""COMPUTED_VALUE"""),"")</f>
        <v/>
      </c>
    </row>
    <row r="828">
      <c r="M828" s="34" t="s">
        <v>260</v>
      </c>
      <c r="N828" s="34" t="str">
        <f>IFERROR(__xludf.DUMMYFUNCTION("""COMPUTED_VALUE"""),"")</f>
        <v/>
      </c>
    </row>
    <row r="829">
      <c r="M829" s="34" t="s">
        <v>260</v>
      </c>
      <c r="N829" s="34" t="str">
        <f>IFERROR(__xludf.DUMMYFUNCTION("""COMPUTED_VALUE"""),"")</f>
        <v/>
      </c>
    </row>
    <row r="830">
      <c r="M830" s="34" t="s">
        <v>260</v>
      </c>
      <c r="N830" s="34" t="str">
        <f>IFERROR(__xludf.DUMMYFUNCTION("""COMPUTED_VALUE"""),"")</f>
        <v/>
      </c>
    </row>
    <row r="831">
      <c r="M831" s="34" t="s">
        <v>260</v>
      </c>
      <c r="N831" s="34" t="str">
        <f>IFERROR(__xludf.DUMMYFUNCTION("""COMPUTED_VALUE"""),"")</f>
        <v/>
      </c>
    </row>
    <row r="832">
      <c r="M832" s="34" t="s">
        <v>260</v>
      </c>
      <c r="N832" s="34" t="str">
        <f>IFERROR(__xludf.DUMMYFUNCTION("""COMPUTED_VALUE"""),"")</f>
        <v/>
      </c>
    </row>
    <row r="833">
      <c r="M833" s="34" t="s">
        <v>260</v>
      </c>
      <c r="N833" s="34" t="str">
        <f>IFERROR(__xludf.DUMMYFUNCTION("""COMPUTED_VALUE"""),"")</f>
        <v/>
      </c>
    </row>
    <row r="834">
      <c r="M834" s="34" t="s">
        <v>260</v>
      </c>
      <c r="N834" s="34" t="str">
        <f>IFERROR(__xludf.DUMMYFUNCTION("""COMPUTED_VALUE"""),"")</f>
        <v/>
      </c>
    </row>
    <row r="835">
      <c r="M835" s="34" t="s">
        <v>260</v>
      </c>
      <c r="N835" s="34" t="str">
        <f>IFERROR(__xludf.DUMMYFUNCTION("""COMPUTED_VALUE"""),"")</f>
        <v/>
      </c>
    </row>
    <row r="836">
      <c r="M836" s="34" t="s">
        <v>260</v>
      </c>
      <c r="N836" s="34" t="str">
        <f>IFERROR(__xludf.DUMMYFUNCTION("""COMPUTED_VALUE"""),"")</f>
        <v/>
      </c>
    </row>
    <row r="837">
      <c r="M837" s="34" t="s">
        <v>260</v>
      </c>
      <c r="N837" s="34" t="str">
        <f>IFERROR(__xludf.DUMMYFUNCTION("""COMPUTED_VALUE"""),"")</f>
        <v/>
      </c>
    </row>
    <row r="838">
      <c r="M838" s="34" t="s">
        <v>260</v>
      </c>
      <c r="N838" s="34" t="str">
        <f>IFERROR(__xludf.DUMMYFUNCTION("""COMPUTED_VALUE"""),"")</f>
        <v/>
      </c>
    </row>
    <row r="839">
      <c r="M839" s="34" t="s">
        <v>260</v>
      </c>
      <c r="N839" s="34" t="str">
        <f>IFERROR(__xludf.DUMMYFUNCTION("""COMPUTED_VALUE"""),"")</f>
        <v/>
      </c>
    </row>
    <row r="840">
      <c r="M840" s="34" t="s">
        <v>260</v>
      </c>
      <c r="N840" s="34" t="str">
        <f>IFERROR(__xludf.DUMMYFUNCTION("""COMPUTED_VALUE"""),"")</f>
        <v/>
      </c>
    </row>
    <row r="841">
      <c r="M841" s="34" t="s">
        <v>260</v>
      </c>
      <c r="N841" s="34" t="str">
        <f>IFERROR(__xludf.DUMMYFUNCTION("""COMPUTED_VALUE"""),"")</f>
        <v/>
      </c>
    </row>
    <row r="842">
      <c r="M842" s="34" t="s">
        <v>260</v>
      </c>
      <c r="N842" s="34" t="str">
        <f>IFERROR(__xludf.DUMMYFUNCTION("""COMPUTED_VALUE"""),"")</f>
        <v/>
      </c>
    </row>
    <row r="843">
      <c r="M843" s="34" t="s">
        <v>260</v>
      </c>
      <c r="N843" s="34" t="str">
        <f>IFERROR(__xludf.DUMMYFUNCTION("""COMPUTED_VALUE"""),"")</f>
        <v/>
      </c>
    </row>
    <row r="844">
      <c r="M844" s="34" t="s">
        <v>260</v>
      </c>
      <c r="N844" s="34" t="str">
        <f>IFERROR(__xludf.DUMMYFUNCTION("""COMPUTED_VALUE"""),"")</f>
        <v/>
      </c>
    </row>
    <row r="845">
      <c r="M845" s="34" t="s">
        <v>260</v>
      </c>
      <c r="N845" s="34" t="str">
        <f>IFERROR(__xludf.DUMMYFUNCTION("""COMPUTED_VALUE"""),"")</f>
        <v/>
      </c>
    </row>
    <row r="846">
      <c r="M846" s="34" t="s">
        <v>260</v>
      </c>
      <c r="N846" s="34" t="str">
        <f>IFERROR(__xludf.DUMMYFUNCTION("""COMPUTED_VALUE"""),"")</f>
        <v/>
      </c>
    </row>
    <row r="847">
      <c r="M847" s="34" t="s">
        <v>260</v>
      </c>
      <c r="N847" s="34" t="str">
        <f>IFERROR(__xludf.DUMMYFUNCTION("""COMPUTED_VALUE"""),"")</f>
        <v/>
      </c>
    </row>
    <row r="848">
      <c r="M848" s="34" t="s">
        <v>260</v>
      </c>
      <c r="N848" s="34" t="str">
        <f>IFERROR(__xludf.DUMMYFUNCTION("""COMPUTED_VALUE"""),"")</f>
        <v/>
      </c>
    </row>
    <row r="849">
      <c r="M849" s="34" t="s">
        <v>260</v>
      </c>
      <c r="N849" s="34" t="str">
        <f>IFERROR(__xludf.DUMMYFUNCTION("""COMPUTED_VALUE"""),"")</f>
        <v/>
      </c>
    </row>
    <row r="850">
      <c r="M850" s="34" t="s">
        <v>260</v>
      </c>
      <c r="N850" s="34" t="str">
        <f>IFERROR(__xludf.DUMMYFUNCTION("""COMPUTED_VALUE"""),"")</f>
        <v/>
      </c>
    </row>
    <row r="851">
      <c r="M851" s="34" t="s">
        <v>260</v>
      </c>
      <c r="N851" s="34" t="str">
        <f>IFERROR(__xludf.DUMMYFUNCTION("""COMPUTED_VALUE"""),"")</f>
        <v/>
      </c>
    </row>
    <row r="852">
      <c r="M852" s="34" t="s">
        <v>260</v>
      </c>
      <c r="N852" s="34" t="str">
        <f>IFERROR(__xludf.DUMMYFUNCTION("""COMPUTED_VALUE"""),"")</f>
        <v/>
      </c>
    </row>
    <row r="853">
      <c r="M853" s="34" t="s">
        <v>260</v>
      </c>
      <c r="N853" s="34" t="str">
        <f>IFERROR(__xludf.DUMMYFUNCTION("""COMPUTED_VALUE"""),"")</f>
        <v/>
      </c>
    </row>
    <row r="854">
      <c r="M854" s="34" t="s">
        <v>260</v>
      </c>
      <c r="N854" s="34" t="str">
        <f>IFERROR(__xludf.DUMMYFUNCTION("""COMPUTED_VALUE"""),"")</f>
        <v/>
      </c>
    </row>
    <row r="855">
      <c r="M855" s="34" t="s">
        <v>260</v>
      </c>
      <c r="N855" s="34" t="str">
        <f>IFERROR(__xludf.DUMMYFUNCTION("""COMPUTED_VALUE"""),"")</f>
        <v/>
      </c>
    </row>
    <row r="856">
      <c r="M856" s="34" t="s">
        <v>260</v>
      </c>
      <c r="N856" s="34" t="str">
        <f>IFERROR(__xludf.DUMMYFUNCTION("""COMPUTED_VALUE"""),"")</f>
        <v/>
      </c>
    </row>
    <row r="857">
      <c r="M857" s="34" t="s">
        <v>260</v>
      </c>
      <c r="N857" s="34" t="str">
        <f>IFERROR(__xludf.DUMMYFUNCTION("""COMPUTED_VALUE"""),"")</f>
        <v/>
      </c>
    </row>
    <row r="858">
      <c r="M858" s="34" t="s">
        <v>260</v>
      </c>
      <c r="N858" s="34" t="str">
        <f>IFERROR(__xludf.DUMMYFUNCTION("""COMPUTED_VALUE"""),"")</f>
        <v/>
      </c>
    </row>
    <row r="859">
      <c r="M859" s="34" t="s">
        <v>260</v>
      </c>
      <c r="N859" s="34" t="str">
        <f>IFERROR(__xludf.DUMMYFUNCTION("""COMPUTED_VALUE"""),"")</f>
        <v/>
      </c>
    </row>
    <row r="860">
      <c r="M860" s="34" t="s">
        <v>260</v>
      </c>
      <c r="N860" s="34" t="str">
        <f>IFERROR(__xludf.DUMMYFUNCTION("""COMPUTED_VALUE"""),"")</f>
        <v/>
      </c>
    </row>
    <row r="861">
      <c r="M861" s="34" t="s">
        <v>260</v>
      </c>
      <c r="N861" s="34" t="str">
        <f>IFERROR(__xludf.DUMMYFUNCTION("""COMPUTED_VALUE"""),"")</f>
        <v/>
      </c>
    </row>
    <row r="862">
      <c r="M862" s="34" t="s">
        <v>260</v>
      </c>
      <c r="N862" s="34" t="str">
        <f>IFERROR(__xludf.DUMMYFUNCTION("""COMPUTED_VALUE"""),"")</f>
        <v/>
      </c>
    </row>
    <row r="863">
      <c r="M863" s="34" t="s">
        <v>260</v>
      </c>
      <c r="N863" s="34" t="str">
        <f>IFERROR(__xludf.DUMMYFUNCTION("""COMPUTED_VALUE"""),"")</f>
        <v/>
      </c>
    </row>
    <row r="864">
      <c r="M864" s="34" t="s">
        <v>260</v>
      </c>
      <c r="N864" s="34" t="str">
        <f>IFERROR(__xludf.DUMMYFUNCTION("""COMPUTED_VALUE"""),"")</f>
        <v/>
      </c>
    </row>
    <row r="865">
      <c r="M865" s="34" t="s">
        <v>260</v>
      </c>
      <c r="N865" s="34" t="str">
        <f>IFERROR(__xludf.DUMMYFUNCTION("""COMPUTED_VALUE"""),"")</f>
        <v/>
      </c>
    </row>
    <row r="866">
      <c r="M866" s="34" t="s">
        <v>260</v>
      </c>
      <c r="N866" s="34" t="str">
        <f>IFERROR(__xludf.DUMMYFUNCTION("""COMPUTED_VALUE"""),"")</f>
        <v/>
      </c>
    </row>
    <row r="867">
      <c r="M867" s="34" t="s">
        <v>260</v>
      </c>
      <c r="N867" s="34" t="str">
        <f>IFERROR(__xludf.DUMMYFUNCTION("""COMPUTED_VALUE"""),"")</f>
        <v/>
      </c>
    </row>
    <row r="868">
      <c r="M868" s="34" t="s">
        <v>260</v>
      </c>
      <c r="N868" s="34" t="str">
        <f>IFERROR(__xludf.DUMMYFUNCTION("""COMPUTED_VALUE"""),"")</f>
        <v/>
      </c>
    </row>
    <row r="869">
      <c r="M869" s="34" t="s">
        <v>260</v>
      </c>
      <c r="N869" s="34" t="str">
        <f>IFERROR(__xludf.DUMMYFUNCTION("""COMPUTED_VALUE"""),"")</f>
        <v/>
      </c>
    </row>
    <row r="870">
      <c r="M870" s="34" t="s">
        <v>260</v>
      </c>
      <c r="N870" s="34" t="str">
        <f>IFERROR(__xludf.DUMMYFUNCTION("""COMPUTED_VALUE"""),"")</f>
        <v/>
      </c>
    </row>
    <row r="871">
      <c r="M871" s="34" t="s">
        <v>260</v>
      </c>
      <c r="N871" s="34" t="str">
        <f>IFERROR(__xludf.DUMMYFUNCTION("""COMPUTED_VALUE"""),"")</f>
        <v/>
      </c>
    </row>
    <row r="872">
      <c r="M872" s="34" t="s">
        <v>260</v>
      </c>
      <c r="N872" s="34" t="str">
        <f>IFERROR(__xludf.DUMMYFUNCTION("""COMPUTED_VALUE"""),"")</f>
        <v/>
      </c>
    </row>
    <row r="873">
      <c r="M873" s="34" t="s">
        <v>260</v>
      </c>
      <c r="N873" s="34" t="str">
        <f>IFERROR(__xludf.DUMMYFUNCTION("""COMPUTED_VALUE"""),"")</f>
        <v/>
      </c>
    </row>
    <row r="874">
      <c r="M874" s="34" t="s">
        <v>260</v>
      </c>
      <c r="N874" s="34" t="str">
        <f>IFERROR(__xludf.DUMMYFUNCTION("""COMPUTED_VALUE"""),"")</f>
        <v/>
      </c>
    </row>
    <row r="875">
      <c r="M875" s="34" t="s">
        <v>260</v>
      </c>
      <c r="N875" s="34" t="str">
        <f>IFERROR(__xludf.DUMMYFUNCTION("""COMPUTED_VALUE"""),"")</f>
        <v/>
      </c>
    </row>
    <row r="876">
      <c r="M876" s="34" t="s">
        <v>260</v>
      </c>
      <c r="N876" s="34" t="str">
        <f>IFERROR(__xludf.DUMMYFUNCTION("""COMPUTED_VALUE"""),"")</f>
        <v/>
      </c>
    </row>
    <row r="877">
      <c r="M877" s="34" t="s">
        <v>260</v>
      </c>
      <c r="N877" s="34" t="str">
        <f>IFERROR(__xludf.DUMMYFUNCTION("""COMPUTED_VALUE"""),"")</f>
        <v/>
      </c>
    </row>
    <row r="878">
      <c r="M878" s="34" t="s">
        <v>260</v>
      </c>
      <c r="N878" s="34" t="str">
        <f>IFERROR(__xludf.DUMMYFUNCTION("""COMPUTED_VALUE"""),"")</f>
        <v/>
      </c>
    </row>
    <row r="879">
      <c r="M879" s="34" t="s">
        <v>260</v>
      </c>
      <c r="N879" s="34" t="str">
        <f>IFERROR(__xludf.DUMMYFUNCTION("""COMPUTED_VALUE"""),"")</f>
        <v/>
      </c>
    </row>
    <row r="880">
      <c r="M880" s="34" t="s">
        <v>260</v>
      </c>
      <c r="N880" s="34" t="str">
        <f>IFERROR(__xludf.DUMMYFUNCTION("""COMPUTED_VALUE"""),"")</f>
        <v/>
      </c>
    </row>
    <row r="881">
      <c r="M881" s="34" t="s">
        <v>260</v>
      </c>
      <c r="N881" s="34" t="str">
        <f>IFERROR(__xludf.DUMMYFUNCTION("""COMPUTED_VALUE"""),"")</f>
        <v/>
      </c>
    </row>
    <row r="882">
      <c r="M882" s="34" t="s">
        <v>260</v>
      </c>
      <c r="N882" s="34" t="str">
        <f>IFERROR(__xludf.DUMMYFUNCTION("""COMPUTED_VALUE"""),"")</f>
        <v/>
      </c>
    </row>
    <row r="883">
      <c r="M883" s="34" t="s">
        <v>260</v>
      </c>
      <c r="N883" s="34" t="str">
        <f>IFERROR(__xludf.DUMMYFUNCTION("""COMPUTED_VALUE"""),"")</f>
        <v/>
      </c>
    </row>
    <row r="884">
      <c r="M884" s="34" t="s">
        <v>260</v>
      </c>
      <c r="N884" s="34" t="str">
        <f>IFERROR(__xludf.DUMMYFUNCTION("""COMPUTED_VALUE"""),"")</f>
        <v/>
      </c>
    </row>
    <row r="885">
      <c r="M885" s="34" t="s">
        <v>260</v>
      </c>
      <c r="N885" s="34" t="str">
        <f>IFERROR(__xludf.DUMMYFUNCTION("""COMPUTED_VALUE"""),"")</f>
        <v/>
      </c>
    </row>
    <row r="886">
      <c r="M886" s="34" t="s">
        <v>260</v>
      </c>
      <c r="N886" s="34" t="str">
        <f>IFERROR(__xludf.DUMMYFUNCTION("""COMPUTED_VALUE"""),"")</f>
        <v/>
      </c>
    </row>
    <row r="887">
      <c r="M887" s="34" t="s">
        <v>260</v>
      </c>
      <c r="N887" s="34" t="str">
        <f>IFERROR(__xludf.DUMMYFUNCTION("""COMPUTED_VALUE"""),"")</f>
        <v/>
      </c>
    </row>
    <row r="888">
      <c r="M888" s="34" t="s">
        <v>260</v>
      </c>
      <c r="N888" s="34" t="str">
        <f>IFERROR(__xludf.DUMMYFUNCTION("""COMPUTED_VALUE"""),"")</f>
        <v/>
      </c>
    </row>
    <row r="889">
      <c r="M889" s="34" t="s">
        <v>260</v>
      </c>
      <c r="N889" s="34" t="str">
        <f>IFERROR(__xludf.DUMMYFUNCTION("""COMPUTED_VALUE"""),"")</f>
        <v/>
      </c>
    </row>
    <row r="890">
      <c r="M890" s="34" t="s">
        <v>260</v>
      </c>
      <c r="N890" s="34" t="str">
        <f>IFERROR(__xludf.DUMMYFUNCTION("""COMPUTED_VALUE"""),"")</f>
        <v/>
      </c>
    </row>
    <row r="891">
      <c r="M891" s="34" t="s">
        <v>260</v>
      </c>
      <c r="N891" s="34" t="str">
        <f>IFERROR(__xludf.DUMMYFUNCTION("""COMPUTED_VALUE"""),"")</f>
        <v/>
      </c>
    </row>
    <row r="892">
      <c r="M892" s="34" t="s">
        <v>260</v>
      </c>
      <c r="N892" s="34" t="str">
        <f>IFERROR(__xludf.DUMMYFUNCTION("""COMPUTED_VALUE"""),"")</f>
        <v/>
      </c>
    </row>
    <row r="893">
      <c r="M893" s="34" t="s">
        <v>260</v>
      </c>
      <c r="N893" s="34" t="str">
        <f>IFERROR(__xludf.DUMMYFUNCTION("""COMPUTED_VALUE"""),"")</f>
        <v/>
      </c>
    </row>
    <row r="894">
      <c r="M894" s="34" t="s">
        <v>260</v>
      </c>
      <c r="N894" s="34" t="str">
        <f>IFERROR(__xludf.DUMMYFUNCTION("""COMPUTED_VALUE"""),"")</f>
        <v/>
      </c>
    </row>
    <row r="895">
      <c r="M895" s="34" t="s">
        <v>260</v>
      </c>
      <c r="N895" s="34" t="str">
        <f>IFERROR(__xludf.DUMMYFUNCTION("""COMPUTED_VALUE"""),"")</f>
        <v/>
      </c>
    </row>
    <row r="896">
      <c r="M896" s="34" t="s">
        <v>260</v>
      </c>
      <c r="N896" s="34" t="str">
        <f>IFERROR(__xludf.DUMMYFUNCTION("""COMPUTED_VALUE"""),"")</f>
        <v/>
      </c>
    </row>
    <row r="897">
      <c r="M897" s="34" t="s">
        <v>260</v>
      </c>
      <c r="N897" s="34" t="str">
        <f>IFERROR(__xludf.DUMMYFUNCTION("""COMPUTED_VALUE"""),"")</f>
        <v/>
      </c>
    </row>
    <row r="898">
      <c r="M898" s="34" t="s">
        <v>260</v>
      </c>
      <c r="N898" s="34" t="str">
        <f>IFERROR(__xludf.DUMMYFUNCTION("""COMPUTED_VALUE"""),"")</f>
        <v/>
      </c>
    </row>
    <row r="899">
      <c r="M899" s="34" t="s">
        <v>260</v>
      </c>
      <c r="N899" s="34" t="str">
        <f>IFERROR(__xludf.DUMMYFUNCTION("""COMPUTED_VALUE"""),"")</f>
        <v/>
      </c>
    </row>
    <row r="900">
      <c r="M900" s="34" t="s">
        <v>260</v>
      </c>
      <c r="N900" s="34" t="str">
        <f>IFERROR(__xludf.DUMMYFUNCTION("""COMPUTED_VALUE"""),"")</f>
        <v/>
      </c>
    </row>
    <row r="901">
      <c r="M901" s="34" t="s">
        <v>260</v>
      </c>
      <c r="N901" s="34" t="str">
        <f>IFERROR(__xludf.DUMMYFUNCTION("""COMPUTED_VALUE"""),"")</f>
        <v/>
      </c>
    </row>
    <row r="902">
      <c r="M902" s="34" t="s">
        <v>260</v>
      </c>
      <c r="N902" s="34" t="str">
        <f>IFERROR(__xludf.DUMMYFUNCTION("""COMPUTED_VALUE"""),"")</f>
        <v/>
      </c>
    </row>
    <row r="903">
      <c r="M903" s="34" t="s">
        <v>260</v>
      </c>
      <c r="N903" s="34" t="str">
        <f>IFERROR(__xludf.DUMMYFUNCTION("""COMPUTED_VALUE"""),"")</f>
        <v/>
      </c>
    </row>
    <row r="904">
      <c r="M904" s="34" t="s">
        <v>260</v>
      </c>
      <c r="N904" s="34" t="str">
        <f>IFERROR(__xludf.DUMMYFUNCTION("""COMPUTED_VALUE"""),"")</f>
        <v/>
      </c>
    </row>
    <row r="905">
      <c r="M905" s="34" t="s">
        <v>260</v>
      </c>
      <c r="N905" s="34" t="str">
        <f>IFERROR(__xludf.DUMMYFUNCTION("""COMPUTED_VALUE"""),"")</f>
        <v/>
      </c>
    </row>
    <row r="906">
      <c r="M906" s="34" t="s">
        <v>260</v>
      </c>
      <c r="N906" s="34" t="str">
        <f>IFERROR(__xludf.DUMMYFUNCTION("""COMPUTED_VALUE"""),"")</f>
        <v/>
      </c>
    </row>
    <row r="907">
      <c r="M907" s="34" t="s">
        <v>260</v>
      </c>
      <c r="N907" s="34" t="str">
        <f>IFERROR(__xludf.DUMMYFUNCTION("""COMPUTED_VALUE"""),"")</f>
        <v/>
      </c>
    </row>
    <row r="908">
      <c r="M908" s="34" t="s">
        <v>260</v>
      </c>
      <c r="N908" s="34" t="str">
        <f>IFERROR(__xludf.DUMMYFUNCTION("""COMPUTED_VALUE"""),"")</f>
        <v/>
      </c>
    </row>
    <row r="909">
      <c r="M909" s="34" t="s">
        <v>260</v>
      </c>
      <c r="N909" s="34" t="str">
        <f>IFERROR(__xludf.DUMMYFUNCTION("""COMPUTED_VALUE"""),"")</f>
        <v/>
      </c>
    </row>
    <row r="910">
      <c r="M910" s="34" t="s">
        <v>260</v>
      </c>
      <c r="N910" s="34" t="str">
        <f>IFERROR(__xludf.DUMMYFUNCTION("""COMPUTED_VALUE"""),"")</f>
        <v/>
      </c>
    </row>
    <row r="911">
      <c r="M911" s="34" t="s">
        <v>260</v>
      </c>
      <c r="N911" s="34" t="str">
        <f>IFERROR(__xludf.DUMMYFUNCTION("""COMPUTED_VALUE"""),"")</f>
        <v/>
      </c>
    </row>
    <row r="912">
      <c r="M912" s="34" t="s">
        <v>260</v>
      </c>
      <c r="N912" s="34" t="str">
        <f>IFERROR(__xludf.DUMMYFUNCTION("""COMPUTED_VALUE"""),"")</f>
        <v/>
      </c>
    </row>
    <row r="913">
      <c r="M913" s="34" t="s">
        <v>260</v>
      </c>
      <c r="N913" s="34" t="str">
        <f>IFERROR(__xludf.DUMMYFUNCTION("""COMPUTED_VALUE"""),"")</f>
        <v/>
      </c>
    </row>
    <row r="914">
      <c r="M914" s="34" t="s">
        <v>260</v>
      </c>
      <c r="N914" s="34" t="str">
        <f>IFERROR(__xludf.DUMMYFUNCTION("""COMPUTED_VALUE"""),"")</f>
        <v/>
      </c>
    </row>
    <row r="915">
      <c r="M915" s="34" t="s">
        <v>260</v>
      </c>
      <c r="N915" s="34" t="str">
        <f>IFERROR(__xludf.DUMMYFUNCTION("""COMPUTED_VALUE"""),"")</f>
        <v/>
      </c>
    </row>
    <row r="916">
      <c r="M916" s="34" t="s">
        <v>260</v>
      </c>
      <c r="N916" s="34" t="str">
        <f>IFERROR(__xludf.DUMMYFUNCTION("""COMPUTED_VALUE"""),"")</f>
        <v/>
      </c>
    </row>
    <row r="917">
      <c r="M917" s="34" t="s">
        <v>260</v>
      </c>
      <c r="N917" s="34" t="str">
        <f>IFERROR(__xludf.DUMMYFUNCTION("""COMPUTED_VALUE"""),"")</f>
        <v/>
      </c>
    </row>
    <row r="918">
      <c r="M918" s="34" t="s">
        <v>260</v>
      </c>
      <c r="N918" s="34" t="str">
        <f>IFERROR(__xludf.DUMMYFUNCTION("""COMPUTED_VALUE"""),"")</f>
        <v/>
      </c>
    </row>
    <row r="919">
      <c r="M919" s="34" t="s">
        <v>260</v>
      </c>
      <c r="N919" s="34" t="str">
        <f>IFERROR(__xludf.DUMMYFUNCTION("""COMPUTED_VALUE"""),"")</f>
        <v/>
      </c>
    </row>
    <row r="920">
      <c r="M920" s="34" t="s">
        <v>260</v>
      </c>
      <c r="N920" s="34" t="str">
        <f>IFERROR(__xludf.DUMMYFUNCTION("""COMPUTED_VALUE"""),"")</f>
        <v/>
      </c>
    </row>
    <row r="921">
      <c r="M921" s="34" t="s">
        <v>260</v>
      </c>
      <c r="N921" s="34" t="str">
        <f>IFERROR(__xludf.DUMMYFUNCTION("""COMPUTED_VALUE"""),"")</f>
        <v/>
      </c>
    </row>
    <row r="922">
      <c r="M922" s="34" t="s">
        <v>260</v>
      </c>
      <c r="N922" s="34" t="str">
        <f>IFERROR(__xludf.DUMMYFUNCTION("""COMPUTED_VALUE"""),"")</f>
        <v/>
      </c>
    </row>
    <row r="923">
      <c r="M923" s="34" t="s">
        <v>260</v>
      </c>
      <c r="N923" s="34" t="str">
        <f>IFERROR(__xludf.DUMMYFUNCTION("""COMPUTED_VALUE"""),"")</f>
        <v/>
      </c>
    </row>
    <row r="924">
      <c r="M924" s="34" t="s">
        <v>260</v>
      </c>
      <c r="N924" s="34" t="str">
        <f>IFERROR(__xludf.DUMMYFUNCTION("""COMPUTED_VALUE"""),"")</f>
        <v/>
      </c>
    </row>
    <row r="925">
      <c r="M925" s="34" t="s">
        <v>260</v>
      </c>
      <c r="N925" s="34" t="str">
        <f>IFERROR(__xludf.DUMMYFUNCTION("""COMPUTED_VALUE"""),"")</f>
        <v/>
      </c>
    </row>
    <row r="926">
      <c r="M926" s="34" t="s">
        <v>260</v>
      </c>
      <c r="N926" s="34" t="str">
        <f>IFERROR(__xludf.DUMMYFUNCTION("""COMPUTED_VALUE"""),"")</f>
        <v/>
      </c>
    </row>
    <row r="927">
      <c r="M927" s="34" t="s">
        <v>260</v>
      </c>
      <c r="N927" s="34" t="str">
        <f>IFERROR(__xludf.DUMMYFUNCTION("""COMPUTED_VALUE"""),"")</f>
        <v/>
      </c>
    </row>
    <row r="928">
      <c r="M928" s="34" t="s">
        <v>260</v>
      </c>
      <c r="N928" s="34" t="str">
        <f>IFERROR(__xludf.DUMMYFUNCTION("""COMPUTED_VALUE"""),"")</f>
        <v/>
      </c>
    </row>
    <row r="929">
      <c r="M929" s="34" t="s">
        <v>260</v>
      </c>
      <c r="N929" s="34" t="str">
        <f>IFERROR(__xludf.DUMMYFUNCTION("""COMPUTED_VALUE"""),"")</f>
        <v/>
      </c>
    </row>
    <row r="930">
      <c r="M930" s="34" t="s">
        <v>260</v>
      </c>
      <c r="N930" s="34" t="str">
        <f>IFERROR(__xludf.DUMMYFUNCTION("""COMPUTED_VALUE"""),"")</f>
        <v/>
      </c>
    </row>
    <row r="931">
      <c r="M931" s="34" t="s">
        <v>260</v>
      </c>
      <c r="N931" s="34" t="str">
        <f>IFERROR(__xludf.DUMMYFUNCTION("""COMPUTED_VALUE"""),"")</f>
        <v/>
      </c>
    </row>
    <row r="932">
      <c r="M932" s="34" t="s">
        <v>260</v>
      </c>
      <c r="N932" s="34" t="str">
        <f>IFERROR(__xludf.DUMMYFUNCTION("""COMPUTED_VALUE"""),"")</f>
        <v/>
      </c>
    </row>
    <row r="933">
      <c r="M933" s="34" t="s">
        <v>260</v>
      </c>
      <c r="N933" s="34" t="str">
        <f>IFERROR(__xludf.DUMMYFUNCTION("""COMPUTED_VALUE"""),"")</f>
        <v/>
      </c>
    </row>
    <row r="934">
      <c r="M934" s="34" t="s">
        <v>260</v>
      </c>
      <c r="N934" s="34" t="str">
        <f>IFERROR(__xludf.DUMMYFUNCTION("""COMPUTED_VALUE"""),"")</f>
        <v/>
      </c>
    </row>
    <row r="935">
      <c r="M935" s="34" t="s">
        <v>260</v>
      </c>
      <c r="N935" s="34" t="str">
        <f>IFERROR(__xludf.DUMMYFUNCTION("""COMPUTED_VALUE"""),"")</f>
        <v/>
      </c>
    </row>
    <row r="936">
      <c r="M936" s="34" t="s">
        <v>260</v>
      </c>
      <c r="N936" s="34" t="str">
        <f>IFERROR(__xludf.DUMMYFUNCTION("""COMPUTED_VALUE"""),"")</f>
        <v/>
      </c>
    </row>
    <row r="937">
      <c r="M937" s="34" t="s">
        <v>260</v>
      </c>
      <c r="N937" s="34" t="str">
        <f>IFERROR(__xludf.DUMMYFUNCTION("""COMPUTED_VALUE"""),"")</f>
        <v/>
      </c>
    </row>
    <row r="938">
      <c r="M938" s="34" t="s">
        <v>260</v>
      </c>
      <c r="N938" s="34" t="str">
        <f>IFERROR(__xludf.DUMMYFUNCTION("""COMPUTED_VALUE"""),"")</f>
        <v/>
      </c>
    </row>
    <row r="939">
      <c r="M939" s="34" t="s">
        <v>260</v>
      </c>
      <c r="N939" s="34" t="str">
        <f>IFERROR(__xludf.DUMMYFUNCTION("""COMPUTED_VALUE"""),"")</f>
        <v/>
      </c>
    </row>
    <row r="940">
      <c r="M940" s="34" t="s">
        <v>260</v>
      </c>
      <c r="N940" s="34" t="str">
        <f>IFERROR(__xludf.DUMMYFUNCTION("""COMPUTED_VALUE"""),"")</f>
        <v/>
      </c>
    </row>
    <row r="941">
      <c r="M941" s="34" t="s">
        <v>260</v>
      </c>
      <c r="N941" s="34" t="str">
        <f>IFERROR(__xludf.DUMMYFUNCTION("""COMPUTED_VALUE"""),"")</f>
        <v/>
      </c>
    </row>
    <row r="942">
      <c r="M942" s="34" t="s">
        <v>260</v>
      </c>
      <c r="N942" s="34" t="str">
        <f>IFERROR(__xludf.DUMMYFUNCTION("""COMPUTED_VALUE"""),"")</f>
        <v/>
      </c>
    </row>
    <row r="943">
      <c r="M943" s="34" t="s">
        <v>260</v>
      </c>
      <c r="N943" s="34" t="str">
        <f>IFERROR(__xludf.DUMMYFUNCTION("""COMPUTED_VALUE"""),"")</f>
        <v/>
      </c>
    </row>
    <row r="944">
      <c r="M944" s="34" t="s">
        <v>260</v>
      </c>
      <c r="N944" s="34" t="str">
        <f>IFERROR(__xludf.DUMMYFUNCTION("""COMPUTED_VALUE"""),"")</f>
        <v/>
      </c>
    </row>
    <row r="945">
      <c r="M945" s="34" t="s">
        <v>260</v>
      </c>
      <c r="N945" s="34" t="str">
        <f>IFERROR(__xludf.DUMMYFUNCTION("""COMPUTED_VALUE"""),"")</f>
        <v/>
      </c>
    </row>
    <row r="946">
      <c r="M946" s="34" t="s">
        <v>260</v>
      </c>
      <c r="N946" s="34" t="str">
        <f>IFERROR(__xludf.DUMMYFUNCTION("""COMPUTED_VALUE"""),"")</f>
        <v/>
      </c>
    </row>
    <row r="947">
      <c r="M947" s="34" t="s">
        <v>260</v>
      </c>
      <c r="N947" s="34" t="str">
        <f>IFERROR(__xludf.DUMMYFUNCTION("""COMPUTED_VALUE"""),"")</f>
        <v/>
      </c>
    </row>
    <row r="948">
      <c r="M948" s="34" t="s">
        <v>260</v>
      </c>
      <c r="N948" s="34" t="str">
        <f>IFERROR(__xludf.DUMMYFUNCTION("""COMPUTED_VALUE"""),"")</f>
        <v/>
      </c>
    </row>
    <row r="949">
      <c r="M949" s="34" t="s">
        <v>260</v>
      </c>
      <c r="N949" s="34" t="str">
        <f>IFERROR(__xludf.DUMMYFUNCTION("""COMPUTED_VALUE"""),"")</f>
        <v/>
      </c>
    </row>
    <row r="950">
      <c r="M950" s="34" t="s">
        <v>260</v>
      </c>
      <c r="N950" s="34" t="str">
        <f>IFERROR(__xludf.DUMMYFUNCTION("""COMPUTED_VALUE"""),"")</f>
        <v/>
      </c>
    </row>
    <row r="951">
      <c r="M951" s="34" t="s">
        <v>260</v>
      </c>
      <c r="N951" s="34" t="str">
        <f>IFERROR(__xludf.DUMMYFUNCTION("""COMPUTED_VALUE"""),"")</f>
        <v/>
      </c>
    </row>
    <row r="952">
      <c r="M952" s="34" t="s">
        <v>260</v>
      </c>
      <c r="N952" s="34" t="str">
        <f>IFERROR(__xludf.DUMMYFUNCTION("""COMPUTED_VALUE"""),"")</f>
        <v/>
      </c>
    </row>
    <row r="953">
      <c r="M953" s="34" t="s">
        <v>260</v>
      </c>
      <c r="N953" s="34" t="str">
        <f>IFERROR(__xludf.DUMMYFUNCTION("""COMPUTED_VALUE"""),"")</f>
        <v/>
      </c>
    </row>
    <row r="954">
      <c r="M954" s="34" t="s">
        <v>260</v>
      </c>
      <c r="N954" s="34" t="str">
        <f>IFERROR(__xludf.DUMMYFUNCTION("""COMPUTED_VALUE"""),"")</f>
        <v/>
      </c>
    </row>
    <row r="955">
      <c r="M955" s="34" t="s">
        <v>260</v>
      </c>
      <c r="N955" s="34" t="str">
        <f>IFERROR(__xludf.DUMMYFUNCTION("""COMPUTED_VALUE"""),"")</f>
        <v/>
      </c>
    </row>
    <row r="956">
      <c r="M956" s="34" t="s">
        <v>260</v>
      </c>
      <c r="N956" s="34" t="str">
        <f>IFERROR(__xludf.DUMMYFUNCTION("""COMPUTED_VALUE"""),"")</f>
        <v/>
      </c>
    </row>
    <row r="957">
      <c r="M957" s="34" t="s">
        <v>260</v>
      </c>
      <c r="N957" s="34" t="str">
        <f>IFERROR(__xludf.DUMMYFUNCTION("""COMPUTED_VALUE"""),"")</f>
        <v/>
      </c>
    </row>
    <row r="958">
      <c r="M958" s="34" t="s">
        <v>260</v>
      </c>
      <c r="N958" s="34" t="str">
        <f>IFERROR(__xludf.DUMMYFUNCTION("""COMPUTED_VALUE"""),"")</f>
        <v/>
      </c>
    </row>
    <row r="959">
      <c r="M959" s="34" t="s">
        <v>260</v>
      </c>
      <c r="N959" s="34" t="str">
        <f>IFERROR(__xludf.DUMMYFUNCTION("""COMPUTED_VALUE"""),"")</f>
        <v/>
      </c>
    </row>
    <row r="960">
      <c r="M960" s="34" t="s">
        <v>260</v>
      </c>
      <c r="N960" s="34" t="str">
        <f>IFERROR(__xludf.DUMMYFUNCTION("""COMPUTED_VALUE"""),"")</f>
        <v/>
      </c>
    </row>
    <row r="961">
      <c r="M961" s="34" t="s">
        <v>260</v>
      </c>
      <c r="N961" s="34" t="str">
        <f>IFERROR(__xludf.DUMMYFUNCTION("""COMPUTED_VALUE"""),"")</f>
        <v/>
      </c>
    </row>
    <row r="962">
      <c r="M962" s="34" t="s">
        <v>260</v>
      </c>
      <c r="N962" s="34" t="str">
        <f>IFERROR(__xludf.DUMMYFUNCTION("""COMPUTED_VALUE"""),"")</f>
        <v/>
      </c>
    </row>
    <row r="963">
      <c r="M963" s="34" t="s">
        <v>260</v>
      </c>
      <c r="N963" s="34" t="str">
        <f>IFERROR(__xludf.DUMMYFUNCTION("""COMPUTED_VALUE"""),"")</f>
        <v/>
      </c>
    </row>
    <row r="964">
      <c r="M964" s="34" t="s">
        <v>260</v>
      </c>
      <c r="N964" s="34" t="str">
        <f>IFERROR(__xludf.DUMMYFUNCTION("""COMPUTED_VALUE"""),"")</f>
        <v/>
      </c>
    </row>
    <row r="965">
      <c r="M965" s="34" t="s">
        <v>260</v>
      </c>
      <c r="N965" s="34" t="str">
        <f>IFERROR(__xludf.DUMMYFUNCTION("""COMPUTED_VALUE"""),"")</f>
        <v/>
      </c>
    </row>
    <row r="966">
      <c r="M966" s="34" t="s">
        <v>260</v>
      </c>
      <c r="N966" s="34" t="str">
        <f>IFERROR(__xludf.DUMMYFUNCTION("""COMPUTED_VALUE"""),"")</f>
        <v/>
      </c>
    </row>
    <row r="967">
      <c r="M967" s="34" t="s">
        <v>260</v>
      </c>
      <c r="N967" s="34" t="str">
        <f>IFERROR(__xludf.DUMMYFUNCTION("""COMPUTED_VALUE"""),"")</f>
        <v/>
      </c>
    </row>
    <row r="968">
      <c r="M968" s="34" t="s">
        <v>260</v>
      </c>
      <c r="N968" s="34" t="str">
        <f>IFERROR(__xludf.DUMMYFUNCTION("""COMPUTED_VALUE"""),"")</f>
        <v/>
      </c>
    </row>
    <row r="969">
      <c r="M969" s="34" t="s">
        <v>260</v>
      </c>
      <c r="N969" s="34" t="str">
        <f>IFERROR(__xludf.DUMMYFUNCTION("""COMPUTED_VALUE"""),"")</f>
        <v/>
      </c>
    </row>
    <row r="970">
      <c r="M970" s="34" t="s">
        <v>260</v>
      </c>
      <c r="N970" s="34" t="str">
        <f>IFERROR(__xludf.DUMMYFUNCTION("""COMPUTED_VALUE"""),"")</f>
        <v/>
      </c>
    </row>
    <row r="971">
      <c r="M971" s="34" t="s">
        <v>260</v>
      </c>
      <c r="N971" s="34" t="str">
        <f>IFERROR(__xludf.DUMMYFUNCTION("""COMPUTED_VALUE"""),"")</f>
        <v/>
      </c>
    </row>
    <row r="972">
      <c r="M972" s="34" t="s">
        <v>260</v>
      </c>
      <c r="N972" s="34" t="str">
        <f>IFERROR(__xludf.DUMMYFUNCTION("""COMPUTED_VALUE"""),"")</f>
        <v/>
      </c>
    </row>
    <row r="973">
      <c r="M973" s="34" t="s">
        <v>260</v>
      </c>
      <c r="N973" s="34" t="str">
        <f>IFERROR(__xludf.DUMMYFUNCTION("""COMPUTED_VALUE"""),"")</f>
        <v/>
      </c>
    </row>
    <row r="974">
      <c r="M974" s="34" t="s">
        <v>260</v>
      </c>
      <c r="N974" s="34" t="str">
        <f>IFERROR(__xludf.DUMMYFUNCTION("""COMPUTED_VALUE"""),"")</f>
        <v/>
      </c>
    </row>
    <row r="975">
      <c r="M975" s="34" t="s">
        <v>260</v>
      </c>
      <c r="N975" s="34" t="str">
        <f>IFERROR(__xludf.DUMMYFUNCTION("""COMPUTED_VALUE"""),"")</f>
        <v/>
      </c>
    </row>
    <row r="976">
      <c r="M976" s="34" t="s">
        <v>260</v>
      </c>
      <c r="N976" s="34" t="str">
        <f>IFERROR(__xludf.DUMMYFUNCTION("""COMPUTED_VALUE"""),"")</f>
        <v/>
      </c>
    </row>
    <row r="977">
      <c r="M977" s="34" t="s">
        <v>260</v>
      </c>
      <c r="N977" s="34" t="str">
        <f>IFERROR(__xludf.DUMMYFUNCTION("""COMPUTED_VALUE"""),"")</f>
        <v/>
      </c>
    </row>
    <row r="978">
      <c r="M978" s="34" t="s">
        <v>260</v>
      </c>
      <c r="N978" s="34" t="str">
        <f>IFERROR(__xludf.DUMMYFUNCTION("""COMPUTED_VALUE"""),"")</f>
        <v/>
      </c>
    </row>
    <row r="979">
      <c r="M979" s="34" t="s">
        <v>260</v>
      </c>
      <c r="N979" s="34" t="str">
        <f>IFERROR(__xludf.DUMMYFUNCTION("""COMPUTED_VALUE"""),"")</f>
        <v/>
      </c>
    </row>
    <row r="980">
      <c r="M980" s="34" t="s">
        <v>260</v>
      </c>
      <c r="N980" s="34" t="str">
        <f>IFERROR(__xludf.DUMMYFUNCTION("""COMPUTED_VALUE"""),"")</f>
        <v/>
      </c>
    </row>
    <row r="981">
      <c r="M981" s="34" t="s">
        <v>260</v>
      </c>
      <c r="N981" s="34" t="str">
        <f>IFERROR(__xludf.DUMMYFUNCTION("""COMPUTED_VALUE"""),"")</f>
        <v/>
      </c>
    </row>
    <row r="982">
      <c r="M982" s="34" t="s">
        <v>260</v>
      </c>
      <c r="N982" s="34" t="str">
        <f>IFERROR(__xludf.DUMMYFUNCTION("""COMPUTED_VALUE"""),"")</f>
        <v/>
      </c>
    </row>
    <row r="983">
      <c r="M983" s="34" t="s">
        <v>260</v>
      </c>
      <c r="N983" s="34" t="str">
        <f>IFERROR(__xludf.DUMMYFUNCTION("""COMPUTED_VALUE"""),"")</f>
        <v/>
      </c>
    </row>
    <row r="984">
      <c r="M984" s="34" t="s">
        <v>260</v>
      </c>
      <c r="N984" s="34" t="str">
        <f>IFERROR(__xludf.DUMMYFUNCTION("""COMPUTED_VALUE"""),"")</f>
        <v/>
      </c>
    </row>
    <row r="985">
      <c r="M985" s="34" t="s">
        <v>260</v>
      </c>
      <c r="N985" s="34" t="str">
        <f>IFERROR(__xludf.DUMMYFUNCTION("""COMPUTED_VALUE"""),"")</f>
        <v/>
      </c>
    </row>
    <row r="986">
      <c r="M986" s="34" t="s">
        <v>260</v>
      </c>
      <c r="N986" s="34" t="str">
        <f>IFERROR(__xludf.DUMMYFUNCTION("""COMPUTED_VALUE"""),"")</f>
        <v/>
      </c>
    </row>
    <row r="987">
      <c r="M987" s="34" t="s">
        <v>260</v>
      </c>
      <c r="N987" s="34" t="str">
        <f>IFERROR(__xludf.DUMMYFUNCTION("""COMPUTED_VALUE"""),"")</f>
        <v/>
      </c>
    </row>
    <row r="988">
      <c r="M988" s="34" t="s">
        <v>260</v>
      </c>
      <c r="N988" s="34" t="str">
        <f>IFERROR(__xludf.DUMMYFUNCTION("""COMPUTED_VALUE"""),"")</f>
        <v/>
      </c>
    </row>
    <row r="989">
      <c r="M989" s="34" t="s">
        <v>260</v>
      </c>
      <c r="N989" s="34" t="str">
        <f>IFERROR(__xludf.DUMMYFUNCTION("""COMPUTED_VALUE"""),"")</f>
        <v/>
      </c>
    </row>
    <row r="990">
      <c r="M990" s="34" t="s">
        <v>260</v>
      </c>
      <c r="N990" s="34" t="str">
        <f>IFERROR(__xludf.DUMMYFUNCTION("""COMPUTED_VALUE"""),"")</f>
        <v/>
      </c>
    </row>
    <row r="991">
      <c r="M991" s="34" t="s">
        <v>260</v>
      </c>
      <c r="N991" s="34" t="str">
        <f>IFERROR(__xludf.DUMMYFUNCTION("""COMPUTED_VALUE"""),"")</f>
        <v/>
      </c>
    </row>
    <row r="992">
      <c r="M992" s="34" t="s">
        <v>260</v>
      </c>
      <c r="N992" s="34" t="str">
        <f>IFERROR(__xludf.DUMMYFUNCTION("""COMPUTED_VALUE"""),"")</f>
        <v/>
      </c>
    </row>
    <row r="993">
      <c r="M993" s="34" t="s">
        <v>260</v>
      </c>
      <c r="N993" s="34" t="str">
        <f>IFERROR(__xludf.DUMMYFUNCTION("""COMPUTED_VALUE"""),"")</f>
        <v/>
      </c>
    </row>
    <row r="994">
      <c r="M994" s="34" t="s">
        <v>260</v>
      </c>
      <c r="N994" s="34" t="str">
        <f>IFERROR(__xludf.DUMMYFUNCTION("""COMPUTED_VALUE"""),"")</f>
        <v/>
      </c>
    </row>
    <row r="995">
      <c r="M995" s="34" t="s">
        <v>260</v>
      </c>
      <c r="N995" s="34" t="str">
        <f>IFERROR(__xludf.DUMMYFUNCTION("""COMPUTED_VALUE"""),"")</f>
        <v/>
      </c>
    </row>
    <row r="996">
      <c r="M996" s="34" t="s">
        <v>260</v>
      </c>
      <c r="N996" s="34" t="str">
        <f>IFERROR(__xludf.DUMMYFUNCTION("""COMPUTED_VALUE"""),"")</f>
        <v/>
      </c>
    </row>
    <row r="997">
      <c r="M997" s="34" t="s">
        <v>260</v>
      </c>
      <c r="N997" s="34" t="str">
        <f>IFERROR(__xludf.DUMMYFUNCTION("""COMPUTED_VALUE"""),"")</f>
        <v/>
      </c>
    </row>
    <row r="998">
      <c r="M998" s="34" t="s">
        <v>260</v>
      </c>
      <c r="N998" s="34" t="str">
        <f>IFERROR(__xludf.DUMMYFUNCTION("""COMPUTED_VALUE"""),"")</f>
        <v/>
      </c>
    </row>
    <row r="999">
      <c r="M999" s="34" t="s">
        <v>260</v>
      </c>
      <c r="N999" s="34" t="str">
        <f>IFERROR(__xludf.DUMMYFUNCTION("""COMPUTED_VALUE"""),"")</f>
        <v/>
      </c>
    </row>
    <row r="1000">
      <c r="M1000" s="34" t="s">
        <v>260</v>
      </c>
      <c r="N1000" s="34" t="str">
        <f>IFERROR(__xludf.DUMMYFUNCTION("""COMPUTED_VALUE"""),"")</f>
        <v/>
      </c>
    </row>
  </sheetData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5"/>
  </cols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</row>
    <row r="2">
      <c r="A2" s="39">
        <v>1.0</v>
      </c>
      <c r="B2" s="39" t="s">
        <v>602</v>
      </c>
      <c r="C2" s="40" t="s">
        <v>18</v>
      </c>
      <c r="D2" s="40" t="s">
        <v>603</v>
      </c>
      <c r="E2" s="40" t="s">
        <v>20</v>
      </c>
      <c r="F2" s="41" t="s">
        <v>21</v>
      </c>
      <c r="G2" s="41" t="s">
        <v>21</v>
      </c>
      <c r="H2" s="41" t="s">
        <v>22</v>
      </c>
      <c r="I2" s="42">
        <v>1.0</v>
      </c>
      <c r="J2" s="43"/>
      <c r="K2" s="42">
        <v>0.0</v>
      </c>
      <c r="L2" s="42">
        <v>0.0</v>
      </c>
      <c r="M2" s="42">
        <v>0.0</v>
      </c>
      <c r="N2" s="42">
        <v>0.0</v>
      </c>
      <c r="O2" s="46"/>
    </row>
    <row r="3">
      <c r="A3" s="42">
        <v>1.1</v>
      </c>
      <c r="B3" s="41" t="s">
        <v>604</v>
      </c>
      <c r="C3" s="40" t="s">
        <v>18</v>
      </c>
      <c r="D3" s="40" t="s">
        <v>605</v>
      </c>
      <c r="E3" s="46"/>
      <c r="F3" s="41" t="s">
        <v>21</v>
      </c>
      <c r="G3" s="41">
        <v>14.0</v>
      </c>
      <c r="H3" s="41" t="s">
        <v>22</v>
      </c>
      <c r="I3" s="42">
        <v>3.0</v>
      </c>
      <c r="J3" s="43"/>
      <c r="K3" s="44">
        <v>46530.0</v>
      </c>
      <c r="L3" s="44">
        <v>139590.0</v>
      </c>
      <c r="M3" s="42">
        <v>0.0</v>
      </c>
      <c r="N3" s="44">
        <v>139590.0</v>
      </c>
      <c r="O3" s="46"/>
    </row>
    <row r="4">
      <c r="A4" s="42" t="s">
        <v>606</v>
      </c>
      <c r="B4" s="41" t="s">
        <v>607</v>
      </c>
      <c r="C4" s="40" t="s">
        <v>18</v>
      </c>
      <c r="D4" s="40" t="s">
        <v>608</v>
      </c>
      <c r="E4" s="46"/>
      <c r="F4" s="41">
        <v>24.0</v>
      </c>
      <c r="G4" s="41" t="s">
        <v>21</v>
      </c>
      <c r="H4" s="41" t="s">
        <v>22</v>
      </c>
      <c r="I4" s="42">
        <v>3.0</v>
      </c>
      <c r="J4" s="43"/>
      <c r="K4" s="44">
        <v>7422.26</v>
      </c>
      <c r="L4" s="44">
        <v>22266.78</v>
      </c>
      <c r="M4" s="42">
        <v>0.0</v>
      </c>
      <c r="N4" s="44">
        <v>22266.78</v>
      </c>
      <c r="O4" s="40" t="s">
        <v>26</v>
      </c>
    </row>
    <row r="5">
      <c r="A5" s="42" t="s">
        <v>30</v>
      </c>
      <c r="B5" s="41" t="s">
        <v>609</v>
      </c>
      <c r="C5" s="40" t="s">
        <v>18</v>
      </c>
      <c r="D5" s="40" t="s">
        <v>610</v>
      </c>
      <c r="E5" s="46"/>
      <c r="F5" s="41" t="s">
        <v>21</v>
      </c>
      <c r="G5" s="41">
        <v>21.0</v>
      </c>
      <c r="H5" s="41" t="s">
        <v>22</v>
      </c>
      <c r="I5" s="42">
        <v>3.0</v>
      </c>
      <c r="J5" s="43"/>
      <c r="K5" s="42">
        <v>0.0</v>
      </c>
      <c r="L5" s="42">
        <v>0.0</v>
      </c>
      <c r="M5" s="42">
        <v>0.0</v>
      </c>
      <c r="N5" s="42">
        <v>0.0</v>
      </c>
      <c r="O5" s="46"/>
    </row>
    <row r="6">
      <c r="A6" s="42" t="s">
        <v>611</v>
      </c>
      <c r="B6" s="41" t="s">
        <v>612</v>
      </c>
      <c r="C6" s="40" t="s">
        <v>18</v>
      </c>
      <c r="D6" s="40" t="s">
        <v>613</v>
      </c>
      <c r="E6" s="46"/>
      <c r="F6" s="41" t="s">
        <v>21</v>
      </c>
      <c r="G6" s="41">
        <v>7.0</v>
      </c>
      <c r="H6" s="41" t="s">
        <v>22</v>
      </c>
      <c r="I6" s="42">
        <v>6.0</v>
      </c>
      <c r="J6" s="43"/>
      <c r="K6" s="42">
        <v>0.0</v>
      </c>
      <c r="L6" s="42">
        <v>0.0</v>
      </c>
      <c r="M6" s="42">
        <v>0.0</v>
      </c>
      <c r="N6" s="42">
        <v>0.0</v>
      </c>
      <c r="O6" s="46"/>
    </row>
    <row r="7">
      <c r="A7" s="42" t="s">
        <v>614</v>
      </c>
      <c r="B7" s="41" t="s">
        <v>615</v>
      </c>
      <c r="C7" s="40" t="s">
        <v>18</v>
      </c>
      <c r="D7" s="40" t="s">
        <v>616</v>
      </c>
      <c r="E7" s="46"/>
      <c r="F7" s="41" t="s">
        <v>21</v>
      </c>
      <c r="G7" s="41">
        <v>14.0</v>
      </c>
      <c r="H7" s="41" t="s">
        <v>29</v>
      </c>
      <c r="I7" s="42">
        <v>3.0</v>
      </c>
      <c r="J7" s="43"/>
      <c r="K7" s="42">
        <v>0.0</v>
      </c>
      <c r="L7" s="42">
        <v>0.0</v>
      </c>
      <c r="M7" s="42">
        <v>0.0</v>
      </c>
      <c r="N7" s="42">
        <v>0.0</v>
      </c>
      <c r="O7" s="46"/>
    </row>
    <row r="8">
      <c r="A8" s="42" t="s">
        <v>617</v>
      </c>
      <c r="B8" s="41" t="s">
        <v>618</v>
      </c>
      <c r="C8" s="40" t="s">
        <v>18</v>
      </c>
      <c r="D8" s="40" t="s">
        <v>619</v>
      </c>
      <c r="E8" s="46"/>
      <c r="F8" s="41" t="s">
        <v>21</v>
      </c>
      <c r="G8" s="41">
        <v>14.0</v>
      </c>
      <c r="H8" s="41" t="s">
        <v>29</v>
      </c>
      <c r="I8" s="42">
        <v>3.0</v>
      </c>
      <c r="J8" s="43"/>
      <c r="K8" s="42">
        <v>0.0</v>
      </c>
      <c r="L8" s="42">
        <v>0.0</v>
      </c>
      <c r="M8" s="42">
        <v>0.0</v>
      </c>
      <c r="N8" s="42">
        <v>0.0</v>
      </c>
      <c r="O8" s="46"/>
    </row>
    <row r="9">
      <c r="A9" s="42" t="s">
        <v>620</v>
      </c>
      <c r="B9" s="41" t="s">
        <v>621</v>
      </c>
      <c r="C9" s="40" t="s">
        <v>18</v>
      </c>
      <c r="D9" s="40" t="s">
        <v>622</v>
      </c>
      <c r="E9" s="46"/>
      <c r="F9" s="41" t="s">
        <v>21</v>
      </c>
      <c r="G9" s="41">
        <v>14.0</v>
      </c>
      <c r="H9" s="41" t="s">
        <v>29</v>
      </c>
      <c r="I9" s="42">
        <v>3.0</v>
      </c>
      <c r="J9" s="43"/>
      <c r="K9" s="42">
        <v>0.0</v>
      </c>
      <c r="L9" s="42">
        <v>0.0</v>
      </c>
      <c r="M9" s="42">
        <v>0.0</v>
      </c>
      <c r="N9" s="42">
        <v>0.0</v>
      </c>
      <c r="O9" s="46"/>
    </row>
    <row r="10">
      <c r="A10" s="42" t="s">
        <v>623</v>
      </c>
      <c r="B10" s="41" t="s">
        <v>624</v>
      </c>
      <c r="C10" s="40" t="s">
        <v>18</v>
      </c>
      <c r="D10" s="40" t="s">
        <v>625</v>
      </c>
      <c r="E10" s="46"/>
      <c r="F10" s="41" t="s">
        <v>21</v>
      </c>
      <c r="G10" s="41">
        <v>14.0</v>
      </c>
      <c r="H10" s="41" t="s">
        <v>29</v>
      </c>
      <c r="I10" s="42">
        <v>24.0</v>
      </c>
      <c r="J10" s="43"/>
      <c r="K10" s="42">
        <v>0.0</v>
      </c>
      <c r="L10" s="42">
        <v>0.0</v>
      </c>
      <c r="M10" s="42">
        <v>0.0</v>
      </c>
      <c r="N10" s="42">
        <v>0.0</v>
      </c>
      <c r="O10" s="46"/>
    </row>
    <row r="11">
      <c r="A11" s="42" t="s">
        <v>626</v>
      </c>
      <c r="B11" s="41" t="s">
        <v>627</v>
      </c>
      <c r="C11" s="40" t="s">
        <v>18</v>
      </c>
      <c r="D11" s="40" t="s">
        <v>628</v>
      </c>
      <c r="E11" s="46"/>
      <c r="F11" s="41" t="s">
        <v>21</v>
      </c>
      <c r="G11" s="41">
        <v>14.0</v>
      </c>
      <c r="H11" s="41" t="s">
        <v>29</v>
      </c>
      <c r="I11" s="42">
        <v>3.0</v>
      </c>
      <c r="J11" s="43"/>
      <c r="K11" s="42">
        <v>0.0</v>
      </c>
      <c r="L11" s="42">
        <v>0.0</v>
      </c>
      <c r="M11" s="42">
        <v>0.0</v>
      </c>
      <c r="N11" s="42">
        <v>0.0</v>
      </c>
      <c r="O11" s="46"/>
    </row>
    <row r="12">
      <c r="A12" s="42" t="s">
        <v>629</v>
      </c>
      <c r="B12" s="41" t="s">
        <v>630</v>
      </c>
      <c r="C12" s="40" t="s">
        <v>18</v>
      </c>
      <c r="D12" s="40" t="s">
        <v>631</v>
      </c>
      <c r="E12" s="46"/>
      <c r="F12" s="41" t="s">
        <v>21</v>
      </c>
      <c r="G12" s="41">
        <v>14.0</v>
      </c>
      <c r="H12" s="41" t="s">
        <v>29</v>
      </c>
      <c r="I12" s="42">
        <v>6.0</v>
      </c>
      <c r="J12" s="43"/>
      <c r="K12" s="42">
        <v>0.0</v>
      </c>
      <c r="L12" s="42">
        <v>0.0</v>
      </c>
      <c r="M12" s="42">
        <v>0.0</v>
      </c>
      <c r="N12" s="42">
        <v>0.0</v>
      </c>
      <c r="O12" s="46"/>
    </row>
    <row r="13">
      <c r="A13" s="42" t="s">
        <v>632</v>
      </c>
      <c r="B13" s="41" t="s">
        <v>633</v>
      </c>
      <c r="C13" s="40" t="s">
        <v>18</v>
      </c>
      <c r="D13" s="40" t="s">
        <v>634</v>
      </c>
      <c r="E13" s="46"/>
      <c r="F13" s="41" t="s">
        <v>21</v>
      </c>
      <c r="G13" s="41">
        <v>35.0</v>
      </c>
      <c r="H13" s="41" t="s">
        <v>29</v>
      </c>
      <c r="I13" s="42">
        <v>3.0</v>
      </c>
      <c r="J13" s="43"/>
      <c r="K13" s="42">
        <v>0.0</v>
      </c>
      <c r="L13" s="42">
        <v>0.0</v>
      </c>
      <c r="M13" s="42">
        <v>0.0</v>
      </c>
      <c r="N13" s="42">
        <v>0.0</v>
      </c>
      <c r="O13" s="46"/>
    </row>
    <row r="14">
      <c r="A14" s="42" t="s">
        <v>635</v>
      </c>
      <c r="B14" s="41" t="s">
        <v>636</v>
      </c>
      <c r="C14" s="40" t="s">
        <v>18</v>
      </c>
      <c r="D14" s="40" t="s">
        <v>637</v>
      </c>
      <c r="E14" s="46"/>
      <c r="F14" s="41" t="s">
        <v>21</v>
      </c>
      <c r="G14" s="41">
        <v>14.0</v>
      </c>
      <c r="H14" s="41" t="s">
        <v>29</v>
      </c>
      <c r="I14" s="42">
        <v>3.0</v>
      </c>
      <c r="J14" s="43"/>
      <c r="K14" s="42">
        <v>0.0</v>
      </c>
      <c r="L14" s="42">
        <v>0.0</v>
      </c>
      <c r="M14" s="42">
        <v>0.0</v>
      </c>
      <c r="N14" s="42">
        <v>0.0</v>
      </c>
      <c r="O14" s="46"/>
    </row>
    <row r="15">
      <c r="A15" s="42" t="s">
        <v>638</v>
      </c>
      <c r="B15" s="41" t="s">
        <v>639</v>
      </c>
      <c r="C15" s="40" t="s">
        <v>18</v>
      </c>
      <c r="D15" s="40" t="s">
        <v>640</v>
      </c>
      <c r="E15" s="46"/>
      <c r="F15" s="41" t="s">
        <v>21</v>
      </c>
      <c r="G15" s="41">
        <v>14.0</v>
      </c>
      <c r="H15" s="41" t="s">
        <v>29</v>
      </c>
      <c r="I15" s="42">
        <v>3.0</v>
      </c>
      <c r="J15" s="43"/>
      <c r="K15" s="42">
        <v>0.0</v>
      </c>
      <c r="L15" s="42">
        <v>0.0</v>
      </c>
      <c r="M15" s="42">
        <v>0.0</v>
      </c>
      <c r="N15" s="42">
        <v>0.0</v>
      </c>
      <c r="O15" s="46"/>
    </row>
    <row r="16">
      <c r="A16" s="42" t="s">
        <v>641</v>
      </c>
      <c r="B16" s="41" t="s">
        <v>642</v>
      </c>
      <c r="C16" s="40" t="s">
        <v>18</v>
      </c>
      <c r="D16" s="40" t="s">
        <v>643</v>
      </c>
      <c r="E16" s="46"/>
      <c r="F16" s="41" t="s">
        <v>21</v>
      </c>
      <c r="G16" s="41">
        <v>14.0</v>
      </c>
      <c r="H16" s="41" t="s">
        <v>29</v>
      </c>
      <c r="I16" s="42">
        <v>6.0</v>
      </c>
      <c r="J16" s="43"/>
      <c r="K16" s="42">
        <v>0.0</v>
      </c>
      <c r="L16" s="42">
        <v>0.0</v>
      </c>
      <c r="M16" s="42">
        <v>0.0</v>
      </c>
      <c r="N16" s="42">
        <v>0.0</v>
      </c>
      <c r="O16" s="46"/>
    </row>
    <row r="17">
      <c r="A17" s="42" t="s">
        <v>644</v>
      </c>
      <c r="B17" s="41" t="s">
        <v>645</v>
      </c>
      <c r="C17" s="40" t="s">
        <v>18</v>
      </c>
      <c r="D17" s="40" t="s">
        <v>646</v>
      </c>
      <c r="E17" s="46"/>
      <c r="F17" s="41" t="s">
        <v>21</v>
      </c>
      <c r="G17" s="41">
        <v>14.0</v>
      </c>
      <c r="H17" s="41" t="s">
        <v>29</v>
      </c>
      <c r="I17" s="42">
        <v>3.0</v>
      </c>
      <c r="J17" s="43"/>
      <c r="K17" s="42">
        <v>0.0</v>
      </c>
      <c r="L17" s="42">
        <v>0.0</v>
      </c>
      <c r="M17" s="42">
        <v>0.0</v>
      </c>
      <c r="N17" s="42">
        <v>0.0</v>
      </c>
      <c r="O17" s="46"/>
    </row>
    <row r="18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50" t="s">
        <v>63</v>
      </c>
      <c r="N18" s="51">
        <v>161856.78</v>
      </c>
      <c r="O18" s="52"/>
    </row>
    <row r="19">
      <c r="A19" s="39">
        <v>2.0</v>
      </c>
      <c r="B19" s="39" t="s">
        <v>647</v>
      </c>
      <c r="C19" s="40" t="s">
        <v>18</v>
      </c>
      <c r="D19" s="40" t="s">
        <v>648</v>
      </c>
      <c r="E19" s="40" t="s">
        <v>20</v>
      </c>
      <c r="F19" s="41" t="s">
        <v>21</v>
      </c>
      <c r="G19" s="41">
        <v>56.0</v>
      </c>
      <c r="H19" s="41" t="s">
        <v>22</v>
      </c>
      <c r="I19" s="42">
        <v>1.0</v>
      </c>
      <c r="J19" s="43"/>
      <c r="K19" s="44">
        <v>15351.02</v>
      </c>
      <c r="L19" s="44">
        <v>15351.02</v>
      </c>
      <c r="M19" s="42">
        <v>0.0</v>
      </c>
      <c r="N19" s="44">
        <v>15351.02</v>
      </c>
      <c r="O19" s="46"/>
    </row>
    <row r="20">
      <c r="A20" s="42" t="s">
        <v>66</v>
      </c>
      <c r="B20" s="41" t="s">
        <v>649</v>
      </c>
      <c r="C20" s="40" t="s">
        <v>18</v>
      </c>
      <c r="D20" s="40" t="s">
        <v>650</v>
      </c>
      <c r="E20" s="46"/>
      <c r="F20" s="41">
        <v>24.0</v>
      </c>
      <c r="G20" s="41" t="s">
        <v>21</v>
      </c>
      <c r="H20" s="41" t="s">
        <v>22</v>
      </c>
      <c r="I20" s="42">
        <v>1.0</v>
      </c>
      <c r="J20" s="43"/>
      <c r="K20" s="44">
        <v>28946.5</v>
      </c>
      <c r="L20" s="44">
        <v>28946.5</v>
      </c>
      <c r="M20" s="42">
        <v>0.0</v>
      </c>
      <c r="N20" s="44">
        <v>28946.5</v>
      </c>
      <c r="O20" s="40" t="s">
        <v>26</v>
      </c>
    </row>
    <row r="21">
      <c r="A21" s="42">
        <v>2.1</v>
      </c>
      <c r="B21" s="41" t="s">
        <v>651</v>
      </c>
      <c r="C21" s="40" t="s">
        <v>18</v>
      </c>
      <c r="D21" s="40" t="s">
        <v>652</v>
      </c>
      <c r="E21" s="46"/>
      <c r="F21" s="41" t="s">
        <v>21</v>
      </c>
      <c r="G21" s="41">
        <v>56.0</v>
      </c>
      <c r="H21" s="41" t="s">
        <v>22</v>
      </c>
      <c r="I21" s="42">
        <v>1.0</v>
      </c>
      <c r="J21" s="43"/>
      <c r="K21" s="42">
        <v>0.0</v>
      </c>
      <c r="L21" s="42">
        <v>0.0</v>
      </c>
      <c r="M21" s="42">
        <v>0.0</v>
      </c>
      <c r="N21" s="42">
        <v>0.0</v>
      </c>
      <c r="O21" s="46"/>
    </row>
    <row r="22">
      <c r="A22" s="42">
        <v>2.2</v>
      </c>
      <c r="B22" s="41" t="s">
        <v>653</v>
      </c>
      <c r="C22" s="40" t="s">
        <v>18</v>
      </c>
      <c r="D22" s="40" t="s">
        <v>654</v>
      </c>
      <c r="E22" s="46"/>
      <c r="F22" s="41" t="s">
        <v>21</v>
      </c>
      <c r="G22" s="41">
        <v>21.0</v>
      </c>
      <c r="H22" s="41" t="s">
        <v>22</v>
      </c>
      <c r="I22" s="42">
        <v>1.0</v>
      </c>
      <c r="J22" s="43"/>
      <c r="K22" s="42">
        <v>0.0</v>
      </c>
      <c r="L22" s="42">
        <v>0.0</v>
      </c>
      <c r="M22" s="42">
        <v>0.0</v>
      </c>
      <c r="N22" s="42">
        <v>0.0</v>
      </c>
      <c r="O22" s="46"/>
    </row>
    <row r="23">
      <c r="A23" s="42">
        <v>2.3</v>
      </c>
      <c r="B23" s="41" t="s">
        <v>655</v>
      </c>
      <c r="C23" s="40" t="s">
        <v>18</v>
      </c>
      <c r="D23" s="40" t="s">
        <v>656</v>
      </c>
      <c r="E23" s="46"/>
      <c r="F23" s="41" t="s">
        <v>21</v>
      </c>
      <c r="G23" s="41">
        <v>56.0</v>
      </c>
      <c r="H23" s="41" t="s">
        <v>22</v>
      </c>
      <c r="I23" s="42">
        <v>3.0</v>
      </c>
      <c r="J23" s="43"/>
      <c r="K23" s="44">
        <v>5103.91</v>
      </c>
      <c r="L23" s="44">
        <v>15311.73</v>
      </c>
      <c r="M23" s="42">
        <v>0.0</v>
      </c>
      <c r="N23" s="44">
        <v>15311.73</v>
      </c>
      <c r="O23" s="46"/>
    </row>
    <row r="24">
      <c r="A24" s="42">
        <v>2.4</v>
      </c>
      <c r="B24" s="41" t="s">
        <v>657</v>
      </c>
      <c r="C24" s="40" t="s">
        <v>18</v>
      </c>
      <c r="D24" s="40" t="s">
        <v>658</v>
      </c>
      <c r="E24" s="46"/>
      <c r="F24" s="41" t="s">
        <v>21</v>
      </c>
      <c r="G24" s="41">
        <v>56.0</v>
      </c>
      <c r="H24" s="41" t="s">
        <v>22</v>
      </c>
      <c r="I24" s="42">
        <v>4.0</v>
      </c>
      <c r="J24" s="43"/>
      <c r="K24" s="44">
        <v>6754.45</v>
      </c>
      <c r="L24" s="44">
        <v>27017.8</v>
      </c>
      <c r="M24" s="42">
        <v>0.0</v>
      </c>
      <c r="N24" s="44">
        <v>27017.8</v>
      </c>
      <c r="O24" s="46"/>
    </row>
    <row r="25">
      <c r="A25" s="42">
        <v>2.5</v>
      </c>
      <c r="B25" s="41" t="s">
        <v>659</v>
      </c>
      <c r="C25" s="40" t="s">
        <v>18</v>
      </c>
      <c r="D25" s="40" t="s">
        <v>660</v>
      </c>
      <c r="E25" s="46"/>
      <c r="F25" s="41" t="s">
        <v>21</v>
      </c>
      <c r="G25" s="41">
        <v>2.0</v>
      </c>
      <c r="H25" s="41" t="s">
        <v>22</v>
      </c>
      <c r="I25" s="42">
        <v>1.0</v>
      </c>
      <c r="J25" s="43"/>
      <c r="K25" s="42">
        <v>0.0</v>
      </c>
      <c r="L25" s="42">
        <v>0.0</v>
      </c>
      <c r="M25" s="42">
        <v>0.0</v>
      </c>
      <c r="N25" s="42">
        <v>0.0</v>
      </c>
      <c r="O25" s="46"/>
    </row>
    <row r="26">
      <c r="A26" s="42">
        <v>2.6</v>
      </c>
      <c r="B26" s="41" t="s">
        <v>661</v>
      </c>
      <c r="C26" s="40" t="s">
        <v>29</v>
      </c>
      <c r="D26" s="40" t="s">
        <v>662</v>
      </c>
      <c r="E26" s="46"/>
      <c r="F26" s="41" t="s">
        <v>21</v>
      </c>
      <c r="G26" s="41">
        <v>14.0</v>
      </c>
      <c r="H26" s="41" t="s">
        <v>22</v>
      </c>
      <c r="I26" s="42">
        <v>1.0</v>
      </c>
      <c r="J26" s="43"/>
      <c r="K26" s="42">
        <v>0.0</v>
      </c>
      <c r="L26" s="42">
        <v>0.0</v>
      </c>
      <c r="M26" s="42">
        <v>0.0</v>
      </c>
      <c r="N26" s="42">
        <v>0.0</v>
      </c>
      <c r="O26" s="46"/>
    </row>
    <row r="27">
      <c r="A27" s="42">
        <v>2.7</v>
      </c>
      <c r="B27" s="41" t="s">
        <v>663</v>
      </c>
      <c r="C27" s="40" t="s">
        <v>18</v>
      </c>
      <c r="D27" s="40" t="s">
        <v>664</v>
      </c>
      <c r="E27" s="46"/>
      <c r="F27" s="41" t="s">
        <v>21</v>
      </c>
      <c r="G27" s="41">
        <v>56.0</v>
      </c>
      <c r="H27" s="41" t="s">
        <v>29</v>
      </c>
      <c r="I27" s="42">
        <v>2.0</v>
      </c>
      <c r="J27" s="43"/>
      <c r="K27" s="42">
        <v>0.0</v>
      </c>
      <c r="L27" s="42">
        <v>0.0</v>
      </c>
      <c r="M27" s="42">
        <v>0.0</v>
      </c>
      <c r="N27" s="42">
        <v>0.0</v>
      </c>
      <c r="O27" s="46"/>
    </row>
    <row r="28">
      <c r="A28" s="42">
        <v>2.8</v>
      </c>
      <c r="B28" s="41" t="s">
        <v>665</v>
      </c>
      <c r="C28" s="40" t="s">
        <v>18</v>
      </c>
      <c r="D28" s="40" t="s">
        <v>666</v>
      </c>
      <c r="E28" s="46"/>
      <c r="F28" s="41" t="s">
        <v>21</v>
      </c>
      <c r="G28" s="41">
        <v>56.0</v>
      </c>
      <c r="H28" s="41" t="s">
        <v>22</v>
      </c>
      <c r="I28" s="42">
        <v>5.0</v>
      </c>
      <c r="J28" s="43"/>
      <c r="K28" s="44">
        <v>28709.48</v>
      </c>
      <c r="L28" s="44">
        <v>143547.4</v>
      </c>
      <c r="M28" s="42">
        <v>0.0</v>
      </c>
      <c r="N28" s="44">
        <v>143547.4</v>
      </c>
      <c r="O28" s="46"/>
    </row>
    <row r="29">
      <c r="A29" s="42">
        <v>2.9</v>
      </c>
      <c r="B29" s="41" t="s">
        <v>667</v>
      </c>
      <c r="C29" s="40" t="s">
        <v>18</v>
      </c>
      <c r="D29" s="40" t="s">
        <v>668</v>
      </c>
      <c r="E29" s="46"/>
      <c r="F29" s="41" t="s">
        <v>21</v>
      </c>
      <c r="G29" s="41">
        <v>56.0</v>
      </c>
      <c r="H29" s="41" t="s">
        <v>29</v>
      </c>
      <c r="I29" s="42">
        <v>1.0</v>
      </c>
      <c r="J29" s="43"/>
      <c r="K29" s="42">
        <v>0.0</v>
      </c>
      <c r="L29" s="42">
        <v>0.0</v>
      </c>
      <c r="M29" s="42">
        <v>0.0</v>
      </c>
      <c r="N29" s="42">
        <v>0.0</v>
      </c>
      <c r="O29" s="46"/>
    </row>
    <row r="30">
      <c r="A30" s="42">
        <v>2.1</v>
      </c>
      <c r="B30" s="41" t="s">
        <v>669</v>
      </c>
      <c r="C30" s="40" t="s">
        <v>18</v>
      </c>
      <c r="D30" s="40" t="s">
        <v>670</v>
      </c>
      <c r="E30" s="46"/>
      <c r="F30" s="41" t="s">
        <v>21</v>
      </c>
      <c r="G30" s="41">
        <v>14.0</v>
      </c>
      <c r="H30" s="41" t="s">
        <v>29</v>
      </c>
      <c r="I30" s="42">
        <v>4.0</v>
      </c>
      <c r="J30" s="43"/>
      <c r="K30" s="42">
        <v>0.0</v>
      </c>
      <c r="L30" s="42">
        <v>0.0</v>
      </c>
      <c r="M30" s="42">
        <v>0.0</v>
      </c>
      <c r="N30" s="42">
        <v>0.0</v>
      </c>
      <c r="O30" s="46"/>
    </row>
    <row r="31">
      <c r="A31" s="42">
        <v>2.11</v>
      </c>
      <c r="B31" s="41" t="s">
        <v>671</v>
      </c>
      <c r="C31" s="40" t="s">
        <v>18</v>
      </c>
      <c r="D31" s="40" t="s">
        <v>672</v>
      </c>
      <c r="E31" s="46"/>
      <c r="F31" s="41" t="s">
        <v>21</v>
      </c>
      <c r="G31" s="41">
        <v>56.0</v>
      </c>
      <c r="H31" s="41" t="s">
        <v>29</v>
      </c>
      <c r="I31" s="42">
        <v>1.0</v>
      </c>
      <c r="J31" s="43"/>
      <c r="K31" s="42">
        <v>0.0</v>
      </c>
      <c r="L31" s="42">
        <v>0.0</v>
      </c>
      <c r="M31" s="42">
        <v>0.0</v>
      </c>
      <c r="N31" s="42">
        <v>0.0</v>
      </c>
      <c r="O31" s="46"/>
    </row>
    <row r="32">
      <c r="A32" s="42">
        <v>2.12</v>
      </c>
      <c r="B32" s="41" t="s">
        <v>673</v>
      </c>
      <c r="C32" s="40" t="s">
        <v>18</v>
      </c>
      <c r="D32" s="40" t="s">
        <v>674</v>
      </c>
      <c r="E32" s="46"/>
      <c r="F32" s="41" t="s">
        <v>21</v>
      </c>
      <c r="G32" s="41">
        <v>56.0</v>
      </c>
      <c r="H32" s="41" t="s">
        <v>22</v>
      </c>
      <c r="I32" s="42">
        <v>1.0</v>
      </c>
      <c r="J32" s="43"/>
      <c r="K32" s="44">
        <v>32726.66</v>
      </c>
      <c r="L32" s="44">
        <v>32726.66</v>
      </c>
      <c r="M32" s="42">
        <v>0.0</v>
      </c>
      <c r="N32" s="44">
        <v>32726.66</v>
      </c>
      <c r="O32" s="46"/>
    </row>
    <row r="33">
      <c r="A33" s="42">
        <v>2.13</v>
      </c>
      <c r="B33" s="41" t="s">
        <v>673</v>
      </c>
      <c r="C33" s="40" t="s">
        <v>18</v>
      </c>
      <c r="D33" s="40" t="s">
        <v>674</v>
      </c>
      <c r="E33" s="46"/>
      <c r="F33" s="41" t="s">
        <v>21</v>
      </c>
      <c r="G33" s="41">
        <v>56.0</v>
      </c>
      <c r="H33" s="41" t="s">
        <v>22</v>
      </c>
      <c r="I33" s="42">
        <v>1.0</v>
      </c>
      <c r="J33" s="43"/>
      <c r="K33" s="44">
        <v>32726.66</v>
      </c>
      <c r="L33" s="44">
        <v>32726.66</v>
      </c>
      <c r="M33" s="42">
        <v>0.0</v>
      </c>
      <c r="N33" s="44">
        <v>32726.66</v>
      </c>
      <c r="O33" s="46"/>
    </row>
    <row r="34">
      <c r="A34" s="42">
        <v>2.14</v>
      </c>
      <c r="B34" s="41" t="s">
        <v>675</v>
      </c>
      <c r="C34" s="40" t="s">
        <v>18</v>
      </c>
      <c r="D34" s="40" t="s">
        <v>676</v>
      </c>
      <c r="E34" s="46"/>
      <c r="F34" s="41" t="s">
        <v>21</v>
      </c>
      <c r="G34" s="41">
        <v>2.0</v>
      </c>
      <c r="H34" s="41" t="s">
        <v>22</v>
      </c>
      <c r="I34" s="42">
        <v>1.0</v>
      </c>
      <c r="J34" s="43"/>
      <c r="K34" s="44">
        <v>1830.51</v>
      </c>
      <c r="L34" s="44">
        <v>65898.36</v>
      </c>
      <c r="M34" s="42">
        <v>0.0</v>
      </c>
      <c r="N34" s="44">
        <v>65898.36</v>
      </c>
      <c r="O34" s="46"/>
    </row>
    <row r="35">
      <c r="A35" s="42">
        <v>2.15</v>
      </c>
      <c r="B35" s="41" t="s">
        <v>677</v>
      </c>
      <c r="C35" s="40" t="s">
        <v>18</v>
      </c>
      <c r="D35" s="40" t="s">
        <v>678</v>
      </c>
      <c r="E35" s="46"/>
      <c r="F35" s="41" t="s">
        <v>21</v>
      </c>
      <c r="G35" s="41">
        <v>2.0</v>
      </c>
      <c r="H35" s="41" t="s">
        <v>22</v>
      </c>
      <c r="I35" s="42">
        <v>1.0</v>
      </c>
      <c r="J35" s="43"/>
      <c r="K35" s="42">
        <v>0.0</v>
      </c>
      <c r="L35" s="42">
        <v>0.0</v>
      </c>
      <c r="M35" s="42">
        <v>0.0</v>
      </c>
      <c r="N35" s="42">
        <v>0.0</v>
      </c>
      <c r="O35" s="46"/>
    </row>
    <row r="36">
      <c r="A36" s="42">
        <v>2.16</v>
      </c>
      <c r="B36" s="41" t="s">
        <v>679</v>
      </c>
      <c r="C36" s="40" t="s">
        <v>18</v>
      </c>
      <c r="D36" s="40" t="s">
        <v>680</v>
      </c>
      <c r="E36" s="46"/>
      <c r="F36" s="41" t="s">
        <v>21</v>
      </c>
      <c r="G36" s="41">
        <v>2.0</v>
      </c>
      <c r="H36" s="41" t="s">
        <v>22</v>
      </c>
      <c r="I36" s="42">
        <v>1.0</v>
      </c>
      <c r="J36" s="43"/>
      <c r="K36" s="42">
        <v>0.0</v>
      </c>
      <c r="L36" s="42">
        <v>0.0</v>
      </c>
      <c r="M36" s="42">
        <v>0.0</v>
      </c>
      <c r="N36" s="42">
        <v>0.0</v>
      </c>
      <c r="O36" s="46"/>
    </row>
    <row r="37">
      <c r="A37" s="42">
        <v>2.17</v>
      </c>
      <c r="B37" s="41" t="s">
        <v>681</v>
      </c>
      <c r="C37" s="40" t="s">
        <v>18</v>
      </c>
      <c r="D37" s="40" t="s">
        <v>660</v>
      </c>
      <c r="E37" s="46"/>
      <c r="F37" s="41" t="s">
        <v>21</v>
      </c>
      <c r="G37" s="41">
        <v>2.0</v>
      </c>
      <c r="H37" s="41" t="s">
        <v>22</v>
      </c>
      <c r="I37" s="42">
        <v>1.0</v>
      </c>
      <c r="J37" s="43"/>
      <c r="K37" s="42">
        <v>0.0</v>
      </c>
      <c r="L37" s="42">
        <v>0.0</v>
      </c>
      <c r="M37" s="42">
        <v>0.0</v>
      </c>
      <c r="N37" s="42">
        <v>0.0</v>
      </c>
      <c r="O37" s="46"/>
    </row>
    <row r="38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50" t="s">
        <v>63</v>
      </c>
      <c r="N38" s="51">
        <v>361526.13</v>
      </c>
      <c r="O38" s="52"/>
    </row>
    <row r="39">
      <c r="A39" s="39">
        <v>3.0</v>
      </c>
      <c r="B39" s="39" t="s">
        <v>682</v>
      </c>
      <c r="C39" s="40" t="s">
        <v>18</v>
      </c>
      <c r="D39" s="40" t="s">
        <v>683</v>
      </c>
      <c r="E39" s="40" t="s">
        <v>20</v>
      </c>
      <c r="F39" s="41" t="s">
        <v>21</v>
      </c>
      <c r="G39" s="41">
        <v>56.0</v>
      </c>
      <c r="H39" s="41" t="s">
        <v>22</v>
      </c>
      <c r="I39" s="42">
        <v>1.0</v>
      </c>
      <c r="J39" s="43"/>
      <c r="K39" s="44">
        <v>56066.35</v>
      </c>
      <c r="L39" s="44">
        <v>56066.35</v>
      </c>
      <c r="M39" s="42">
        <v>0.0</v>
      </c>
      <c r="N39" s="44">
        <v>56066.35</v>
      </c>
      <c r="O39" s="46"/>
    </row>
    <row r="40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50" t="s">
        <v>63</v>
      </c>
      <c r="N40" s="51">
        <v>56066.35</v>
      </c>
      <c r="O40" s="52"/>
    </row>
    <row r="41">
      <c r="A41" s="39">
        <v>4.0</v>
      </c>
      <c r="B41" s="39" t="s">
        <v>684</v>
      </c>
      <c r="C41" s="40" t="s">
        <v>18</v>
      </c>
      <c r="D41" s="40" t="s">
        <v>685</v>
      </c>
      <c r="E41" s="40" t="s">
        <v>20</v>
      </c>
      <c r="F41" s="41" t="s">
        <v>21</v>
      </c>
      <c r="G41" s="41">
        <v>70.0</v>
      </c>
      <c r="H41" s="41" t="s">
        <v>22</v>
      </c>
      <c r="I41" s="42">
        <v>1.0</v>
      </c>
      <c r="J41" s="43"/>
      <c r="K41" s="44">
        <v>55138.71</v>
      </c>
      <c r="L41" s="44">
        <v>55138.71</v>
      </c>
      <c r="M41" s="42">
        <v>0.0</v>
      </c>
      <c r="N41" s="44">
        <v>55138.71</v>
      </c>
      <c r="O41" s="46"/>
    </row>
    <row r="42">
      <c r="A42" s="42" t="s">
        <v>100</v>
      </c>
      <c r="B42" s="41" t="s">
        <v>686</v>
      </c>
      <c r="C42" s="40" t="s">
        <v>18</v>
      </c>
      <c r="D42" s="40" t="s">
        <v>687</v>
      </c>
      <c r="E42" s="46"/>
      <c r="F42" s="41">
        <v>24.0</v>
      </c>
      <c r="G42" s="41" t="s">
        <v>21</v>
      </c>
      <c r="H42" s="41" t="s">
        <v>22</v>
      </c>
      <c r="I42" s="42">
        <v>1.0</v>
      </c>
      <c r="J42" s="43"/>
      <c r="K42" s="44">
        <v>7587.26</v>
      </c>
      <c r="L42" s="44">
        <v>7587.26</v>
      </c>
      <c r="M42" s="42">
        <v>0.0</v>
      </c>
      <c r="N42" s="44">
        <v>7587.26</v>
      </c>
      <c r="O42" s="40" t="s">
        <v>26</v>
      </c>
    </row>
    <row r="43">
      <c r="A43" s="42">
        <v>4.1</v>
      </c>
      <c r="B43" s="41" t="s">
        <v>688</v>
      </c>
      <c r="C43" s="40" t="s">
        <v>18</v>
      </c>
      <c r="D43" s="40" t="s">
        <v>689</v>
      </c>
      <c r="E43" s="46"/>
      <c r="F43" s="41" t="s">
        <v>21</v>
      </c>
      <c r="G43" s="41">
        <v>14.0</v>
      </c>
      <c r="H43" s="41" t="s">
        <v>22</v>
      </c>
      <c r="I43" s="42">
        <v>1.0</v>
      </c>
      <c r="J43" s="43"/>
      <c r="K43" s="42">
        <v>0.0</v>
      </c>
      <c r="L43" s="42">
        <v>0.0</v>
      </c>
      <c r="M43" s="42">
        <v>0.0</v>
      </c>
      <c r="N43" s="42">
        <v>0.0</v>
      </c>
      <c r="O43" s="46"/>
    </row>
    <row r="44">
      <c r="A44" s="42">
        <v>4.2</v>
      </c>
      <c r="B44" s="41" t="s">
        <v>690</v>
      </c>
      <c r="C44" s="40" t="s">
        <v>18</v>
      </c>
      <c r="D44" s="40" t="s">
        <v>654</v>
      </c>
      <c r="E44" s="46"/>
      <c r="F44" s="41" t="s">
        <v>21</v>
      </c>
      <c r="G44" s="41">
        <v>21.0</v>
      </c>
      <c r="H44" s="41" t="s">
        <v>22</v>
      </c>
      <c r="I44" s="42">
        <v>1.0</v>
      </c>
      <c r="J44" s="43"/>
      <c r="K44" s="42">
        <v>0.0</v>
      </c>
      <c r="L44" s="42">
        <v>0.0</v>
      </c>
      <c r="M44" s="42">
        <v>0.0</v>
      </c>
      <c r="N44" s="42">
        <v>0.0</v>
      </c>
      <c r="O44" s="46"/>
    </row>
    <row r="45">
      <c r="A45" s="42">
        <v>4.3</v>
      </c>
      <c r="B45" s="41" t="s">
        <v>661</v>
      </c>
      <c r="C45" s="40" t="s">
        <v>29</v>
      </c>
      <c r="D45" s="40" t="s">
        <v>662</v>
      </c>
      <c r="E45" s="46"/>
      <c r="F45" s="41" t="s">
        <v>21</v>
      </c>
      <c r="G45" s="41">
        <v>14.0</v>
      </c>
      <c r="H45" s="41" t="s">
        <v>22</v>
      </c>
      <c r="I45" s="42">
        <v>1.0</v>
      </c>
      <c r="J45" s="43"/>
      <c r="K45" s="42">
        <v>0.0</v>
      </c>
      <c r="L45" s="42">
        <v>0.0</v>
      </c>
      <c r="M45" s="42">
        <v>0.0</v>
      </c>
      <c r="N45" s="42">
        <v>0.0</v>
      </c>
      <c r="O45" s="46"/>
    </row>
    <row r="46">
      <c r="A46" s="42">
        <v>4.4</v>
      </c>
      <c r="B46" s="41" t="s">
        <v>691</v>
      </c>
      <c r="C46" s="40" t="s">
        <v>18</v>
      </c>
      <c r="D46" s="40" t="s">
        <v>692</v>
      </c>
      <c r="E46" s="46"/>
      <c r="F46" s="41" t="s">
        <v>21</v>
      </c>
      <c r="G46" s="41">
        <v>14.0</v>
      </c>
      <c r="H46" s="41" t="s">
        <v>29</v>
      </c>
      <c r="I46" s="42">
        <v>1.0</v>
      </c>
      <c r="J46" s="43"/>
      <c r="K46" s="42">
        <v>0.0</v>
      </c>
      <c r="L46" s="42">
        <v>0.0</v>
      </c>
      <c r="M46" s="42">
        <v>0.0</v>
      </c>
      <c r="N46" s="42">
        <v>0.0</v>
      </c>
      <c r="O46" s="46"/>
    </row>
    <row r="47">
      <c r="A47" s="42">
        <v>4.5</v>
      </c>
      <c r="B47" s="41" t="s">
        <v>693</v>
      </c>
      <c r="C47" s="40" t="s">
        <v>18</v>
      </c>
      <c r="D47" s="40" t="s">
        <v>694</v>
      </c>
      <c r="E47" s="46"/>
      <c r="F47" s="41" t="s">
        <v>21</v>
      </c>
      <c r="G47" s="41">
        <v>14.0</v>
      </c>
      <c r="H47" s="41" t="s">
        <v>29</v>
      </c>
      <c r="I47" s="42">
        <v>6.0</v>
      </c>
      <c r="J47" s="43"/>
      <c r="K47" s="42">
        <v>0.0</v>
      </c>
      <c r="L47" s="42">
        <v>0.0</v>
      </c>
      <c r="M47" s="42">
        <v>0.0</v>
      </c>
      <c r="N47" s="42">
        <v>0.0</v>
      </c>
      <c r="O47" s="46"/>
    </row>
    <row r="48">
      <c r="A48" s="42">
        <v>4.6</v>
      </c>
      <c r="B48" s="41" t="s">
        <v>695</v>
      </c>
      <c r="C48" s="40" t="s">
        <v>18</v>
      </c>
      <c r="D48" s="40" t="s">
        <v>696</v>
      </c>
      <c r="E48" s="46"/>
      <c r="F48" s="41" t="s">
        <v>21</v>
      </c>
      <c r="G48" s="41">
        <v>14.0</v>
      </c>
      <c r="H48" s="41" t="s">
        <v>29</v>
      </c>
      <c r="I48" s="42">
        <v>2.0</v>
      </c>
      <c r="J48" s="43"/>
      <c r="K48" s="42">
        <v>0.0</v>
      </c>
      <c r="L48" s="42">
        <v>0.0</v>
      </c>
      <c r="M48" s="42">
        <v>0.0</v>
      </c>
      <c r="N48" s="42">
        <v>0.0</v>
      </c>
      <c r="O48" s="46"/>
    </row>
    <row r="49">
      <c r="A49" s="42">
        <v>4.7</v>
      </c>
      <c r="B49" s="41" t="s">
        <v>612</v>
      </c>
      <c r="C49" s="40" t="s">
        <v>18</v>
      </c>
      <c r="D49" s="40" t="s">
        <v>613</v>
      </c>
      <c r="E49" s="46"/>
      <c r="F49" s="41" t="s">
        <v>21</v>
      </c>
      <c r="G49" s="41">
        <v>7.0</v>
      </c>
      <c r="H49" s="41" t="s">
        <v>22</v>
      </c>
      <c r="I49" s="42">
        <v>2.0</v>
      </c>
      <c r="J49" s="43"/>
      <c r="K49" s="42">
        <v>0.0</v>
      </c>
      <c r="L49" s="42">
        <v>0.0</v>
      </c>
      <c r="M49" s="42">
        <v>0.0</v>
      </c>
      <c r="N49" s="42">
        <v>0.0</v>
      </c>
      <c r="O49" s="46"/>
    </row>
    <row r="50">
      <c r="A50" s="42">
        <v>4.8</v>
      </c>
      <c r="B50" s="41" t="s">
        <v>659</v>
      </c>
      <c r="C50" s="40" t="s">
        <v>18</v>
      </c>
      <c r="D50" s="40" t="s">
        <v>660</v>
      </c>
      <c r="E50" s="46"/>
      <c r="F50" s="41" t="s">
        <v>21</v>
      </c>
      <c r="G50" s="41">
        <v>2.0</v>
      </c>
      <c r="H50" s="41" t="s">
        <v>22</v>
      </c>
      <c r="I50" s="42">
        <v>1.0</v>
      </c>
      <c r="J50" s="43"/>
      <c r="K50" s="42">
        <v>0.0</v>
      </c>
      <c r="L50" s="42">
        <v>0.0</v>
      </c>
      <c r="M50" s="42">
        <v>0.0</v>
      </c>
      <c r="N50" s="42">
        <v>0.0</v>
      </c>
      <c r="O50" s="46"/>
    </row>
    <row r="51">
      <c r="A51" s="42">
        <v>4.9</v>
      </c>
      <c r="B51" s="41" t="s">
        <v>697</v>
      </c>
      <c r="C51" s="40" t="s">
        <v>29</v>
      </c>
      <c r="D51" s="40" t="s">
        <v>698</v>
      </c>
      <c r="E51" s="46"/>
      <c r="F51" s="41" t="s">
        <v>21</v>
      </c>
      <c r="G51" s="41">
        <v>2.0</v>
      </c>
      <c r="H51" s="41" t="s">
        <v>22</v>
      </c>
      <c r="I51" s="42">
        <v>1.0</v>
      </c>
      <c r="J51" s="43"/>
      <c r="K51" s="44">
        <v>1553.72</v>
      </c>
      <c r="L51" s="44">
        <v>55933.92</v>
      </c>
      <c r="M51" s="42">
        <v>0.0</v>
      </c>
      <c r="N51" s="44">
        <v>55933.92</v>
      </c>
      <c r="O51" s="46"/>
    </row>
    <row r="52">
      <c r="A52" s="42">
        <v>4.1</v>
      </c>
      <c r="B52" s="41" t="s">
        <v>699</v>
      </c>
      <c r="C52" s="40" t="s">
        <v>29</v>
      </c>
      <c r="D52" s="40" t="s">
        <v>700</v>
      </c>
      <c r="E52" s="46"/>
      <c r="F52" s="41" t="s">
        <v>21</v>
      </c>
      <c r="G52" s="41">
        <v>2.0</v>
      </c>
      <c r="H52" s="41" t="s">
        <v>22</v>
      </c>
      <c r="I52" s="42">
        <v>1.0</v>
      </c>
      <c r="J52" s="43"/>
      <c r="K52" s="42">
        <v>0.0</v>
      </c>
      <c r="L52" s="42">
        <v>0.0</v>
      </c>
      <c r="M52" s="42">
        <v>0.0</v>
      </c>
      <c r="N52" s="42">
        <v>0.0</v>
      </c>
      <c r="O52" s="46"/>
    </row>
    <row r="53">
      <c r="A53" s="42">
        <v>4.11</v>
      </c>
      <c r="B53" s="41" t="s">
        <v>681</v>
      </c>
      <c r="C53" s="40" t="s">
        <v>18</v>
      </c>
      <c r="D53" s="40" t="s">
        <v>660</v>
      </c>
      <c r="E53" s="46"/>
      <c r="F53" s="41" t="s">
        <v>21</v>
      </c>
      <c r="G53" s="41">
        <v>2.0</v>
      </c>
      <c r="H53" s="41" t="s">
        <v>22</v>
      </c>
      <c r="I53" s="42">
        <v>1.0</v>
      </c>
      <c r="J53" s="43"/>
      <c r="K53" s="42">
        <v>0.0</v>
      </c>
      <c r="L53" s="42">
        <v>0.0</v>
      </c>
      <c r="M53" s="42">
        <v>0.0</v>
      </c>
      <c r="N53" s="42">
        <v>0.0</v>
      </c>
      <c r="O53" s="46"/>
    </row>
    <row r="54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50" t="s">
        <v>63</v>
      </c>
      <c r="N54" s="51">
        <v>118659.89</v>
      </c>
      <c r="O54" s="52"/>
    </row>
    <row r="55">
      <c r="A55" s="39">
        <v>5.0</v>
      </c>
      <c r="B55" s="39" t="s">
        <v>701</v>
      </c>
      <c r="C55" s="40" t="s">
        <v>18</v>
      </c>
      <c r="D55" s="40" t="s">
        <v>702</v>
      </c>
      <c r="E55" s="40" t="s">
        <v>20</v>
      </c>
      <c r="F55" s="41" t="s">
        <v>21</v>
      </c>
      <c r="G55" s="41">
        <v>14.0</v>
      </c>
      <c r="H55" s="41" t="s">
        <v>22</v>
      </c>
      <c r="I55" s="42">
        <v>1.0</v>
      </c>
      <c r="J55" s="43"/>
      <c r="K55" s="44">
        <v>37352.94</v>
      </c>
      <c r="L55" s="44">
        <v>37352.94</v>
      </c>
      <c r="M55" s="42">
        <v>0.0</v>
      </c>
      <c r="N55" s="44">
        <v>37352.94</v>
      </c>
      <c r="O55" s="46"/>
    </row>
    <row r="56">
      <c r="A56" s="42" t="s">
        <v>117</v>
      </c>
      <c r="B56" s="41" t="s">
        <v>703</v>
      </c>
      <c r="C56" s="40" t="s">
        <v>18</v>
      </c>
      <c r="D56" s="40" t="s">
        <v>704</v>
      </c>
      <c r="E56" s="46"/>
      <c r="F56" s="41">
        <v>24.0</v>
      </c>
      <c r="G56" s="41" t="s">
        <v>21</v>
      </c>
      <c r="H56" s="41" t="s">
        <v>22</v>
      </c>
      <c r="I56" s="42">
        <v>1.0</v>
      </c>
      <c r="J56" s="43"/>
      <c r="K56" s="44">
        <v>4790.5</v>
      </c>
      <c r="L56" s="44">
        <v>4790.5</v>
      </c>
      <c r="M56" s="42">
        <v>0.0</v>
      </c>
      <c r="N56" s="44">
        <v>4790.5</v>
      </c>
      <c r="O56" s="40" t="s">
        <v>26</v>
      </c>
    </row>
    <row r="57">
      <c r="A57" s="42">
        <v>5.1</v>
      </c>
      <c r="B57" s="41" t="s">
        <v>688</v>
      </c>
      <c r="C57" s="40" t="s">
        <v>18</v>
      </c>
      <c r="D57" s="40" t="s">
        <v>689</v>
      </c>
      <c r="E57" s="46"/>
      <c r="F57" s="41" t="s">
        <v>21</v>
      </c>
      <c r="G57" s="41">
        <v>14.0</v>
      </c>
      <c r="H57" s="41" t="s">
        <v>22</v>
      </c>
      <c r="I57" s="42">
        <v>1.0</v>
      </c>
      <c r="J57" s="43"/>
      <c r="K57" s="42">
        <v>0.0</v>
      </c>
      <c r="L57" s="42">
        <v>0.0</v>
      </c>
      <c r="M57" s="42">
        <v>0.0</v>
      </c>
      <c r="N57" s="42">
        <v>0.0</v>
      </c>
      <c r="O57" s="46"/>
    </row>
    <row r="58">
      <c r="A58" s="42">
        <v>5.2</v>
      </c>
      <c r="B58" s="41" t="s">
        <v>690</v>
      </c>
      <c r="C58" s="40" t="s">
        <v>18</v>
      </c>
      <c r="D58" s="40" t="s">
        <v>654</v>
      </c>
      <c r="E58" s="46"/>
      <c r="F58" s="41" t="s">
        <v>21</v>
      </c>
      <c r="G58" s="41">
        <v>21.0</v>
      </c>
      <c r="H58" s="41" t="s">
        <v>22</v>
      </c>
      <c r="I58" s="42">
        <v>1.0</v>
      </c>
      <c r="J58" s="43"/>
      <c r="K58" s="42">
        <v>0.0</v>
      </c>
      <c r="L58" s="42">
        <v>0.0</v>
      </c>
      <c r="M58" s="42">
        <v>0.0</v>
      </c>
      <c r="N58" s="42">
        <v>0.0</v>
      </c>
      <c r="O58" s="46"/>
    </row>
    <row r="59">
      <c r="A59" s="42">
        <v>5.3</v>
      </c>
      <c r="B59" s="41" t="s">
        <v>661</v>
      </c>
      <c r="C59" s="40" t="s">
        <v>29</v>
      </c>
      <c r="D59" s="40" t="s">
        <v>662</v>
      </c>
      <c r="E59" s="46"/>
      <c r="F59" s="41" t="s">
        <v>21</v>
      </c>
      <c r="G59" s="41">
        <v>14.0</v>
      </c>
      <c r="H59" s="41" t="s">
        <v>22</v>
      </c>
      <c r="I59" s="42">
        <v>1.0</v>
      </c>
      <c r="J59" s="43"/>
      <c r="K59" s="42">
        <v>0.0</v>
      </c>
      <c r="L59" s="42">
        <v>0.0</v>
      </c>
      <c r="M59" s="42">
        <v>0.0</v>
      </c>
      <c r="N59" s="42">
        <v>0.0</v>
      </c>
      <c r="O59" s="46"/>
    </row>
    <row r="60">
      <c r="A60" s="42">
        <v>5.4</v>
      </c>
      <c r="B60" s="41" t="s">
        <v>691</v>
      </c>
      <c r="C60" s="40" t="s">
        <v>18</v>
      </c>
      <c r="D60" s="40" t="s">
        <v>692</v>
      </c>
      <c r="E60" s="46"/>
      <c r="F60" s="41" t="s">
        <v>21</v>
      </c>
      <c r="G60" s="41">
        <v>14.0</v>
      </c>
      <c r="H60" s="41" t="s">
        <v>29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</row>
    <row r="61">
      <c r="A61" s="42">
        <v>5.5</v>
      </c>
      <c r="B61" s="41" t="s">
        <v>693</v>
      </c>
      <c r="C61" s="40" t="s">
        <v>18</v>
      </c>
      <c r="D61" s="40" t="s">
        <v>694</v>
      </c>
      <c r="E61" s="46"/>
      <c r="F61" s="41" t="s">
        <v>21</v>
      </c>
      <c r="G61" s="41">
        <v>14.0</v>
      </c>
      <c r="H61" s="41" t="s">
        <v>29</v>
      </c>
      <c r="I61" s="42">
        <v>4.0</v>
      </c>
      <c r="J61" s="43"/>
      <c r="K61" s="42">
        <v>0.0</v>
      </c>
      <c r="L61" s="42">
        <v>0.0</v>
      </c>
      <c r="M61" s="42">
        <v>0.0</v>
      </c>
      <c r="N61" s="42">
        <v>0.0</v>
      </c>
      <c r="O61" s="46"/>
    </row>
    <row r="62">
      <c r="A62" s="42">
        <v>5.6</v>
      </c>
      <c r="B62" s="41" t="s">
        <v>705</v>
      </c>
      <c r="C62" s="40" t="s">
        <v>18</v>
      </c>
      <c r="D62" s="40" t="s">
        <v>706</v>
      </c>
      <c r="E62" s="46"/>
      <c r="F62" s="41" t="s">
        <v>21</v>
      </c>
      <c r="G62" s="41">
        <v>14.0</v>
      </c>
      <c r="H62" s="41" t="s">
        <v>22</v>
      </c>
      <c r="I62" s="42">
        <v>1.0</v>
      </c>
      <c r="J62" s="43"/>
      <c r="K62" s="44">
        <v>1973.24</v>
      </c>
      <c r="L62" s="44">
        <v>1973.24</v>
      </c>
      <c r="M62" s="42">
        <v>0.0</v>
      </c>
      <c r="N62" s="44">
        <v>1973.24</v>
      </c>
      <c r="O62" s="46"/>
    </row>
    <row r="63">
      <c r="A63" s="42">
        <v>5.7</v>
      </c>
      <c r="B63" s="41" t="s">
        <v>707</v>
      </c>
      <c r="C63" s="40" t="s">
        <v>18</v>
      </c>
      <c r="D63" s="40" t="s">
        <v>708</v>
      </c>
      <c r="E63" s="46"/>
      <c r="F63" s="41" t="s">
        <v>21</v>
      </c>
      <c r="G63" s="41">
        <v>14.0</v>
      </c>
      <c r="H63" s="41" t="s">
        <v>29</v>
      </c>
      <c r="I63" s="42">
        <v>2.0</v>
      </c>
      <c r="J63" s="43"/>
      <c r="K63" s="42">
        <v>0.0</v>
      </c>
      <c r="L63" s="42">
        <v>0.0</v>
      </c>
      <c r="M63" s="42">
        <v>0.0</v>
      </c>
      <c r="N63" s="42">
        <v>0.0</v>
      </c>
      <c r="O63" s="46"/>
    </row>
    <row r="64">
      <c r="A64" s="42">
        <v>5.8</v>
      </c>
      <c r="B64" s="41" t="s">
        <v>612</v>
      </c>
      <c r="C64" s="40" t="s">
        <v>18</v>
      </c>
      <c r="D64" s="40" t="s">
        <v>613</v>
      </c>
      <c r="E64" s="46"/>
      <c r="F64" s="41" t="s">
        <v>21</v>
      </c>
      <c r="G64" s="41">
        <v>7.0</v>
      </c>
      <c r="H64" s="41" t="s">
        <v>22</v>
      </c>
      <c r="I64" s="42">
        <v>2.0</v>
      </c>
      <c r="J64" s="43"/>
      <c r="K64" s="42">
        <v>0.0</v>
      </c>
      <c r="L64" s="42">
        <v>0.0</v>
      </c>
      <c r="M64" s="42">
        <v>0.0</v>
      </c>
      <c r="N64" s="42">
        <v>0.0</v>
      </c>
      <c r="O64" s="46"/>
    </row>
    <row r="65">
      <c r="A65" s="42">
        <v>5.9</v>
      </c>
      <c r="B65" s="41" t="s">
        <v>659</v>
      </c>
      <c r="C65" s="40" t="s">
        <v>18</v>
      </c>
      <c r="D65" s="40" t="s">
        <v>660</v>
      </c>
      <c r="E65" s="46"/>
      <c r="F65" s="41" t="s">
        <v>21</v>
      </c>
      <c r="G65" s="41">
        <v>2.0</v>
      </c>
      <c r="H65" s="41" t="s">
        <v>22</v>
      </c>
      <c r="I65" s="42">
        <v>1.0</v>
      </c>
      <c r="J65" s="43"/>
      <c r="K65" s="42">
        <v>0.0</v>
      </c>
      <c r="L65" s="42">
        <v>0.0</v>
      </c>
      <c r="M65" s="42">
        <v>0.0</v>
      </c>
      <c r="N65" s="42">
        <v>0.0</v>
      </c>
      <c r="O65" s="46"/>
    </row>
    <row r="66">
      <c r="A66" s="42">
        <v>5.1</v>
      </c>
      <c r="B66" s="41" t="s">
        <v>709</v>
      </c>
      <c r="C66" s="40" t="s">
        <v>29</v>
      </c>
      <c r="D66" s="40" t="s">
        <v>710</v>
      </c>
      <c r="E66" s="46"/>
      <c r="F66" s="41" t="s">
        <v>21</v>
      </c>
      <c r="G66" s="41">
        <v>2.0</v>
      </c>
      <c r="H66" s="41" t="s">
        <v>22</v>
      </c>
      <c r="I66" s="42">
        <v>1.0</v>
      </c>
      <c r="J66" s="43"/>
      <c r="K66" s="42">
        <v>710.59</v>
      </c>
      <c r="L66" s="44">
        <v>25581.24</v>
      </c>
      <c r="M66" s="42">
        <v>0.0</v>
      </c>
      <c r="N66" s="44">
        <v>25581.24</v>
      </c>
      <c r="O66" s="46"/>
    </row>
    <row r="67">
      <c r="A67" s="42">
        <v>5.11</v>
      </c>
      <c r="B67" s="41" t="s">
        <v>711</v>
      </c>
      <c r="C67" s="40" t="s">
        <v>29</v>
      </c>
      <c r="D67" s="40" t="s">
        <v>712</v>
      </c>
      <c r="E67" s="46"/>
      <c r="F67" s="41" t="s">
        <v>21</v>
      </c>
      <c r="G67" s="41">
        <v>2.0</v>
      </c>
      <c r="H67" s="41" t="s">
        <v>22</v>
      </c>
      <c r="I67" s="42">
        <v>1.0</v>
      </c>
      <c r="J67" s="43"/>
      <c r="K67" s="42">
        <v>0.0</v>
      </c>
      <c r="L67" s="42">
        <v>0.0</v>
      </c>
      <c r="M67" s="42">
        <v>0.0</v>
      </c>
      <c r="N67" s="42">
        <v>0.0</v>
      </c>
      <c r="O67" s="46"/>
    </row>
    <row r="68">
      <c r="A68" s="42">
        <v>5.12</v>
      </c>
      <c r="B68" s="41" t="s">
        <v>681</v>
      </c>
      <c r="C68" s="40" t="s">
        <v>18</v>
      </c>
      <c r="D68" s="40" t="s">
        <v>660</v>
      </c>
      <c r="E68" s="46"/>
      <c r="F68" s="41" t="s">
        <v>21</v>
      </c>
      <c r="G68" s="41">
        <v>2.0</v>
      </c>
      <c r="H68" s="41" t="s">
        <v>22</v>
      </c>
      <c r="I68" s="42">
        <v>1.0</v>
      </c>
      <c r="J68" s="43"/>
      <c r="K68" s="42">
        <v>0.0</v>
      </c>
      <c r="L68" s="42">
        <v>0.0</v>
      </c>
      <c r="M68" s="42">
        <v>0.0</v>
      </c>
      <c r="N68" s="42">
        <v>0.0</v>
      </c>
      <c r="O68" s="46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50" t="s">
        <v>63</v>
      </c>
      <c r="N69" s="51">
        <v>69697.92</v>
      </c>
      <c r="O69" s="52"/>
    </row>
    <row r="70">
      <c r="A70" s="39">
        <v>6.0</v>
      </c>
      <c r="B70" s="39" t="s">
        <v>713</v>
      </c>
      <c r="C70" s="40" t="s">
        <v>18</v>
      </c>
      <c r="D70" s="40" t="s">
        <v>714</v>
      </c>
      <c r="E70" s="40" t="s">
        <v>20</v>
      </c>
      <c r="F70" s="41" t="s">
        <v>21</v>
      </c>
      <c r="G70" s="41">
        <v>14.0</v>
      </c>
      <c r="H70" s="41" t="s">
        <v>22</v>
      </c>
      <c r="I70" s="42">
        <v>1.0</v>
      </c>
      <c r="J70" s="43"/>
      <c r="K70" s="44">
        <v>17507.6</v>
      </c>
      <c r="L70" s="44">
        <v>17507.6</v>
      </c>
      <c r="M70" s="42">
        <v>0.0</v>
      </c>
      <c r="N70" s="44">
        <v>17507.6</v>
      </c>
      <c r="O70" s="46"/>
    </row>
    <row r="71">
      <c r="A71" s="42" t="s">
        <v>136</v>
      </c>
      <c r="B71" s="41" t="s">
        <v>715</v>
      </c>
      <c r="C71" s="40" t="s">
        <v>18</v>
      </c>
      <c r="D71" s="40" t="s">
        <v>716</v>
      </c>
      <c r="E71" s="46"/>
      <c r="F71" s="41">
        <v>24.0</v>
      </c>
      <c r="G71" s="41" t="s">
        <v>21</v>
      </c>
      <c r="H71" s="41" t="s">
        <v>22</v>
      </c>
      <c r="I71" s="42">
        <v>1.0</v>
      </c>
      <c r="J71" s="43"/>
      <c r="K71" s="44">
        <v>2277.0</v>
      </c>
      <c r="L71" s="44">
        <v>2277.0</v>
      </c>
      <c r="M71" s="42">
        <v>0.0</v>
      </c>
      <c r="N71" s="44">
        <v>2277.0</v>
      </c>
      <c r="O71" s="40" t="s">
        <v>26</v>
      </c>
    </row>
    <row r="72">
      <c r="A72" s="42">
        <v>6.1</v>
      </c>
      <c r="B72" s="41" t="s">
        <v>688</v>
      </c>
      <c r="C72" s="40" t="s">
        <v>18</v>
      </c>
      <c r="D72" s="40" t="s">
        <v>689</v>
      </c>
      <c r="E72" s="46"/>
      <c r="F72" s="41" t="s">
        <v>21</v>
      </c>
      <c r="G72" s="41">
        <v>14.0</v>
      </c>
      <c r="H72" s="41" t="s">
        <v>22</v>
      </c>
      <c r="I72" s="42">
        <v>1.0</v>
      </c>
      <c r="J72" s="43"/>
      <c r="K72" s="42">
        <v>0.0</v>
      </c>
      <c r="L72" s="42">
        <v>0.0</v>
      </c>
      <c r="M72" s="42">
        <v>0.0</v>
      </c>
      <c r="N72" s="42">
        <v>0.0</v>
      </c>
      <c r="O72" s="46"/>
    </row>
    <row r="73">
      <c r="A73" s="42">
        <v>6.2</v>
      </c>
      <c r="B73" s="41" t="s">
        <v>690</v>
      </c>
      <c r="C73" s="40" t="s">
        <v>18</v>
      </c>
      <c r="D73" s="40" t="s">
        <v>654</v>
      </c>
      <c r="E73" s="46"/>
      <c r="F73" s="41" t="s">
        <v>21</v>
      </c>
      <c r="G73" s="41">
        <v>21.0</v>
      </c>
      <c r="H73" s="41" t="s">
        <v>22</v>
      </c>
      <c r="I73" s="42">
        <v>1.0</v>
      </c>
      <c r="J73" s="43"/>
      <c r="K73" s="42">
        <v>0.0</v>
      </c>
      <c r="L73" s="42">
        <v>0.0</v>
      </c>
      <c r="M73" s="42">
        <v>0.0</v>
      </c>
      <c r="N73" s="42">
        <v>0.0</v>
      </c>
      <c r="O73" s="46"/>
    </row>
    <row r="74">
      <c r="A74" s="42">
        <v>6.3</v>
      </c>
      <c r="B74" s="41" t="s">
        <v>661</v>
      </c>
      <c r="C74" s="40" t="s">
        <v>29</v>
      </c>
      <c r="D74" s="40" t="s">
        <v>662</v>
      </c>
      <c r="E74" s="46"/>
      <c r="F74" s="41" t="s">
        <v>21</v>
      </c>
      <c r="G74" s="41">
        <v>14.0</v>
      </c>
      <c r="H74" s="41" t="s">
        <v>22</v>
      </c>
      <c r="I74" s="42">
        <v>1.0</v>
      </c>
      <c r="J74" s="43"/>
      <c r="K74" s="42">
        <v>0.0</v>
      </c>
      <c r="L74" s="42">
        <v>0.0</v>
      </c>
      <c r="M74" s="42">
        <v>0.0</v>
      </c>
      <c r="N74" s="42">
        <v>0.0</v>
      </c>
      <c r="O74" s="46"/>
    </row>
    <row r="75">
      <c r="A75" s="42">
        <v>6.4</v>
      </c>
      <c r="B75" s="41" t="s">
        <v>691</v>
      </c>
      <c r="C75" s="40" t="s">
        <v>18</v>
      </c>
      <c r="D75" s="40" t="s">
        <v>692</v>
      </c>
      <c r="E75" s="46"/>
      <c r="F75" s="41" t="s">
        <v>21</v>
      </c>
      <c r="G75" s="41">
        <v>14.0</v>
      </c>
      <c r="H75" s="41" t="s">
        <v>29</v>
      </c>
      <c r="I75" s="42">
        <v>1.0</v>
      </c>
      <c r="J75" s="43"/>
      <c r="K75" s="42">
        <v>0.0</v>
      </c>
      <c r="L75" s="42">
        <v>0.0</v>
      </c>
      <c r="M75" s="42">
        <v>0.0</v>
      </c>
      <c r="N75" s="42">
        <v>0.0</v>
      </c>
      <c r="O75" s="46"/>
    </row>
    <row r="76">
      <c r="A76" s="42">
        <v>6.5</v>
      </c>
      <c r="B76" s="41" t="s">
        <v>717</v>
      </c>
      <c r="C76" s="40" t="s">
        <v>18</v>
      </c>
      <c r="D76" s="40" t="s">
        <v>718</v>
      </c>
      <c r="E76" s="46"/>
      <c r="F76" s="41" t="s">
        <v>21</v>
      </c>
      <c r="G76" s="41">
        <v>63.0</v>
      </c>
      <c r="H76" s="41" t="s">
        <v>22</v>
      </c>
      <c r="I76" s="42">
        <v>3.0</v>
      </c>
      <c r="J76" s="43"/>
      <c r="K76" s="42">
        <v>0.0</v>
      </c>
      <c r="L76" s="42">
        <v>0.0</v>
      </c>
      <c r="M76" s="42">
        <v>0.0</v>
      </c>
      <c r="N76" s="42">
        <v>0.0</v>
      </c>
      <c r="O76" s="46"/>
    </row>
    <row r="77">
      <c r="A77" s="42">
        <v>6.6</v>
      </c>
      <c r="B77" s="41" t="s">
        <v>719</v>
      </c>
      <c r="C77" s="40" t="s">
        <v>18</v>
      </c>
      <c r="D77" s="40" t="s">
        <v>720</v>
      </c>
      <c r="E77" s="46"/>
      <c r="F77" s="41" t="s">
        <v>21</v>
      </c>
      <c r="G77" s="41">
        <v>14.0</v>
      </c>
      <c r="H77" s="41" t="s">
        <v>22</v>
      </c>
      <c r="I77" s="42">
        <v>1.0</v>
      </c>
      <c r="J77" s="43"/>
      <c r="K77" s="42">
        <v>0.0</v>
      </c>
      <c r="L77" s="42">
        <v>0.0</v>
      </c>
      <c r="M77" s="42">
        <v>0.0</v>
      </c>
      <c r="N77" s="42">
        <v>0.0</v>
      </c>
      <c r="O77" s="46"/>
    </row>
    <row r="78">
      <c r="A78" s="42">
        <v>6.7</v>
      </c>
      <c r="B78" s="41" t="s">
        <v>721</v>
      </c>
      <c r="C78" s="40" t="s">
        <v>18</v>
      </c>
      <c r="D78" s="40" t="s">
        <v>722</v>
      </c>
      <c r="E78" s="46"/>
      <c r="F78" s="41" t="s">
        <v>21</v>
      </c>
      <c r="G78" s="41">
        <v>14.0</v>
      </c>
      <c r="H78" s="41" t="s">
        <v>22</v>
      </c>
      <c r="I78" s="42">
        <v>2.0</v>
      </c>
      <c r="J78" s="43"/>
      <c r="K78" s="42">
        <v>0.0</v>
      </c>
      <c r="L78" s="42">
        <v>0.0</v>
      </c>
      <c r="M78" s="42">
        <v>0.0</v>
      </c>
      <c r="N78" s="42">
        <v>0.0</v>
      </c>
      <c r="O78" s="46"/>
    </row>
    <row r="79">
      <c r="A79" s="42">
        <v>6.8</v>
      </c>
      <c r="B79" s="41" t="s">
        <v>612</v>
      </c>
      <c r="C79" s="40" t="s">
        <v>18</v>
      </c>
      <c r="D79" s="40" t="s">
        <v>613</v>
      </c>
      <c r="E79" s="46"/>
      <c r="F79" s="41" t="s">
        <v>21</v>
      </c>
      <c r="G79" s="41">
        <v>7.0</v>
      </c>
      <c r="H79" s="41" t="s">
        <v>22</v>
      </c>
      <c r="I79" s="42">
        <v>2.0</v>
      </c>
      <c r="J79" s="43"/>
      <c r="K79" s="42">
        <v>0.0</v>
      </c>
      <c r="L79" s="42">
        <v>0.0</v>
      </c>
      <c r="M79" s="42">
        <v>0.0</v>
      </c>
      <c r="N79" s="42">
        <v>0.0</v>
      </c>
      <c r="O79" s="46"/>
    </row>
    <row r="80">
      <c r="A80" s="42">
        <v>6.9</v>
      </c>
      <c r="B80" s="41" t="s">
        <v>659</v>
      </c>
      <c r="C80" s="40" t="s">
        <v>18</v>
      </c>
      <c r="D80" s="40" t="s">
        <v>660</v>
      </c>
      <c r="E80" s="46"/>
      <c r="F80" s="41" t="s">
        <v>21</v>
      </c>
      <c r="G80" s="41">
        <v>2.0</v>
      </c>
      <c r="H80" s="41" t="s">
        <v>22</v>
      </c>
      <c r="I80" s="42">
        <v>1.0</v>
      </c>
      <c r="J80" s="43"/>
      <c r="K80" s="42">
        <v>0.0</v>
      </c>
      <c r="L80" s="42">
        <v>0.0</v>
      </c>
      <c r="M80" s="42">
        <v>0.0</v>
      </c>
      <c r="N80" s="42">
        <v>0.0</v>
      </c>
      <c r="O80" s="46"/>
    </row>
    <row r="81">
      <c r="A81" s="42">
        <v>6.1</v>
      </c>
      <c r="B81" s="41" t="s">
        <v>723</v>
      </c>
      <c r="C81" s="40" t="s">
        <v>29</v>
      </c>
      <c r="D81" s="40" t="s">
        <v>724</v>
      </c>
      <c r="E81" s="46"/>
      <c r="F81" s="41" t="s">
        <v>21</v>
      </c>
      <c r="G81" s="41">
        <v>2.0</v>
      </c>
      <c r="H81" s="41" t="s">
        <v>22</v>
      </c>
      <c r="I81" s="42">
        <v>1.0</v>
      </c>
      <c r="J81" s="43"/>
      <c r="K81" s="42">
        <v>286.12</v>
      </c>
      <c r="L81" s="44">
        <v>10300.32</v>
      </c>
      <c r="M81" s="42">
        <v>0.0</v>
      </c>
      <c r="N81" s="44">
        <v>10300.32</v>
      </c>
      <c r="O81" s="46"/>
    </row>
    <row r="82">
      <c r="A82" s="42">
        <v>6.11</v>
      </c>
      <c r="B82" s="41" t="s">
        <v>725</v>
      </c>
      <c r="C82" s="40" t="s">
        <v>29</v>
      </c>
      <c r="D82" s="40" t="s">
        <v>726</v>
      </c>
      <c r="E82" s="46"/>
      <c r="F82" s="41" t="s">
        <v>21</v>
      </c>
      <c r="G82" s="41">
        <v>2.0</v>
      </c>
      <c r="H82" s="41" t="s">
        <v>22</v>
      </c>
      <c r="I82" s="42">
        <v>1.0</v>
      </c>
      <c r="J82" s="43"/>
      <c r="K82" s="42">
        <v>0.0</v>
      </c>
      <c r="L82" s="42">
        <v>0.0</v>
      </c>
      <c r="M82" s="42">
        <v>0.0</v>
      </c>
      <c r="N82" s="42">
        <v>0.0</v>
      </c>
      <c r="O82" s="46"/>
    </row>
    <row r="83">
      <c r="A83" s="42">
        <v>6.12</v>
      </c>
      <c r="B83" s="41" t="s">
        <v>681</v>
      </c>
      <c r="C83" s="40" t="s">
        <v>18</v>
      </c>
      <c r="D83" s="40" t="s">
        <v>660</v>
      </c>
      <c r="E83" s="46"/>
      <c r="F83" s="41" t="s">
        <v>21</v>
      </c>
      <c r="G83" s="41">
        <v>2.0</v>
      </c>
      <c r="H83" s="41" t="s">
        <v>22</v>
      </c>
      <c r="I83" s="42">
        <v>1.0</v>
      </c>
      <c r="J83" s="43"/>
      <c r="K83" s="42">
        <v>0.0</v>
      </c>
      <c r="L83" s="42">
        <v>0.0</v>
      </c>
      <c r="M83" s="42">
        <v>0.0</v>
      </c>
      <c r="N83" s="42">
        <v>0.0</v>
      </c>
      <c r="O83" s="46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50" t="s">
        <v>63</v>
      </c>
      <c r="N84" s="51">
        <v>30084.92</v>
      </c>
      <c r="O84" s="52"/>
    </row>
    <row r="85">
      <c r="A85" s="39">
        <v>7.0</v>
      </c>
      <c r="B85" s="39" t="s">
        <v>727</v>
      </c>
      <c r="C85" s="40" t="s">
        <v>18</v>
      </c>
      <c r="D85" s="40" t="s">
        <v>728</v>
      </c>
      <c r="E85" s="40" t="s">
        <v>20</v>
      </c>
      <c r="F85" s="41" t="s">
        <v>21</v>
      </c>
      <c r="G85" s="41">
        <v>98.0</v>
      </c>
      <c r="H85" s="41" t="s">
        <v>22</v>
      </c>
      <c r="I85" s="42">
        <v>1.0</v>
      </c>
      <c r="J85" s="43"/>
      <c r="K85" s="44">
        <v>4130.83</v>
      </c>
      <c r="L85" s="44">
        <v>4130.83</v>
      </c>
      <c r="M85" s="42">
        <v>0.0</v>
      </c>
      <c r="N85" s="44">
        <v>4130.83</v>
      </c>
      <c r="O85" s="46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50" t="s">
        <v>63</v>
      </c>
      <c r="N86" s="51">
        <v>4130.83</v>
      </c>
      <c r="O86" s="52"/>
    </row>
    <row r="87">
      <c r="A87" s="47"/>
      <c r="B87" s="47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50" t="s">
        <v>233</v>
      </c>
      <c r="N87" s="51">
        <v>802022.82</v>
      </c>
      <c r="O87" s="5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38"/>
    <col customWidth="1" min="4" max="4" width="61.13"/>
  </cols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</row>
    <row r="2">
      <c r="A2" s="39">
        <v>1.0</v>
      </c>
      <c r="B2" s="39" t="s">
        <v>729</v>
      </c>
      <c r="C2" s="40" t="s">
        <v>18</v>
      </c>
      <c r="D2" s="40" t="s">
        <v>730</v>
      </c>
      <c r="E2" s="40" t="s">
        <v>20</v>
      </c>
      <c r="F2" s="41" t="s">
        <v>21</v>
      </c>
      <c r="G2" s="41">
        <v>14.0</v>
      </c>
      <c r="H2" s="41" t="s">
        <v>22</v>
      </c>
      <c r="I2" s="42">
        <v>1.0</v>
      </c>
      <c r="J2" s="43"/>
      <c r="K2" s="42">
        <v>313.47</v>
      </c>
      <c r="L2" s="42">
        <v>313.47</v>
      </c>
      <c r="M2" s="42">
        <v>0.0</v>
      </c>
      <c r="N2" s="42">
        <v>313.47</v>
      </c>
      <c r="O2" s="46"/>
    </row>
    <row r="3">
      <c r="A3" s="42" t="s">
        <v>23</v>
      </c>
      <c r="B3" s="41" t="s">
        <v>731</v>
      </c>
      <c r="C3" s="40" t="s">
        <v>18</v>
      </c>
      <c r="D3" s="40" t="s">
        <v>732</v>
      </c>
      <c r="E3" s="46"/>
      <c r="F3" s="41">
        <v>36.0</v>
      </c>
      <c r="G3" s="41" t="s">
        <v>21</v>
      </c>
      <c r="H3" s="41" t="s">
        <v>22</v>
      </c>
      <c r="I3" s="42">
        <v>1.0</v>
      </c>
      <c r="J3" s="43"/>
      <c r="K3" s="42">
        <v>152.64</v>
      </c>
      <c r="L3" s="42">
        <v>152.64</v>
      </c>
      <c r="M3" s="42">
        <v>0.0</v>
      </c>
      <c r="N3" s="42">
        <v>152.64</v>
      </c>
      <c r="O3" s="40" t="s">
        <v>26</v>
      </c>
    </row>
    <row r="4">
      <c r="A4" s="42">
        <v>1.1</v>
      </c>
      <c r="B4" s="41" t="s">
        <v>733</v>
      </c>
      <c r="C4" s="40" t="s">
        <v>18</v>
      </c>
      <c r="D4" s="40" t="s">
        <v>734</v>
      </c>
      <c r="E4" s="46"/>
      <c r="F4" s="41" t="s">
        <v>21</v>
      </c>
      <c r="G4" s="41">
        <v>14.0</v>
      </c>
      <c r="H4" s="41" t="s">
        <v>22</v>
      </c>
      <c r="I4" s="42">
        <v>1.0</v>
      </c>
      <c r="J4" s="43"/>
      <c r="K4" s="42">
        <v>0.0</v>
      </c>
      <c r="L4" s="42">
        <v>0.0</v>
      </c>
      <c r="M4" s="42">
        <v>0.0</v>
      </c>
      <c r="N4" s="42">
        <v>0.0</v>
      </c>
      <c r="O4" s="46"/>
    </row>
    <row r="5">
      <c r="A5" s="48"/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50" t="s">
        <v>63</v>
      </c>
      <c r="N5" s="50">
        <v>466.11</v>
      </c>
      <c r="O5" s="52"/>
    </row>
    <row r="6">
      <c r="A6" s="39">
        <v>2.0</v>
      </c>
      <c r="B6" s="39" t="s">
        <v>735</v>
      </c>
      <c r="C6" s="40" t="s">
        <v>18</v>
      </c>
      <c r="D6" s="40" t="s">
        <v>736</v>
      </c>
      <c r="E6" s="40" t="s">
        <v>20</v>
      </c>
      <c r="F6" s="41" t="s">
        <v>21</v>
      </c>
      <c r="G6" s="41">
        <v>14.0</v>
      </c>
      <c r="H6" s="41" t="s">
        <v>22</v>
      </c>
      <c r="I6" s="42">
        <v>1.0</v>
      </c>
      <c r="J6" s="43"/>
      <c r="K6" s="42">
        <v>386.67</v>
      </c>
      <c r="L6" s="42">
        <v>386.67</v>
      </c>
      <c r="M6" s="42">
        <v>0.0</v>
      </c>
      <c r="N6" s="42">
        <v>386.67</v>
      </c>
      <c r="O6" s="46"/>
    </row>
    <row r="7">
      <c r="A7" s="42" t="s">
        <v>66</v>
      </c>
      <c r="B7" s="41" t="s">
        <v>737</v>
      </c>
      <c r="C7" s="40" t="s">
        <v>18</v>
      </c>
      <c r="D7" s="40" t="s">
        <v>738</v>
      </c>
      <c r="E7" s="46"/>
      <c r="F7" s="41">
        <v>36.0</v>
      </c>
      <c r="G7" s="41" t="s">
        <v>21</v>
      </c>
      <c r="H7" s="41" t="s">
        <v>22</v>
      </c>
      <c r="I7" s="42">
        <v>1.0</v>
      </c>
      <c r="J7" s="43"/>
      <c r="K7" s="42">
        <v>189.75</v>
      </c>
      <c r="L7" s="42">
        <v>189.75</v>
      </c>
      <c r="M7" s="42">
        <v>0.0</v>
      </c>
      <c r="N7" s="42">
        <v>189.75</v>
      </c>
      <c r="O7" s="40" t="s">
        <v>26</v>
      </c>
    </row>
    <row r="8">
      <c r="A8" s="42">
        <v>2.1</v>
      </c>
      <c r="B8" s="41" t="s">
        <v>285</v>
      </c>
      <c r="C8" s="40" t="s">
        <v>18</v>
      </c>
      <c r="D8" s="40" t="s">
        <v>286</v>
      </c>
      <c r="E8" s="46"/>
      <c r="F8" s="41" t="s">
        <v>21</v>
      </c>
      <c r="G8" s="41">
        <v>14.0</v>
      </c>
      <c r="H8" s="41" t="s">
        <v>22</v>
      </c>
      <c r="I8" s="42">
        <v>1.0</v>
      </c>
      <c r="J8" s="43"/>
      <c r="K8" s="42">
        <v>0.0</v>
      </c>
      <c r="L8" s="42">
        <v>0.0</v>
      </c>
      <c r="M8" s="42">
        <v>0.0</v>
      </c>
      <c r="N8" s="42">
        <v>0.0</v>
      </c>
      <c r="O8" s="46"/>
    </row>
    <row r="9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50" t="s">
        <v>63</v>
      </c>
      <c r="N9" s="50">
        <v>576.42</v>
      </c>
      <c r="O9" s="52"/>
    </row>
    <row r="10">
      <c r="A10" s="39">
        <v>3.0</v>
      </c>
      <c r="B10" s="39" t="s">
        <v>739</v>
      </c>
      <c r="C10" s="40" t="s">
        <v>18</v>
      </c>
      <c r="D10" s="40" t="s">
        <v>740</v>
      </c>
      <c r="E10" s="40" t="s">
        <v>20</v>
      </c>
      <c r="F10" s="41" t="s">
        <v>21</v>
      </c>
      <c r="G10" s="41">
        <v>14.0</v>
      </c>
      <c r="H10" s="41" t="s">
        <v>22</v>
      </c>
      <c r="I10" s="42">
        <v>1.0</v>
      </c>
      <c r="J10" s="43"/>
      <c r="K10" s="42">
        <v>513.67</v>
      </c>
      <c r="L10" s="42">
        <v>513.67</v>
      </c>
      <c r="M10" s="42">
        <v>0.0</v>
      </c>
      <c r="N10" s="42">
        <v>513.67</v>
      </c>
      <c r="O10" s="46"/>
    </row>
    <row r="11">
      <c r="A11" s="42" t="s">
        <v>83</v>
      </c>
      <c r="B11" s="41" t="s">
        <v>741</v>
      </c>
      <c r="C11" s="40" t="s">
        <v>18</v>
      </c>
      <c r="D11" s="40" t="s">
        <v>742</v>
      </c>
      <c r="E11" s="46"/>
      <c r="F11" s="41">
        <v>36.0</v>
      </c>
      <c r="G11" s="41" t="s">
        <v>21</v>
      </c>
      <c r="H11" s="41" t="s">
        <v>22</v>
      </c>
      <c r="I11" s="42">
        <v>1.0</v>
      </c>
      <c r="J11" s="43"/>
      <c r="K11" s="42">
        <v>251.64</v>
      </c>
      <c r="L11" s="42">
        <v>251.64</v>
      </c>
      <c r="M11" s="42">
        <v>0.0</v>
      </c>
      <c r="N11" s="42">
        <v>251.64</v>
      </c>
      <c r="O11" s="40" t="s">
        <v>26</v>
      </c>
    </row>
    <row r="12">
      <c r="A12" s="42">
        <v>3.1</v>
      </c>
      <c r="B12" s="41" t="s">
        <v>285</v>
      </c>
      <c r="C12" s="40" t="s">
        <v>18</v>
      </c>
      <c r="D12" s="40" t="s">
        <v>286</v>
      </c>
      <c r="E12" s="46"/>
      <c r="F12" s="41" t="s">
        <v>21</v>
      </c>
      <c r="G12" s="41">
        <v>14.0</v>
      </c>
      <c r="H12" s="41" t="s">
        <v>22</v>
      </c>
      <c r="I12" s="42">
        <v>1.0</v>
      </c>
      <c r="J12" s="43"/>
      <c r="K12" s="42">
        <v>0.0</v>
      </c>
      <c r="L12" s="42">
        <v>0.0</v>
      </c>
      <c r="M12" s="42">
        <v>0.0</v>
      </c>
      <c r="N12" s="42">
        <v>0.0</v>
      </c>
      <c r="O12" s="46"/>
    </row>
    <row r="13">
      <c r="A13" s="48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50" t="s">
        <v>63</v>
      </c>
      <c r="N13" s="50">
        <v>765.31</v>
      </c>
      <c r="O13" s="52"/>
    </row>
    <row r="14">
      <c r="A14" s="39">
        <v>4.0</v>
      </c>
      <c r="B14" s="39" t="s">
        <v>743</v>
      </c>
      <c r="C14" s="40" t="s">
        <v>18</v>
      </c>
      <c r="D14" s="40" t="s">
        <v>744</v>
      </c>
      <c r="E14" s="40" t="s">
        <v>20</v>
      </c>
      <c r="F14" s="41" t="s">
        <v>21</v>
      </c>
      <c r="G14" s="41">
        <v>49.0</v>
      </c>
      <c r="H14" s="41" t="s">
        <v>22</v>
      </c>
      <c r="I14" s="42">
        <v>1.0</v>
      </c>
      <c r="J14" s="43"/>
      <c r="K14" s="42">
        <v>445.03</v>
      </c>
      <c r="L14" s="42">
        <v>445.03</v>
      </c>
      <c r="M14" s="42">
        <v>0.0</v>
      </c>
      <c r="N14" s="42">
        <v>445.03</v>
      </c>
      <c r="O14" s="46"/>
    </row>
    <row r="15">
      <c r="A15" s="42" t="s">
        <v>100</v>
      </c>
      <c r="B15" s="41" t="s">
        <v>745</v>
      </c>
      <c r="C15" s="40" t="s">
        <v>18</v>
      </c>
      <c r="D15" s="40" t="s">
        <v>746</v>
      </c>
      <c r="E15" s="46"/>
      <c r="F15" s="41">
        <v>36.0</v>
      </c>
      <c r="G15" s="41" t="s">
        <v>21</v>
      </c>
      <c r="H15" s="41" t="s">
        <v>22</v>
      </c>
      <c r="I15" s="42">
        <v>1.0</v>
      </c>
      <c r="J15" s="43"/>
      <c r="K15" s="42">
        <v>218.64</v>
      </c>
      <c r="L15" s="42">
        <v>218.64</v>
      </c>
      <c r="M15" s="42">
        <v>0.0</v>
      </c>
      <c r="N15" s="42">
        <v>218.64</v>
      </c>
      <c r="O15" s="40" t="s">
        <v>26</v>
      </c>
    </row>
    <row r="16">
      <c r="A16" s="42">
        <v>4.1</v>
      </c>
      <c r="B16" s="41" t="s">
        <v>285</v>
      </c>
      <c r="C16" s="40" t="s">
        <v>18</v>
      </c>
      <c r="D16" s="40" t="s">
        <v>286</v>
      </c>
      <c r="E16" s="46"/>
      <c r="F16" s="41" t="s">
        <v>21</v>
      </c>
      <c r="G16" s="41">
        <v>14.0</v>
      </c>
      <c r="H16" s="41" t="s">
        <v>22</v>
      </c>
      <c r="I16" s="42">
        <v>1.0</v>
      </c>
      <c r="J16" s="43"/>
      <c r="K16" s="42">
        <v>0.0</v>
      </c>
      <c r="L16" s="42">
        <v>0.0</v>
      </c>
      <c r="M16" s="42">
        <v>0.0</v>
      </c>
      <c r="N16" s="42">
        <v>0.0</v>
      </c>
      <c r="O16" s="46"/>
    </row>
    <row r="17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50" t="s">
        <v>63</v>
      </c>
      <c r="N17" s="50">
        <v>663.67</v>
      </c>
      <c r="O17" s="52"/>
    </row>
    <row r="18">
      <c r="A18" s="39">
        <v>5.0</v>
      </c>
      <c r="B18" s="39" t="s">
        <v>747</v>
      </c>
      <c r="C18" s="40" t="s">
        <v>18</v>
      </c>
      <c r="D18" s="40" t="s">
        <v>748</v>
      </c>
      <c r="E18" s="40" t="s">
        <v>20</v>
      </c>
      <c r="F18" s="41" t="s">
        <v>21</v>
      </c>
      <c r="G18" s="41">
        <v>14.0</v>
      </c>
      <c r="H18" s="41" t="s">
        <v>22</v>
      </c>
      <c r="I18" s="42">
        <v>1.0</v>
      </c>
      <c r="J18" s="43"/>
      <c r="K18" s="42">
        <v>645.22</v>
      </c>
      <c r="L18" s="42">
        <v>645.22</v>
      </c>
      <c r="M18" s="42">
        <v>0.0</v>
      </c>
      <c r="N18" s="42">
        <v>645.22</v>
      </c>
      <c r="O18" s="46"/>
    </row>
    <row r="19">
      <c r="A19" s="42" t="s">
        <v>117</v>
      </c>
      <c r="B19" s="41" t="s">
        <v>749</v>
      </c>
      <c r="C19" s="40" t="s">
        <v>18</v>
      </c>
      <c r="D19" s="40" t="s">
        <v>750</v>
      </c>
      <c r="E19" s="46"/>
      <c r="F19" s="41">
        <v>36.0</v>
      </c>
      <c r="G19" s="41" t="s">
        <v>21</v>
      </c>
      <c r="H19" s="41" t="s">
        <v>22</v>
      </c>
      <c r="I19" s="42">
        <v>1.0</v>
      </c>
      <c r="J19" s="43"/>
      <c r="K19" s="42">
        <v>317.64</v>
      </c>
      <c r="L19" s="42">
        <v>317.64</v>
      </c>
      <c r="M19" s="42">
        <v>0.0</v>
      </c>
      <c r="N19" s="42">
        <v>317.64</v>
      </c>
      <c r="O19" s="40" t="s">
        <v>26</v>
      </c>
    </row>
    <row r="20">
      <c r="A20" s="42">
        <v>5.1</v>
      </c>
      <c r="B20" s="41" t="s">
        <v>285</v>
      </c>
      <c r="C20" s="40" t="s">
        <v>18</v>
      </c>
      <c r="D20" s="40" t="s">
        <v>286</v>
      </c>
      <c r="E20" s="46"/>
      <c r="F20" s="41" t="s">
        <v>21</v>
      </c>
      <c r="G20" s="41">
        <v>14.0</v>
      </c>
      <c r="H20" s="41" t="s">
        <v>22</v>
      </c>
      <c r="I20" s="42">
        <v>1.0</v>
      </c>
      <c r="J20" s="43"/>
      <c r="K20" s="42">
        <v>0.0</v>
      </c>
      <c r="L20" s="42">
        <v>0.0</v>
      </c>
      <c r="M20" s="42">
        <v>0.0</v>
      </c>
      <c r="N20" s="42">
        <v>0.0</v>
      </c>
      <c r="O20" s="46"/>
    </row>
    <row r="21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50" t="s">
        <v>63</v>
      </c>
      <c r="N21" s="50">
        <v>962.86</v>
      </c>
      <c r="O21" s="52"/>
    </row>
    <row r="22">
      <c r="A22" s="39">
        <v>6.0</v>
      </c>
      <c r="B22" s="39" t="s">
        <v>751</v>
      </c>
      <c r="C22" s="40" t="s">
        <v>18</v>
      </c>
      <c r="D22" s="40" t="s">
        <v>752</v>
      </c>
      <c r="E22" s="40" t="s">
        <v>20</v>
      </c>
      <c r="F22" s="41" t="s">
        <v>21</v>
      </c>
      <c r="G22" s="41">
        <v>63.0</v>
      </c>
      <c r="H22" s="41" t="s">
        <v>22</v>
      </c>
      <c r="I22" s="42">
        <v>1.0</v>
      </c>
      <c r="J22" s="43"/>
      <c r="K22" s="42">
        <v>915.21</v>
      </c>
      <c r="L22" s="42">
        <v>915.21</v>
      </c>
      <c r="M22" s="42">
        <v>0.0</v>
      </c>
      <c r="N22" s="42">
        <v>915.21</v>
      </c>
      <c r="O22" s="46"/>
    </row>
    <row r="23">
      <c r="A23" s="42" t="s">
        <v>136</v>
      </c>
      <c r="B23" s="41" t="s">
        <v>753</v>
      </c>
      <c r="C23" s="40" t="s">
        <v>18</v>
      </c>
      <c r="D23" s="40" t="s">
        <v>754</v>
      </c>
      <c r="E23" s="46"/>
      <c r="F23" s="41">
        <v>36.0</v>
      </c>
      <c r="G23" s="41" t="s">
        <v>21</v>
      </c>
      <c r="H23" s="41" t="s">
        <v>22</v>
      </c>
      <c r="I23" s="42">
        <v>1.0</v>
      </c>
      <c r="J23" s="43"/>
      <c r="K23" s="42">
        <v>449.64</v>
      </c>
      <c r="L23" s="42">
        <v>449.64</v>
      </c>
      <c r="M23" s="42">
        <v>0.0</v>
      </c>
      <c r="N23" s="42">
        <v>449.64</v>
      </c>
      <c r="O23" s="40" t="s">
        <v>26</v>
      </c>
    </row>
    <row r="24">
      <c r="A24" s="42">
        <v>6.1</v>
      </c>
      <c r="B24" s="41" t="s">
        <v>755</v>
      </c>
      <c r="C24" s="40" t="s">
        <v>18</v>
      </c>
      <c r="D24" s="40" t="s">
        <v>756</v>
      </c>
      <c r="E24" s="46"/>
      <c r="F24" s="41" t="s">
        <v>21</v>
      </c>
      <c r="G24" s="41">
        <v>35.0</v>
      </c>
      <c r="H24" s="41" t="s">
        <v>22</v>
      </c>
      <c r="I24" s="42">
        <v>1.0</v>
      </c>
      <c r="J24" s="43"/>
      <c r="K24" s="42">
        <v>0.0</v>
      </c>
      <c r="L24" s="42">
        <v>0.0</v>
      </c>
      <c r="M24" s="42">
        <v>0.0</v>
      </c>
      <c r="N24" s="42">
        <v>0.0</v>
      </c>
      <c r="O24" s="46"/>
    </row>
    <row r="25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50" t="s">
        <v>63</v>
      </c>
      <c r="N25" s="51">
        <v>1364.85</v>
      </c>
      <c r="O25" s="52"/>
    </row>
    <row r="26">
      <c r="A26" s="39">
        <v>7.0</v>
      </c>
      <c r="B26" s="39" t="s">
        <v>757</v>
      </c>
      <c r="C26" s="40" t="s">
        <v>18</v>
      </c>
      <c r="D26" s="40" t="s">
        <v>758</v>
      </c>
      <c r="E26" s="40" t="s">
        <v>20</v>
      </c>
      <c r="F26" s="41" t="s">
        <v>21</v>
      </c>
      <c r="G26" s="41">
        <v>70.0</v>
      </c>
      <c r="H26" s="41" t="s">
        <v>22</v>
      </c>
      <c r="I26" s="42">
        <v>1.0</v>
      </c>
      <c r="J26" s="43"/>
      <c r="K26" s="42">
        <v>620.06</v>
      </c>
      <c r="L26" s="42">
        <v>620.06</v>
      </c>
      <c r="M26" s="42">
        <v>0.0</v>
      </c>
      <c r="N26" s="42">
        <v>620.06</v>
      </c>
      <c r="O26" s="46"/>
    </row>
    <row r="27">
      <c r="A27" s="42" t="s">
        <v>141</v>
      </c>
      <c r="B27" s="41" t="s">
        <v>759</v>
      </c>
      <c r="C27" s="40" t="s">
        <v>18</v>
      </c>
      <c r="D27" s="40" t="s">
        <v>760</v>
      </c>
      <c r="E27" s="46"/>
      <c r="F27" s="41">
        <v>36.0</v>
      </c>
      <c r="G27" s="41" t="s">
        <v>21</v>
      </c>
      <c r="H27" s="41" t="s">
        <v>22</v>
      </c>
      <c r="I27" s="42">
        <v>1.0</v>
      </c>
      <c r="J27" s="43"/>
      <c r="K27" s="42">
        <v>305.25</v>
      </c>
      <c r="L27" s="42">
        <v>305.25</v>
      </c>
      <c r="M27" s="42">
        <v>0.0</v>
      </c>
      <c r="N27" s="42">
        <v>305.25</v>
      </c>
      <c r="O27" s="40" t="s">
        <v>26</v>
      </c>
    </row>
    <row r="28">
      <c r="A28" s="42">
        <v>7.1</v>
      </c>
      <c r="B28" s="41" t="s">
        <v>285</v>
      </c>
      <c r="C28" s="40" t="s">
        <v>18</v>
      </c>
      <c r="D28" s="40" t="s">
        <v>286</v>
      </c>
      <c r="E28" s="46"/>
      <c r="F28" s="41" t="s">
        <v>21</v>
      </c>
      <c r="G28" s="41">
        <v>14.0</v>
      </c>
      <c r="H28" s="41" t="s">
        <v>22</v>
      </c>
      <c r="I28" s="42">
        <v>1.0</v>
      </c>
      <c r="J28" s="43"/>
      <c r="K28" s="42">
        <v>0.0</v>
      </c>
      <c r="L28" s="42">
        <v>0.0</v>
      </c>
      <c r="M28" s="42">
        <v>0.0</v>
      </c>
      <c r="N28" s="42">
        <v>0.0</v>
      </c>
      <c r="O28" s="46"/>
    </row>
    <row r="29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50" t="s">
        <v>63</v>
      </c>
      <c r="N29" s="50">
        <v>925.31</v>
      </c>
      <c r="O29" s="52"/>
    </row>
    <row r="30">
      <c r="A30" s="39">
        <v>8.0</v>
      </c>
      <c r="B30" s="39" t="s">
        <v>761</v>
      </c>
      <c r="C30" s="40" t="s">
        <v>18</v>
      </c>
      <c r="D30" s="40" t="s">
        <v>762</v>
      </c>
      <c r="E30" s="40" t="s">
        <v>20</v>
      </c>
      <c r="F30" s="41" t="s">
        <v>21</v>
      </c>
      <c r="G30" s="41">
        <v>49.0</v>
      </c>
      <c r="H30" s="41" t="s">
        <v>22</v>
      </c>
      <c r="I30" s="42">
        <v>1.0</v>
      </c>
      <c r="J30" s="43"/>
      <c r="K30" s="42">
        <v>883.18</v>
      </c>
      <c r="L30" s="42">
        <v>883.18</v>
      </c>
      <c r="M30" s="42">
        <v>0.0</v>
      </c>
      <c r="N30" s="42">
        <v>883.18</v>
      </c>
      <c r="O30" s="46"/>
    </row>
    <row r="31">
      <c r="A31" s="42" t="s">
        <v>146</v>
      </c>
      <c r="B31" s="41" t="s">
        <v>763</v>
      </c>
      <c r="C31" s="40" t="s">
        <v>18</v>
      </c>
      <c r="D31" s="40" t="s">
        <v>764</v>
      </c>
      <c r="E31" s="46"/>
      <c r="F31" s="41">
        <v>36.0</v>
      </c>
      <c r="G31" s="41" t="s">
        <v>21</v>
      </c>
      <c r="H31" s="41" t="s">
        <v>22</v>
      </c>
      <c r="I31" s="42">
        <v>1.0</v>
      </c>
      <c r="J31" s="43"/>
      <c r="K31" s="42">
        <v>433.14</v>
      </c>
      <c r="L31" s="42">
        <v>433.14</v>
      </c>
      <c r="M31" s="42">
        <v>0.0</v>
      </c>
      <c r="N31" s="42">
        <v>433.14</v>
      </c>
      <c r="O31" s="40" t="s">
        <v>26</v>
      </c>
    </row>
    <row r="32">
      <c r="A32" s="42">
        <v>8.1</v>
      </c>
      <c r="B32" s="41" t="s">
        <v>285</v>
      </c>
      <c r="C32" s="40" t="s">
        <v>18</v>
      </c>
      <c r="D32" s="40" t="s">
        <v>286</v>
      </c>
      <c r="E32" s="46"/>
      <c r="F32" s="41" t="s">
        <v>21</v>
      </c>
      <c r="G32" s="41">
        <v>14.0</v>
      </c>
      <c r="H32" s="41" t="s">
        <v>22</v>
      </c>
      <c r="I32" s="42">
        <v>1.0</v>
      </c>
      <c r="J32" s="43"/>
      <c r="K32" s="42">
        <v>0.0</v>
      </c>
      <c r="L32" s="42">
        <v>0.0</v>
      </c>
      <c r="M32" s="42">
        <v>0.0</v>
      </c>
      <c r="N32" s="42">
        <v>0.0</v>
      </c>
      <c r="O32" s="46"/>
    </row>
    <row r="33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50" t="s">
        <v>63</v>
      </c>
      <c r="N33" s="51">
        <v>1316.32</v>
      </c>
      <c r="O33" s="52"/>
    </row>
    <row r="34">
      <c r="A34" s="39">
        <v>9.0</v>
      </c>
      <c r="B34" s="39" t="s">
        <v>765</v>
      </c>
      <c r="C34" s="40" t="s">
        <v>18</v>
      </c>
      <c r="D34" s="40" t="s">
        <v>766</v>
      </c>
      <c r="E34" s="40" t="s">
        <v>20</v>
      </c>
      <c r="F34" s="41" t="s">
        <v>21</v>
      </c>
      <c r="G34" s="41">
        <v>70.0</v>
      </c>
      <c r="H34" s="41" t="s">
        <v>22</v>
      </c>
      <c r="I34" s="42">
        <v>1.0</v>
      </c>
      <c r="J34" s="43"/>
      <c r="K34" s="44">
        <v>1200.07</v>
      </c>
      <c r="L34" s="44">
        <v>1200.07</v>
      </c>
      <c r="M34" s="42">
        <v>0.0</v>
      </c>
      <c r="N34" s="44">
        <v>1200.07</v>
      </c>
      <c r="O34" s="46"/>
    </row>
    <row r="35">
      <c r="A35" s="42" t="s">
        <v>151</v>
      </c>
      <c r="B35" s="41" t="s">
        <v>767</v>
      </c>
      <c r="C35" s="40" t="s">
        <v>18</v>
      </c>
      <c r="D35" s="40" t="s">
        <v>768</v>
      </c>
      <c r="E35" s="46"/>
      <c r="F35" s="41">
        <v>36.0</v>
      </c>
      <c r="G35" s="41" t="s">
        <v>21</v>
      </c>
      <c r="H35" s="41" t="s">
        <v>22</v>
      </c>
      <c r="I35" s="42">
        <v>1.0</v>
      </c>
      <c r="J35" s="43"/>
      <c r="K35" s="42">
        <v>585.75</v>
      </c>
      <c r="L35" s="42">
        <v>585.75</v>
      </c>
      <c r="M35" s="42">
        <v>0.0</v>
      </c>
      <c r="N35" s="42">
        <v>585.75</v>
      </c>
      <c r="O35" s="40" t="s">
        <v>26</v>
      </c>
    </row>
    <row r="36">
      <c r="A36" s="42">
        <v>9.1</v>
      </c>
      <c r="B36" s="41" t="s">
        <v>285</v>
      </c>
      <c r="C36" s="40" t="s">
        <v>18</v>
      </c>
      <c r="D36" s="40" t="s">
        <v>286</v>
      </c>
      <c r="E36" s="46"/>
      <c r="F36" s="41" t="s">
        <v>21</v>
      </c>
      <c r="G36" s="41">
        <v>14.0</v>
      </c>
      <c r="H36" s="41" t="s">
        <v>22</v>
      </c>
      <c r="I36" s="42">
        <v>1.0</v>
      </c>
      <c r="J36" s="43"/>
      <c r="K36" s="42">
        <v>0.0</v>
      </c>
      <c r="L36" s="42">
        <v>0.0</v>
      </c>
      <c r="M36" s="42">
        <v>0.0</v>
      </c>
      <c r="N36" s="42">
        <v>0.0</v>
      </c>
      <c r="O36" s="46"/>
    </row>
    <row r="37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50" t="s">
        <v>63</v>
      </c>
      <c r="N37" s="51">
        <v>1785.82</v>
      </c>
      <c r="O37" s="52"/>
    </row>
    <row r="38">
      <c r="A38" s="39">
        <v>10.0</v>
      </c>
      <c r="B38" s="39" t="s">
        <v>769</v>
      </c>
      <c r="C38" s="40" t="s">
        <v>18</v>
      </c>
      <c r="D38" s="40" t="s">
        <v>770</v>
      </c>
      <c r="E38" s="40" t="s">
        <v>20</v>
      </c>
      <c r="F38" s="41" t="s">
        <v>21</v>
      </c>
      <c r="G38" s="41">
        <v>14.0</v>
      </c>
      <c r="H38" s="41" t="s">
        <v>22</v>
      </c>
      <c r="I38" s="42">
        <v>1.0</v>
      </c>
      <c r="J38" s="43"/>
      <c r="K38" s="42">
        <v>972.42</v>
      </c>
      <c r="L38" s="42">
        <v>972.42</v>
      </c>
      <c r="M38" s="42">
        <v>0.0</v>
      </c>
      <c r="N38" s="42">
        <v>972.42</v>
      </c>
      <c r="O38" s="46"/>
    </row>
    <row r="39">
      <c r="A39" s="42" t="s">
        <v>156</v>
      </c>
      <c r="B39" s="41" t="s">
        <v>771</v>
      </c>
      <c r="C39" s="40" t="s">
        <v>18</v>
      </c>
      <c r="D39" s="40" t="s">
        <v>772</v>
      </c>
      <c r="E39" s="46"/>
      <c r="F39" s="41">
        <v>36.0</v>
      </c>
      <c r="G39" s="41" t="s">
        <v>21</v>
      </c>
      <c r="H39" s="41" t="s">
        <v>22</v>
      </c>
      <c r="I39" s="42">
        <v>1.0</v>
      </c>
      <c r="J39" s="43"/>
      <c r="K39" s="42">
        <v>474.39</v>
      </c>
      <c r="L39" s="42">
        <v>474.39</v>
      </c>
      <c r="M39" s="42">
        <v>0.0</v>
      </c>
      <c r="N39" s="42">
        <v>474.39</v>
      </c>
      <c r="O39" s="40" t="s">
        <v>26</v>
      </c>
    </row>
    <row r="40">
      <c r="A40" s="42">
        <v>10.1</v>
      </c>
      <c r="B40" s="41" t="s">
        <v>285</v>
      </c>
      <c r="C40" s="40" t="s">
        <v>18</v>
      </c>
      <c r="D40" s="40" t="s">
        <v>286</v>
      </c>
      <c r="E40" s="46"/>
      <c r="F40" s="41" t="s">
        <v>21</v>
      </c>
      <c r="G40" s="41">
        <v>14.0</v>
      </c>
      <c r="H40" s="41" t="s">
        <v>22</v>
      </c>
      <c r="I40" s="42">
        <v>1.0</v>
      </c>
      <c r="J40" s="43"/>
      <c r="K40" s="42">
        <v>0.0</v>
      </c>
      <c r="L40" s="42">
        <v>0.0</v>
      </c>
      <c r="M40" s="42">
        <v>0.0</v>
      </c>
      <c r="N40" s="42">
        <v>0.0</v>
      </c>
      <c r="O40" s="46"/>
    </row>
    <row r="41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50" t="s">
        <v>63</v>
      </c>
      <c r="N41" s="51">
        <v>1446.81</v>
      </c>
      <c r="O41" s="52"/>
    </row>
    <row r="42">
      <c r="A42" s="39">
        <v>11.0</v>
      </c>
      <c r="B42" s="39" t="s">
        <v>773</v>
      </c>
      <c r="C42" s="40" t="s">
        <v>18</v>
      </c>
      <c r="D42" s="40" t="s">
        <v>774</v>
      </c>
      <c r="E42" s="40" t="s">
        <v>20</v>
      </c>
      <c r="F42" s="41" t="s">
        <v>21</v>
      </c>
      <c r="G42" s="41">
        <v>14.0</v>
      </c>
      <c r="H42" s="41" t="s">
        <v>22</v>
      </c>
      <c r="I42" s="42">
        <v>1.0</v>
      </c>
      <c r="J42" s="43"/>
      <c r="K42" s="44">
        <v>1606.2</v>
      </c>
      <c r="L42" s="44">
        <v>1606.2</v>
      </c>
      <c r="M42" s="42">
        <v>0.0</v>
      </c>
      <c r="N42" s="44">
        <v>1606.2</v>
      </c>
      <c r="O42" s="46"/>
    </row>
    <row r="43">
      <c r="A43" s="42" t="s">
        <v>369</v>
      </c>
      <c r="B43" s="41" t="s">
        <v>775</v>
      </c>
      <c r="C43" s="40" t="s">
        <v>18</v>
      </c>
      <c r="D43" s="40" t="s">
        <v>776</v>
      </c>
      <c r="E43" s="46"/>
      <c r="F43" s="41">
        <v>36.0</v>
      </c>
      <c r="G43" s="41" t="s">
        <v>21</v>
      </c>
      <c r="H43" s="41" t="s">
        <v>22</v>
      </c>
      <c r="I43" s="42">
        <v>1.0</v>
      </c>
      <c r="J43" s="43"/>
      <c r="K43" s="42">
        <v>787.89</v>
      </c>
      <c r="L43" s="42">
        <v>787.89</v>
      </c>
      <c r="M43" s="42">
        <v>0.0</v>
      </c>
      <c r="N43" s="42">
        <v>787.89</v>
      </c>
      <c r="O43" s="40" t="s">
        <v>26</v>
      </c>
    </row>
    <row r="44">
      <c r="A44" s="42">
        <v>11.1</v>
      </c>
      <c r="B44" s="41" t="s">
        <v>285</v>
      </c>
      <c r="C44" s="40" t="s">
        <v>18</v>
      </c>
      <c r="D44" s="40" t="s">
        <v>286</v>
      </c>
      <c r="E44" s="46"/>
      <c r="F44" s="41" t="s">
        <v>21</v>
      </c>
      <c r="G44" s="41">
        <v>14.0</v>
      </c>
      <c r="H44" s="41" t="s">
        <v>22</v>
      </c>
      <c r="I44" s="42">
        <v>1.0</v>
      </c>
      <c r="J44" s="43"/>
      <c r="K44" s="42">
        <v>0.0</v>
      </c>
      <c r="L44" s="42">
        <v>0.0</v>
      </c>
      <c r="M44" s="42">
        <v>0.0</v>
      </c>
      <c r="N44" s="42">
        <v>0.0</v>
      </c>
      <c r="O44" s="46"/>
    </row>
    <row r="4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50" t="s">
        <v>63</v>
      </c>
      <c r="N45" s="51">
        <v>2394.09</v>
      </c>
      <c r="O45" s="52"/>
    </row>
    <row r="46">
      <c r="A46" s="39">
        <v>12.0</v>
      </c>
      <c r="B46" s="39" t="s">
        <v>777</v>
      </c>
      <c r="C46" s="40" t="s">
        <v>18</v>
      </c>
      <c r="D46" s="40" t="s">
        <v>778</v>
      </c>
      <c r="E46" s="40" t="s">
        <v>20</v>
      </c>
      <c r="F46" s="41" t="s">
        <v>21</v>
      </c>
      <c r="G46" s="41">
        <v>14.0</v>
      </c>
      <c r="H46" s="41" t="s">
        <v>22</v>
      </c>
      <c r="I46" s="42">
        <v>1.0</v>
      </c>
      <c r="J46" s="43"/>
      <c r="K46" s="44">
        <v>2008.88</v>
      </c>
      <c r="L46" s="44">
        <v>2008.88</v>
      </c>
      <c r="M46" s="42">
        <v>0.0</v>
      </c>
      <c r="N46" s="44">
        <v>2008.88</v>
      </c>
      <c r="O46" s="46"/>
    </row>
    <row r="47">
      <c r="A47" s="42" t="s">
        <v>169</v>
      </c>
      <c r="B47" s="41" t="s">
        <v>779</v>
      </c>
      <c r="C47" s="40" t="s">
        <v>18</v>
      </c>
      <c r="D47" s="40" t="s">
        <v>780</v>
      </c>
      <c r="E47" s="46"/>
      <c r="F47" s="41">
        <v>36.0</v>
      </c>
      <c r="G47" s="41" t="s">
        <v>21</v>
      </c>
      <c r="H47" s="41" t="s">
        <v>22</v>
      </c>
      <c r="I47" s="42">
        <v>1.0</v>
      </c>
      <c r="J47" s="43"/>
      <c r="K47" s="42">
        <v>981.75</v>
      </c>
      <c r="L47" s="42">
        <v>981.75</v>
      </c>
      <c r="M47" s="42">
        <v>0.0</v>
      </c>
      <c r="N47" s="42">
        <v>981.75</v>
      </c>
      <c r="O47" s="40" t="s">
        <v>26</v>
      </c>
    </row>
    <row r="48">
      <c r="A48" s="42">
        <v>12.1</v>
      </c>
      <c r="B48" s="41" t="s">
        <v>285</v>
      </c>
      <c r="C48" s="40" t="s">
        <v>18</v>
      </c>
      <c r="D48" s="40" t="s">
        <v>286</v>
      </c>
      <c r="E48" s="46"/>
      <c r="F48" s="41" t="s">
        <v>21</v>
      </c>
      <c r="G48" s="41">
        <v>14.0</v>
      </c>
      <c r="H48" s="41" t="s">
        <v>22</v>
      </c>
      <c r="I48" s="42">
        <v>1.0</v>
      </c>
      <c r="J48" s="43"/>
      <c r="K48" s="42">
        <v>0.0</v>
      </c>
      <c r="L48" s="42">
        <v>0.0</v>
      </c>
      <c r="M48" s="42">
        <v>0.0</v>
      </c>
      <c r="N48" s="42">
        <v>0.0</v>
      </c>
      <c r="O48" s="46"/>
    </row>
    <row r="49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50" t="s">
        <v>63</v>
      </c>
      <c r="N49" s="51">
        <v>2990.63</v>
      </c>
      <c r="O49" s="52"/>
    </row>
    <row r="50">
      <c r="A50" s="39">
        <v>13.0</v>
      </c>
      <c r="B50" s="39" t="s">
        <v>781</v>
      </c>
      <c r="C50" s="40" t="s">
        <v>18</v>
      </c>
      <c r="D50" s="40" t="s">
        <v>782</v>
      </c>
      <c r="E50" s="40" t="s">
        <v>20</v>
      </c>
      <c r="F50" s="41" t="s">
        <v>21</v>
      </c>
      <c r="G50" s="41">
        <v>14.0</v>
      </c>
      <c r="H50" s="41" t="s">
        <v>22</v>
      </c>
      <c r="I50" s="42">
        <v>1.0</v>
      </c>
      <c r="J50" s="43"/>
      <c r="K50" s="42">
        <v>692.3</v>
      </c>
      <c r="L50" s="42">
        <v>692.3</v>
      </c>
      <c r="M50" s="42">
        <v>0.0</v>
      </c>
      <c r="N50" s="42">
        <v>692.3</v>
      </c>
      <c r="O50" s="46"/>
    </row>
    <row r="51">
      <c r="A51" s="42" t="s">
        <v>189</v>
      </c>
      <c r="B51" s="41" t="s">
        <v>783</v>
      </c>
      <c r="C51" s="40" t="s">
        <v>18</v>
      </c>
      <c r="D51" s="40" t="s">
        <v>784</v>
      </c>
      <c r="E51" s="46"/>
      <c r="F51" s="41">
        <v>36.0</v>
      </c>
      <c r="G51" s="41" t="s">
        <v>21</v>
      </c>
      <c r="H51" s="41" t="s">
        <v>22</v>
      </c>
      <c r="I51" s="42">
        <v>1.0</v>
      </c>
      <c r="J51" s="43"/>
      <c r="K51" s="42">
        <v>354.75</v>
      </c>
      <c r="L51" s="42">
        <v>354.75</v>
      </c>
      <c r="M51" s="42">
        <v>0.0</v>
      </c>
      <c r="N51" s="42">
        <v>354.75</v>
      </c>
      <c r="O51" s="40" t="s">
        <v>26</v>
      </c>
    </row>
    <row r="52">
      <c r="A52" s="42">
        <v>13.1</v>
      </c>
      <c r="B52" s="41" t="s">
        <v>285</v>
      </c>
      <c r="C52" s="40" t="s">
        <v>18</v>
      </c>
      <c r="D52" s="40" t="s">
        <v>286</v>
      </c>
      <c r="E52" s="46"/>
      <c r="F52" s="41" t="s">
        <v>21</v>
      </c>
      <c r="G52" s="41">
        <v>14.0</v>
      </c>
      <c r="H52" s="41" t="s">
        <v>22</v>
      </c>
      <c r="I52" s="42">
        <v>1.0</v>
      </c>
      <c r="J52" s="43"/>
      <c r="K52" s="42">
        <v>0.0</v>
      </c>
      <c r="L52" s="42">
        <v>0.0</v>
      </c>
      <c r="M52" s="42">
        <v>0.0</v>
      </c>
      <c r="N52" s="42">
        <v>0.0</v>
      </c>
      <c r="O52" s="46"/>
    </row>
    <row r="53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50" t="s">
        <v>63</v>
      </c>
      <c r="N53" s="51">
        <v>1047.05</v>
      </c>
      <c r="O53" s="52"/>
    </row>
    <row r="54">
      <c r="A54" s="39">
        <v>14.0</v>
      </c>
      <c r="B54" s="39" t="s">
        <v>785</v>
      </c>
      <c r="C54" s="40" t="s">
        <v>18</v>
      </c>
      <c r="D54" s="40" t="s">
        <v>786</v>
      </c>
      <c r="E54" s="40" t="s">
        <v>20</v>
      </c>
      <c r="F54" s="41" t="s">
        <v>21</v>
      </c>
      <c r="G54" s="41">
        <v>49.0</v>
      </c>
      <c r="H54" s="41" t="s">
        <v>22</v>
      </c>
      <c r="I54" s="42">
        <v>1.0</v>
      </c>
      <c r="J54" s="43"/>
      <c r="K54" s="42">
        <v>891.7</v>
      </c>
      <c r="L54" s="42">
        <v>891.7</v>
      </c>
      <c r="M54" s="42">
        <v>0.0</v>
      </c>
      <c r="N54" s="42">
        <v>891.7</v>
      </c>
      <c r="O54" s="46"/>
    </row>
    <row r="55">
      <c r="A55" s="42" t="s">
        <v>199</v>
      </c>
      <c r="B55" s="41" t="s">
        <v>787</v>
      </c>
      <c r="C55" s="40" t="s">
        <v>18</v>
      </c>
      <c r="D55" s="40" t="s">
        <v>788</v>
      </c>
      <c r="E55" s="46"/>
      <c r="F55" s="41">
        <v>36.0</v>
      </c>
      <c r="G55" s="41" t="s">
        <v>21</v>
      </c>
      <c r="H55" s="41" t="s">
        <v>22</v>
      </c>
      <c r="I55" s="42">
        <v>1.0</v>
      </c>
      <c r="J55" s="43"/>
      <c r="K55" s="42">
        <v>511.5</v>
      </c>
      <c r="L55" s="42">
        <v>511.5</v>
      </c>
      <c r="M55" s="42">
        <v>0.0</v>
      </c>
      <c r="N55" s="42">
        <v>511.5</v>
      </c>
      <c r="O55" s="40" t="s">
        <v>26</v>
      </c>
    </row>
    <row r="56">
      <c r="A56" s="42">
        <v>14.1</v>
      </c>
      <c r="B56" s="41" t="s">
        <v>285</v>
      </c>
      <c r="C56" s="40" t="s">
        <v>18</v>
      </c>
      <c r="D56" s="40" t="s">
        <v>286</v>
      </c>
      <c r="E56" s="46"/>
      <c r="F56" s="41" t="s">
        <v>21</v>
      </c>
      <c r="G56" s="41">
        <v>14.0</v>
      </c>
      <c r="H56" s="41" t="s">
        <v>22</v>
      </c>
      <c r="I56" s="42">
        <v>1.0</v>
      </c>
      <c r="J56" s="43"/>
      <c r="K56" s="42">
        <v>0.0</v>
      </c>
      <c r="L56" s="42">
        <v>0.0</v>
      </c>
      <c r="M56" s="42">
        <v>0.0</v>
      </c>
      <c r="N56" s="42">
        <v>0.0</v>
      </c>
      <c r="O56" s="46"/>
    </row>
    <row r="57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50" t="s">
        <v>63</v>
      </c>
      <c r="N57" s="51">
        <v>1403.2</v>
      </c>
      <c r="O57" s="52"/>
    </row>
    <row r="58">
      <c r="A58" s="39">
        <v>15.0</v>
      </c>
      <c r="B58" s="39" t="s">
        <v>789</v>
      </c>
      <c r="C58" s="40" t="s">
        <v>18</v>
      </c>
      <c r="D58" s="40" t="s">
        <v>790</v>
      </c>
      <c r="E58" s="40" t="s">
        <v>20</v>
      </c>
      <c r="F58" s="41" t="s">
        <v>21</v>
      </c>
      <c r="G58" s="41">
        <v>14.0</v>
      </c>
      <c r="H58" s="41" t="s">
        <v>22</v>
      </c>
      <c r="I58" s="42">
        <v>1.0</v>
      </c>
      <c r="J58" s="43"/>
      <c r="K58" s="44">
        <v>1063.82</v>
      </c>
      <c r="L58" s="44">
        <v>1063.82</v>
      </c>
      <c r="M58" s="42">
        <v>0.0</v>
      </c>
      <c r="N58" s="44">
        <v>1063.82</v>
      </c>
      <c r="O58" s="46"/>
    </row>
    <row r="59">
      <c r="A59" s="42" t="s">
        <v>210</v>
      </c>
      <c r="B59" s="41" t="s">
        <v>791</v>
      </c>
      <c r="C59" s="40" t="s">
        <v>18</v>
      </c>
      <c r="D59" s="40" t="s">
        <v>792</v>
      </c>
      <c r="E59" s="46"/>
      <c r="F59" s="41">
        <v>36.0</v>
      </c>
      <c r="G59" s="41" t="s">
        <v>21</v>
      </c>
      <c r="H59" s="41" t="s">
        <v>22</v>
      </c>
      <c r="I59" s="42">
        <v>1.0</v>
      </c>
      <c r="J59" s="43"/>
      <c r="K59" s="42">
        <v>610.5</v>
      </c>
      <c r="L59" s="42">
        <v>610.5</v>
      </c>
      <c r="M59" s="42">
        <v>0.0</v>
      </c>
      <c r="N59" s="42">
        <v>610.5</v>
      </c>
      <c r="O59" s="40" t="s">
        <v>26</v>
      </c>
    </row>
    <row r="60">
      <c r="A60" s="42">
        <v>15.1</v>
      </c>
      <c r="B60" s="41" t="s">
        <v>285</v>
      </c>
      <c r="C60" s="40" t="s">
        <v>18</v>
      </c>
      <c r="D60" s="40" t="s">
        <v>286</v>
      </c>
      <c r="E60" s="46"/>
      <c r="F60" s="41" t="s">
        <v>21</v>
      </c>
      <c r="G60" s="41">
        <v>14.0</v>
      </c>
      <c r="H60" s="41" t="s">
        <v>22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</row>
    <row r="6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50" t="s">
        <v>63</v>
      </c>
      <c r="N61" s="51">
        <v>1674.32</v>
      </c>
      <c r="O61" s="52"/>
    </row>
    <row r="62">
      <c r="A62" s="39">
        <v>16.0</v>
      </c>
      <c r="B62" s="39" t="s">
        <v>793</v>
      </c>
      <c r="C62" s="40" t="s">
        <v>18</v>
      </c>
      <c r="D62" s="40" t="s">
        <v>794</v>
      </c>
      <c r="E62" s="40" t="s">
        <v>20</v>
      </c>
      <c r="F62" s="41" t="s">
        <v>21</v>
      </c>
      <c r="G62" s="41">
        <v>14.0</v>
      </c>
      <c r="H62" s="41" t="s">
        <v>22</v>
      </c>
      <c r="I62" s="42">
        <v>1.0</v>
      </c>
      <c r="J62" s="43"/>
      <c r="K62" s="44">
        <v>1445.01</v>
      </c>
      <c r="L62" s="44">
        <v>1445.01</v>
      </c>
      <c r="M62" s="42">
        <v>0.0</v>
      </c>
      <c r="N62" s="44">
        <v>1445.01</v>
      </c>
      <c r="O62" s="46"/>
    </row>
    <row r="63">
      <c r="A63" s="42" t="s">
        <v>400</v>
      </c>
      <c r="B63" s="41" t="s">
        <v>795</v>
      </c>
      <c r="C63" s="40" t="s">
        <v>18</v>
      </c>
      <c r="D63" s="40" t="s">
        <v>796</v>
      </c>
      <c r="E63" s="46"/>
      <c r="F63" s="41">
        <v>36.0</v>
      </c>
      <c r="G63" s="41" t="s">
        <v>21</v>
      </c>
      <c r="H63" s="41" t="s">
        <v>22</v>
      </c>
      <c r="I63" s="42">
        <v>1.0</v>
      </c>
      <c r="J63" s="43"/>
      <c r="K63" s="42">
        <v>833.25</v>
      </c>
      <c r="L63" s="42">
        <v>833.25</v>
      </c>
      <c r="M63" s="42">
        <v>0.0</v>
      </c>
      <c r="N63" s="42">
        <v>833.25</v>
      </c>
      <c r="O63" s="40" t="s">
        <v>26</v>
      </c>
    </row>
    <row r="64">
      <c r="A64" s="42">
        <v>16.1</v>
      </c>
      <c r="B64" s="41" t="s">
        <v>285</v>
      </c>
      <c r="C64" s="40" t="s">
        <v>18</v>
      </c>
      <c r="D64" s="40" t="s">
        <v>286</v>
      </c>
      <c r="E64" s="46"/>
      <c r="F64" s="41" t="s">
        <v>21</v>
      </c>
      <c r="G64" s="41">
        <v>14.0</v>
      </c>
      <c r="H64" s="41" t="s">
        <v>22</v>
      </c>
      <c r="I64" s="42">
        <v>1.0</v>
      </c>
      <c r="J64" s="43"/>
      <c r="K64" s="42">
        <v>0.0</v>
      </c>
      <c r="L64" s="42">
        <v>0.0</v>
      </c>
      <c r="M64" s="42">
        <v>0.0</v>
      </c>
      <c r="N64" s="42">
        <v>0.0</v>
      </c>
      <c r="O64" s="46"/>
    </row>
    <row r="6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50" t="s">
        <v>63</v>
      </c>
      <c r="N65" s="51">
        <v>2278.26</v>
      </c>
      <c r="O65" s="52"/>
    </row>
    <row r="66">
      <c r="A66" s="39">
        <v>17.0</v>
      </c>
      <c r="B66" s="39" t="s">
        <v>797</v>
      </c>
      <c r="C66" s="40" t="s">
        <v>18</v>
      </c>
      <c r="D66" s="40" t="s">
        <v>798</v>
      </c>
      <c r="E66" s="40" t="s">
        <v>20</v>
      </c>
      <c r="F66" s="41" t="s">
        <v>21</v>
      </c>
      <c r="G66" s="41">
        <v>14.0</v>
      </c>
      <c r="H66" s="41" t="s">
        <v>22</v>
      </c>
      <c r="I66" s="42">
        <v>1.0</v>
      </c>
      <c r="J66" s="43"/>
      <c r="K66" s="44">
        <v>1398.33</v>
      </c>
      <c r="L66" s="44">
        <v>1398.33</v>
      </c>
      <c r="M66" s="42">
        <v>0.0</v>
      </c>
      <c r="N66" s="44">
        <v>1398.33</v>
      </c>
      <c r="O66" s="46"/>
    </row>
    <row r="67">
      <c r="A67" s="42" t="s">
        <v>405</v>
      </c>
      <c r="B67" s="41" t="s">
        <v>799</v>
      </c>
      <c r="C67" s="40" t="s">
        <v>18</v>
      </c>
      <c r="D67" s="40" t="s">
        <v>800</v>
      </c>
      <c r="E67" s="46"/>
      <c r="F67" s="41">
        <v>36.0</v>
      </c>
      <c r="G67" s="41" t="s">
        <v>21</v>
      </c>
      <c r="H67" s="41" t="s">
        <v>22</v>
      </c>
      <c r="I67" s="42">
        <v>1.0</v>
      </c>
      <c r="J67" s="43"/>
      <c r="K67" s="42">
        <v>804.39</v>
      </c>
      <c r="L67" s="42">
        <v>804.39</v>
      </c>
      <c r="M67" s="42">
        <v>0.0</v>
      </c>
      <c r="N67" s="42">
        <v>804.39</v>
      </c>
      <c r="O67" s="40" t="s">
        <v>26</v>
      </c>
    </row>
    <row r="68">
      <c r="A68" s="42">
        <v>17.1</v>
      </c>
      <c r="B68" s="41" t="s">
        <v>285</v>
      </c>
      <c r="C68" s="40" t="s">
        <v>18</v>
      </c>
      <c r="D68" s="40" t="s">
        <v>286</v>
      </c>
      <c r="E68" s="46"/>
      <c r="F68" s="41" t="s">
        <v>21</v>
      </c>
      <c r="G68" s="41">
        <v>14.0</v>
      </c>
      <c r="H68" s="41" t="s">
        <v>22</v>
      </c>
      <c r="I68" s="42">
        <v>1.0</v>
      </c>
      <c r="J68" s="43"/>
      <c r="K68" s="42">
        <v>0.0</v>
      </c>
      <c r="L68" s="42">
        <v>0.0</v>
      </c>
      <c r="M68" s="42">
        <v>0.0</v>
      </c>
      <c r="N68" s="42">
        <v>0.0</v>
      </c>
      <c r="O68" s="46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50" t="s">
        <v>63</v>
      </c>
      <c r="N69" s="51">
        <v>2202.72</v>
      </c>
      <c r="O69" s="52"/>
    </row>
    <row r="70">
      <c r="A70" s="39">
        <v>18.0</v>
      </c>
      <c r="B70" s="39" t="s">
        <v>801</v>
      </c>
      <c r="C70" s="40" t="s">
        <v>18</v>
      </c>
      <c r="D70" s="40" t="s">
        <v>802</v>
      </c>
      <c r="E70" s="40" t="s">
        <v>20</v>
      </c>
      <c r="F70" s="41" t="s">
        <v>21</v>
      </c>
      <c r="G70" s="41">
        <v>14.0</v>
      </c>
      <c r="H70" s="41" t="s">
        <v>22</v>
      </c>
      <c r="I70" s="42">
        <v>1.0</v>
      </c>
      <c r="J70" s="43"/>
      <c r="K70" s="44">
        <v>1734.79</v>
      </c>
      <c r="L70" s="44">
        <v>1734.79</v>
      </c>
      <c r="M70" s="42">
        <v>0.0</v>
      </c>
      <c r="N70" s="44">
        <v>1734.79</v>
      </c>
      <c r="O70" s="46"/>
    </row>
    <row r="71">
      <c r="A71" s="42" t="s">
        <v>411</v>
      </c>
      <c r="B71" s="41" t="s">
        <v>803</v>
      </c>
      <c r="C71" s="40" t="s">
        <v>18</v>
      </c>
      <c r="D71" s="40" t="s">
        <v>804</v>
      </c>
      <c r="E71" s="46"/>
      <c r="F71" s="41">
        <v>36.0</v>
      </c>
      <c r="G71" s="41" t="s">
        <v>21</v>
      </c>
      <c r="H71" s="41" t="s">
        <v>22</v>
      </c>
      <c r="I71" s="42">
        <v>1.0</v>
      </c>
      <c r="J71" s="43"/>
      <c r="K71" s="42">
        <v>998.25</v>
      </c>
      <c r="L71" s="42">
        <v>998.25</v>
      </c>
      <c r="M71" s="42">
        <v>0.0</v>
      </c>
      <c r="N71" s="42">
        <v>998.25</v>
      </c>
      <c r="O71" s="40" t="s">
        <v>26</v>
      </c>
    </row>
    <row r="72">
      <c r="A72" s="42">
        <v>18.1</v>
      </c>
      <c r="B72" s="41" t="s">
        <v>285</v>
      </c>
      <c r="C72" s="40" t="s">
        <v>18</v>
      </c>
      <c r="D72" s="40" t="s">
        <v>286</v>
      </c>
      <c r="E72" s="46"/>
      <c r="F72" s="41" t="s">
        <v>21</v>
      </c>
      <c r="G72" s="41">
        <v>14.0</v>
      </c>
      <c r="H72" s="41" t="s">
        <v>22</v>
      </c>
      <c r="I72" s="42">
        <v>1.0</v>
      </c>
      <c r="J72" s="43"/>
      <c r="K72" s="42">
        <v>0.0</v>
      </c>
      <c r="L72" s="42">
        <v>0.0</v>
      </c>
      <c r="M72" s="42">
        <v>0.0</v>
      </c>
      <c r="N72" s="42">
        <v>0.0</v>
      </c>
      <c r="O72" s="46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50" t="s">
        <v>63</v>
      </c>
      <c r="N73" s="51">
        <v>2733.04</v>
      </c>
      <c r="O73" s="52"/>
    </row>
    <row r="74">
      <c r="A74" s="39">
        <v>19.0</v>
      </c>
      <c r="B74" s="39" t="s">
        <v>805</v>
      </c>
      <c r="C74" s="40" t="s">
        <v>18</v>
      </c>
      <c r="D74" s="40" t="s">
        <v>806</v>
      </c>
      <c r="E74" s="40" t="s">
        <v>20</v>
      </c>
      <c r="F74" s="41" t="s">
        <v>21</v>
      </c>
      <c r="G74" s="41">
        <v>14.0</v>
      </c>
      <c r="H74" s="41" t="s">
        <v>22</v>
      </c>
      <c r="I74" s="42">
        <v>1.0</v>
      </c>
      <c r="J74" s="43"/>
      <c r="K74" s="44">
        <v>2239.47</v>
      </c>
      <c r="L74" s="44">
        <v>2239.47</v>
      </c>
      <c r="M74" s="42">
        <v>0.0</v>
      </c>
      <c r="N74" s="44">
        <v>2239.47</v>
      </c>
      <c r="O74" s="46"/>
    </row>
    <row r="75">
      <c r="A75" s="42" t="s">
        <v>418</v>
      </c>
      <c r="B75" s="41" t="s">
        <v>807</v>
      </c>
      <c r="C75" s="40" t="s">
        <v>18</v>
      </c>
      <c r="D75" s="40" t="s">
        <v>808</v>
      </c>
      <c r="E75" s="46"/>
      <c r="F75" s="41">
        <v>36.0</v>
      </c>
      <c r="G75" s="41" t="s">
        <v>21</v>
      </c>
      <c r="H75" s="41" t="s">
        <v>22</v>
      </c>
      <c r="I75" s="42">
        <v>1.0</v>
      </c>
      <c r="J75" s="43"/>
      <c r="K75" s="44">
        <v>1287.0</v>
      </c>
      <c r="L75" s="44">
        <v>1287.0</v>
      </c>
      <c r="M75" s="42">
        <v>0.0</v>
      </c>
      <c r="N75" s="44">
        <v>1287.0</v>
      </c>
      <c r="O75" s="40" t="s">
        <v>26</v>
      </c>
    </row>
    <row r="76">
      <c r="A76" s="42">
        <v>19.1</v>
      </c>
      <c r="B76" s="41" t="s">
        <v>285</v>
      </c>
      <c r="C76" s="40" t="s">
        <v>18</v>
      </c>
      <c r="D76" s="40" t="s">
        <v>286</v>
      </c>
      <c r="E76" s="46"/>
      <c r="F76" s="41" t="s">
        <v>21</v>
      </c>
      <c r="G76" s="41">
        <v>14.0</v>
      </c>
      <c r="H76" s="41" t="s">
        <v>22</v>
      </c>
      <c r="I76" s="42">
        <v>1.0</v>
      </c>
      <c r="J76" s="43"/>
      <c r="K76" s="42">
        <v>0.0</v>
      </c>
      <c r="L76" s="42">
        <v>0.0</v>
      </c>
      <c r="M76" s="42">
        <v>0.0</v>
      </c>
      <c r="N76" s="42">
        <v>0.0</v>
      </c>
      <c r="O76" s="46"/>
    </row>
    <row r="77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50" t="s">
        <v>63</v>
      </c>
      <c r="N77" s="51">
        <v>3526.47</v>
      </c>
      <c r="O77" s="52"/>
    </row>
    <row r="78">
      <c r="A78" s="39">
        <v>20.0</v>
      </c>
      <c r="B78" s="39" t="s">
        <v>809</v>
      </c>
      <c r="C78" s="40" t="s">
        <v>18</v>
      </c>
      <c r="D78" s="40" t="s">
        <v>810</v>
      </c>
      <c r="E78" s="40" t="s">
        <v>20</v>
      </c>
      <c r="F78" s="41" t="s">
        <v>21</v>
      </c>
      <c r="G78" s="41">
        <v>14.0</v>
      </c>
      <c r="H78" s="41" t="s">
        <v>22</v>
      </c>
      <c r="I78" s="42">
        <v>1.0</v>
      </c>
      <c r="J78" s="43"/>
      <c r="K78" s="44">
        <v>1535.43</v>
      </c>
      <c r="L78" s="44">
        <v>1535.43</v>
      </c>
      <c r="M78" s="42">
        <v>0.0</v>
      </c>
      <c r="N78" s="44">
        <v>1535.43</v>
      </c>
      <c r="O78" s="46"/>
    </row>
    <row r="79">
      <c r="A79" s="42" t="s">
        <v>811</v>
      </c>
      <c r="B79" s="41" t="s">
        <v>812</v>
      </c>
      <c r="C79" s="40" t="s">
        <v>18</v>
      </c>
      <c r="D79" s="40" t="s">
        <v>813</v>
      </c>
      <c r="E79" s="46"/>
      <c r="F79" s="41">
        <v>36.0</v>
      </c>
      <c r="G79" s="41" t="s">
        <v>21</v>
      </c>
      <c r="H79" s="41" t="s">
        <v>22</v>
      </c>
      <c r="I79" s="42">
        <v>1.0</v>
      </c>
      <c r="J79" s="43"/>
      <c r="K79" s="42">
        <v>882.75</v>
      </c>
      <c r="L79" s="42">
        <v>882.75</v>
      </c>
      <c r="M79" s="42">
        <v>0.0</v>
      </c>
      <c r="N79" s="42">
        <v>882.75</v>
      </c>
      <c r="O79" s="40" t="s">
        <v>26</v>
      </c>
    </row>
    <row r="80">
      <c r="A80" s="42">
        <v>20.1</v>
      </c>
      <c r="B80" s="41" t="s">
        <v>285</v>
      </c>
      <c r="C80" s="40" t="s">
        <v>18</v>
      </c>
      <c r="D80" s="40" t="s">
        <v>286</v>
      </c>
      <c r="E80" s="46"/>
      <c r="F80" s="41" t="s">
        <v>21</v>
      </c>
      <c r="G80" s="41">
        <v>14.0</v>
      </c>
      <c r="H80" s="41" t="s">
        <v>22</v>
      </c>
      <c r="I80" s="42">
        <v>1.0</v>
      </c>
      <c r="J80" s="43"/>
      <c r="K80" s="42">
        <v>0.0</v>
      </c>
      <c r="L80" s="42">
        <v>0.0</v>
      </c>
      <c r="M80" s="42">
        <v>0.0</v>
      </c>
      <c r="N80" s="42">
        <v>0.0</v>
      </c>
      <c r="O80" s="46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50" t="s">
        <v>63</v>
      </c>
      <c r="N81" s="51">
        <v>2418.18</v>
      </c>
      <c r="O81" s="52"/>
    </row>
    <row r="82">
      <c r="A82" s="39">
        <v>21.0</v>
      </c>
      <c r="B82" s="39" t="s">
        <v>814</v>
      </c>
      <c r="C82" s="40" t="s">
        <v>18</v>
      </c>
      <c r="D82" s="40" t="s">
        <v>815</v>
      </c>
      <c r="E82" s="40" t="s">
        <v>20</v>
      </c>
      <c r="F82" s="41" t="s">
        <v>21</v>
      </c>
      <c r="G82" s="41">
        <v>14.0</v>
      </c>
      <c r="H82" s="41" t="s">
        <v>22</v>
      </c>
      <c r="I82" s="42">
        <v>1.0</v>
      </c>
      <c r="J82" s="43"/>
      <c r="K82" s="44">
        <v>1563.64</v>
      </c>
      <c r="L82" s="44">
        <v>1563.64</v>
      </c>
      <c r="M82" s="42">
        <v>0.0</v>
      </c>
      <c r="N82" s="44">
        <v>1563.64</v>
      </c>
      <c r="O82" s="46"/>
    </row>
    <row r="83">
      <c r="A83" s="42" t="s">
        <v>594</v>
      </c>
      <c r="B83" s="41" t="s">
        <v>816</v>
      </c>
      <c r="C83" s="40" t="s">
        <v>18</v>
      </c>
      <c r="D83" s="40" t="s">
        <v>817</v>
      </c>
      <c r="E83" s="46"/>
      <c r="F83" s="41">
        <v>36.0</v>
      </c>
      <c r="G83" s="41" t="s">
        <v>21</v>
      </c>
      <c r="H83" s="41" t="s">
        <v>22</v>
      </c>
      <c r="I83" s="42">
        <v>1.0</v>
      </c>
      <c r="J83" s="43"/>
      <c r="K83" s="42">
        <v>899.25</v>
      </c>
      <c r="L83" s="42">
        <v>899.25</v>
      </c>
      <c r="M83" s="42">
        <v>0.0</v>
      </c>
      <c r="N83" s="42">
        <v>899.25</v>
      </c>
      <c r="O83" s="40" t="s">
        <v>26</v>
      </c>
    </row>
    <row r="84">
      <c r="A84" s="42">
        <v>21.1</v>
      </c>
      <c r="B84" s="41" t="s">
        <v>285</v>
      </c>
      <c r="C84" s="40" t="s">
        <v>18</v>
      </c>
      <c r="D84" s="40" t="s">
        <v>286</v>
      </c>
      <c r="E84" s="46"/>
      <c r="F84" s="41" t="s">
        <v>21</v>
      </c>
      <c r="G84" s="41">
        <v>14.0</v>
      </c>
      <c r="H84" s="41" t="s">
        <v>22</v>
      </c>
      <c r="I84" s="42">
        <v>1.0</v>
      </c>
      <c r="J84" s="43"/>
      <c r="K84" s="42">
        <v>0.0</v>
      </c>
      <c r="L84" s="42">
        <v>0.0</v>
      </c>
      <c r="M84" s="42">
        <v>0.0</v>
      </c>
      <c r="N84" s="42">
        <v>0.0</v>
      </c>
      <c r="O84" s="46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50" t="s">
        <v>63</v>
      </c>
      <c r="N85" s="51">
        <v>2462.89</v>
      </c>
      <c r="O85" s="52"/>
    </row>
    <row r="86">
      <c r="A86" s="39">
        <v>22.0</v>
      </c>
      <c r="B86" s="39" t="s">
        <v>818</v>
      </c>
      <c r="C86" s="40" t="s">
        <v>18</v>
      </c>
      <c r="D86" s="40" t="s">
        <v>819</v>
      </c>
      <c r="E86" s="40" t="s">
        <v>20</v>
      </c>
      <c r="F86" s="41" t="s">
        <v>21</v>
      </c>
      <c r="G86" s="41">
        <v>14.0</v>
      </c>
      <c r="H86" s="41" t="s">
        <v>22</v>
      </c>
      <c r="I86" s="42">
        <v>1.0</v>
      </c>
      <c r="J86" s="43"/>
      <c r="K86" s="44">
        <v>2442.7</v>
      </c>
      <c r="L86" s="44">
        <v>2442.7</v>
      </c>
      <c r="M86" s="42">
        <v>0.0</v>
      </c>
      <c r="N86" s="44">
        <v>2442.7</v>
      </c>
      <c r="O86" s="46"/>
    </row>
    <row r="87">
      <c r="A87" s="42" t="s">
        <v>820</v>
      </c>
      <c r="B87" s="41" t="s">
        <v>821</v>
      </c>
      <c r="C87" s="40" t="s">
        <v>18</v>
      </c>
      <c r="D87" s="40" t="s">
        <v>822</v>
      </c>
      <c r="E87" s="46"/>
      <c r="F87" s="41">
        <v>36.0</v>
      </c>
      <c r="G87" s="41" t="s">
        <v>21</v>
      </c>
      <c r="H87" s="41" t="s">
        <v>22</v>
      </c>
      <c r="I87" s="42">
        <v>1.0</v>
      </c>
      <c r="J87" s="43"/>
      <c r="K87" s="44">
        <v>1406.64</v>
      </c>
      <c r="L87" s="44">
        <v>1406.64</v>
      </c>
      <c r="M87" s="42">
        <v>0.0</v>
      </c>
      <c r="N87" s="44">
        <v>1406.64</v>
      </c>
      <c r="O87" s="40" t="s">
        <v>26</v>
      </c>
    </row>
    <row r="88">
      <c r="A88" s="42">
        <v>22.1</v>
      </c>
      <c r="B88" s="41" t="s">
        <v>285</v>
      </c>
      <c r="C88" s="40" t="s">
        <v>18</v>
      </c>
      <c r="D88" s="40" t="s">
        <v>286</v>
      </c>
      <c r="E88" s="46"/>
      <c r="F88" s="41" t="s">
        <v>21</v>
      </c>
      <c r="G88" s="41">
        <v>14.0</v>
      </c>
      <c r="H88" s="41" t="s">
        <v>22</v>
      </c>
      <c r="I88" s="42">
        <v>1.0</v>
      </c>
      <c r="J88" s="43"/>
      <c r="K88" s="42">
        <v>0.0</v>
      </c>
      <c r="L88" s="42">
        <v>0.0</v>
      </c>
      <c r="M88" s="42">
        <v>0.0</v>
      </c>
      <c r="N88" s="42">
        <v>0.0</v>
      </c>
      <c r="O88" s="46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50" t="s">
        <v>63</v>
      </c>
      <c r="N89" s="51">
        <v>3849.34</v>
      </c>
      <c r="O89" s="52"/>
    </row>
    <row r="90">
      <c r="A90" s="39">
        <v>23.0</v>
      </c>
      <c r="B90" s="39" t="s">
        <v>823</v>
      </c>
      <c r="C90" s="40" t="s">
        <v>18</v>
      </c>
      <c r="D90" s="40" t="s">
        <v>824</v>
      </c>
      <c r="E90" s="40" t="s">
        <v>20</v>
      </c>
      <c r="F90" s="41" t="s">
        <v>21</v>
      </c>
      <c r="G90" s="41">
        <v>14.0</v>
      </c>
      <c r="H90" s="41" t="s">
        <v>22</v>
      </c>
      <c r="I90" s="42">
        <v>1.0</v>
      </c>
      <c r="J90" s="43"/>
      <c r="K90" s="44">
        <v>2527.3</v>
      </c>
      <c r="L90" s="44">
        <v>2527.3</v>
      </c>
      <c r="M90" s="42">
        <v>0.0</v>
      </c>
      <c r="N90" s="44">
        <v>2527.3</v>
      </c>
      <c r="O90" s="46"/>
    </row>
    <row r="91">
      <c r="A91" s="42" t="s">
        <v>825</v>
      </c>
      <c r="B91" s="41" t="s">
        <v>826</v>
      </c>
      <c r="C91" s="40" t="s">
        <v>18</v>
      </c>
      <c r="D91" s="40" t="s">
        <v>827</v>
      </c>
      <c r="E91" s="46"/>
      <c r="F91" s="41">
        <v>36.0</v>
      </c>
      <c r="G91" s="41" t="s">
        <v>21</v>
      </c>
      <c r="H91" s="41" t="s">
        <v>22</v>
      </c>
      <c r="I91" s="42">
        <v>1.0</v>
      </c>
      <c r="J91" s="43"/>
      <c r="K91" s="44">
        <v>1456.14</v>
      </c>
      <c r="L91" s="44">
        <v>1456.14</v>
      </c>
      <c r="M91" s="42">
        <v>0.0</v>
      </c>
      <c r="N91" s="44">
        <v>1456.14</v>
      </c>
      <c r="O91" s="40" t="s">
        <v>26</v>
      </c>
    </row>
    <row r="92">
      <c r="A92" s="42">
        <v>23.1</v>
      </c>
      <c r="B92" s="41" t="s">
        <v>285</v>
      </c>
      <c r="C92" s="40" t="s">
        <v>18</v>
      </c>
      <c r="D92" s="40" t="s">
        <v>286</v>
      </c>
      <c r="E92" s="46"/>
      <c r="F92" s="41" t="s">
        <v>21</v>
      </c>
      <c r="G92" s="41">
        <v>14.0</v>
      </c>
      <c r="H92" s="41" t="s">
        <v>22</v>
      </c>
      <c r="I92" s="42">
        <v>1.0</v>
      </c>
      <c r="J92" s="43"/>
      <c r="K92" s="42">
        <v>0.0</v>
      </c>
      <c r="L92" s="42">
        <v>0.0</v>
      </c>
      <c r="M92" s="42">
        <v>0.0</v>
      </c>
      <c r="N92" s="42">
        <v>0.0</v>
      </c>
      <c r="O92" s="46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50" t="s">
        <v>63</v>
      </c>
      <c r="N93" s="51">
        <v>3983.44</v>
      </c>
      <c r="O93" s="52"/>
    </row>
    <row r="94">
      <c r="A94" s="39">
        <v>24.0</v>
      </c>
      <c r="B94" s="39" t="s">
        <v>828</v>
      </c>
      <c r="C94" s="40" t="s">
        <v>18</v>
      </c>
      <c r="D94" s="40" t="s">
        <v>829</v>
      </c>
      <c r="E94" s="40" t="s">
        <v>20</v>
      </c>
      <c r="F94" s="41" t="s">
        <v>21</v>
      </c>
      <c r="G94" s="41">
        <v>14.0</v>
      </c>
      <c r="H94" s="41" t="s">
        <v>22</v>
      </c>
      <c r="I94" s="42">
        <v>1.0</v>
      </c>
      <c r="J94" s="43"/>
      <c r="K94" s="44">
        <v>3249.8</v>
      </c>
      <c r="L94" s="44">
        <v>3249.8</v>
      </c>
      <c r="M94" s="42">
        <v>0.0</v>
      </c>
      <c r="N94" s="44">
        <v>3249.8</v>
      </c>
      <c r="O94" s="46"/>
    </row>
    <row r="95">
      <c r="A95" s="42" t="s">
        <v>830</v>
      </c>
      <c r="B95" s="41" t="s">
        <v>831</v>
      </c>
      <c r="C95" s="40" t="s">
        <v>18</v>
      </c>
      <c r="D95" s="40" t="s">
        <v>832</v>
      </c>
      <c r="E95" s="46"/>
      <c r="F95" s="41">
        <v>36.0</v>
      </c>
      <c r="G95" s="41" t="s">
        <v>21</v>
      </c>
      <c r="H95" s="41" t="s">
        <v>22</v>
      </c>
      <c r="I95" s="42">
        <v>1.0</v>
      </c>
      <c r="J95" s="43"/>
      <c r="K95" s="44">
        <v>1868.64</v>
      </c>
      <c r="L95" s="44">
        <v>1868.64</v>
      </c>
      <c r="M95" s="42">
        <v>0.0</v>
      </c>
      <c r="N95" s="44">
        <v>1868.64</v>
      </c>
      <c r="O95" s="40" t="s">
        <v>26</v>
      </c>
    </row>
    <row r="96">
      <c r="A96" s="42">
        <v>24.1</v>
      </c>
      <c r="B96" s="41" t="s">
        <v>285</v>
      </c>
      <c r="C96" s="40" t="s">
        <v>18</v>
      </c>
      <c r="D96" s="40" t="s">
        <v>286</v>
      </c>
      <c r="E96" s="46"/>
      <c r="F96" s="41" t="s">
        <v>21</v>
      </c>
      <c r="G96" s="41">
        <v>14.0</v>
      </c>
      <c r="H96" s="41" t="s">
        <v>22</v>
      </c>
      <c r="I96" s="42">
        <v>1.0</v>
      </c>
      <c r="J96" s="43"/>
      <c r="K96" s="42">
        <v>0.0</v>
      </c>
      <c r="L96" s="42">
        <v>0.0</v>
      </c>
      <c r="M96" s="42">
        <v>0.0</v>
      </c>
      <c r="N96" s="42">
        <v>0.0</v>
      </c>
      <c r="O96" s="46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50" t="s">
        <v>63</v>
      </c>
      <c r="N97" s="51">
        <v>5118.44</v>
      </c>
      <c r="O97" s="52"/>
    </row>
    <row r="98">
      <c r="A98" s="39">
        <v>25.0</v>
      </c>
      <c r="B98" s="39" t="s">
        <v>833</v>
      </c>
      <c r="C98" s="40" t="s">
        <v>18</v>
      </c>
      <c r="D98" s="40" t="s">
        <v>834</v>
      </c>
      <c r="E98" s="40" t="s">
        <v>20</v>
      </c>
      <c r="F98" s="41" t="s">
        <v>21</v>
      </c>
      <c r="G98" s="41">
        <v>14.0</v>
      </c>
      <c r="H98" s="41" t="s">
        <v>22</v>
      </c>
      <c r="I98" s="42">
        <v>1.0</v>
      </c>
      <c r="J98" s="43"/>
      <c r="K98" s="44">
        <v>3135.06</v>
      </c>
      <c r="L98" s="44">
        <v>3135.06</v>
      </c>
      <c r="M98" s="42">
        <v>0.0</v>
      </c>
      <c r="N98" s="44">
        <v>3135.06</v>
      </c>
      <c r="O98" s="46"/>
    </row>
    <row r="99">
      <c r="A99" s="42" t="s">
        <v>835</v>
      </c>
      <c r="B99" s="41" t="s">
        <v>836</v>
      </c>
      <c r="C99" s="40" t="s">
        <v>18</v>
      </c>
      <c r="D99" s="40" t="s">
        <v>837</v>
      </c>
      <c r="E99" s="46"/>
      <c r="F99" s="41">
        <v>36.0</v>
      </c>
      <c r="G99" s="41" t="s">
        <v>21</v>
      </c>
      <c r="H99" s="41" t="s">
        <v>22</v>
      </c>
      <c r="I99" s="42">
        <v>1.0</v>
      </c>
      <c r="J99" s="43"/>
      <c r="K99" s="44">
        <v>1802.64</v>
      </c>
      <c r="L99" s="44">
        <v>1802.64</v>
      </c>
      <c r="M99" s="42">
        <v>0.0</v>
      </c>
      <c r="N99" s="44">
        <v>1802.64</v>
      </c>
      <c r="O99" s="40" t="s">
        <v>26</v>
      </c>
    </row>
    <row r="100">
      <c r="A100" s="42">
        <v>25.1</v>
      </c>
      <c r="B100" s="41" t="s">
        <v>285</v>
      </c>
      <c r="C100" s="40" t="s">
        <v>18</v>
      </c>
      <c r="D100" s="40" t="s">
        <v>286</v>
      </c>
      <c r="E100" s="46"/>
      <c r="F100" s="41" t="s">
        <v>21</v>
      </c>
      <c r="G100" s="41">
        <v>14.0</v>
      </c>
      <c r="H100" s="41" t="s">
        <v>22</v>
      </c>
      <c r="I100" s="42">
        <v>1.0</v>
      </c>
      <c r="J100" s="43"/>
      <c r="K100" s="42">
        <v>0.0</v>
      </c>
      <c r="L100" s="42">
        <v>0.0</v>
      </c>
      <c r="M100" s="42">
        <v>0.0</v>
      </c>
      <c r="N100" s="42">
        <v>0.0</v>
      </c>
      <c r="O100" s="46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50" t="s">
        <v>63</v>
      </c>
      <c r="N101" s="51">
        <v>4937.7</v>
      </c>
      <c r="O101" s="52"/>
    </row>
    <row r="102">
      <c r="A102" s="39">
        <v>26.0</v>
      </c>
      <c r="B102" s="39" t="s">
        <v>838</v>
      </c>
      <c r="C102" s="40" t="s">
        <v>18</v>
      </c>
      <c r="D102" s="40" t="s">
        <v>839</v>
      </c>
      <c r="E102" s="40" t="s">
        <v>20</v>
      </c>
      <c r="F102" s="41" t="s">
        <v>21</v>
      </c>
      <c r="G102" s="41">
        <v>14.0</v>
      </c>
      <c r="H102" s="41" t="s">
        <v>22</v>
      </c>
      <c r="I102" s="42">
        <v>1.0</v>
      </c>
      <c r="J102" s="43"/>
      <c r="K102" s="42">
        <v>936.28</v>
      </c>
      <c r="L102" s="42">
        <v>936.28</v>
      </c>
      <c r="M102" s="42">
        <v>0.0</v>
      </c>
      <c r="N102" s="42">
        <v>936.28</v>
      </c>
      <c r="O102" s="46"/>
    </row>
    <row r="103">
      <c r="A103" s="42" t="s">
        <v>840</v>
      </c>
      <c r="B103" s="41" t="s">
        <v>841</v>
      </c>
      <c r="C103" s="40" t="s">
        <v>18</v>
      </c>
      <c r="D103" s="40" t="s">
        <v>842</v>
      </c>
      <c r="E103" s="46"/>
      <c r="F103" s="41">
        <v>36.0</v>
      </c>
      <c r="G103" s="41" t="s">
        <v>21</v>
      </c>
      <c r="H103" s="41" t="s">
        <v>22</v>
      </c>
      <c r="I103" s="42">
        <v>1.0</v>
      </c>
      <c r="J103" s="43"/>
      <c r="K103" s="42">
        <v>251.64</v>
      </c>
      <c r="L103" s="42">
        <v>251.64</v>
      </c>
      <c r="M103" s="42">
        <v>0.0</v>
      </c>
      <c r="N103" s="42">
        <v>251.64</v>
      </c>
      <c r="O103" s="40" t="s">
        <v>26</v>
      </c>
    </row>
    <row r="104">
      <c r="A104" s="42">
        <v>26.1</v>
      </c>
      <c r="B104" s="41" t="s">
        <v>285</v>
      </c>
      <c r="C104" s="40" t="s">
        <v>18</v>
      </c>
      <c r="D104" s="40" t="s">
        <v>286</v>
      </c>
      <c r="E104" s="46"/>
      <c r="F104" s="41" t="s">
        <v>21</v>
      </c>
      <c r="G104" s="41">
        <v>14.0</v>
      </c>
      <c r="H104" s="41" t="s">
        <v>22</v>
      </c>
      <c r="I104" s="42">
        <v>1.0</v>
      </c>
      <c r="J104" s="43"/>
      <c r="K104" s="42">
        <v>0.0</v>
      </c>
      <c r="L104" s="42">
        <v>0.0</v>
      </c>
      <c r="M104" s="42">
        <v>0.0</v>
      </c>
      <c r="N104" s="42">
        <v>0.0</v>
      </c>
      <c r="O104" s="46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50" t="s">
        <v>63</v>
      </c>
      <c r="N105" s="51">
        <v>1187.92</v>
      </c>
      <c r="O105" s="52"/>
    </row>
    <row r="106">
      <c r="A106" s="39">
        <v>27.0</v>
      </c>
      <c r="B106" s="39" t="s">
        <v>843</v>
      </c>
      <c r="C106" s="40" t="s">
        <v>18</v>
      </c>
      <c r="D106" s="40" t="s">
        <v>844</v>
      </c>
      <c r="E106" s="40" t="s">
        <v>20</v>
      </c>
      <c r="F106" s="41" t="s">
        <v>21</v>
      </c>
      <c r="G106" s="41">
        <v>14.0</v>
      </c>
      <c r="H106" s="41" t="s">
        <v>22</v>
      </c>
      <c r="I106" s="42">
        <v>1.0</v>
      </c>
      <c r="J106" s="43"/>
      <c r="K106" s="44">
        <v>1327.05</v>
      </c>
      <c r="L106" s="44">
        <v>1327.05</v>
      </c>
      <c r="M106" s="42">
        <v>0.0</v>
      </c>
      <c r="N106" s="44">
        <v>1327.05</v>
      </c>
      <c r="O106" s="46"/>
    </row>
    <row r="107">
      <c r="A107" s="42" t="s">
        <v>845</v>
      </c>
      <c r="B107" s="41" t="s">
        <v>846</v>
      </c>
      <c r="C107" s="40" t="s">
        <v>18</v>
      </c>
      <c r="D107" s="40" t="s">
        <v>847</v>
      </c>
      <c r="E107" s="46"/>
      <c r="F107" s="41">
        <v>36.0</v>
      </c>
      <c r="G107" s="41" t="s">
        <v>21</v>
      </c>
      <c r="H107" s="41" t="s">
        <v>22</v>
      </c>
      <c r="I107" s="42">
        <v>1.0</v>
      </c>
      <c r="J107" s="43"/>
      <c r="K107" s="42">
        <v>396.0</v>
      </c>
      <c r="L107" s="42">
        <v>396.0</v>
      </c>
      <c r="M107" s="42">
        <v>0.0</v>
      </c>
      <c r="N107" s="42">
        <v>396.0</v>
      </c>
      <c r="O107" s="40" t="s">
        <v>26</v>
      </c>
    </row>
    <row r="108">
      <c r="A108" s="42">
        <v>27.1</v>
      </c>
      <c r="B108" s="41" t="s">
        <v>285</v>
      </c>
      <c r="C108" s="40" t="s">
        <v>18</v>
      </c>
      <c r="D108" s="40" t="s">
        <v>286</v>
      </c>
      <c r="E108" s="46"/>
      <c r="F108" s="41" t="s">
        <v>21</v>
      </c>
      <c r="G108" s="41">
        <v>14.0</v>
      </c>
      <c r="H108" s="41" t="s">
        <v>22</v>
      </c>
      <c r="I108" s="42">
        <v>1.0</v>
      </c>
      <c r="J108" s="43"/>
      <c r="K108" s="42">
        <v>0.0</v>
      </c>
      <c r="L108" s="42">
        <v>0.0</v>
      </c>
      <c r="M108" s="42">
        <v>0.0</v>
      </c>
      <c r="N108" s="42">
        <v>0.0</v>
      </c>
      <c r="O108" s="46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50" t="s">
        <v>63</v>
      </c>
      <c r="N109" s="51">
        <v>1723.05</v>
      </c>
      <c r="O109" s="52"/>
    </row>
    <row r="110">
      <c r="A110" s="39">
        <v>28.0</v>
      </c>
      <c r="B110" s="39" t="s">
        <v>848</v>
      </c>
      <c r="C110" s="40" t="s">
        <v>18</v>
      </c>
      <c r="D110" s="40" t="s">
        <v>849</v>
      </c>
      <c r="E110" s="40" t="s">
        <v>20</v>
      </c>
      <c r="F110" s="41" t="s">
        <v>21</v>
      </c>
      <c r="G110" s="41">
        <v>14.0</v>
      </c>
      <c r="H110" s="41" t="s">
        <v>22</v>
      </c>
      <c r="I110" s="42">
        <v>1.0</v>
      </c>
      <c r="J110" s="43"/>
      <c r="K110" s="44">
        <v>1517.26</v>
      </c>
      <c r="L110" s="44">
        <v>1517.26</v>
      </c>
      <c r="M110" s="42">
        <v>0.0</v>
      </c>
      <c r="N110" s="44">
        <v>1517.26</v>
      </c>
      <c r="O110" s="46"/>
    </row>
    <row r="111">
      <c r="A111" s="42" t="s">
        <v>850</v>
      </c>
      <c r="B111" s="41" t="s">
        <v>851</v>
      </c>
      <c r="C111" s="40" t="s">
        <v>18</v>
      </c>
      <c r="D111" s="40" t="s">
        <v>852</v>
      </c>
      <c r="E111" s="46"/>
      <c r="F111" s="41">
        <v>36.0</v>
      </c>
      <c r="G111" s="41" t="s">
        <v>21</v>
      </c>
      <c r="H111" s="41" t="s">
        <v>22</v>
      </c>
      <c r="I111" s="42">
        <v>1.0</v>
      </c>
      <c r="J111" s="43"/>
      <c r="K111" s="42">
        <v>408.39</v>
      </c>
      <c r="L111" s="42">
        <v>408.39</v>
      </c>
      <c r="M111" s="42">
        <v>0.0</v>
      </c>
      <c r="N111" s="42">
        <v>408.39</v>
      </c>
      <c r="O111" s="40" t="s">
        <v>26</v>
      </c>
    </row>
    <row r="112">
      <c r="A112" s="42">
        <v>28.1</v>
      </c>
      <c r="B112" s="41" t="s">
        <v>285</v>
      </c>
      <c r="C112" s="40" t="s">
        <v>18</v>
      </c>
      <c r="D112" s="40" t="s">
        <v>286</v>
      </c>
      <c r="E112" s="46"/>
      <c r="F112" s="41" t="s">
        <v>21</v>
      </c>
      <c r="G112" s="41">
        <v>14.0</v>
      </c>
      <c r="H112" s="41" t="s">
        <v>22</v>
      </c>
      <c r="I112" s="42">
        <v>1.0</v>
      </c>
      <c r="J112" s="43"/>
      <c r="K112" s="42">
        <v>0.0</v>
      </c>
      <c r="L112" s="42">
        <v>0.0</v>
      </c>
      <c r="M112" s="42">
        <v>0.0</v>
      </c>
      <c r="N112" s="42">
        <v>0.0</v>
      </c>
      <c r="O112" s="46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50" t="s">
        <v>63</v>
      </c>
      <c r="N113" s="51">
        <v>1925.65</v>
      </c>
      <c r="O113" s="52"/>
    </row>
    <row r="114">
      <c r="A114" s="39">
        <v>29.0</v>
      </c>
      <c r="B114" s="39" t="s">
        <v>853</v>
      </c>
      <c r="C114" s="40" t="s">
        <v>18</v>
      </c>
      <c r="D114" s="40" t="s">
        <v>854</v>
      </c>
      <c r="E114" s="40" t="s">
        <v>20</v>
      </c>
      <c r="F114" s="41" t="s">
        <v>21</v>
      </c>
      <c r="G114" s="41">
        <v>14.0</v>
      </c>
      <c r="H114" s="41" t="s">
        <v>22</v>
      </c>
      <c r="I114" s="42">
        <v>1.0</v>
      </c>
      <c r="J114" s="43"/>
      <c r="K114" s="44">
        <v>2351.44</v>
      </c>
      <c r="L114" s="44">
        <v>2351.44</v>
      </c>
      <c r="M114" s="42">
        <v>0.0</v>
      </c>
      <c r="N114" s="44">
        <v>2351.44</v>
      </c>
      <c r="O114" s="46"/>
    </row>
    <row r="115">
      <c r="A115" s="42" t="s">
        <v>855</v>
      </c>
      <c r="B115" s="41" t="s">
        <v>856</v>
      </c>
      <c r="C115" s="40" t="s">
        <v>18</v>
      </c>
      <c r="D115" s="40" t="s">
        <v>857</v>
      </c>
      <c r="E115" s="46"/>
      <c r="F115" s="41">
        <v>36.0</v>
      </c>
      <c r="G115" s="41" t="s">
        <v>21</v>
      </c>
      <c r="H115" s="41" t="s">
        <v>22</v>
      </c>
      <c r="I115" s="42">
        <v>1.0</v>
      </c>
      <c r="J115" s="43"/>
      <c r="K115" s="42">
        <v>631.14</v>
      </c>
      <c r="L115" s="42">
        <v>631.14</v>
      </c>
      <c r="M115" s="42">
        <v>0.0</v>
      </c>
      <c r="N115" s="42">
        <v>631.14</v>
      </c>
      <c r="O115" s="40" t="s">
        <v>26</v>
      </c>
    </row>
    <row r="116">
      <c r="A116" s="42">
        <v>29.1</v>
      </c>
      <c r="B116" s="41" t="s">
        <v>285</v>
      </c>
      <c r="C116" s="40" t="s">
        <v>18</v>
      </c>
      <c r="D116" s="40" t="s">
        <v>286</v>
      </c>
      <c r="E116" s="46"/>
      <c r="F116" s="41" t="s">
        <v>21</v>
      </c>
      <c r="G116" s="41">
        <v>14.0</v>
      </c>
      <c r="H116" s="41" t="s">
        <v>22</v>
      </c>
      <c r="I116" s="42">
        <v>1.0</v>
      </c>
      <c r="J116" s="43"/>
      <c r="K116" s="42">
        <v>0.0</v>
      </c>
      <c r="L116" s="42">
        <v>0.0</v>
      </c>
      <c r="M116" s="42">
        <v>0.0</v>
      </c>
      <c r="N116" s="42">
        <v>0.0</v>
      </c>
      <c r="O116" s="46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50" t="s">
        <v>63</v>
      </c>
      <c r="N117" s="51">
        <v>2982.58</v>
      </c>
      <c r="O117" s="52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50" t="s">
        <v>233</v>
      </c>
      <c r="N118" s="51">
        <v>61112.45</v>
      </c>
      <c r="O118" s="5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4" max="4" width="46.63"/>
  </cols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</row>
    <row r="2">
      <c r="A2" s="39">
        <v>1.0</v>
      </c>
      <c r="B2" s="39" t="s">
        <v>858</v>
      </c>
      <c r="C2" s="40" t="s">
        <v>18</v>
      </c>
      <c r="D2" s="40" t="s">
        <v>859</v>
      </c>
      <c r="E2" s="40" t="s">
        <v>20</v>
      </c>
      <c r="F2" s="41" t="s">
        <v>21</v>
      </c>
      <c r="G2" s="41">
        <v>14.0</v>
      </c>
      <c r="H2" s="41" t="s">
        <v>22</v>
      </c>
      <c r="I2" s="42">
        <v>1.0</v>
      </c>
      <c r="J2" s="43"/>
      <c r="K2" s="44">
        <v>3467.72</v>
      </c>
      <c r="L2" s="44">
        <v>3467.72</v>
      </c>
      <c r="M2" s="42">
        <v>0.0</v>
      </c>
      <c r="N2" s="44">
        <v>3467.72</v>
      </c>
      <c r="O2" s="46"/>
    </row>
    <row r="3">
      <c r="A3" s="42" t="s">
        <v>23</v>
      </c>
      <c r="B3" s="41" t="s">
        <v>860</v>
      </c>
      <c r="C3" s="40" t="s">
        <v>18</v>
      </c>
      <c r="D3" s="40" t="s">
        <v>861</v>
      </c>
      <c r="E3" s="46"/>
      <c r="F3" s="41">
        <v>36.0</v>
      </c>
      <c r="G3" s="41" t="s">
        <v>21</v>
      </c>
      <c r="H3" s="41" t="s">
        <v>22</v>
      </c>
      <c r="I3" s="42">
        <v>1.0</v>
      </c>
      <c r="J3" s="43"/>
      <c r="K3" s="44">
        <v>1208.64</v>
      </c>
      <c r="L3" s="44">
        <v>1208.64</v>
      </c>
      <c r="M3" s="42">
        <v>0.0</v>
      </c>
      <c r="N3" s="44">
        <v>1208.64</v>
      </c>
      <c r="O3" s="40" t="s">
        <v>26</v>
      </c>
    </row>
    <row r="4">
      <c r="A4" s="42">
        <v>1.1</v>
      </c>
      <c r="B4" s="41" t="s">
        <v>862</v>
      </c>
      <c r="C4" s="40" t="s">
        <v>29</v>
      </c>
      <c r="D4" s="40" t="s">
        <v>863</v>
      </c>
      <c r="E4" s="46"/>
      <c r="F4" s="41" t="s">
        <v>21</v>
      </c>
      <c r="G4" s="41">
        <v>14.0</v>
      </c>
      <c r="H4" s="41" t="s">
        <v>22</v>
      </c>
      <c r="I4" s="42">
        <v>1.0</v>
      </c>
      <c r="J4" s="43"/>
      <c r="K4" s="42">
        <v>0.0</v>
      </c>
      <c r="L4" s="42">
        <v>0.0</v>
      </c>
      <c r="M4" s="42">
        <v>0.0</v>
      </c>
      <c r="N4" s="42">
        <v>0.0</v>
      </c>
      <c r="O4" s="46"/>
    </row>
    <row r="5">
      <c r="A5" s="42" t="s">
        <v>606</v>
      </c>
      <c r="B5" s="41" t="s">
        <v>864</v>
      </c>
      <c r="C5" s="40" t="s">
        <v>18</v>
      </c>
      <c r="D5" s="40" t="s">
        <v>865</v>
      </c>
      <c r="E5" s="46"/>
      <c r="F5" s="41">
        <v>36.0</v>
      </c>
      <c r="G5" s="41" t="s">
        <v>21</v>
      </c>
      <c r="H5" s="41" t="s">
        <v>22</v>
      </c>
      <c r="I5" s="42">
        <v>1.0</v>
      </c>
      <c r="J5" s="43"/>
      <c r="K5" s="42">
        <v>552.75</v>
      </c>
      <c r="L5" s="42">
        <v>552.75</v>
      </c>
      <c r="M5" s="42">
        <v>0.0</v>
      </c>
      <c r="N5" s="42">
        <v>552.75</v>
      </c>
      <c r="O5" s="40" t="s">
        <v>26</v>
      </c>
    </row>
    <row r="6">
      <c r="A6" s="42" t="s">
        <v>30</v>
      </c>
      <c r="B6" s="41" t="s">
        <v>866</v>
      </c>
      <c r="C6" s="40" t="s">
        <v>18</v>
      </c>
      <c r="D6" s="40" t="s">
        <v>867</v>
      </c>
      <c r="E6" s="46"/>
      <c r="F6" s="41">
        <v>36.0</v>
      </c>
      <c r="G6" s="41" t="s">
        <v>21</v>
      </c>
      <c r="H6" s="41" t="s">
        <v>22</v>
      </c>
      <c r="I6" s="42">
        <v>1.0</v>
      </c>
      <c r="J6" s="43"/>
      <c r="K6" s="44">
        <v>2366.0</v>
      </c>
      <c r="L6" s="44">
        <v>2366.0</v>
      </c>
      <c r="M6" s="42">
        <v>0.0</v>
      </c>
      <c r="N6" s="44">
        <v>2366.0</v>
      </c>
      <c r="O6" s="45"/>
    </row>
    <row r="7">
      <c r="A7" s="42">
        <v>1.2</v>
      </c>
      <c r="B7" s="41" t="s">
        <v>868</v>
      </c>
      <c r="C7" s="40" t="s">
        <v>18</v>
      </c>
      <c r="D7" s="40" t="s">
        <v>869</v>
      </c>
      <c r="E7" s="46"/>
      <c r="F7" s="41" t="s">
        <v>21</v>
      </c>
      <c r="G7" s="41">
        <v>14.0</v>
      </c>
      <c r="H7" s="41" t="s">
        <v>29</v>
      </c>
      <c r="I7" s="42">
        <v>1.0</v>
      </c>
      <c r="J7" s="43"/>
      <c r="K7" s="44">
        <v>0.0</v>
      </c>
      <c r="L7" s="44">
        <v>0.0</v>
      </c>
      <c r="M7" s="42">
        <v>0.0</v>
      </c>
      <c r="N7" s="44">
        <v>0.0</v>
      </c>
      <c r="O7" s="46"/>
    </row>
    <row r="8">
      <c r="A8" s="42">
        <v>1.3</v>
      </c>
      <c r="B8" s="41" t="s">
        <v>870</v>
      </c>
      <c r="C8" s="40" t="s">
        <v>29</v>
      </c>
      <c r="D8" s="40" t="s">
        <v>871</v>
      </c>
      <c r="E8" s="46"/>
      <c r="F8" s="41" t="s">
        <v>21</v>
      </c>
      <c r="G8" s="41">
        <v>14.0</v>
      </c>
      <c r="H8" s="41" t="s">
        <v>29</v>
      </c>
      <c r="I8" s="42">
        <v>1.0</v>
      </c>
      <c r="J8" s="43"/>
      <c r="K8" s="42">
        <v>0.0</v>
      </c>
      <c r="L8" s="42">
        <v>0.0</v>
      </c>
      <c r="M8" s="42">
        <v>0.0</v>
      </c>
      <c r="N8" s="42">
        <v>0.0</v>
      </c>
      <c r="O8" s="46"/>
    </row>
    <row r="9">
      <c r="A9" s="42">
        <v>1.4</v>
      </c>
      <c r="B9" s="41" t="s">
        <v>872</v>
      </c>
      <c r="C9" s="40" t="s">
        <v>18</v>
      </c>
      <c r="D9" s="40" t="s">
        <v>873</v>
      </c>
      <c r="E9" s="46"/>
      <c r="F9" s="41" t="s">
        <v>21</v>
      </c>
      <c r="G9" s="41">
        <v>14.0</v>
      </c>
      <c r="H9" s="41" t="s">
        <v>22</v>
      </c>
      <c r="I9" s="42">
        <v>1.0</v>
      </c>
      <c r="J9" s="43"/>
      <c r="K9" s="42">
        <v>0.0</v>
      </c>
      <c r="L9" s="42">
        <v>0.0</v>
      </c>
      <c r="M9" s="42">
        <v>0.0</v>
      </c>
      <c r="N9" s="42">
        <v>0.0</v>
      </c>
      <c r="O9" s="46"/>
    </row>
    <row r="10">
      <c r="A10" s="42">
        <v>1.5</v>
      </c>
      <c r="B10" s="41" t="s">
        <v>874</v>
      </c>
      <c r="C10" s="40" t="s">
        <v>18</v>
      </c>
      <c r="D10" s="40" t="s">
        <v>875</v>
      </c>
      <c r="E10" s="46"/>
      <c r="F10" s="41" t="s">
        <v>21</v>
      </c>
      <c r="G10" s="41">
        <v>14.0</v>
      </c>
      <c r="H10" s="41" t="s">
        <v>22</v>
      </c>
      <c r="I10" s="42">
        <v>1.0</v>
      </c>
      <c r="J10" s="43"/>
      <c r="K10" s="44">
        <v>2489.87</v>
      </c>
      <c r="L10" s="44">
        <v>2489.87</v>
      </c>
      <c r="M10" s="42">
        <v>0.0</v>
      </c>
      <c r="N10" s="44">
        <v>2489.87</v>
      </c>
      <c r="O10" s="46"/>
    </row>
    <row r="11">
      <c r="A11" s="42">
        <v>1.6</v>
      </c>
      <c r="B11" s="41" t="s">
        <v>876</v>
      </c>
      <c r="C11" s="40" t="s">
        <v>18</v>
      </c>
      <c r="D11" s="40" t="s">
        <v>877</v>
      </c>
      <c r="E11" s="46"/>
      <c r="F11" s="41" t="s">
        <v>21</v>
      </c>
      <c r="G11" s="41">
        <v>14.0</v>
      </c>
      <c r="H11" s="41" t="s">
        <v>22</v>
      </c>
      <c r="I11" s="42">
        <v>1.0</v>
      </c>
      <c r="J11" s="43"/>
      <c r="K11" s="42">
        <v>0.0</v>
      </c>
      <c r="L11" s="42">
        <v>0.0</v>
      </c>
      <c r="M11" s="42">
        <v>0.0</v>
      </c>
      <c r="N11" s="42">
        <v>0.0</v>
      </c>
      <c r="O11" s="46"/>
    </row>
    <row r="12">
      <c r="A12" s="42">
        <v>1.7</v>
      </c>
      <c r="B12" s="41" t="s">
        <v>878</v>
      </c>
      <c r="C12" s="40" t="s">
        <v>18</v>
      </c>
      <c r="D12" s="40" t="s">
        <v>879</v>
      </c>
      <c r="E12" s="46"/>
      <c r="F12" s="41" t="s">
        <v>21</v>
      </c>
      <c r="G12" s="41">
        <v>14.0</v>
      </c>
      <c r="H12" s="41" t="s">
        <v>22</v>
      </c>
      <c r="I12" s="42">
        <v>1.0</v>
      </c>
      <c r="J12" s="43"/>
      <c r="K12" s="42">
        <v>0.0</v>
      </c>
      <c r="L12" s="42">
        <v>0.0</v>
      </c>
      <c r="M12" s="42">
        <v>0.0</v>
      </c>
      <c r="N12" s="44">
        <v>0.0</v>
      </c>
      <c r="O12" s="46"/>
    </row>
    <row r="13">
      <c r="A13" s="42">
        <v>1.8</v>
      </c>
      <c r="B13" s="41" t="s">
        <v>880</v>
      </c>
      <c r="C13" s="40" t="s">
        <v>18</v>
      </c>
      <c r="D13" s="40" t="s">
        <v>881</v>
      </c>
      <c r="E13" s="45"/>
      <c r="F13" s="41" t="s">
        <v>21</v>
      </c>
      <c r="G13" s="41">
        <v>14.0</v>
      </c>
      <c r="H13" s="41" t="s">
        <v>22</v>
      </c>
      <c r="I13" s="42">
        <v>1.0</v>
      </c>
      <c r="J13" s="43"/>
      <c r="K13" s="44">
        <v>0.0</v>
      </c>
      <c r="L13" s="44">
        <v>0.0</v>
      </c>
      <c r="M13" s="42">
        <v>0.0</v>
      </c>
      <c r="N13" s="44">
        <v>0.0</v>
      </c>
      <c r="O13" s="46"/>
    </row>
    <row r="14">
      <c r="A14" s="42">
        <v>1.9</v>
      </c>
      <c r="B14" s="41" t="s">
        <v>59</v>
      </c>
      <c r="C14" s="40" t="s">
        <v>29</v>
      </c>
      <c r="D14" s="40" t="s">
        <v>60</v>
      </c>
      <c r="E14" s="46"/>
      <c r="F14" s="41" t="s">
        <v>21</v>
      </c>
      <c r="G14" s="41">
        <v>2.0</v>
      </c>
      <c r="H14" s="41" t="s">
        <v>29</v>
      </c>
      <c r="I14" s="42">
        <v>1.0</v>
      </c>
      <c r="J14" s="43"/>
      <c r="K14" s="42">
        <v>0.0</v>
      </c>
      <c r="L14" s="42">
        <v>0.0</v>
      </c>
      <c r="M14" s="42">
        <v>0.0</v>
      </c>
      <c r="N14" s="42">
        <v>0.0</v>
      </c>
      <c r="O14" s="45"/>
    </row>
    <row r="15">
      <c r="A15" s="47"/>
      <c r="B15" s="47"/>
      <c r="C15" s="47"/>
      <c r="D15" s="47"/>
      <c r="E15" s="48"/>
      <c r="F15" s="47"/>
      <c r="G15" s="47"/>
      <c r="H15" s="47"/>
      <c r="I15" s="47"/>
      <c r="J15" s="48"/>
      <c r="K15" s="47"/>
      <c r="L15" s="47"/>
      <c r="M15" s="50" t="s">
        <v>63</v>
      </c>
      <c r="N15" s="51">
        <v>10084.98</v>
      </c>
      <c r="O15" s="52"/>
    </row>
    <row r="16">
      <c r="A16" s="39">
        <v>2.0</v>
      </c>
      <c r="B16" s="39" t="s">
        <v>882</v>
      </c>
      <c r="C16" s="40" t="s">
        <v>18</v>
      </c>
      <c r="D16" s="40" t="s">
        <v>883</v>
      </c>
      <c r="E16" s="40" t="s">
        <v>20</v>
      </c>
      <c r="F16" s="41" t="s">
        <v>21</v>
      </c>
      <c r="G16" s="41">
        <v>14.0</v>
      </c>
      <c r="H16" s="41" t="s">
        <v>22</v>
      </c>
      <c r="I16" s="42">
        <v>1.0</v>
      </c>
      <c r="J16" s="43"/>
      <c r="K16" s="44">
        <v>4307.64</v>
      </c>
      <c r="L16" s="44">
        <v>4307.64</v>
      </c>
      <c r="M16" s="42">
        <v>0.0</v>
      </c>
      <c r="N16" s="44">
        <v>4307.64</v>
      </c>
      <c r="O16" s="46"/>
    </row>
    <row r="17">
      <c r="A17" s="42" t="s">
        <v>66</v>
      </c>
      <c r="B17" s="41" t="s">
        <v>884</v>
      </c>
      <c r="C17" s="40" t="s">
        <v>18</v>
      </c>
      <c r="D17" s="40" t="s">
        <v>885</v>
      </c>
      <c r="E17" s="46"/>
      <c r="F17" s="41">
        <v>36.0</v>
      </c>
      <c r="G17" s="41" t="s">
        <v>21</v>
      </c>
      <c r="H17" s="41" t="s">
        <v>22</v>
      </c>
      <c r="I17" s="42">
        <v>1.0</v>
      </c>
      <c r="J17" s="43"/>
      <c r="K17" s="44">
        <v>1497.39</v>
      </c>
      <c r="L17" s="44">
        <v>1497.39</v>
      </c>
      <c r="M17" s="42">
        <v>0.0</v>
      </c>
      <c r="N17" s="44">
        <v>1497.39</v>
      </c>
      <c r="O17" s="40" t="s">
        <v>26</v>
      </c>
    </row>
    <row r="18">
      <c r="A18" s="42">
        <v>2.1</v>
      </c>
      <c r="B18" s="41" t="s">
        <v>862</v>
      </c>
      <c r="C18" s="40" t="s">
        <v>29</v>
      </c>
      <c r="D18" s="40" t="s">
        <v>863</v>
      </c>
      <c r="E18" s="46"/>
      <c r="F18" s="41" t="s">
        <v>21</v>
      </c>
      <c r="G18" s="41">
        <v>14.0</v>
      </c>
      <c r="H18" s="41" t="s">
        <v>22</v>
      </c>
      <c r="I18" s="42">
        <v>1.0</v>
      </c>
      <c r="J18" s="43"/>
      <c r="K18" s="42">
        <v>0.0</v>
      </c>
      <c r="L18" s="42">
        <v>0.0</v>
      </c>
      <c r="M18" s="42">
        <v>0.0</v>
      </c>
      <c r="N18" s="42">
        <v>0.0</v>
      </c>
      <c r="O18" s="46"/>
    </row>
    <row r="19">
      <c r="A19" s="42" t="s">
        <v>886</v>
      </c>
      <c r="B19" s="41" t="s">
        <v>864</v>
      </c>
      <c r="C19" s="40" t="s">
        <v>18</v>
      </c>
      <c r="D19" s="40" t="s">
        <v>865</v>
      </c>
      <c r="E19" s="46"/>
      <c r="F19" s="41">
        <v>36.0</v>
      </c>
      <c r="G19" s="41" t="s">
        <v>21</v>
      </c>
      <c r="H19" s="41" t="s">
        <v>22</v>
      </c>
      <c r="I19" s="42">
        <v>1.0</v>
      </c>
      <c r="J19" s="43"/>
      <c r="K19" s="42">
        <v>552.75</v>
      </c>
      <c r="L19" s="42">
        <v>552.75</v>
      </c>
      <c r="M19" s="42">
        <v>0.0</v>
      </c>
      <c r="N19" s="42">
        <v>552.75</v>
      </c>
      <c r="O19" s="40" t="s">
        <v>26</v>
      </c>
    </row>
    <row r="20">
      <c r="A20" s="42" t="s">
        <v>71</v>
      </c>
      <c r="B20" s="41" t="s">
        <v>866</v>
      </c>
      <c r="C20" s="40" t="s">
        <v>18</v>
      </c>
      <c r="D20" s="40" t="s">
        <v>867</v>
      </c>
      <c r="E20" s="46"/>
      <c r="F20" s="41">
        <v>36.0</v>
      </c>
      <c r="G20" s="41" t="s">
        <v>21</v>
      </c>
      <c r="H20" s="41" t="s">
        <v>22</v>
      </c>
      <c r="I20" s="42">
        <v>1.0</v>
      </c>
      <c r="J20" s="43"/>
      <c r="K20" s="44">
        <v>2366.0</v>
      </c>
      <c r="L20" s="44">
        <v>2366.0</v>
      </c>
      <c r="M20" s="42">
        <v>0.0</v>
      </c>
      <c r="N20" s="44">
        <v>2366.0</v>
      </c>
      <c r="O20" s="46"/>
    </row>
    <row r="21">
      <c r="A21" s="42">
        <v>2.2</v>
      </c>
      <c r="B21" s="41" t="s">
        <v>868</v>
      </c>
      <c r="C21" s="40" t="s">
        <v>18</v>
      </c>
      <c r="D21" s="40" t="s">
        <v>869</v>
      </c>
      <c r="E21" s="46"/>
      <c r="F21" s="41" t="s">
        <v>21</v>
      </c>
      <c r="G21" s="41">
        <v>14.0</v>
      </c>
      <c r="H21" s="41" t="s">
        <v>29</v>
      </c>
      <c r="I21" s="42">
        <v>1.0</v>
      </c>
      <c r="J21" s="43"/>
      <c r="K21" s="42">
        <v>0.0</v>
      </c>
      <c r="L21" s="42">
        <v>0.0</v>
      </c>
      <c r="M21" s="42">
        <v>0.0</v>
      </c>
      <c r="N21" s="42">
        <v>0.0</v>
      </c>
      <c r="O21" s="46"/>
    </row>
    <row r="22">
      <c r="A22" s="42">
        <v>2.3</v>
      </c>
      <c r="B22" s="41" t="s">
        <v>870</v>
      </c>
      <c r="C22" s="40" t="s">
        <v>29</v>
      </c>
      <c r="D22" s="40" t="s">
        <v>871</v>
      </c>
      <c r="E22" s="46"/>
      <c r="F22" s="41" t="s">
        <v>21</v>
      </c>
      <c r="G22" s="41">
        <v>14.0</v>
      </c>
      <c r="H22" s="41" t="s">
        <v>29</v>
      </c>
      <c r="I22" s="42">
        <v>1.0</v>
      </c>
      <c r="J22" s="43"/>
      <c r="K22" s="42">
        <v>0.0</v>
      </c>
      <c r="L22" s="42">
        <v>0.0</v>
      </c>
      <c r="M22" s="42">
        <v>0.0</v>
      </c>
      <c r="N22" s="42">
        <v>0.0</v>
      </c>
      <c r="O22" s="46"/>
    </row>
    <row r="23">
      <c r="A23" s="42">
        <v>2.4</v>
      </c>
      <c r="B23" s="41" t="s">
        <v>872</v>
      </c>
      <c r="C23" s="40" t="s">
        <v>18</v>
      </c>
      <c r="D23" s="40" t="s">
        <v>873</v>
      </c>
      <c r="E23" s="46"/>
      <c r="F23" s="41" t="s">
        <v>21</v>
      </c>
      <c r="G23" s="41">
        <v>14.0</v>
      </c>
      <c r="H23" s="41" t="s">
        <v>22</v>
      </c>
      <c r="I23" s="42">
        <v>1.0</v>
      </c>
      <c r="J23" s="43"/>
      <c r="K23" s="42">
        <v>0.0</v>
      </c>
      <c r="L23" s="42">
        <v>0.0</v>
      </c>
      <c r="M23" s="42">
        <v>0.0</v>
      </c>
      <c r="N23" s="42">
        <v>0.0</v>
      </c>
      <c r="O23" s="46"/>
    </row>
    <row r="24">
      <c r="A24" s="42">
        <v>2.5</v>
      </c>
      <c r="B24" s="41" t="s">
        <v>874</v>
      </c>
      <c r="C24" s="40" t="s">
        <v>18</v>
      </c>
      <c r="D24" s="40" t="s">
        <v>875</v>
      </c>
      <c r="E24" s="46"/>
      <c r="F24" s="41" t="s">
        <v>21</v>
      </c>
      <c r="G24" s="41">
        <v>14.0</v>
      </c>
      <c r="H24" s="41" t="s">
        <v>22</v>
      </c>
      <c r="I24" s="42">
        <v>1.0</v>
      </c>
      <c r="J24" s="43"/>
      <c r="K24" s="44">
        <v>2489.87</v>
      </c>
      <c r="L24" s="44">
        <v>2489.87</v>
      </c>
      <c r="M24" s="42">
        <v>0.0</v>
      </c>
      <c r="N24" s="44">
        <v>2489.87</v>
      </c>
      <c r="O24" s="46"/>
    </row>
    <row r="25">
      <c r="A25" s="42">
        <v>2.6</v>
      </c>
      <c r="B25" s="41" t="s">
        <v>876</v>
      </c>
      <c r="C25" s="40" t="s">
        <v>18</v>
      </c>
      <c r="D25" s="40" t="s">
        <v>877</v>
      </c>
      <c r="E25" s="45"/>
      <c r="F25" s="41" t="s">
        <v>21</v>
      </c>
      <c r="G25" s="41">
        <v>14.0</v>
      </c>
      <c r="H25" s="41" t="s">
        <v>22</v>
      </c>
      <c r="I25" s="42">
        <v>1.0</v>
      </c>
      <c r="J25" s="43"/>
      <c r="K25" s="44">
        <v>0.0</v>
      </c>
      <c r="L25" s="44">
        <v>0.0</v>
      </c>
      <c r="M25" s="42">
        <v>0.0</v>
      </c>
      <c r="N25" s="44">
        <v>0.0</v>
      </c>
      <c r="O25" s="46"/>
    </row>
    <row r="26">
      <c r="A26" s="42">
        <v>2.7</v>
      </c>
      <c r="B26" s="41" t="s">
        <v>878</v>
      </c>
      <c r="C26" s="40" t="s">
        <v>18</v>
      </c>
      <c r="D26" s="40" t="s">
        <v>879</v>
      </c>
      <c r="E26" s="46"/>
      <c r="F26" s="41" t="s">
        <v>21</v>
      </c>
      <c r="G26" s="41">
        <v>14.0</v>
      </c>
      <c r="H26" s="41" t="s">
        <v>22</v>
      </c>
      <c r="I26" s="42">
        <v>1.0</v>
      </c>
      <c r="J26" s="43"/>
      <c r="K26" s="42">
        <v>0.0</v>
      </c>
      <c r="L26" s="42">
        <v>0.0</v>
      </c>
      <c r="M26" s="42">
        <v>0.0</v>
      </c>
      <c r="N26" s="42">
        <v>0.0</v>
      </c>
      <c r="O26" s="45"/>
    </row>
    <row r="27">
      <c r="A27" s="42">
        <v>2.8</v>
      </c>
      <c r="B27" s="41" t="s">
        <v>880</v>
      </c>
      <c r="C27" s="40" t="s">
        <v>18</v>
      </c>
      <c r="D27" s="40" t="s">
        <v>881</v>
      </c>
      <c r="E27" s="46"/>
      <c r="F27" s="41" t="s">
        <v>21</v>
      </c>
      <c r="G27" s="41">
        <v>14.0</v>
      </c>
      <c r="H27" s="41" t="s">
        <v>22</v>
      </c>
      <c r="I27" s="42">
        <v>1.0</v>
      </c>
      <c r="J27" s="43"/>
      <c r="K27" s="42">
        <v>0.0</v>
      </c>
      <c r="L27" s="42">
        <v>0.0</v>
      </c>
      <c r="M27" s="42">
        <v>0.0</v>
      </c>
      <c r="N27" s="42">
        <v>0.0</v>
      </c>
      <c r="O27" s="46"/>
    </row>
    <row r="28">
      <c r="A28" s="42">
        <v>2.9</v>
      </c>
      <c r="B28" s="41" t="s">
        <v>59</v>
      </c>
      <c r="C28" s="40" t="s">
        <v>29</v>
      </c>
      <c r="D28" s="40" t="s">
        <v>60</v>
      </c>
      <c r="E28" s="46"/>
      <c r="F28" s="41" t="s">
        <v>21</v>
      </c>
      <c r="G28" s="41">
        <v>2.0</v>
      </c>
      <c r="H28" s="41" t="s">
        <v>29</v>
      </c>
      <c r="I28" s="42">
        <v>1.0</v>
      </c>
      <c r="J28" s="43"/>
      <c r="K28" s="42">
        <v>0.0</v>
      </c>
      <c r="L28" s="42">
        <v>0.0</v>
      </c>
      <c r="M28" s="42">
        <v>0.0</v>
      </c>
      <c r="N28" s="42">
        <v>0.0</v>
      </c>
      <c r="O28" s="45"/>
    </row>
    <row r="29">
      <c r="A29" s="47"/>
      <c r="B29" s="47"/>
      <c r="C29" s="47"/>
      <c r="D29" s="47"/>
      <c r="E29" s="48"/>
      <c r="F29" s="47"/>
      <c r="G29" s="47"/>
      <c r="H29" s="47"/>
      <c r="I29" s="47"/>
      <c r="J29" s="48"/>
      <c r="K29" s="49"/>
      <c r="L29" s="49"/>
      <c r="M29" s="50" t="s">
        <v>63</v>
      </c>
      <c r="N29" s="51">
        <v>11213.65</v>
      </c>
      <c r="O29" s="52"/>
    </row>
    <row r="30">
      <c r="A30" s="39">
        <v>3.0</v>
      </c>
      <c r="B30" s="39" t="s">
        <v>887</v>
      </c>
      <c r="C30" s="40" t="s">
        <v>18</v>
      </c>
      <c r="D30" s="40" t="s">
        <v>888</v>
      </c>
      <c r="E30" s="40" t="s">
        <v>20</v>
      </c>
      <c r="F30" s="41" t="s">
        <v>21</v>
      </c>
      <c r="G30" s="41">
        <v>14.0</v>
      </c>
      <c r="H30" s="41" t="s">
        <v>22</v>
      </c>
      <c r="I30" s="42">
        <v>1.0</v>
      </c>
      <c r="J30" s="43"/>
      <c r="K30" s="44">
        <v>5901.52</v>
      </c>
      <c r="L30" s="44">
        <v>5901.52</v>
      </c>
      <c r="M30" s="42">
        <v>0.0</v>
      </c>
      <c r="N30" s="44">
        <v>5901.52</v>
      </c>
      <c r="O30" s="46"/>
    </row>
    <row r="31">
      <c r="A31" s="42" t="s">
        <v>83</v>
      </c>
      <c r="B31" s="41" t="s">
        <v>889</v>
      </c>
      <c r="C31" s="40" t="s">
        <v>18</v>
      </c>
      <c r="D31" s="40" t="s">
        <v>890</v>
      </c>
      <c r="E31" s="46"/>
      <c r="F31" s="41">
        <v>36.0</v>
      </c>
      <c r="G31" s="41" t="s">
        <v>21</v>
      </c>
      <c r="H31" s="41" t="s">
        <v>22</v>
      </c>
      <c r="I31" s="42">
        <v>1.0</v>
      </c>
      <c r="J31" s="43"/>
      <c r="K31" s="44">
        <v>2054.25</v>
      </c>
      <c r="L31" s="44">
        <v>2054.25</v>
      </c>
      <c r="M31" s="42">
        <v>0.0</v>
      </c>
      <c r="N31" s="44">
        <v>2054.25</v>
      </c>
      <c r="O31" s="40" t="s">
        <v>26</v>
      </c>
    </row>
    <row r="32">
      <c r="A32" s="42">
        <v>3.1</v>
      </c>
      <c r="B32" s="41" t="s">
        <v>891</v>
      </c>
      <c r="C32" s="40" t="s">
        <v>29</v>
      </c>
      <c r="D32" s="40" t="s">
        <v>892</v>
      </c>
      <c r="E32" s="46"/>
      <c r="F32" s="41" t="s">
        <v>21</v>
      </c>
      <c r="G32" s="41">
        <v>14.0</v>
      </c>
      <c r="H32" s="41" t="s">
        <v>22</v>
      </c>
      <c r="I32" s="42">
        <v>1.0</v>
      </c>
      <c r="J32" s="43"/>
      <c r="K32" s="42">
        <v>0.0</v>
      </c>
      <c r="L32" s="42">
        <v>0.0</v>
      </c>
      <c r="M32" s="42">
        <v>0.0</v>
      </c>
      <c r="N32" s="42">
        <v>0.0</v>
      </c>
      <c r="O32" s="46"/>
    </row>
    <row r="33">
      <c r="A33" s="42" t="s">
        <v>893</v>
      </c>
      <c r="B33" s="41" t="s">
        <v>894</v>
      </c>
      <c r="C33" s="40" t="s">
        <v>18</v>
      </c>
      <c r="D33" s="40" t="s">
        <v>865</v>
      </c>
      <c r="E33" s="46"/>
      <c r="F33" s="41">
        <v>36.0</v>
      </c>
      <c r="G33" s="41" t="s">
        <v>21</v>
      </c>
      <c r="H33" s="41" t="s">
        <v>22</v>
      </c>
      <c r="I33" s="42">
        <v>1.0</v>
      </c>
      <c r="J33" s="43"/>
      <c r="K33" s="44">
        <v>1039.5</v>
      </c>
      <c r="L33" s="44">
        <v>1039.5</v>
      </c>
      <c r="M33" s="42">
        <v>0.0</v>
      </c>
      <c r="N33" s="44">
        <v>1039.5</v>
      </c>
      <c r="O33" s="40" t="s">
        <v>26</v>
      </c>
    </row>
    <row r="34">
      <c r="A34" s="42" t="s">
        <v>88</v>
      </c>
      <c r="B34" s="41" t="s">
        <v>895</v>
      </c>
      <c r="C34" s="40" t="s">
        <v>18</v>
      </c>
      <c r="D34" s="40" t="s">
        <v>896</v>
      </c>
      <c r="E34" s="46"/>
      <c r="F34" s="41">
        <v>36.0</v>
      </c>
      <c r="G34" s="41" t="s">
        <v>21</v>
      </c>
      <c r="H34" s="41" t="s">
        <v>22</v>
      </c>
      <c r="I34" s="42">
        <v>1.0</v>
      </c>
      <c r="J34" s="43"/>
      <c r="K34" s="44">
        <v>4437.0</v>
      </c>
      <c r="L34" s="44">
        <v>4437.0</v>
      </c>
      <c r="M34" s="42">
        <v>0.0</v>
      </c>
      <c r="N34" s="44">
        <v>4437.0</v>
      </c>
      <c r="O34" s="46"/>
    </row>
    <row r="35">
      <c r="A35" s="42">
        <v>3.2</v>
      </c>
      <c r="B35" s="41" t="s">
        <v>868</v>
      </c>
      <c r="C35" s="40" t="s">
        <v>18</v>
      </c>
      <c r="D35" s="40" t="s">
        <v>869</v>
      </c>
      <c r="E35" s="46"/>
      <c r="F35" s="41" t="s">
        <v>21</v>
      </c>
      <c r="G35" s="41">
        <v>14.0</v>
      </c>
      <c r="H35" s="41" t="s">
        <v>29</v>
      </c>
      <c r="I35" s="42">
        <v>1.0</v>
      </c>
      <c r="J35" s="43"/>
      <c r="K35" s="42">
        <v>0.0</v>
      </c>
      <c r="L35" s="42">
        <v>0.0</v>
      </c>
      <c r="M35" s="42">
        <v>0.0</v>
      </c>
      <c r="N35" s="44">
        <v>0.0</v>
      </c>
      <c r="O35" s="46"/>
    </row>
    <row r="36">
      <c r="A36" s="42">
        <v>3.3</v>
      </c>
      <c r="B36" s="41" t="s">
        <v>897</v>
      </c>
      <c r="C36" s="40" t="s">
        <v>29</v>
      </c>
      <c r="D36" s="40" t="s">
        <v>898</v>
      </c>
      <c r="E36" s="45"/>
      <c r="F36" s="41" t="s">
        <v>21</v>
      </c>
      <c r="G36" s="41">
        <v>14.0</v>
      </c>
      <c r="H36" s="41" t="s">
        <v>29</v>
      </c>
      <c r="I36" s="42">
        <v>1.0</v>
      </c>
      <c r="J36" s="43"/>
      <c r="K36" s="44">
        <v>0.0</v>
      </c>
      <c r="L36" s="44">
        <v>0.0</v>
      </c>
      <c r="M36" s="42">
        <v>0.0</v>
      </c>
      <c r="N36" s="44">
        <v>0.0</v>
      </c>
      <c r="O36" s="46"/>
    </row>
    <row r="37">
      <c r="A37" s="42">
        <v>3.4</v>
      </c>
      <c r="B37" s="41" t="s">
        <v>872</v>
      </c>
      <c r="C37" s="40" t="s">
        <v>18</v>
      </c>
      <c r="D37" s="40" t="s">
        <v>873</v>
      </c>
      <c r="E37" s="46"/>
      <c r="F37" s="41" t="s">
        <v>21</v>
      </c>
      <c r="G37" s="41">
        <v>14.0</v>
      </c>
      <c r="H37" s="41" t="s">
        <v>22</v>
      </c>
      <c r="I37" s="42">
        <v>1.0</v>
      </c>
      <c r="J37" s="43"/>
      <c r="K37" s="44">
        <v>0.0</v>
      </c>
      <c r="L37" s="44">
        <v>0.0</v>
      </c>
      <c r="M37" s="42">
        <v>0.0</v>
      </c>
      <c r="N37" s="44">
        <v>0.0</v>
      </c>
      <c r="O37" s="45"/>
    </row>
    <row r="38">
      <c r="A38" s="42">
        <v>3.5</v>
      </c>
      <c r="B38" s="41" t="s">
        <v>874</v>
      </c>
      <c r="C38" s="40" t="s">
        <v>18</v>
      </c>
      <c r="D38" s="40" t="s">
        <v>875</v>
      </c>
      <c r="E38" s="46"/>
      <c r="F38" s="41" t="s">
        <v>21</v>
      </c>
      <c r="G38" s="41">
        <v>14.0</v>
      </c>
      <c r="H38" s="41" t="s">
        <v>22</v>
      </c>
      <c r="I38" s="42">
        <v>1.0</v>
      </c>
      <c r="J38" s="43"/>
      <c r="K38" s="44">
        <v>2489.87</v>
      </c>
      <c r="L38" s="44">
        <v>2489.87</v>
      </c>
      <c r="M38" s="42">
        <v>0.0</v>
      </c>
      <c r="N38" s="44">
        <v>2489.87</v>
      </c>
      <c r="O38" s="46"/>
    </row>
    <row r="39">
      <c r="A39" s="42">
        <v>3.6</v>
      </c>
      <c r="B39" s="41" t="s">
        <v>876</v>
      </c>
      <c r="C39" s="40" t="s">
        <v>18</v>
      </c>
      <c r="D39" s="40" t="s">
        <v>877</v>
      </c>
      <c r="E39" s="46"/>
      <c r="F39" s="41" t="s">
        <v>21</v>
      </c>
      <c r="G39" s="41">
        <v>14.0</v>
      </c>
      <c r="H39" s="41" t="s">
        <v>22</v>
      </c>
      <c r="I39" s="42">
        <v>1.0</v>
      </c>
      <c r="J39" s="43"/>
      <c r="K39" s="42">
        <v>0.0</v>
      </c>
      <c r="L39" s="42">
        <v>0.0</v>
      </c>
      <c r="M39" s="42">
        <v>0.0</v>
      </c>
      <c r="N39" s="42">
        <v>0.0</v>
      </c>
      <c r="O39" s="45"/>
    </row>
    <row r="40">
      <c r="A40" s="42">
        <v>3.7</v>
      </c>
      <c r="B40" s="41" t="s">
        <v>878</v>
      </c>
      <c r="C40" s="40" t="s">
        <v>18</v>
      </c>
      <c r="D40" s="40" t="s">
        <v>879</v>
      </c>
      <c r="E40" s="46"/>
      <c r="F40" s="41" t="s">
        <v>21</v>
      </c>
      <c r="G40" s="41">
        <v>14.0</v>
      </c>
      <c r="H40" s="41" t="s">
        <v>22</v>
      </c>
      <c r="I40" s="42">
        <v>1.0</v>
      </c>
      <c r="J40" s="43"/>
      <c r="K40" s="44">
        <v>0.0</v>
      </c>
      <c r="L40" s="44">
        <v>0.0</v>
      </c>
      <c r="M40" s="42">
        <v>0.0</v>
      </c>
      <c r="N40" s="44">
        <v>0.0</v>
      </c>
      <c r="O40" s="46"/>
    </row>
    <row r="41">
      <c r="A41" s="42">
        <v>3.8</v>
      </c>
      <c r="B41" s="41" t="s">
        <v>880</v>
      </c>
      <c r="C41" s="40" t="s">
        <v>18</v>
      </c>
      <c r="D41" s="40" t="s">
        <v>881</v>
      </c>
      <c r="E41" s="46"/>
      <c r="F41" s="41" t="s">
        <v>21</v>
      </c>
      <c r="G41" s="41">
        <v>14.0</v>
      </c>
      <c r="H41" s="41" t="s">
        <v>22</v>
      </c>
      <c r="I41" s="42">
        <v>1.0</v>
      </c>
      <c r="J41" s="43"/>
      <c r="K41" s="42">
        <v>0.0</v>
      </c>
      <c r="L41" s="42">
        <v>0.0</v>
      </c>
      <c r="M41" s="42">
        <v>0.0</v>
      </c>
      <c r="N41" s="42">
        <v>0.0</v>
      </c>
      <c r="O41" s="46"/>
    </row>
    <row r="42">
      <c r="A42" s="42">
        <v>3.9</v>
      </c>
      <c r="B42" s="41" t="s">
        <v>59</v>
      </c>
      <c r="C42" s="40" t="s">
        <v>29</v>
      </c>
      <c r="D42" s="40" t="s">
        <v>60</v>
      </c>
      <c r="E42" s="46"/>
      <c r="F42" s="41" t="s">
        <v>21</v>
      </c>
      <c r="G42" s="41">
        <v>2.0</v>
      </c>
      <c r="H42" s="41" t="s">
        <v>22</v>
      </c>
      <c r="I42" s="42">
        <v>1.0</v>
      </c>
      <c r="J42" s="43"/>
      <c r="K42" s="42">
        <v>0.0</v>
      </c>
      <c r="L42" s="42">
        <v>0.0</v>
      </c>
      <c r="M42" s="42">
        <v>0.0</v>
      </c>
      <c r="N42" s="42">
        <v>0.0</v>
      </c>
      <c r="O42" s="46"/>
    </row>
    <row r="43">
      <c r="A43" s="47"/>
      <c r="B43" s="47"/>
      <c r="C43" s="47"/>
      <c r="D43" s="47"/>
      <c r="E43" s="48"/>
      <c r="F43" s="47"/>
      <c r="G43" s="47"/>
      <c r="H43" s="47"/>
      <c r="I43" s="47"/>
      <c r="J43" s="48"/>
      <c r="K43" s="47"/>
      <c r="L43" s="47"/>
      <c r="M43" s="50" t="s">
        <v>63</v>
      </c>
      <c r="N43" s="51">
        <v>15922.14</v>
      </c>
      <c r="O43" s="52"/>
    </row>
    <row r="44">
      <c r="A44" s="39">
        <v>4.0</v>
      </c>
      <c r="B44" s="39" t="s">
        <v>899</v>
      </c>
      <c r="C44" s="40" t="s">
        <v>18</v>
      </c>
      <c r="D44" s="40" t="s">
        <v>900</v>
      </c>
      <c r="E44" s="40" t="s">
        <v>20</v>
      </c>
      <c r="F44" s="41" t="s">
        <v>21</v>
      </c>
      <c r="G44" s="41">
        <v>14.0</v>
      </c>
      <c r="H44" s="41" t="s">
        <v>22</v>
      </c>
      <c r="I44" s="42">
        <v>1.0</v>
      </c>
      <c r="J44" s="43"/>
      <c r="K44" s="44">
        <v>9047.44</v>
      </c>
      <c r="L44" s="44">
        <v>9047.44</v>
      </c>
      <c r="M44" s="42">
        <v>0.0</v>
      </c>
      <c r="N44" s="44">
        <v>9047.44</v>
      </c>
      <c r="O44" s="46"/>
    </row>
    <row r="45">
      <c r="A45" s="42" t="s">
        <v>100</v>
      </c>
      <c r="B45" s="41" t="s">
        <v>901</v>
      </c>
      <c r="C45" s="40" t="s">
        <v>18</v>
      </c>
      <c r="D45" s="40" t="s">
        <v>902</v>
      </c>
      <c r="E45" s="46"/>
      <c r="F45" s="41">
        <v>36.0</v>
      </c>
      <c r="G45" s="41" t="s">
        <v>21</v>
      </c>
      <c r="H45" s="41" t="s">
        <v>22</v>
      </c>
      <c r="I45" s="42">
        <v>1.0</v>
      </c>
      <c r="J45" s="43"/>
      <c r="K45" s="44">
        <v>3147.39</v>
      </c>
      <c r="L45" s="44">
        <v>3147.39</v>
      </c>
      <c r="M45" s="42">
        <v>0.0</v>
      </c>
      <c r="N45" s="44">
        <v>3147.39</v>
      </c>
      <c r="O45" s="40" t="s">
        <v>26</v>
      </c>
    </row>
    <row r="46">
      <c r="A46" s="42">
        <v>4.1</v>
      </c>
      <c r="B46" s="41" t="s">
        <v>891</v>
      </c>
      <c r="C46" s="40" t="s">
        <v>29</v>
      </c>
      <c r="D46" s="40" t="s">
        <v>892</v>
      </c>
      <c r="E46" s="46"/>
      <c r="F46" s="41" t="s">
        <v>21</v>
      </c>
      <c r="G46" s="41">
        <v>14.0</v>
      </c>
      <c r="H46" s="41" t="s">
        <v>22</v>
      </c>
      <c r="I46" s="42">
        <v>1.0</v>
      </c>
      <c r="J46" s="43"/>
      <c r="K46" s="42">
        <v>0.0</v>
      </c>
      <c r="L46" s="42">
        <v>0.0</v>
      </c>
      <c r="M46" s="42">
        <v>0.0</v>
      </c>
      <c r="N46" s="42">
        <v>0.0</v>
      </c>
      <c r="O46" s="46"/>
    </row>
    <row r="47">
      <c r="A47" s="42" t="s">
        <v>903</v>
      </c>
      <c r="B47" s="41" t="s">
        <v>894</v>
      </c>
      <c r="C47" s="40" t="s">
        <v>18</v>
      </c>
      <c r="D47" s="40" t="s">
        <v>865</v>
      </c>
      <c r="E47" s="46"/>
      <c r="F47" s="41">
        <v>36.0</v>
      </c>
      <c r="G47" s="41" t="s">
        <v>21</v>
      </c>
      <c r="H47" s="41" t="s">
        <v>22</v>
      </c>
      <c r="I47" s="42">
        <v>1.0</v>
      </c>
      <c r="J47" s="43"/>
      <c r="K47" s="44">
        <v>1039.5</v>
      </c>
      <c r="L47" s="44">
        <v>1039.5</v>
      </c>
      <c r="M47" s="42">
        <v>0.0</v>
      </c>
      <c r="N47" s="44">
        <v>1039.5</v>
      </c>
      <c r="O47" s="40" t="s">
        <v>26</v>
      </c>
    </row>
    <row r="48">
      <c r="A48" s="42" t="s">
        <v>105</v>
      </c>
      <c r="B48" s="41" t="s">
        <v>895</v>
      </c>
      <c r="C48" s="40" t="s">
        <v>18</v>
      </c>
      <c r="D48" s="40" t="s">
        <v>896</v>
      </c>
      <c r="E48" s="46"/>
      <c r="F48" s="41">
        <v>36.0</v>
      </c>
      <c r="G48" s="41" t="s">
        <v>21</v>
      </c>
      <c r="H48" s="41" t="s">
        <v>22</v>
      </c>
      <c r="I48" s="42">
        <v>1.0</v>
      </c>
      <c r="J48" s="43"/>
      <c r="K48" s="44">
        <v>4437.0</v>
      </c>
      <c r="L48" s="44">
        <v>4437.0</v>
      </c>
      <c r="M48" s="42">
        <v>0.0</v>
      </c>
      <c r="N48" s="44">
        <v>4437.0</v>
      </c>
      <c r="O48" s="46"/>
    </row>
    <row r="49">
      <c r="A49" s="42">
        <v>4.2</v>
      </c>
      <c r="B49" s="41" t="s">
        <v>868</v>
      </c>
      <c r="C49" s="40" t="s">
        <v>18</v>
      </c>
      <c r="D49" s="40" t="s">
        <v>869</v>
      </c>
      <c r="E49" s="46"/>
      <c r="F49" s="41" t="s">
        <v>21</v>
      </c>
      <c r="G49" s="41">
        <v>14.0</v>
      </c>
      <c r="H49" s="41" t="s">
        <v>29</v>
      </c>
      <c r="I49" s="42">
        <v>1.0</v>
      </c>
      <c r="J49" s="43"/>
      <c r="K49" s="42">
        <v>0.0</v>
      </c>
      <c r="L49" s="42">
        <v>0.0</v>
      </c>
      <c r="M49" s="42">
        <v>0.0</v>
      </c>
      <c r="N49" s="44">
        <v>0.0</v>
      </c>
      <c r="O49" s="46"/>
    </row>
    <row r="50">
      <c r="A50" s="42">
        <v>4.3</v>
      </c>
      <c r="B50" s="41" t="s">
        <v>897</v>
      </c>
      <c r="C50" s="40" t="s">
        <v>29</v>
      </c>
      <c r="D50" s="40" t="s">
        <v>898</v>
      </c>
      <c r="E50" s="45"/>
      <c r="F50" s="41" t="s">
        <v>21</v>
      </c>
      <c r="G50" s="41">
        <v>14.0</v>
      </c>
      <c r="H50" s="41" t="s">
        <v>29</v>
      </c>
      <c r="I50" s="42">
        <v>1.0</v>
      </c>
      <c r="J50" s="43"/>
      <c r="K50" s="44">
        <v>0.0</v>
      </c>
      <c r="L50" s="44">
        <v>0.0</v>
      </c>
      <c r="M50" s="42">
        <v>0.0</v>
      </c>
      <c r="N50" s="44">
        <v>0.0</v>
      </c>
      <c r="O50" s="46"/>
    </row>
    <row r="51">
      <c r="A51" s="42">
        <v>4.4</v>
      </c>
      <c r="B51" s="41" t="s">
        <v>872</v>
      </c>
      <c r="C51" s="40" t="s">
        <v>18</v>
      </c>
      <c r="D51" s="40" t="s">
        <v>873</v>
      </c>
      <c r="E51" s="46"/>
      <c r="F51" s="41" t="s">
        <v>21</v>
      </c>
      <c r="G51" s="41">
        <v>14.0</v>
      </c>
      <c r="H51" s="41" t="s">
        <v>22</v>
      </c>
      <c r="I51" s="42">
        <v>1.0</v>
      </c>
      <c r="J51" s="43"/>
      <c r="K51" s="44">
        <v>0.0</v>
      </c>
      <c r="L51" s="44">
        <v>0.0</v>
      </c>
      <c r="M51" s="42">
        <v>0.0</v>
      </c>
      <c r="N51" s="44">
        <v>0.0</v>
      </c>
      <c r="O51" s="45"/>
    </row>
    <row r="52">
      <c r="A52" s="42">
        <v>4.5</v>
      </c>
      <c r="B52" s="41" t="s">
        <v>874</v>
      </c>
      <c r="C52" s="40" t="s">
        <v>18</v>
      </c>
      <c r="D52" s="40" t="s">
        <v>875</v>
      </c>
      <c r="E52" s="46"/>
      <c r="F52" s="41" t="s">
        <v>21</v>
      </c>
      <c r="G52" s="41">
        <v>14.0</v>
      </c>
      <c r="H52" s="41" t="s">
        <v>22</v>
      </c>
      <c r="I52" s="42">
        <v>1.0</v>
      </c>
      <c r="J52" s="43"/>
      <c r="K52" s="44">
        <v>2489.87</v>
      </c>
      <c r="L52" s="44">
        <v>2489.87</v>
      </c>
      <c r="M52" s="42">
        <v>0.0</v>
      </c>
      <c r="N52" s="44">
        <v>2489.87</v>
      </c>
      <c r="O52" s="46"/>
    </row>
    <row r="53">
      <c r="A53" s="42">
        <v>4.6</v>
      </c>
      <c r="B53" s="41" t="s">
        <v>876</v>
      </c>
      <c r="C53" s="40" t="s">
        <v>18</v>
      </c>
      <c r="D53" s="40" t="s">
        <v>877</v>
      </c>
      <c r="E53" s="46"/>
      <c r="F53" s="41" t="s">
        <v>21</v>
      </c>
      <c r="G53" s="41">
        <v>14.0</v>
      </c>
      <c r="H53" s="41" t="s">
        <v>22</v>
      </c>
      <c r="I53" s="42">
        <v>1.0</v>
      </c>
      <c r="J53" s="43"/>
      <c r="K53" s="42">
        <v>0.0</v>
      </c>
      <c r="L53" s="42">
        <v>0.0</v>
      </c>
      <c r="M53" s="42">
        <v>0.0</v>
      </c>
      <c r="N53" s="42">
        <v>0.0</v>
      </c>
      <c r="O53" s="45"/>
    </row>
    <row r="54">
      <c r="A54" s="42">
        <v>4.7</v>
      </c>
      <c r="B54" s="41" t="s">
        <v>878</v>
      </c>
      <c r="C54" s="40" t="s">
        <v>18</v>
      </c>
      <c r="D54" s="40" t="s">
        <v>879</v>
      </c>
      <c r="E54" s="46"/>
      <c r="F54" s="41" t="s">
        <v>21</v>
      </c>
      <c r="G54" s="41">
        <v>14.0</v>
      </c>
      <c r="H54" s="41" t="s">
        <v>22</v>
      </c>
      <c r="I54" s="42">
        <v>1.0</v>
      </c>
      <c r="J54" s="43"/>
      <c r="K54" s="44">
        <v>0.0</v>
      </c>
      <c r="L54" s="44">
        <v>0.0</v>
      </c>
      <c r="M54" s="42">
        <v>0.0</v>
      </c>
      <c r="N54" s="44">
        <v>0.0</v>
      </c>
      <c r="O54" s="46"/>
    </row>
    <row r="55">
      <c r="A55" s="42">
        <v>4.8</v>
      </c>
      <c r="B55" s="41" t="s">
        <v>880</v>
      </c>
      <c r="C55" s="40" t="s">
        <v>18</v>
      </c>
      <c r="D55" s="40" t="s">
        <v>881</v>
      </c>
      <c r="E55" s="46"/>
      <c r="F55" s="41" t="s">
        <v>21</v>
      </c>
      <c r="G55" s="41">
        <v>14.0</v>
      </c>
      <c r="H55" s="41" t="s">
        <v>22</v>
      </c>
      <c r="I55" s="42">
        <v>1.0</v>
      </c>
      <c r="J55" s="43"/>
      <c r="K55" s="42">
        <v>0.0</v>
      </c>
      <c r="L55" s="42">
        <v>0.0</v>
      </c>
      <c r="M55" s="42">
        <v>0.0</v>
      </c>
      <c r="N55" s="42">
        <v>0.0</v>
      </c>
      <c r="O55" s="46"/>
    </row>
    <row r="56">
      <c r="A56" s="42">
        <v>4.9</v>
      </c>
      <c r="B56" s="41" t="s">
        <v>59</v>
      </c>
      <c r="C56" s="40" t="s">
        <v>29</v>
      </c>
      <c r="D56" s="40" t="s">
        <v>60</v>
      </c>
      <c r="E56" s="46"/>
      <c r="F56" s="41" t="s">
        <v>21</v>
      </c>
      <c r="G56" s="41">
        <v>2.0</v>
      </c>
      <c r="H56" s="41" t="s">
        <v>22</v>
      </c>
      <c r="I56" s="42">
        <v>1.0</v>
      </c>
      <c r="J56" s="43"/>
      <c r="K56" s="42">
        <v>0.0</v>
      </c>
      <c r="L56" s="42">
        <v>0.0</v>
      </c>
      <c r="M56" s="42">
        <v>0.0</v>
      </c>
      <c r="N56" s="42">
        <v>0.0</v>
      </c>
      <c r="O56" s="46"/>
    </row>
    <row r="57">
      <c r="A57" s="47"/>
      <c r="B57" s="47"/>
      <c r="C57" s="47"/>
      <c r="D57" s="47"/>
      <c r="E57" s="48"/>
      <c r="F57" s="47"/>
      <c r="G57" s="47"/>
      <c r="H57" s="47"/>
      <c r="I57" s="47"/>
      <c r="J57" s="48"/>
      <c r="K57" s="47"/>
      <c r="L57" s="47"/>
      <c r="M57" s="50" t="s">
        <v>63</v>
      </c>
      <c r="N57" s="51">
        <v>20161.2</v>
      </c>
      <c r="O57" s="52"/>
    </row>
    <row r="58">
      <c r="A58" s="39">
        <v>5.0</v>
      </c>
      <c r="B58" s="39" t="s">
        <v>904</v>
      </c>
      <c r="C58" s="40" t="s">
        <v>18</v>
      </c>
      <c r="D58" s="40" t="s">
        <v>905</v>
      </c>
      <c r="E58" s="40" t="s">
        <v>20</v>
      </c>
      <c r="F58" s="41" t="s">
        <v>21</v>
      </c>
      <c r="G58" s="41">
        <v>14.0</v>
      </c>
      <c r="H58" s="41" t="s">
        <v>22</v>
      </c>
      <c r="I58" s="42">
        <v>1.0</v>
      </c>
      <c r="J58" s="43"/>
      <c r="K58" s="44">
        <v>2460.77</v>
      </c>
      <c r="L58" s="44">
        <v>2460.77</v>
      </c>
      <c r="M58" s="42">
        <v>0.0</v>
      </c>
      <c r="N58" s="44">
        <v>2460.77</v>
      </c>
      <c r="O58" s="46"/>
    </row>
    <row r="59">
      <c r="A59" s="42" t="s">
        <v>117</v>
      </c>
      <c r="B59" s="41" t="s">
        <v>906</v>
      </c>
      <c r="C59" s="40" t="s">
        <v>18</v>
      </c>
      <c r="D59" s="40" t="s">
        <v>907</v>
      </c>
      <c r="E59" s="46"/>
      <c r="F59" s="41">
        <v>36.0</v>
      </c>
      <c r="G59" s="41" t="s">
        <v>21</v>
      </c>
      <c r="H59" s="41" t="s">
        <v>22</v>
      </c>
      <c r="I59" s="42">
        <v>1.0</v>
      </c>
      <c r="J59" s="43"/>
      <c r="K59" s="42">
        <v>882.75</v>
      </c>
      <c r="L59" s="42">
        <v>882.75</v>
      </c>
      <c r="M59" s="42">
        <v>0.0</v>
      </c>
      <c r="N59" s="42">
        <v>882.75</v>
      </c>
      <c r="O59" s="40" t="s">
        <v>26</v>
      </c>
    </row>
    <row r="60">
      <c r="A60" s="42">
        <v>5.1</v>
      </c>
      <c r="B60" s="41" t="s">
        <v>908</v>
      </c>
      <c r="C60" s="40" t="s">
        <v>29</v>
      </c>
      <c r="D60" s="40" t="s">
        <v>909</v>
      </c>
      <c r="E60" s="46"/>
      <c r="F60" s="41" t="s">
        <v>21</v>
      </c>
      <c r="G60" s="41">
        <v>14.0</v>
      </c>
      <c r="H60" s="41" t="s">
        <v>22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</row>
    <row r="61">
      <c r="A61" s="42" t="s">
        <v>910</v>
      </c>
      <c r="B61" s="41" t="s">
        <v>911</v>
      </c>
      <c r="C61" s="40" t="s">
        <v>18</v>
      </c>
      <c r="D61" s="40" t="s">
        <v>912</v>
      </c>
      <c r="E61" s="46"/>
      <c r="F61" s="41">
        <v>36.0</v>
      </c>
      <c r="G61" s="41" t="s">
        <v>21</v>
      </c>
      <c r="H61" s="41" t="s">
        <v>22</v>
      </c>
      <c r="I61" s="42">
        <v>1.0</v>
      </c>
      <c r="J61" s="43"/>
      <c r="K61" s="42">
        <v>552.75</v>
      </c>
      <c r="L61" s="42">
        <v>552.75</v>
      </c>
      <c r="M61" s="42">
        <v>0.0</v>
      </c>
      <c r="N61" s="42">
        <v>552.75</v>
      </c>
      <c r="O61" s="40" t="s">
        <v>26</v>
      </c>
    </row>
    <row r="62">
      <c r="A62" s="42" t="s">
        <v>121</v>
      </c>
      <c r="B62" s="41" t="s">
        <v>913</v>
      </c>
      <c r="C62" s="40" t="s">
        <v>18</v>
      </c>
      <c r="D62" s="40" t="s">
        <v>914</v>
      </c>
      <c r="E62" s="46"/>
      <c r="F62" s="41">
        <v>36.0</v>
      </c>
      <c r="G62" s="41" t="s">
        <v>21</v>
      </c>
      <c r="H62" s="41" t="s">
        <v>22</v>
      </c>
      <c r="I62" s="42">
        <v>1.0</v>
      </c>
      <c r="J62" s="43"/>
      <c r="K62" s="44">
        <v>2366.0</v>
      </c>
      <c r="L62" s="44">
        <v>2366.0</v>
      </c>
      <c r="M62" s="42">
        <v>0.0</v>
      </c>
      <c r="N62" s="44">
        <v>2366.0</v>
      </c>
      <c r="O62" s="46"/>
    </row>
    <row r="63">
      <c r="A63" s="42">
        <v>5.2</v>
      </c>
      <c r="B63" s="41" t="s">
        <v>915</v>
      </c>
      <c r="C63" s="40" t="s">
        <v>29</v>
      </c>
      <c r="D63" s="40" t="s">
        <v>916</v>
      </c>
      <c r="E63" s="46"/>
      <c r="F63" s="41" t="s">
        <v>21</v>
      </c>
      <c r="G63" s="41">
        <v>14.0</v>
      </c>
      <c r="H63" s="41" t="s">
        <v>29</v>
      </c>
      <c r="I63" s="42">
        <v>1.0</v>
      </c>
      <c r="J63" s="43"/>
      <c r="K63" s="42">
        <v>0.0</v>
      </c>
      <c r="L63" s="42">
        <v>0.0</v>
      </c>
      <c r="M63" s="42">
        <v>0.0</v>
      </c>
      <c r="N63" s="44">
        <v>0.0</v>
      </c>
      <c r="O63" s="46"/>
    </row>
    <row r="64">
      <c r="A64" s="42">
        <v>5.3</v>
      </c>
      <c r="B64" s="41" t="s">
        <v>872</v>
      </c>
      <c r="C64" s="40" t="s">
        <v>18</v>
      </c>
      <c r="D64" s="40" t="s">
        <v>873</v>
      </c>
      <c r="E64" s="45"/>
      <c r="F64" s="41" t="s">
        <v>21</v>
      </c>
      <c r="G64" s="41">
        <v>14.0</v>
      </c>
      <c r="H64" s="41" t="s">
        <v>22</v>
      </c>
      <c r="I64" s="42">
        <v>1.0</v>
      </c>
      <c r="J64" s="43"/>
      <c r="K64" s="44">
        <v>0.0</v>
      </c>
      <c r="L64" s="44">
        <v>0.0</v>
      </c>
      <c r="M64" s="42">
        <v>0.0</v>
      </c>
      <c r="N64" s="44">
        <v>0.0</v>
      </c>
      <c r="O64" s="46"/>
    </row>
    <row r="65">
      <c r="A65" s="42">
        <v>5.4</v>
      </c>
      <c r="B65" s="41" t="s">
        <v>868</v>
      </c>
      <c r="C65" s="40" t="s">
        <v>18</v>
      </c>
      <c r="D65" s="40" t="s">
        <v>869</v>
      </c>
      <c r="E65" s="46"/>
      <c r="F65" s="41" t="s">
        <v>21</v>
      </c>
      <c r="G65" s="41">
        <v>14.0</v>
      </c>
      <c r="H65" s="41" t="s">
        <v>29</v>
      </c>
      <c r="I65" s="42">
        <v>1.0</v>
      </c>
      <c r="J65" s="43"/>
      <c r="K65" s="44">
        <v>0.0</v>
      </c>
      <c r="L65" s="44">
        <v>0.0</v>
      </c>
      <c r="M65" s="42">
        <v>0.0</v>
      </c>
      <c r="N65" s="44">
        <v>0.0</v>
      </c>
      <c r="O65" s="45"/>
    </row>
    <row r="66">
      <c r="A66" s="42">
        <v>5.5</v>
      </c>
      <c r="B66" s="41" t="s">
        <v>917</v>
      </c>
      <c r="C66" s="40" t="s">
        <v>18</v>
      </c>
      <c r="D66" s="40" t="s">
        <v>918</v>
      </c>
      <c r="E66" s="46"/>
      <c r="F66" s="41" t="s">
        <v>21</v>
      </c>
      <c r="G66" s="41">
        <v>14.0</v>
      </c>
      <c r="H66" s="41" t="s">
        <v>29</v>
      </c>
      <c r="I66" s="42">
        <v>2.0</v>
      </c>
      <c r="J66" s="43"/>
      <c r="K66" s="42">
        <v>0.0</v>
      </c>
      <c r="L66" s="42">
        <v>0.0</v>
      </c>
      <c r="M66" s="42">
        <v>0.0</v>
      </c>
      <c r="N66" s="42">
        <v>0.0</v>
      </c>
      <c r="O66" s="46"/>
    </row>
    <row r="67">
      <c r="A67" s="42">
        <v>5.6</v>
      </c>
      <c r="B67" s="41" t="s">
        <v>876</v>
      </c>
      <c r="C67" s="40" t="s">
        <v>18</v>
      </c>
      <c r="D67" s="40" t="s">
        <v>877</v>
      </c>
      <c r="E67" s="46"/>
      <c r="F67" s="41" t="s">
        <v>21</v>
      </c>
      <c r="G67" s="41">
        <v>14.0</v>
      </c>
      <c r="H67" s="41" t="s">
        <v>22</v>
      </c>
      <c r="I67" s="42">
        <v>1.0</v>
      </c>
      <c r="J67" s="43"/>
      <c r="K67" s="44">
        <v>0.0</v>
      </c>
      <c r="L67" s="44">
        <v>0.0</v>
      </c>
      <c r="M67" s="42">
        <v>0.0</v>
      </c>
      <c r="N67" s="44">
        <v>0.0</v>
      </c>
      <c r="O67" s="45"/>
    </row>
    <row r="68">
      <c r="A68" s="42">
        <v>5.7</v>
      </c>
      <c r="B68" s="41" t="s">
        <v>878</v>
      </c>
      <c r="C68" s="40" t="s">
        <v>18</v>
      </c>
      <c r="D68" s="40" t="s">
        <v>879</v>
      </c>
      <c r="E68" s="46"/>
      <c r="F68" s="41" t="s">
        <v>21</v>
      </c>
      <c r="G68" s="41">
        <v>14.0</v>
      </c>
      <c r="H68" s="41" t="s">
        <v>22</v>
      </c>
      <c r="I68" s="42">
        <v>1.0</v>
      </c>
      <c r="J68" s="43"/>
      <c r="K68" s="44">
        <v>0.0</v>
      </c>
      <c r="L68" s="44">
        <v>0.0</v>
      </c>
      <c r="M68" s="42">
        <v>0.0</v>
      </c>
      <c r="N68" s="44">
        <v>0.0</v>
      </c>
      <c r="O68" s="46"/>
    </row>
    <row r="69">
      <c r="A69" s="42">
        <v>5.8</v>
      </c>
      <c r="B69" s="41" t="s">
        <v>880</v>
      </c>
      <c r="C69" s="40" t="s">
        <v>18</v>
      </c>
      <c r="D69" s="40" t="s">
        <v>881</v>
      </c>
      <c r="E69" s="46"/>
      <c r="F69" s="41" t="s">
        <v>21</v>
      </c>
      <c r="G69" s="41">
        <v>14.0</v>
      </c>
      <c r="H69" s="41" t="s">
        <v>22</v>
      </c>
      <c r="I69" s="42">
        <v>1.0</v>
      </c>
      <c r="J69" s="43"/>
      <c r="K69" s="42">
        <v>0.0</v>
      </c>
      <c r="L69" s="42">
        <v>0.0</v>
      </c>
      <c r="M69" s="42">
        <v>0.0</v>
      </c>
      <c r="N69" s="42">
        <v>0.0</v>
      </c>
      <c r="O69" s="46"/>
    </row>
    <row r="70">
      <c r="A70" s="42">
        <v>5.9</v>
      </c>
      <c r="B70" s="41" t="s">
        <v>59</v>
      </c>
      <c r="C70" s="40" t="s">
        <v>29</v>
      </c>
      <c r="D70" s="40" t="s">
        <v>60</v>
      </c>
      <c r="E70" s="46"/>
      <c r="F70" s="41" t="s">
        <v>21</v>
      </c>
      <c r="G70" s="41">
        <v>2.0</v>
      </c>
      <c r="H70" s="41" t="s">
        <v>29</v>
      </c>
      <c r="I70" s="42">
        <v>1.0</v>
      </c>
      <c r="J70" s="43"/>
      <c r="K70" s="42">
        <v>0.0</v>
      </c>
      <c r="L70" s="42">
        <v>0.0</v>
      </c>
      <c r="M70" s="42">
        <v>0.0</v>
      </c>
      <c r="N70" s="42">
        <v>0.0</v>
      </c>
      <c r="O70" s="46"/>
    </row>
    <row r="71">
      <c r="A71" s="47"/>
      <c r="B71" s="47"/>
      <c r="C71" s="47"/>
      <c r="D71" s="47"/>
      <c r="E71" s="48"/>
      <c r="F71" s="47"/>
      <c r="G71" s="47"/>
      <c r="H71" s="47"/>
      <c r="I71" s="47"/>
      <c r="J71" s="48"/>
      <c r="K71" s="47"/>
      <c r="L71" s="47"/>
      <c r="M71" s="50" t="s">
        <v>63</v>
      </c>
      <c r="N71" s="51">
        <v>6262.27</v>
      </c>
      <c r="O71" s="52"/>
    </row>
    <row r="72">
      <c r="A72" s="39">
        <v>6.0</v>
      </c>
      <c r="B72" s="39" t="s">
        <v>919</v>
      </c>
      <c r="C72" s="40" t="s">
        <v>18</v>
      </c>
      <c r="D72" s="40" t="s">
        <v>920</v>
      </c>
      <c r="E72" s="40" t="s">
        <v>20</v>
      </c>
      <c r="F72" s="41" t="s">
        <v>21</v>
      </c>
      <c r="G72" s="41">
        <v>14.0</v>
      </c>
      <c r="H72" s="41" t="s">
        <v>22</v>
      </c>
      <c r="I72" s="42">
        <v>1.0</v>
      </c>
      <c r="J72" s="43"/>
      <c r="K72" s="44">
        <v>3544.16</v>
      </c>
      <c r="L72" s="44">
        <v>3544.16</v>
      </c>
      <c r="M72" s="42">
        <v>0.0</v>
      </c>
      <c r="N72" s="44">
        <v>3544.16</v>
      </c>
      <c r="O72" s="46"/>
    </row>
    <row r="73">
      <c r="A73" s="42" t="s">
        <v>136</v>
      </c>
      <c r="B73" s="41" t="s">
        <v>921</v>
      </c>
      <c r="C73" s="40" t="s">
        <v>18</v>
      </c>
      <c r="D73" s="40" t="s">
        <v>922</v>
      </c>
      <c r="E73" s="46"/>
      <c r="F73" s="41">
        <v>36.0</v>
      </c>
      <c r="G73" s="41" t="s">
        <v>21</v>
      </c>
      <c r="H73" s="41" t="s">
        <v>22</v>
      </c>
      <c r="I73" s="42">
        <v>1.0</v>
      </c>
      <c r="J73" s="43"/>
      <c r="K73" s="44">
        <v>1225.14</v>
      </c>
      <c r="L73" s="44">
        <v>1225.14</v>
      </c>
      <c r="M73" s="42">
        <v>0.0</v>
      </c>
      <c r="N73" s="44">
        <v>1225.14</v>
      </c>
      <c r="O73" s="40" t="s">
        <v>26</v>
      </c>
    </row>
    <row r="74">
      <c r="A74" s="42">
        <v>6.1</v>
      </c>
      <c r="B74" s="41" t="s">
        <v>908</v>
      </c>
      <c r="C74" s="40" t="s">
        <v>29</v>
      </c>
      <c r="D74" s="40" t="s">
        <v>909</v>
      </c>
      <c r="E74" s="46"/>
      <c r="F74" s="41" t="s">
        <v>21</v>
      </c>
      <c r="G74" s="41">
        <v>14.0</v>
      </c>
      <c r="H74" s="41" t="s">
        <v>22</v>
      </c>
      <c r="I74" s="42">
        <v>1.0</v>
      </c>
      <c r="J74" s="43"/>
      <c r="K74" s="42">
        <v>0.0</v>
      </c>
      <c r="L74" s="42">
        <v>0.0</v>
      </c>
      <c r="M74" s="42">
        <v>0.0</v>
      </c>
      <c r="N74" s="42">
        <v>0.0</v>
      </c>
      <c r="O74" s="46"/>
    </row>
    <row r="75">
      <c r="A75" s="42" t="s">
        <v>923</v>
      </c>
      <c r="B75" s="41" t="s">
        <v>911</v>
      </c>
      <c r="C75" s="40" t="s">
        <v>18</v>
      </c>
      <c r="D75" s="40" t="s">
        <v>912</v>
      </c>
      <c r="E75" s="46"/>
      <c r="F75" s="41">
        <v>36.0</v>
      </c>
      <c r="G75" s="41" t="s">
        <v>21</v>
      </c>
      <c r="H75" s="41" t="s">
        <v>22</v>
      </c>
      <c r="I75" s="42">
        <v>1.0</v>
      </c>
      <c r="J75" s="43"/>
      <c r="K75" s="42">
        <v>552.75</v>
      </c>
      <c r="L75" s="42">
        <v>552.75</v>
      </c>
      <c r="M75" s="42">
        <v>0.0</v>
      </c>
      <c r="N75" s="42">
        <v>552.75</v>
      </c>
      <c r="O75" s="40" t="s">
        <v>26</v>
      </c>
    </row>
    <row r="76">
      <c r="A76" s="42" t="s">
        <v>924</v>
      </c>
      <c r="B76" s="41" t="s">
        <v>913</v>
      </c>
      <c r="C76" s="40" t="s">
        <v>18</v>
      </c>
      <c r="D76" s="40" t="s">
        <v>914</v>
      </c>
      <c r="E76" s="46"/>
      <c r="F76" s="41">
        <v>36.0</v>
      </c>
      <c r="G76" s="41" t="s">
        <v>21</v>
      </c>
      <c r="H76" s="41" t="s">
        <v>22</v>
      </c>
      <c r="I76" s="42">
        <v>1.0</v>
      </c>
      <c r="J76" s="43"/>
      <c r="K76" s="44">
        <v>2366.0</v>
      </c>
      <c r="L76" s="44">
        <v>2366.0</v>
      </c>
      <c r="M76" s="42">
        <v>0.0</v>
      </c>
      <c r="N76" s="44">
        <v>2366.0</v>
      </c>
      <c r="O76" s="46"/>
    </row>
    <row r="77">
      <c r="A77" s="42">
        <v>6.2</v>
      </c>
      <c r="B77" s="41" t="s">
        <v>915</v>
      </c>
      <c r="C77" s="40" t="s">
        <v>29</v>
      </c>
      <c r="D77" s="40" t="s">
        <v>916</v>
      </c>
      <c r="E77" s="46"/>
      <c r="F77" s="41" t="s">
        <v>21</v>
      </c>
      <c r="G77" s="41">
        <v>14.0</v>
      </c>
      <c r="H77" s="41" t="s">
        <v>29</v>
      </c>
      <c r="I77" s="42">
        <v>1.0</v>
      </c>
      <c r="J77" s="43"/>
      <c r="K77" s="42">
        <v>0.0</v>
      </c>
      <c r="L77" s="42">
        <v>0.0</v>
      </c>
      <c r="M77" s="42">
        <v>0.0</v>
      </c>
      <c r="N77" s="44">
        <v>0.0</v>
      </c>
      <c r="O77" s="46"/>
    </row>
    <row r="78">
      <c r="A78" s="42">
        <v>6.3</v>
      </c>
      <c r="B78" s="41" t="s">
        <v>872</v>
      </c>
      <c r="C78" s="40" t="s">
        <v>18</v>
      </c>
      <c r="D78" s="40" t="s">
        <v>873</v>
      </c>
      <c r="E78" s="45"/>
      <c r="F78" s="41" t="s">
        <v>21</v>
      </c>
      <c r="G78" s="41">
        <v>14.0</v>
      </c>
      <c r="H78" s="41" t="s">
        <v>22</v>
      </c>
      <c r="I78" s="42">
        <v>1.0</v>
      </c>
      <c r="J78" s="43"/>
      <c r="K78" s="44">
        <v>0.0</v>
      </c>
      <c r="L78" s="44">
        <v>0.0</v>
      </c>
      <c r="M78" s="42">
        <v>0.0</v>
      </c>
      <c r="N78" s="44">
        <v>0.0</v>
      </c>
      <c r="O78" s="46"/>
    </row>
    <row r="79">
      <c r="A79" s="42">
        <v>6.4</v>
      </c>
      <c r="B79" s="41" t="s">
        <v>868</v>
      </c>
      <c r="C79" s="40" t="s">
        <v>18</v>
      </c>
      <c r="D79" s="40" t="s">
        <v>869</v>
      </c>
      <c r="E79" s="46"/>
      <c r="F79" s="41" t="s">
        <v>21</v>
      </c>
      <c r="G79" s="41">
        <v>14.0</v>
      </c>
      <c r="H79" s="41" t="s">
        <v>29</v>
      </c>
      <c r="I79" s="42">
        <v>1.0</v>
      </c>
      <c r="J79" s="43"/>
      <c r="K79" s="44">
        <v>0.0</v>
      </c>
      <c r="L79" s="44">
        <v>0.0</v>
      </c>
      <c r="M79" s="42">
        <v>0.0</v>
      </c>
      <c r="N79" s="44">
        <v>0.0</v>
      </c>
      <c r="O79" s="45"/>
    </row>
    <row r="80">
      <c r="A80" s="42">
        <v>6.5</v>
      </c>
      <c r="B80" s="41" t="s">
        <v>917</v>
      </c>
      <c r="C80" s="40" t="s">
        <v>18</v>
      </c>
      <c r="D80" s="40" t="s">
        <v>918</v>
      </c>
      <c r="E80" s="46"/>
      <c r="F80" s="41" t="s">
        <v>21</v>
      </c>
      <c r="G80" s="41">
        <v>14.0</v>
      </c>
      <c r="H80" s="41" t="s">
        <v>29</v>
      </c>
      <c r="I80" s="42">
        <v>2.0</v>
      </c>
      <c r="J80" s="43"/>
      <c r="K80" s="42">
        <v>0.0</v>
      </c>
      <c r="L80" s="42">
        <v>0.0</v>
      </c>
      <c r="M80" s="42">
        <v>0.0</v>
      </c>
      <c r="N80" s="42">
        <v>0.0</v>
      </c>
      <c r="O80" s="46"/>
    </row>
    <row r="81">
      <c r="A81" s="42">
        <v>6.6</v>
      </c>
      <c r="B81" s="41" t="s">
        <v>876</v>
      </c>
      <c r="C81" s="40" t="s">
        <v>18</v>
      </c>
      <c r="D81" s="40" t="s">
        <v>877</v>
      </c>
      <c r="E81" s="46"/>
      <c r="F81" s="41" t="s">
        <v>21</v>
      </c>
      <c r="G81" s="41">
        <v>14.0</v>
      </c>
      <c r="H81" s="41" t="s">
        <v>22</v>
      </c>
      <c r="I81" s="42">
        <v>1.0</v>
      </c>
      <c r="J81" s="43"/>
      <c r="K81" s="44">
        <v>0.0</v>
      </c>
      <c r="L81" s="44">
        <v>0.0</v>
      </c>
      <c r="M81" s="42">
        <v>0.0</v>
      </c>
      <c r="N81" s="44">
        <v>0.0</v>
      </c>
      <c r="O81" s="45"/>
    </row>
    <row r="82">
      <c r="A82" s="42">
        <v>6.7</v>
      </c>
      <c r="B82" s="41" t="s">
        <v>878</v>
      </c>
      <c r="C82" s="40" t="s">
        <v>18</v>
      </c>
      <c r="D82" s="40" t="s">
        <v>879</v>
      </c>
      <c r="E82" s="46"/>
      <c r="F82" s="41" t="s">
        <v>21</v>
      </c>
      <c r="G82" s="41">
        <v>14.0</v>
      </c>
      <c r="H82" s="41" t="s">
        <v>22</v>
      </c>
      <c r="I82" s="42">
        <v>1.0</v>
      </c>
      <c r="J82" s="43"/>
      <c r="K82" s="44">
        <v>0.0</v>
      </c>
      <c r="L82" s="44">
        <v>0.0</v>
      </c>
      <c r="M82" s="42">
        <v>0.0</v>
      </c>
      <c r="N82" s="44">
        <v>0.0</v>
      </c>
      <c r="O82" s="46"/>
    </row>
    <row r="83">
      <c r="A83" s="42">
        <v>6.8</v>
      </c>
      <c r="B83" s="41" t="s">
        <v>880</v>
      </c>
      <c r="C83" s="40" t="s">
        <v>18</v>
      </c>
      <c r="D83" s="40" t="s">
        <v>881</v>
      </c>
      <c r="E83" s="46"/>
      <c r="F83" s="41" t="s">
        <v>21</v>
      </c>
      <c r="G83" s="41">
        <v>14.0</v>
      </c>
      <c r="H83" s="41" t="s">
        <v>22</v>
      </c>
      <c r="I83" s="42">
        <v>1.0</v>
      </c>
      <c r="J83" s="43"/>
      <c r="K83" s="42">
        <v>0.0</v>
      </c>
      <c r="L83" s="42">
        <v>0.0</v>
      </c>
      <c r="M83" s="42">
        <v>0.0</v>
      </c>
      <c r="N83" s="42">
        <v>0.0</v>
      </c>
      <c r="O83" s="46"/>
    </row>
    <row r="84">
      <c r="A84" s="42">
        <v>6.9</v>
      </c>
      <c r="B84" s="41" t="s">
        <v>59</v>
      </c>
      <c r="C84" s="40" t="s">
        <v>29</v>
      </c>
      <c r="D84" s="40" t="s">
        <v>60</v>
      </c>
      <c r="E84" s="46"/>
      <c r="F84" s="41" t="s">
        <v>21</v>
      </c>
      <c r="G84" s="41">
        <v>2.0</v>
      </c>
      <c r="H84" s="41" t="s">
        <v>29</v>
      </c>
      <c r="I84" s="42">
        <v>1.0</v>
      </c>
      <c r="J84" s="43"/>
      <c r="K84" s="42">
        <v>0.0</v>
      </c>
      <c r="L84" s="42">
        <v>0.0</v>
      </c>
      <c r="M84" s="42">
        <v>0.0</v>
      </c>
      <c r="N84" s="42">
        <v>0.0</v>
      </c>
      <c r="O84" s="46"/>
    </row>
    <row r="85">
      <c r="A85" s="47"/>
      <c r="B85" s="47"/>
      <c r="C85" s="47"/>
      <c r="D85" s="47"/>
      <c r="E85" s="48"/>
      <c r="F85" s="47"/>
      <c r="G85" s="47"/>
      <c r="H85" s="47"/>
      <c r="I85" s="47"/>
      <c r="J85" s="48"/>
      <c r="K85" s="47"/>
      <c r="L85" s="47"/>
      <c r="M85" s="50" t="s">
        <v>63</v>
      </c>
      <c r="N85" s="51">
        <v>7688.05</v>
      </c>
      <c r="O85" s="52"/>
    </row>
    <row r="86">
      <c r="A86" s="39">
        <v>7.0</v>
      </c>
      <c r="B86" s="39" t="s">
        <v>925</v>
      </c>
      <c r="C86" s="40" t="s">
        <v>18</v>
      </c>
      <c r="D86" s="40" t="s">
        <v>926</v>
      </c>
      <c r="E86" s="40" t="s">
        <v>20</v>
      </c>
      <c r="F86" s="41" t="s">
        <v>21</v>
      </c>
      <c r="G86" s="41">
        <v>14.0</v>
      </c>
      <c r="H86" s="41" t="s">
        <v>22</v>
      </c>
      <c r="I86" s="42">
        <v>1.0</v>
      </c>
      <c r="J86" s="43"/>
      <c r="K86" s="44">
        <v>4242.01</v>
      </c>
      <c r="L86" s="44">
        <v>4242.01</v>
      </c>
      <c r="M86" s="42">
        <v>0.0</v>
      </c>
      <c r="N86" s="44">
        <v>4242.01</v>
      </c>
      <c r="O86" s="46"/>
    </row>
    <row r="87">
      <c r="A87" s="42" t="s">
        <v>141</v>
      </c>
      <c r="B87" s="41" t="s">
        <v>927</v>
      </c>
      <c r="C87" s="40" t="s">
        <v>18</v>
      </c>
      <c r="D87" s="40" t="s">
        <v>928</v>
      </c>
      <c r="E87" s="46"/>
      <c r="F87" s="41">
        <v>36.0</v>
      </c>
      <c r="G87" s="41" t="s">
        <v>21</v>
      </c>
      <c r="H87" s="41" t="s">
        <v>22</v>
      </c>
      <c r="I87" s="42">
        <v>1.0</v>
      </c>
      <c r="J87" s="43"/>
      <c r="K87" s="44">
        <v>1447.89</v>
      </c>
      <c r="L87" s="44">
        <v>1447.89</v>
      </c>
      <c r="M87" s="42">
        <v>0.0</v>
      </c>
      <c r="N87" s="44">
        <v>1447.89</v>
      </c>
      <c r="O87" s="40" t="s">
        <v>26</v>
      </c>
    </row>
    <row r="88">
      <c r="A88" s="42">
        <v>7.1</v>
      </c>
      <c r="B88" s="41" t="s">
        <v>929</v>
      </c>
      <c r="C88" s="40" t="s">
        <v>29</v>
      </c>
      <c r="D88" s="40" t="s">
        <v>930</v>
      </c>
      <c r="E88" s="46"/>
      <c r="F88" s="41" t="s">
        <v>21</v>
      </c>
      <c r="G88" s="41">
        <v>14.0</v>
      </c>
      <c r="H88" s="41" t="s">
        <v>22</v>
      </c>
      <c r="I88" s="42">
        <v>1.0</v>
      </c>
      <c r="J88" s="43"/>
      <c r="K88" s="42">
        <v>0.0</v>
      </c>
      <c r="L88" s="42">
        <v>0.0</v>
      </c>
      <c r="M88" s="42">
        <v>0.0</v>
      </c>
      <c r="N88" s="42">
        <v>0.0</v>
      </c>
      <c r="O88" s="46"/>
    </row>
    <row r="89">
      <c r="A89" s="42" t="s">
        <v>931</v>
      </c>
      <c r="B89" s="41" t="s">
        <v>932</v>
      </c>
      <c r="C89" s="40" t="s">
        <v>18</v>
      </c>
      <c r="D89" s="40" t="s">
        <v>912</v>
      </c>
      <c r="E89" s="46"/>
      <c r="F89" s="41">
        <v>36.0</v>
      </c>
      <c r="G89" s="41" t="s">
        <v>21</v>
      </c>
      <c r="H89" s="41" t="s">
        <v>22</v>
      </c>
      <c r="I89" s="42">
        <v>1.0</v>
      </c>
      <c r="J89" s="43"/>
      <c r="K89" s="44">
        <v>1039.5</v>
      </c>
      <c r="L89" s="44">
        <v>1039.5</v>
      </c>
      <c r="M89" s="42">
        <v>0.0</v>
      </c>
      <c r="N89" s="44">
        <v>1039.5</v>
      </c>
      <c r="O89" s="40" t="s">
        <v>26</v>
      </c>
    </row>
    <row r="90">
      <c r="A90" s="42" t="s">
        <v>933</v>
      </c>
      <c r="B90" s="41" t="s">
        <v>934</v>
      </c>
      <c r="C90" s="40" t="s">
        <v>18</v>
      </c>
      <c r="D90" s="40" t="s">
        <v>935</v>
      </c>
      <c r="E90" s="46"/>
      <c r="F90" s="41">
        <v>36.0</v>
      </c>
      <c r="G90" s="41" t="s">
        <v>21</v>
      </c>
      <c r="H90" s="41" t="s">
        <v>22</v>
      </c>
      <c r="I90" s="42">
        <v>1.0</v>
      </c>
      <c r="J90" s="43"/>
      <c r="K90" s="44">
        <v>4437.0</v>
      </c>
      <c r="L90" s="44">
        <v>4437.0</v>
      </c>
      <c r="M90" s="42">
        <v>0.0</v>
      </c>
      <c r="N90" s="44">
        <v>4437.0</v>
      </c>
      <c r="O90" s="46"/>
    </row>
    <row r="91">
      <c r="A91" s="42">
        <v>7.2</v>
      </c>
      <c r="B91" s="41" t="s">
        <v>936</v>
      </c>
      <c r="C91" s="40" t="s">
        <v>29</v>
      </c>
      <c r="D91" s="40" t="s">
        <v>937</v>
      </c>
      <c r="E91" s="46"/>
      <c r="F91" s="41" t="s">
        <v>21</v>
      </c>
      <c r="G91" s="41">
        <v>14.0</v>
      </c>
      <c r="H91" s="41" t="s">
        <v>29</v>
      </c>
      <c r="I91" s="42">
        <v>1.0</v>
      </c>
      <c r="J91" s="43"/>
      <c r="K91" s="42">
        <v>0.0</v>
      </c>
      <c r="L91" s="42">
        <v>0.0</v>
      </c>
      <c r="M91" s="42">
        <v>0.0</v>
      </c>
      <c r="N91" s="44">
        <v>0.0</v>
      </c>
      <c r="O91" s="46"/>
    </row>
    <row r="92">
      <c r="A92" s="42">
        <v>7.3</v>
      </c>
      <c r="B92" s="41" t="s">
        <v>872</v>
      </c>
      <c r="C92" s="40" t="s">
        <v>18</v>
      </c>
      <c r="D92" s="40" t="s">
        <v>873</v>
      </c>
      <c r="E92" s="45"/>
      <c r="F92" s="41" t="s">
        <v>21</v>
      </c>
      <c r="G92" s="41">
        <v>14.0</v>
      </c>
      <c r="H92" s="41" t="s">
        <v>22</v>
      </c>
      <c r="I92" s="42">
        <v>1.0</v>
      </c>
      <c r="J92" s="43"/>
      <c r="K92" s="44">
        <v>0.0</v>
      </c>
      <c r="L92" s="44">
        <v>0.0</v>
      </c>
      <c r="M92" s="42">
        <v>0.0</v>
      </c>
      <c r="N92" s="44">
        <v>0.0</v>
      </c>
      <c r="O92" s="46"/>
    </row>
    <row r="93">
      <c r="A93" s="42">
        <v>7.4</v>
      </c>
      <c r="B93" s="41" t="s">
        <v>868</v>
      </c>
      <c r="C93" s="40" t="s">
        <v>18</v>
      </c>
      <c r="D93" s="40" t="s">
        <v>869</v>
      </c>
      <c r="E93" s="46"/>
      <c r="F93" s="41" t="s">
        <v>21</v>
      </c>
      <c r="G93" s="41">
        <v>14.0</v>
      </c>
      <c r="H93" s="41" t="s">
        <v>29</v>
      </c>
      <c r="I93" s="42">
        <v>1.0</v>
      </c>
      <c r="J93" s="43"/>
      <c r="K93" s="42">
        <v>0.0</v>
      </c>
      <c r="L93" s="42">
        <v>0.0</v>
      </c>
      <c r="M93" s="42">
        <v>0.0</v>
      </c>
      <c r="N93" s="42">
        <v>0.0</v>
      </c>
      <c r="O93" s="45"/>
    </row>
    <row r="94">
      <c r="A94" s="42">
        <v>7.5</v>
      </c>
      <c r="B94" s="41" t="s">
        <v>917</v>
      </c>
      <c r="C94" s="40" t="s">
        <v>18</v>
      </c>
      <c r="D94" s="40" t="s">
        <v>918</v>
      </c>
      <c r="E94" s="46"/>
      <c r="F94" s="41" t="s">
        <v>21</v>
      </c>
      <c r="G94" s="41">
        <v>14.0</v>
      </c>
      <c r="H94" s="41" t="s">
        <v>29</v>
      </c>
      <c r="I94" s="42">
        <v>2.0</v>
      </c>
      <c r="J94" s="43"/>
      <c r="K94" s="42">
        <v>0.0</v>
      </c>
      <c r="L94" s="42">
        <v>0.0</v>
      </c>
      <c r="M94" s="42">
        <v>0.0</v>
      </c>
      <c r="N94" s="42">
        <v>0.0</v>
      </c>
      <c r="O94" s="46"/>
    </row>
    <row r="95">
      <c r="A95" s="42">
        <v>7.6</v>
      </c>
      <c r="B95" s="41" t="s">
        <v>876</v>
      </c>
      <c r="C95" s="40" t="s">
        <v>18</v>
      </c>
      <c r="D95" s="40" t="s">
        <v>877</v>
      </c>
      <c r="E95" s="46"/>
      <c r="F95" s="41" t="s">
        <v>21</v>
      </c>
      <c r="G95" s="41">
        <v>14.0</v>
      </c>
      <c r="H95" s="41" t="s">
        <v>22</v>
      </c>
      <c r="I95" s="42">
        <v>1.0</v>
      </c>
      <c r="J95" s="43"/>
      <c r="K95" s="42">
        <v>0.0</v>
      </c>
      <c r="L95" s="42">
        <v>0.0</v>
      </c>
      <c r="M95" s="42">
        <v>0.0</v>
      </c>
      <c r="N95" s="42">
        <v>0.0</v>
      </c>
      <c r="O95" s="45"/>
    </row>
    <row r="96">
      <c r="A96" s="42">
        <v>7.7</v>
      </c>
      <c r="B96" s="41" t="s">
        <v>878</v>
      </c>
      <c r="C96" s="40" t="s">
        <v>18</v>
      </c>
      <c r="D96" s="40" t="s">
        <v>879</v>
      </c>
      <c r="E96" s="46"/>
      <c r="F96" s="41" t="s">
        <v>21</v>
      </c>
      <c r="G96" s="41">
        <v>14.0</v>
      </c>
      <c r="H96" s="41" t="s">
        <v>22</v>
      </c>
      <c r="I96" s="42">
        <v>1.0</v>
      </c>
      <c r="J96" s="43"/>
      <c r="K96" s="44">
        <v>0.0</v>
      </c>
      <c r="L96" s="44">
        <v>0.0</v>
      </c>
      <c r="M96" s="42">
        <v>0.0</v>
      </c>
      <c r="N96" s="44">
        <v>0.0</v>
      </c>
      <c r="O96" s="46"/>
    </row>
    <row r="97">
      <c r="A97" s="42">
        <v>7.8</v>
      </c>
      <c r="B97" s="41" t="s">
        <v>880</v>
      </c>
      <c r="C97" s="40" t="s">
        <v>18</v>
      </c>
      <c r="D97" s="40" t="s">
        <v>881</v>
      </c>
      <c r="E97" s="46"/>
      <c r="F97" s="41" t="s">
        <v>21</v>
      </c>
      <c r="G97" s="41">
        <v>14.0</v>
      </c>
      <c r="H97" s="41" t="s">
        <v>22</v>
      </c>
      <c r="I97" s="42">
        <v>1.0</v>
      </c>
      <c r="J97" s="43"/>
      <c r="K97" s="42">
        <v>0.0</v>
      </c>
      <c r="L97" s="42">
        <v>0.0</v>
      </c>
      <c r="M97" s="42">
        <v>0.0</v>
      </c>
      <c r="N97" s="42">
        <v>0.0</v>
      </c>
      <c r="O97" s="46"/>
    </row>
    <row r="98">
      <c r="A98" s="42">
        <v>7.9</v>
      </c>
      <c r="B98" s="41" t="s">
        <v>59</v>
      </c>
      <c r="C98" s="40" t="s">
        <v>29</v>
      </c>
      <c r="D98" s="40" t="s">
        <v>60</v>
      </c>
      <c r="E98" s="46"/>
      <c r="F98" s="41" t="s">
        <v>21</v>
      </c>
      <c r="G98" s="41">
        <v>2.0</v>
      </c>
      <c r="H98" s="41" t="s">
        <v>29</v>
      </c>
      <c r="I98" s="42">
        <v>1.0</v>
      </c>
      <c r="J98" s="43"/>
      <c r="K98" s="42">
        <v>0.0</v>
      </c>
      <c r="L98" s="42">
        <v>0.0</v>
      </c>
      <c r="M98" s="42">
        <v>0.0</v>
      </c>
      <c r="N98" s="42">
        <v>0.0</v>
      </c>
      <c r="O98" s="46"/>
    </row>
    <row r="99">
      <c r="A99" s="47"/>
      <c r="B99" s="47"/>
      <c r="C99" s="47"/>
      <c r="D99" s="47"/>
      <c r="E99" s="48"/>
      <c r="F99" s="47"/>
      <c r="G99" s="47"/>
      <c r="H99" s="47"/>
      <c r="I99" s="47"/>
      <c r="J99" s="48"/>
      <c r="K99" s="47"/>
      <c r="L99" s="47"/>
      <c r="M99" s="50" t="s">
        <v>63</v>
      </c>
      <c r="N99" s="51">
        <v>11166.4</v>
      </c>
      <c r="O99" s="52"/>
    </row>
    <row r="100">
      <c r="A100" s="39">
        <v>8.0</v>
      </c>
      <c r="B100" s="39" t="s">
        <v>938</v>
      </c>
      <c r="C100" s="40" t="s">
        <v>18</v>
      </c>
      <c r="D100" s="40" t="s">
        <v>939</v>
      </c>
      <c r="E100" s="40" t="s">
        <v>20</v>
      </c>
      <c r="F100" s="41" t="s">
        <v>21</v>
      </c>
      <c r="G100" s="41">
        <v>14.0</v>
      </c>
      <c r="H100" s="41" t="s">
        <v>22</v>
      </c>
      <c r="I100" s="42">
        <v>1.0</v>
      </c>
      <c r="J100" s="43"/>
      <c r="K100" s="44">
        <v>7495.59</v>
      </c>
      <c r="L100" s="44">
        <v>7495.59</v>
      </c>
      <c r="M100" s="42">
        <v>0.0</v>
      </c>
      <c r="N100" s="44">
        <v>7495.59</v>
      </c>
      <c r="O100" s="46"/>
    </row>
    <row r="101">
      <c r="A101" s="42" t="s">
        <v>146</v>
      </c>
      <c r="B101" s="41" t="s">
        <v>940</v>
      </c>
      <c r="C101" s="40" t="s">
        <v>18</v>
      </c>
      <c r="D101" s="40" t="s">
        <v>941</v>
      </c>
      <c r="E101" s="46"/>
      <c r="F101" s="41">
        <v>36.0</v>
      </c>
      <c r="G101" s="41" t="s">
        <v>21</v>
      </c>
      <c r="H101" s="41" t="s">
        <v>22</v>
      </c>
      <c r="I101" s="42">
        <v>1.0</v>
      </c>
      <c r="J101" s="43"/>
      <c r="K101" s="44">
        <v>2483.25</v>
      </c>
      <c r="L101" s="44">
        <v>2483.25</v>
      </c>
      <c r="M101" s="42">
        <v>0.0</v>
      </c>
      <c r="N101" s="44">
        <v>2483.25</v>
      </c>
      <c r="O101" s="40" t="s">
        <v>26</v>
      </c>
    </row>
    <row r="102">
      <c r="A102" s="42">
        <v>8.1</v>
      </c>
      <c r="B102" s="41" t="s">
        <v>929</v>
      </c>
      <c r="C102" s="40" t="s">
        <v>29</v>
      </c>
      <c r="D102" s="40" t="s">
        <v>930</v>
      </c>
      <c r="E102" s="46"/>
      <c r="F102" s="41" t="s">
        <v>21</v>
      </c>
      <c r="G102" s="41">
        <v>14.0</v>
      </c>
      <c r="H102" s="41" t="s">
        <v>22</v>
      </c>
      <c r="I102" s="42">
        <v>1.0</v>
      </c>
      <c r="J102" s="43"/>
      <c r="K102" s="42">
        <v>0.0</v>
      </c>
      <c r="L102" s="42">
        <v>0.0</v>
      </c>
      <c r="M102" s="42">
        <v>0.0</v>
      </c>
      <c r="N102" s="42">
        <v>0.0</v>
      </c>
      <c r="O102" s="46"/>
    </row>
    <row r="103">
      <c r="A103" s="42" t="s">
        <v>942</v>
      </c>
      <c r="B103" s="41" t="s">
        <v>932</v>
      </c>
      <c r="C103" s="40" t="s">
        <v>18</v>
      </c>
      <c r="D103" s="40" t="s">
        <v>912</v>
      </c>
      <c r="E103" s="46"/>
      <c r="F103" s="41">
        <v>36.0</v>
      </c>
      <c r="G103" s="41" t="s">
        <v>21</v>
      </c>
      <c r="H103" s="41" t="s">
        <v>22</v>
      </c>
      <c r="I103" s="42">
        <v>1.0</v>
      </c>
      <c r="J103" s="43"/>
      <c r="K103" s="44">
        <v>1039.5</v>
      </c>
      <c r="L103" s="44">
        <v>1039.5</v>
      </c>
      <c r="M103" s="42">
        <v>0.0</v>
      </c>
      <c r="N103" s="44">
        <v>1039.5</v>
      </c>
      <c r="O103" s="40" t="s">
        <v>26</v>
      </c>
    </row>
    <row r="104">
      <c r="A104" s="42" t="s">
        <v>943</v>
      </c>
      <c r="B104" s="41" t="s">
        <v>934</v>
      </c>
      <c r="C104" s="40" t="s">
        <v>18</v>
      </c>
      <c r="D104" s="40" t="s">
        <v>935</v>
      </c>
      <c r="E104" s="46"/>
      <c r="F104" s="41">
        <v>36.0</v>
      </c>
      <c r="G104" s="41" t="s">
        <v>21</v>
      </c>
      <c r="H104" s="41" t="s">
        <v>22</v>
      </c>
      <c r="I104" s="42">
        <v>1.0</v>
      </c>
      <c r="J104" s="43"/>
      <c r="K104" s="44">
        <v>4437.0</v>
      </c>
      <c r="L104" s="44">
        <v>4437.0</v>
      </c>
      <c r="M104" s="42">
        <v>0.0</v>
      </c>
      <c r="N104" s="44">
        <v>4437.0</v>
      </c>
      <c r="O104" s="46"/>
    </row>
    <row r="105">
      <c r="A105" s="42">
        <v>8.2</v>
      </c>
      <c r="B105" s="41" t="s">
        <v>936</v>
      </c>
      <c r="C105" s="40" t="s">
        <v>29</v>
      </c>
      <c r="D105" s="40" t="s">
        <v>937</v>
      </c>
      <c r="E105" s="46"/>
      <c r="F105" s="41" t="s">
        <v>21</v>
      </c>
      <c r="G105" s="41">
        <v>14.0</v>
      </c>
      <c r="H105" s="41" t="s">
        <v>29</v>
      </c>
      <c r="I105" s="42">
        <v>1.0</v>
      </c>
      <c r="J105" s="43"/>
      <c r="K105" s="42">
        <v>0.0</v>
      </c>
      <c r="L105" s="42">
        <v>0.0</v>
      </c>
      <c r="M105" s="42">
        <v>0.0</v>
      </c>
      <c r="N105" s="44">
        <v>0.0</v>
      </c>
      <c r="O105" s="46"/>
    </row>
    <row r="106">
      <c r="A106" s="42">
        <v>8.3</v>
      </c>
      <c r="B106" s="41" t="s">
        <v>872</v>
      </c>
      <c r="C106" s="40" t="s">
        <v>18</v>
      </c>
      <c r="D106" s="40" t="s">
        <v>873</v>
      </c>
      <c r="E106" s="45"/>
      <c r="F106" s="41" t="s">
        <v>21</v>
      </c>
      <c r="G106" s="41">
        <v>14.0</v>
      </c>
      <c r="H106" s="41" t="s">
        <v>22</v>
      </c>
      <c r="I106" s="42">
        <v>1.0</v>
      </c>
      <c r="J106" s="43"/>
      <c r="K106" s="44">
        <v>0.0</v>
      </c>
      <c r="L106" s="44">
        <v>0.0</v>
      </c>
      <c r="M106" s="42">
        <v>0.0</v>
      </c>
      <c r="N106" s="44">
        <v>0.0</v>
      </c>
      <c r="O106" s="46"/>
    </row>
    <row r="107">
      <c r="A107" s="42">
        <v>8.4</v>
      </c>
      <c r="B107" s="41" t="s">
        <v>868</v>
      </c>
      <c r="C107" s="40" t="s">
        <v>18</v>
      </c>
      <c r="D107" s="40" t="s">
        <v>869</v>
      </c>
      <c r="E107" s="46"/>
      <c r="F107" s="41" t="s">
        <v>21</v>
      </c>
      <c r="G107" s="41">
        <v>14.0</v>
      </c>
      <c r="H107" s="41" t="s">
        <v>29</v>
      </c>
      <c r="I107" s="42">
        <v>1.0</v>
      </c>
      <c r="J107" s="43"/>
      <c r="K107" s="44">
        <v>0.0</v>
      </c>
      <c r="L107" s="44">
        <v>0.0</v>
      </c>
      <c r="M107" s="42">
        <v>0.0</v>
      </c>
      <c r="N107" s="44">
        <v>0.0</v>
      </c>
      <c r="O107" s="45"/>
    </row>
    <row r="108">
      <c r="A108" s="42">
        <v>8.5</v>
      </c>
      <c r="B108" s="41" t="s">
        <v>917</v>
      </c>
      <c r="C108" s="40" t="s">
        <v>18</v>
      </c>
      <c r="D108" s="40" t="s">
        <v>918</v>
      </c>
      <c r="E108" s="46"/>
      <c r="F108" s="41" t="s">
        <v>21</v>
      </c>
      <c r="G108" s="41">
        <v>14.0</v>
      </c>
      <c r="H108" s="41" t="s">
        <v>29</v>
      </c>
      <c r="I108" s="42">
        <v>2.0</v>
      </c>
      <c r="J108" s="43"/>
      <c r="K108" s="42">
        <v>0.0</v>
      </c>
      <c r="L108" s="42">
        <v>0.0</v>
      </c>
      <c r="M108" s="42">
        <v>0.0</v>
      </c>
      <c r="N108" s="42">
        <v>0.0</v>
      </c>
      <c r="O108" s="46"/>
    </row>
    <row r="109">
      <c r="A109" s="42">
        <v>8.6</v>
      </c>
      <c r="B109" s="41" t="s">
        <v>876</v>
      </c>
      <c r="C109" s="40" t="s">
        <v>18</v>
      </c>
      <c r="D109" s="40" t="s">
        <v>877</v>
      </c>
      <c r="E109" s="46"/>
      <c r="F109" s="41" t="s">
        <v>21</v>
      </c>
      <c r="G109" s="41">
        <v>14.0</v>
      </c>
      <c r="H109" s="41" t="s">
        <v>22</v>
      </c>
      <c r="I109" s="42">
        <v>1.0</v>
      </c>
      <c r="J109" s="43"/>
      <c r="K109" s="42">
        <v>0.0</v>
      </c>
      <c r="L109" s="42">
        <v>0.0</v>
      </c>
      <c r="M109" s="42">
        <v>0.0</v>
      </c>
      <c r="N109" s="42">
        <v>0.0</v>
      </c>
      <c r="O109" s="45"/>
    </row>
    <row r="110">
      <c r="A110" s="42">
        <v>8.7</v>
      </c>
      <c r="B110" s="41" t="s">
        <v>878</v>
      </c>
      <c r="C110" s="40" t="s">
        <v>18</v>
      </c>
      <c r="D110" s="40" t="s">
        <v>879</v>
      </c>
      <c r="E110" s="46"/>
      <c r="F110" s="41" t="s">
        <v>21</v>
      </c>
      <c r="G110" s="41">
        <v>14.0</v>
      </c>
      <c r="H110" s="41" t="s">
        <v>22</v>
      </c>
      <c r="I110" s="42">
        <v>1.0</v>
      </c>
      <c r="J110" s="43"/>
      <c r="K110" s="44">
        <v>0.0</v>
      </c>
      <c r="L110" s="44">
        <v>0.0</v>
      </c>
      <c r="M110" s="42">
        <v>0.0</v>
      </c>
      <c r="N110" s="44">
        <v>0.0</v>
      </c>
      <c r="O110" s="46"/>
    </row>
    <row r="111">
      <c r="A111" s="42">
        <v>8.8</v>
      </c>
      <c r="B111" s="41" t="s">
        <v>880</v>
      </c>
      <c r="C111" s="40" t="s">
        <v>18</v>
      </c>
      <c r="D111" s="40" t="s">
        <v>881</v>
      </c>
      <c r="E111" s="46"/>
      <c r="F111" s="41" t="s">
        <v>21</v>
      </c>
      <c r="G111" s="41">
        <v>14.0</v>
      </c>
      <c r="H111" s="41" t="s">
        <v>22</v>
      </c>
      <c r="I111" s="42">
        <v>1.0</v>
      </c>
      <c r="J111" s="43"/>
      <c r="K111" s="42">
        <v>0.0</v>
      </c>
      <c r="L111" s="42">
        <v>0.0</v>
      </c>
      <c r="M111" s="42">
        <v>0.0</v>
      </c>
      <c r="N111" s="42">
        <v>0.0</v>
      </c>
      <c r="O111" s="46"/>
    </row>
    <row r="112">
      <c r="A112" s="42">
        <v>8.9</v>
      </c>
      <c r="B112" s="41" t="s">
        <v>59</v>
      </c>
      <c r="C112" s="40" t="s">
        <v>29</v>
      </c>
      <c r="D112" s="40" t="s">
        <v>60</v>
      </c>
      <c r="E112" s="46"/>
      <c r="F112" s="41" t="s">
        <v>21</v>
      </c>
      <c r="G112" s="41">
        <v>2.0</v>
      </c>
      <c r="H112" s="41" t="s">
        <v>29</v>
      </c>
      <c r="I112" s="42">
        <v>1.0</v>
      </c>
      <c r="J112" s="43"/>
      <c r="K112" s="42">
        <v>0.0</v>
      </c>
      <c r="L112" s="42">
        <v>0.0</v>
      </c>
      <c r="M112" s="42">
        <v>0.0</v>
      </c>
      <c r="N112" s="42">
        <v>0.0</v>
      </c>
      <c r="O112" s="46"/>
    </row>
    <row r="113">
      <c r="A113" s="47"/>
      <c r="B113" s="47"/>
      <c r="C113" s="47"/>
      <c r="D113" s="47"/>
      <c r="E113" s="48"/>
      <c r="F113" s="47"/>
      <c r="G113" s="47"/>
      <c r="H113" s="47"/>
      <c r="I113" s="47"/>
      <c r="J113" s="48"/>
      <c r="K113" s="47"/>
      <c r="L113" s="47"/>
      <c r="M113" s="50" t="s">
        <v>63</v>
      </c>
      <c r="N113" s="51">
        <v>15455.34</v>
      </c>
      <c r="O113" s="52"/>
    </row>
    <row r="114">
      <c r="A114" s="39">
        <v>9.0</v>
      </c>
      <c r="B114" s="39" t="s">
        <v>944</v>
      </c>
      <c r="C114" s="40" t="s">
        <v>18</v>
      </c>
      <c r="D114" s="40" t="s">
        <v>945</v>
      </c>
      <c r="E114" s="40" t="s">
        <v>20</v>
      </c>
      <c r="F114" s="41" t="s">
        <v>21</v>
      </c>
      <c r="G114" s="41">
        <v>14.0</v>
      </c>
      <c r="H114" s="41" t="s">
        <v>22</v>
      </c>
      <c r="I114" s="42">
        <v>1.0</v>
      </c>
      <c r="J114" s="43"/>
      <c r="K114" s="44">
        <v>4358.69</v>
      </c>
      <c r="L114" s="44">
        <v>4358.69</v>
      </c>
      <c r="M114" s="42">
        <v>0.0</v>
      </c>
      <c r="N114" s="44">
        <v>4358.69</v>
      </c>
      <c r="O114" s="46"/>
    </row>
    <row r="115">
      <c r="A115" s="42" t="s">
        <v>151</v>
      </c>
      <c r="B115" s="41" t="s">
        <v>946</v>
      </c>
      <c r="C115" s="40" t="s">
        <v>18</v>
      </c>
      <c r="D115" s="40" t="s">
        <v>947</v>
      </c>
      <c r="E115" s="46"/>
      <c r="F115" s="41">
        <v>36.0</v>
      </c>
      <c r="G115" s="41" t="s">
        <v>21</v>
      </c>
      <c r="H115" s="41" t="s">
        <v>22</v>
      </c>
      <c r="I115" s="42">
        <v>1.0</v>
      </c>
      <c r="J115" s="43"/>
      <c r="K115" s="44">
        <v>1485.0</v>
      </c>
      <c r="L115" s="44">
        <v>1485.0</v>
      </c>
      <c r="M115" s="42">
        <v>0.0</v>
      </c>
      <c r="N115" s="44">
        <v>1485.0</v>
      </c>
      <c r="O115" s="40" t="s">
        <v>26</v>
      </c>
    </row>
    <row r="116">
      <c r="A116" s="42">
        <v>9.1</v>
      </c>
      <c r="B116" s="41" t="s">
        <v>908</v>
      </c>
      <c r="C116" s="40" t="s">
        <v>29</v>
      </c>
      <c r="D116" s="40" t="s">
        <v>909</v>
      </c>
      <c r="E116" s="46"/>
      <c r="F116" s="41" t="s">
        <v>21</v>
      </c>
      <c r="G116" s="41">
        <v>14.0</v>
      </c>
      <c r="H116" s="41" t="s">
        <v>22</v>
      </c>
      <c r="I116" s="42">
        <v>1.0</v>
      </c>
      <c r="J116" s="43"/>
      <c r="K116" s="42">
        <v>0.0</v>
      </c>
      <c r="L116" s="42">
        <v>0.0</v>
      </c>
      <c r="M116" s="42">
        <v>0.0</v>
      </c>
      <c r="N116" s="42">
        <v>0.0</v>
      </c>
      <c r="O116" s="46"/>
    </row>
    <row r="117">
      <c r="A117" s="42" t="s">
        <v>948</v>
      </c>
      <c r="B117" s="41" t="s">
        <v>911</v>
      </c>
      <c r="C117" s="40" t="s">
        <v>18</v>
      </c>
      <c r="D117" s="40" t="s">
        <v>912</v>
      </c>
      <c r="E117" s="46"/>
      <c r="F117" s="41">
        <v>36.0</v>
      </c>
      <c r="G117" s="41" t="s">
        <v>21</v>
      </c>
      <c r="H117" s="41" t="s">
        <v>22</v>
      </c>
      <c r="I117" s="42">
        <v>1.0</v>
      </c>
      <c r="J117" s="43"/>
      <c r="K117" s="42">
        <v>552.75</v>
      </c>
      <c r="L117" s="42">
        <v>552.75</v>
      </c>
      <c r="M117" s="42">
        <v>0.0</v>
      </c>
      <c r="N117" s="42">
        <v>552.75</v>
      </c>
      <c r="O117" s="40" t="s">
        <v>26</v>
      </c>
    </row>
    <row r="118">
      <c r="A118" s="42" t="s">
        <v>949</v>
      </c>
      <c r="B118" s="41" t="s">
        <v>913</v>
      </c>
      <c r="C118" s="40" t="s">
        <v>18</v>
      </c>
      <c r="D118" s="40" t="s">
        <v>914</v>
      </c>
      <c r="E118" s="46"/>
      <c r="F118" s="41">
        <v>36.0</v>
      </c>
      <c r="G118" s="41" t="s">
        <v>21</v>
      </c>
      <c r="H118" s="41" t="s">
        <v>22</v>
      </c>
      <c r="I118" s="42">
        <v>1.0</v>
      </c>
      <c r="J118" s="43"/>
      <c r="K118" s="44">
        <v>2366.0</v>
      </c>
      <c r="L118" s="44">
        <v>2366.0</v>
      </c>
      <c r="M118" s="42">
        <v>0.0</v>
      </c>
      <c r="N118" s="44">
        <v>2366.0</v>
      </c>
      <c r="O118" s="46"/>
    </row>
    <row r="119">
      <c r="A119" s="42">
        <v>9.2</v>
      </c>
      <c r="B119" s="41" t="s">
        <v>915</v>
      </c>
      <c r="C119" s="40" t="s">
        <v>29</v>
      </c>
      <c r="D119" s="40" t="s">
        <v>916</v>
      </c>
      <c r="E119" s="46"/>
      <c r="F119" s="41" t="s">
        <v>21</v>
      </c>
      <c r="G119" s="41">
        <v>14.0</v>
      </c>
      <c r="H119" s="41" t="s">
        <v>29</v>
      </c>
      <c r="I119" s="42">
        <v>1.0</v>
      </c>
      <c r="J119" s="43"/>
      <c r="K119" s="42">
        <v>0.0</v>
      </c>
      <c r="L119" s="42">
        <v>0.0</v>
      </c>
      <c r="M119" s="42">
        <v>0.0</v>
      </c>
      <c r="N119" s="44">
        <v>0.0</v>
      </c>
      <c r="O119" s="46"/>
    </row>
    <row r="120">
      <c r="A120" s="42">
        <v>9.3</v>
      </c>
      <c r="B120" s="41" t="s">
        <v>872</v>
      </c>
      <c r="C120" s="40" t="s">
        <v>18</v>
      </c>
      <c r="D120" s="40" t="s">
        <v>873</v>
      </c>
      <c r="E120" s="45"/>
      <c r="F120" s="41" t="s">
        <v>21</v>
      </c>
      <c r="G120" s="41">
        <v>14.0</v>
      </c>
      <c r="H120" s="41" t="s">
        <v>22</v>
      </c>
      <c r="I120" s="42">
        <v>1.0</v>
      </c>
      <c r="J120" s="43"/>
      <c r="K120" s="44">
        <v>0.0</v>
      </c>
      <c r="L120" s="44">
        <v>0.0</v>
      </c>
      <c r="M120" s="42">
        <v>0.0</v>
      </c>
      <c r="N120" s="44">
        <v>0.0</v>
      </c>
      <c r="O120" s="46"/>
    </row>
    <row r="121">
      <c r="A121" s="42">
        <v>9.4</v>
      </c>
      <c r="B121" s="41" t="s">
        <v>868</v>
      </c>
      <c r="C121" s="40" t="s">
        <v>18</v>
      </c>
      <c r="D121" s="40" t="s">
        <v>869</v>
      </c>
      <c r="E121" s="46"/>
      <c r="F121" s="41" t="s">
        <v>21</v>
      </c>
      <c r="G121" s="41">
        <v>14.0</v>
      </c>
      <c r="H121" s="41" t="s">
        <v>29</v>
      </c>
      <c r="I121" s="42">
        <v>1.0</v>
      </c>
      <c r="J121" s="43"/>
      <c r="K121" s="44">
        <v>0.0</v>
      </c>
      <c r="L121" s="44">
        <v>0.0</v>
      </c>
      <c r="M121" s="42">
        <v>0.0</v>
      </c>
      <c r="N121" s="44">
        <v>0.0</v>
      </c>
      <c r="O121" s="45"/>
    </row>
    <row r="122">
      <c r="A122" s="42">
        <v>9.5</v>
      </c>
      <c r="B122" s="41" t="s">
        <v>917</v>
      </c>
      <c r="C122" s="40" t="s">
        <v>18</v>
      </c>
      <c r="D122" s="40" t="s">
        <v>918</v>
      </c>
      <c r="E122" s="46"/>
      <c r="F122" s="41" t="s">
        <v>21</v>
      </c>
      <c r="G122" s="41">
        <v>14.0</v>
      </c>
      <c r="H122" s="41" t="s">
        <v>29</v>
      </c>
      <c r="I122" s="42">
        <v>2.0</v>
      </c>
      <c r="J122" s="43"/>
      <c r="K122" s="42">
        <v>0.0</v>
      </c>
      <c r="L122" s="42">
        <v>0.0</v>
      </c>
      <c r="M122" s="42">
        <v>0.0</v>
      </c>
      <c r="N122" s="42">
        <v>0.0</v>
      </c>
      <c r="O122" s="46"/>
    </row>
    <row r="123">
      <c r="A123" s="42">
        <v>9.6</v>
      </c>
      <c r="B123" s="41" t="s">
        <v>876</v>
      </c>
      <c r="C123" s="40" t="s">
        <v>18</v>
      </c>
      <c r="D123" s="40" t="s">
        <v>877</v>
      </c>
      <c r="E123" s="46"/>
      <c r="F123" s="41" t="s">
        <v>21</v>
      </c>
      <c r="G123" s="41">
        <v>14.0</v>
      </c>
      <c r="H123" s="41" t="s">
        <v>22</v>
      </c>
      <c r="I123" s="42">
        <v>1.0</v>
      </c>
      <c r="J123" s="43"/>
      <c r="K123" s="42">
        <v>0.0</v>
      </c>
      <c r="L123" s="42">
        <v>0.0</v>
      </c>
      <c r="M123" s="42">
        <v>0.0</v>
      </c>
      <c r="N123" s="42">
        <v>0.0</v>
      </c>
      <c r="O123" s="45"/>
    </row>
    <row r="124">
      <c r="A124" s="42">
        <v>9.7</v>
      </c>
      <c r="B124" s="41" t="s">
        <v>878</v>
      </c>
      <c r="C124" s="40" t="s">
        <v>18</v>
      </c>
      <c r="D124" s="40" t="s">
        <v>879</v>
      </c>
      <c r="E124" s="46"/>
      <c r="F124" s="41" t="s">
        <v>21</v>
      </c>
      <c r="G124" s="41">
        <v>14.0</v>
      </c>
      <c r="H124" s="41" t="s">
        <v>22</v>
      </c>
      <c r="I124" s="42">
        <v>1.0</v>
      </c>
      <c r="J124" s="43"/>
      <c r="K124" s="44">
        <v>0.0</v>
      </c>
      <c r="L124" s="44">
        <v>0.0</v>
      </c>
      <c r="M124" s="42">
        <v>0.0</v>
      </c>
      <c r="N124" s="44">
        <v>0.0</v>
      </c>
      <c r="O124" s="46"/>
    </row>
    <row r="125">
      <c r="A125" s="42">
        <v>9.8</v>
      </c>
      <c r="B125" s="41" t="s">
        <v>880</v>
      </c>
      <c r="C125" s="40" t="s">
        <v>18</v>
      </c>
      <c r="D125" s="40" t="s">
        <v>881</v>
      </c>
      <c r="E125" s="46"/>
      <c r="F125" s="41" t="s">
        <v>21</v>
      </c>
      <c r="G125" s="41">
        <v>14.0</v>
      </c>
      <c r="H125" s="41" t="s">
        <v>22</v>
      </c>
      <c r="I125" s="42">
        <v>1.0</v>
      </c>
      <c r="J125" s="43"/>
      <c r="K125" s="42">
        <v>0.0</v>
      </c>
      <c r="L125" s="42">
        <v>0.0</v>
      </c>
      <c r="M125" s="42">
        <v>0.0</v>
      </c>
      <c r="N125" s="42">
        <v>0.0</v>
      </c>
      <c r="O125" s="46"/>
    </row>
    <row r="126">
      <c r="A126" s="42">
        <v>9.9</v>
      </c>
      <c r="B126" s="41" t="s">
        <v>59</v>
      </c>
      <c r="C126" s="40" t="s">
        <v>29</v>
      </c>
      <c r="D126" s="40" t="s">
        <v>60</v>
      </c>
      <c r="E126" s="46"/>
      <c r="F126" s="41" t="s">
        <v>21</v>
      </c>
      <c r="G126" s="41">
        <v>2.0</v>
      </c>
      <c r="H126" s="41" t="s">
        <v>29</v>
      </c>
      <c r="I126" s="42">
        <v>1.0</v>
      </c>
      <c r="J126" s="43"/>
      <c r="K126" s="42">
        <v>0.0</v>
      </c>
      <c r="L126" s="42">
        <v>0.0</v>
      </c>
      <c r="M126" s="42">
        <v>0.0</v>
      </c>
      <c r="N126" s="42">
        <v>0.0</v>
      </c>
      <c r="O126" s="46"/>
    </row>
    <row r="127">
      <c r="A127" s="47"/>
      <c r="B127" s="47"/>
      <c r="C127" s="47"/>
      <c r="D127" s="47"/>
      <c r="E127" s="48"/>
      <c r="F127" s="47"/>
      <c r="G127" s="47"/>
      <c r="H127" s="47"/>
      <c r="I127" s="47"/>
      <c r="J127" s="48"/>
      <c r="K127" s="47"/>
      <c r="L127" s="47"/>
      <c r="M127" s="50" t="s">
        <v>63</v>
      </c>
      <c r="N127" s="51">
        <v>8762.44</v>
      </c>
      <c r="O127" s="52"/>
    </row>
    <row r="128">
      <c r="A128" s="39">
        <v>10.0</v>
      </c>
      <c r="B128" s="39" t="s">
        <v>950</v>
      </c>
      <c r="C128" s="40" t="s">
        <v>18</v>
      </c>
      <c r="D128" s="40" t="s">
        <v>951</v>
      </c>
      <c r="E128" s="40" t="s">
        <v>20</v>
      </c>
      <c r="F128" s="41" t="s">
        <v>21</v>
      </c>
      <c r="G128" s="41">
        <v>14.0</v>
      </c>
      <c r="H128" s="41" t="s">
        <v>22</v>
      </c>
      <c r="I128" s="42">
        <v>1.0</v>
      </c>
      <c r="J128" s="43"/>
      <c r="K128" s="44">
        <v>5442.08</v>
      </c>
      <c r="L128" s="44">
        <v>5442.08</v>
      </c>
      <c r="M128" s="42">
        <v>0.0</v>
      </c>
      <c r="N128" s="44">
        <v>5442.08</v>
      </c>
      <c r="O128" s="46"/>
    </row>
    <row r="129">
      <c r="A129" s="42" t="s">
        <v>156</v>
      </c>
      <c r="B129" s="41" t="s">
        <v>952</v>
      </c>
      <c r="C129" s="40" t="s">
        <v>18</v>
      </c>
      <c r="D129" s="40" t="s">
        <v>953</v>
      </c>
      <c r="E129" s="46"/>
      <c r="F129" s="41">
        <v>36.0</v>
      </c>
      <c r="G129" s="41" t="s">
        <v>21</v>
      </c>
      <c r="H129" s="41" t="s">
        <v>22</v>
      </c>
      <c r="I129" s="42">
        <v>1.0</v>
      </c>
      <c r="J129" s="43"/>
      <c r="K129" s="44">
        <v>1831.5</v>
      </c>
      <c r="L129" s="44">
        <v>1831.5</v>
      </c>
      <c r="M129" s="42">
        <v>0.0</v>
      </c>
      <c r="N129" s="44">
        <v>1831.5</v>
      </c>
      <c r="O129" s="40" t="s">
        <v>26</v>
      </c>
    </row>
    <row r="130">
      <c r="A130" s="42">
        <v>10.1</v>
      </c>
      <c r="B130" s="41" t="s">
        <v>908</v>
      </c>
      <c r="C130" s="40" t="s">
        <v>29</v>
      </c>
      <c r="D130" s="40" t="s">
        <v>909</v>
      </c>
      <c r="E130" s="46"/>
      <c r="F130" s="41" t="s">
        <v>21</v>
      </c>
      <c r="G130" s="41">
        <v>14.0</v>
      </c>
      <c r="H130" s="41" t="s">
        <v>22</v>
      </c>
      <c r="I130" s="42">
        <v>1.0</v>
      </c>
      <c r="J130" s="43"/>
      <c r="K130" s="42">
        <v>0.0</v>
      </c>
      <c r="L130" s="42">
        <v>0.0</v>
      </c>
      <c r="M130" s="42">
        <v>0.0</v>
      </c>
      <c r="N130" s="42">
        <v>0.0</v>
      </c>
      <c r="O130" s="46"/>
    </row>
    <row r="131">
      <c r="A131" s="42" t="s">
        <v>954</v>
      </c>
      <c r="B131" s="41" t="s">
        <v>911</v>
      </c>
      <c r="C131" s="40" t="s">
        <v>18</v>
      </c>
      <c r="D131" s="40" t="s">
        <v>912</v>
      </c>
      <c r="E131" s="46"/>
      <c r="F131" s="41">
        <v>36.0</v>
      </c>
      <c r="G131" s="41" t="s">
        <v>21</v>
      </c>
      <c r="H131" s="41" t="s">
        <v>22</v>
      </c>
      <c r="I131" s="42">
        <v>1.0</v>
      </c>
      <c r="J131" s="43"/>
      <c r="K131" s="42">
        <v>552.75</v>
      </c>
      <c r="L131" s="42">
        <v>552.75</v>
      </c>
      <c r="M131" s="42">
        <v>0.0</v>
      </c>
      <c r="N131" s="42">
        <v>552.75</v>
      </c>
      <c r="O131" s="40" t="s">
        <v>26</v>
      </c>
    </row>
    <row r="132">
      <c r="A132" s="42" t="s">
        <v>955</v>
      </c>
      <c r="B132" s="41" t="s">
        <v>913</v>
      </c>
      <c r="C132" s="40" t="s">
        <v>18</v>
      </c>
      <c r="D132" s="40" t="s">
        <v>914</v>
      </c>
      <c r="E132" s="46"/>
      <c r="F132" s="41">
        <v>36.0</v>
      </c>
      <c r="G132" s="41" t="s">
        <v>21</v>
      </c>
      <c r="H132" s="41" t="s">
        <v>22</v>
      </c>
      <c r="I132" s="42">
        <v>1.0</v>
      </c>
      <c r="J132" s="43"/>
      <c r="K132" s="44">
        <v>2366.0</v>
      </c>
      <c r="L132" s="44">
        <v>2366.0</v>
      </c>
      <c r="M132" s="42">
        <v>0.0</v>
      </c>
      <c r="N132" s="44">
        <v>2366.0</v>
      </c>
      <c r="O132" s="46"/>
    </row>
    <row r="133">
      <c r="A133" s="42">
        <v>10.2</v>
      </c>
      <c r="B133" s="41" t="s">
        <v>915</v>
      </c>
      <c r="C133" s="40" t="s">
        <v>29</v>
      </c>
      <c r="D133" s="40" t="s">
        <v>916</v>
      </c>
      <c r="E133" s="46"/>
      <c r="F133" s="41" t="s">
        <v>21</v>
      </c>
      <c r="G133" s="41">
        <v>14.0</v>
      </c>
      <c r="H133" s="41" t="s">
        <v>29</v>
      </c>
      <c r="I133" s="42">
        <v>1.0</v>
      </c>
      <c r="J133" s="43"/>
      <c r="K133" s="42">
        <v>0.0</v>
      </c>
      <c r="L133" s="42">
        <v>0.0</v>
      </c>
      <c r="M133" s="42">
        <v>0.0</v>
      </c>
      <c r="N133" s="44">
        <v>0.0</v>
      </c>
      <c r="O133" s="46"/>
    </row>
    <row r="134">
      <c r="A134" s="42">
        <v>10.3</v>
      </c>
      <c r="B134" s="41" t="s">
        <v>872</v>
      </c>
      <c r="C134" s="40" t="s">
        <v>18</v>
      </c>
      <c r="D134" s="40" t="s">
        <v>873</v>
      </c>
      <c r="E134" s="45"/>
      <c r="F134" s="41" t="s">
        <v>21</v>
      </c>
      <c r="G134" s="41">
        <v>14.0</v>
      </c>
      <c r="H134" s="41" t="s">
        <v>22</v>
      </c>
      <c r="I134" s="42">
        <v>1.0</v>
      </c>
      <c r="J134" s="43"/>
      <c r="K134" s="44">
        <v>0.0</v>
      </c>
      <c r="L134" s="44">
        <v>0.0</v>
      </c>
      <c r="M134" s="42">
        <v>0.0</v>
      </c>
      <c r="N134" s="44">
        <v>0.0</v>
      </c>
      <c r="O134" s="46"/>
    </row>
    <row r="135">
      <c r="A135" s="42">
        <v>10.4</v>
      </c>
      <c r="B135" s="41" t="s">
        <v>868</v>
      </c>
      <c r="C135" s="40" t="s">
        <v>18</v>
      </c>
      <c r="D135" s="40" t="s">
        <v>869</v>
      </c>
      <c r="E135" s="46"/>
      <c r="F135" s="41" t="s">
        <v>21</v>
      </c>
      <c r="G135" s="41">
        <v>14.0</v>
      </c>
      <c r="H135" s="41" t="s">
        <v>29</v>
      </c>
      <c r="I135" s="42">
        <v>1.0</v>
      </c>
      <c r="J135" s="43"/>
      <c r="K135" s="44">
        <v>0.0</v>
      </c>
      <c r="L135" s="44">
        <v>0.0</v>
      </c>
      <c r="M135" s="42">
        <v>0.0</v>
      </c>
      <c r="N135" s="44">
        <v>0.0</v>
      </c>
      <c r="O135" s="45"/>
    </row>
    <row r="136">
      <c r="A136" s="42">
        <v>10.5</v>
      </c>
      <c r="B136" s="41" t="s">
        <v>917</v>
      </c>
      <c r="C136" s="40" t="s">
        <v>18</v>
      </c>
      <c r="D136" s="40" t="s">
        <v>918</v>
      </c>
      <c r="E136" s="46"/>
      <c r="F136" s="41" t="s">
        <v>21</v>
      </c>
      <c r="G136" s="41">
        <v>14.0</v>
      </c>
      <c r="H136" s="41" t="s">
        <v>29</v>
      </c>
      <c r="I136" s="42">
        <v>2.0</v>
      </c>
      <c r="J136" s="43"/>
      <c r="K136" s="42">
        <v>0.0</v>
      </c>
      <c r="L136" s="42">
        <v>0.0</v>
      </c>
      <c r="M136" s="42">
        <v>0.0</v>
      </c>
      <c r="N136" s="42">
        <v>0.0</v>
      </c>
      <c r="O136" s="46"/>
    </row>
    <row r="137">
      <c r="A137" s="42">
        <v>10.6</v>
      </c>
      <c r="B137" s="41" t="s">
        <v>876</v>
      </c>
      <c r="C137" s="40" t="s">
        <v>18</v>
      </c>
      <c r="D137" s="40" t="s">
        <v>877</v>
      </c>
      <c r="E137" s="46"/>
      <c r="F137" s="41" t="s">
        <v>21</v>
      </c>
      <c r="G137" s="41">
        <v>14.0</v>
      </c>
      <c r="H137" s="41" t="s">
        <v>22</v>
      </c>
      <c r="I137" s="42">
        <v>1.0</v>
      </c>
      <c r="J137" s="43"/>
      <c r="K137" s="42">
        <v>0.0</v>
      </c>
      <c r="L137" s="42">
        <v>0.0</v>
      </c>
      <c r="M137" s="42">
        <v>0.0</v>
      </c>
      <c r="N137" s="42">
        <v>0.0</v>
      </c>
      <c r="O137" s="45"/>
    </row>
    <row r="138">
      <c r="A138" s="42">
        <v>10.7</v>
      </c>
      <c r="B138" s="41" t="s">
        <v>878</v>
      </c>
      <c r="C138" s="40" t="s">
        <v>18</v>
      </c>
      <c r="D138" s="40" t="s">
        <v>879</v>
      </c>
      <c r="E138" s="46"/>
      <c r="F138" s="41" t="s">
        <v>21</v>
      </c>
      <c r="G138" s="41">
        <v>14.0</v>
      </c>
      <c r="H138" s="41" t="s">
        <v>22</v>
      </c>
      <c r="I138" s="42">
        <v>1.0</v>
      </c>
      <c r="J138" s="43"/>
      <c r="K138" s="44">
        <v>0.0</v>
      </c>
      <c r="L138" s="44">
        <v>0.0</v>
      </c>
      <c r="M138" s="42">
        <v>0.0</v>
      </c>
      <c r="N138" s="44">
        <v>0.0</v>
      </c>
      <c r="O138" s="46"/>
    </row>
    <row r="139">
      <c r="A139" s="42">
        <v>10.8</v>
      </c>
      <c r="B139" s="41" t="s">
        <v>880</v>
      </c>
      <c r="C139" s="40" t="s">
        <v>18</v>
      </c>
      <c r="D139" s="40" t="s">
        <v>881</v>
      </c>
      <c r="E139" s="46"/>
      <c r="F139" s="41" t="s">
        <v>21</v>
      </c>
      <c r="G139" s="41">
        <v>14.0</v>
      </c>
      <c r="H139" s="41" t="s">
        <v>22</v>
      </c>
      <c r="I139" s="42">
        <v>1.0</v>
      </c>
      <c r="J139" s="43"/>
      <c r="K139" s="42">
        <v>0.0</v>
      </c>
      <c r="L139" s="42">
        <v>0.0</v>
      </c>
      <c r="M139" s="42">
        <v>0.0</v>
      </c>
      <c r="N139" s="42">
        <v>0.0</v>
      </c>
      <c r="O139" s="46"/>
    </row>
    <row r="140">
      <c r="A140" s="42">
        <v>10.9</v>
      </c>
      <c r="B140" s="41" t="s">
        <v>59</v>
      </c>
      <c r="C140" s="40" t="s">
        <v>29</v>
      </c>
      <c r="D140" s="40" t="s">
        <v>60</v>
      </c>
      <c r="E140" s="46"/>
      <c r="F140" s="41" t="s">
        <v>21</v>
      </c>
      <c r="G140" s="41">
        <v>2.0</v>
      </c>
      <c r="H140" s="41" t="s">
        <v>29</v>
      </c>
      <c r="I140" s="42">
        <v>1.0</v>
      </c>
      <c r="J140" s="43"/>
      <c r="K140" s="42">
        <v>0.0</v>
      </c>
      <c r="L140" s="42">
        <v>0.0</v>
      </c>
      <c r="M140" s="42">
        <v>0.0</v>
      </c>
      <c r="N140" s="42">
        <v>0.0</v>
      </c>
      <c r="O140" s="46"/>
    </row>
    <row r="141">
      <c r="A141" s="47"/>
      <c r="B141" s="47"/>
      <c r="C141" s="47"/>
      <c r="D141" s="47"/>
      <c r="E141" s="48"/>
      <c r="F141" s="47"/>
      <c r="G141" s="47"/>
      <c r="H141" s="47"/>
      <c r="I141" s="47"/>
      <c r="J141" s="48"/>
      <c r="K141" s="47"/>
      <c r="L141" s="47"/>
      <c r="M141" s="50" t="s">
        <v>63</v>
      </c>
      <c r="N141" s="51">
        <v>10192.33</v>
      </c>
      <c r="O141" s="52"/>
    </row>
    <row r="142">
      <c r="A142" s="39">
        <v>11.0</v>
      </c>
      <c r="B142" s="39" t="s">
        <v>956</v>
      </c>
      <c r="C142" s="40" t="s">
        <v>18</v>
      </c>
      <c r="D142" s="40" t="s">
        <v>957</v>
      </c>
      <c r="E142" s="40" t="s">
        <v>20</v>
      </c>
      <c r="F142" s="41" t="s">
        <v>21</v>
      </c>
      <c r="G142" s="41">
        <v>14.0</v>
      </c>
      <c r="H142" s="41" t="s">
        <v>22</v>
      </c>
      <c r="I142" s="42">
        <v>1.0</v>
      </c>
      <c r="J142" s="43"/>
      <c r="K142" s="44">
        <v>6139.93</v>
      </c>
      <c r="L142" s="44">
        <v>6139.93</v>
      </c>
      <c r="M142" s="42">
        <v>0.0</v>
      </c>
      <c r="N142" s="44">
        <v>6139.93</v>
      </c>
      <c r="O142" s="46"/>
    </row>
    <row r="143">
      <c r="A143" s="42" t="s">
        <v>369</v>
      </c>
      <c r="B143" s="41" t="s">
        <v>958</v>
      </c>
      <c r="C143" s="40" t="s">
        <v>18</v>
      </c>
      <c r="D143" s="40" t="s">
        <v>959</v>
      </c>
      <c r="E143" s="46"/>
      <c r="F143" s="41">
        <v>36.0</v>
      </c>
      <c r="G143" s="41" t="s">
        <v>21</v>
      </c>
      <c r="H143" s="41" t="s">
        <v>22</v>
      </c>
      <c r="I143" s="42">
        <v>1.0</v>
      </c>
      <c r="J143" s="43"/>
      <c r="K143" s="44">
        <v>2050.14</v>
      </c>
      <c r="L143" s="44">
        <v>2050.14</v>
      </c>
      <c r="M143" s="42">
        <v>0.0</v>
      </c>
      <c r="N143" s="44">
        <v>2050.14</v>
      </c>
      <c r="O143" s="40" t="s">
        <v>26</v>
      </c>
    </row>
    <row r="144">
      <c r="A144" s="42">
        <v>11.1</v>
      </c>
      <c r="B144" s="41" t="s">
        <v>929</v>
      </c>
      <c r="C144" s="40" t="s">
        <v>29</v>
      </c>
      <c r="D144" s="40" t="s">
        <v>930</v>
      </c>
      <c r="E144" s="46"/>
      <c r="F144" s="41" t="s">
        <v>21</v>
      </c>
      <c r="G144" s="41">
        <v>14.0</v>
      </c>
      <c r="H144" s="41" t="s">
        <v>22</v>
      </c>
      <c r="I144" s="42">
        <v>1.0</v>
      </c>
      <c r="J144" s="43"/>
      <c r="K144" s="42">
        <v>0.0</v>
      </c>
      <c r="L144" s="42">
        <v>0.0</v>
      </c>
      <c r="M144" s="42">
        <v>0.0</v>
      </c>
      <c r="N144" s="42">
        <v>0.0</v>
      </c>
      <c r="O144" s="46"/>
    </row>
    <row r="145">
      <c r="A145" s="42" t="s">
        <v>960</v>
      </c>
      <c r="B145" s="41" t="s">
        <v>932</v>
      </c>
      <c r="C145" s="40" t="s">
        <v>18</v>
      </c>
      <c r="D145" s="40" t="s">
        <v>912</v>
      </c>
      <c r="E145" s="46"/>
      <c r="F145" s="41">
        <v>36.0</v>
      </c>
      <c r="G145" s="41" t="s">
        <v>21</v>
      </c>
      <c r="H145" s="41" t="s">
        <v>22</v>
      </c>
      <c r="I145" s="42">
        <v>1.0</v>
      </c>
      <c r="J145" s="43"/>
      <c r="K145" s="44">
        <v>1039.5</v>
      </c>
      <c r="L145" s="44">
        <v>1039.5</v>
      </c>
      <c r="M145" s="42">
        <v>0.0</v>
      </c>
      <c r="N145" s="44">
        <v>1039.5</v>
      </c>
      <c r="O145" s="40" t="s">
        <v>26</v>
      </c>
    </row>
    <row r="146">
      <c r="A146" s="42" t="s">
        <v>961</v>
      </c>
      <c r="B146" s="41" t="s">
        <v>934</v>
      </c>
      <c r="C146" s="40" t="s">
        <v>18</v>
      </c>
      <c r="D146" s="40" t="s">
        <v>935</v>
      </c>
      <c r="E146" s="46"/>
      <c r="F146" s="41">
        <v>36.0</v>
      </c>
      <c r="G146" s="41" t="s">
        <v>21</v>
      </c>
      <c r="H146" s="41" t="s">
        <v>22</v>
      </c>
      <c r="I146" s="42">
        <v>1.0</v>
      </c>
      <c r="J146" s="43"/>
      <c r="K146" s="44">
        <v>4437.0</v>
      </c>
      <c r="L146" s="44">
        <v>4437.0</v>
      </c>
      <c r="M146" s="42">
        <v>0.0</v>
      </c>
      <c r="N146" s="44">
        <v>4437.0</v>
      </c>
      <c r="O146" s="46"/>
    </row>
    <row r="147">
      <c r="A147" s="42">
        <v>11.2</v>
      </c>
      <c r="B147" s="41" t="s">
        <v>936</v>
      </c>
      <c r="C147" s="40" t="s">
        <v>29</v>
      </c>
      <c r="D147" s="40" t="s">
        <v>937</v>
      </c>
      <c r="E147" s="46"/>
      <c r="F147" s="41" t="s">
        <v>21</v>
      </c>
      <c r="G147" s="41">
        <v>14.0</v>
      </c>
      <c r="H147" s="41" t="s">
        <v>29</v>
      </c>
      <c r="I147" s="42">
        <v>1.0</v>
      </c>
      <c r="J147" s="43"/>
      <c r="K147" s="42">
        <v>0.0</v>
      </c>
      <c r="L147" s="42">
        <v>0.0</v>
      </c>
      <c r="M147" s="42">
        <v>0.0</v>
      </c>
      <c r="N147" s="44">
        <v>0.0</v>
      </c>
      <c r="O147" s="46"/>
    </row>
    <row r="148">
      <c r="A148" s="42">
        <v>11.3</v>
      </c>
      <c r="B148" s="41" t="s">
        <v>872</v>
      </c>
      <c r="C148" s="40" t="s">
        <v>18</v>
      </c>
      <c r="D148" s="40" t="s">
        <v>873</v>
      </c>
      <c r="E148" s="45"/>
      <c r="F148" s="41" t="s">
        <v>21</v>
      </c>
      <c r="G148" s="41">
        <v>14.0</v>
      </c>
      <c r="H148" s="41" t="s">
        <v>22</v>
      </c>
      <c r="I148" s="42">
        <v>1.0</v>
      </c>
      <c r="J148" s="43"/>
      <c r="K148" s="44">
        <v>0.0</v>
      </c>
      <c r="L148" s="44">
        <v>0.0</v>
      </c>
      <c r="M148" s="42">
        <v>0.0</v>
      </c>
      <c r="N148" s="44">
        <v>0.0</v>
      </c>
      <c r="O148" s="46"/>
    </row>
    <row r="149">
      <c r="A149" s="42">
        <v>11.4</v>
      </c>
      <c r="B149" s="41" t="s">
        <v>868</v>
      </c>
      <c r="C149" s="40" t="s">
        <v>18</v>
      </c>
      <c r="D149" s="40" t="s">
        <v>869</v>
      </c>
      <c r="E149" s="46"/>
      <c r="F149" s="41" t="s">
        <v>21</v>
      </c>
      <c r="G149" s="41">
        <v>14.0</v>
      </c>
      <c r="H149" s="41" t="s">
        <v>29</v>
      </c>
      <c r="I149" s="42">
        <v>1.0</v>
      </c>
      <c r="J149" s="43"/>
      <c r="K149" s="44">
        <v>0.0</v>
      </c>
      <c r="L149" s="44">
        <v>0.0</v>
      </c>
      <c r="M149" s="42">
        <v>0.0</v>
      </c>
      <c r="N149" s="44">
        <v>0.0</v>
      </c>
      <c r="O149" s="45"/>
    </row>
    <row r="150">
      <c r="A150" s="42">
        <v>11.5</v>
      </c>
      <c r="B150" s="41" t="s">
        <v>917</v>
      </c>
      <c r="C150" s="40" t="s">
        <v>18</v>
      </c>
      <c r="D150" s="40" t="s">
        <v>918</v>
      </c>
      <c r="E150" s="46"/>
      <c r="F150" s="41" t="s">
        <v>21</v>
      </c>
      <c r="G150" s="41">
        <v>14.0</v>
      </c>
      <c r="H150" s="41" t="s">
        <v>29</v>
      </c>
      <c r="I150" s="42">
        <v>2.0</v>
      </c>
      <c r="J150" s="43"/>
      <c r="K150" s="42">
        <v>0.0</v>
      </c>
      <c r="L150" s="42">
        <v>0.0</v>
      </c>
      <c r="M150" s="42">
        <v>0.0</v>
      </c>
      <c r="N150" s="42">
        <v>0.0</v>
      </c>
      <c r="O150" s="46"/>
    </row>
    <row r="151">
      <c r="A151" s="42">
        <v>11.6</v>
      </c>
      <c r="B151" s="41" t="s">
        <v>876</v>
      </c>
      <c r="C151" s="40" t="s">
        <v>18</v>
      </c>
      <c r="D151" s="40" t="s">
        <v>877</v>
      </c>
      <c r="E151" s="46"/>
      <c r="F151" s="41" t="s">
        <v>21</v>
      </c>
      <c r="G151" s="41">
        <v>14.0</v>
      </c>
      <c r="H151" s="41" t="s">
        <v>22</v>
      </c>
      <c r="I151" s="42">
        <v>1.0</v>
      </c>
      <c r="J151" s="43"/>
      <c r="K151" s="44">
        <v>0.0</v>
      </c>
      <c r="L151" s="44">
        <v>0.0</v>
      </c>
      <c r="M151" s="42">
        <v>0.0</v>
      </c>
      <c r="N151" s="44">
        <v>0.0</v>
      </c>
      <c r="O151" s="45"/>
    </row>
    <row r="152">
      <c r="A152" s="42">
        <v>11.7</v>
      </c>
      <c r="B152" s="41" t="s">
        <v>878</v>
      </c>
      <c r="C152" s="40" t="s">
        <v>18</v>
      </c>
      <c r="D152" s="40" t="s">
        <v>879</v>
      </c>
      <c r="E152" s="46"/>
      <c r="F152" s="41" t="s">
        <v>21</v>
      </c>
      <c r="G152" s="41">
        <v>14.0</v>
      </c>
      <c r="H152" s="41" t="s">
        <v>22</v>
      </c>
      <c r="I152" s="42">
        <v>1.0</v>
      </c>
      <c r="J152" s="43"/>
      <c r="K152" s="44">
        <v>0.0</v>
      </c>
      <c r="L152" s="44">
        <v>0.0</v>
      </c>
      <c r="M152" s="42">
        <v>0.0</v>
      </c>
      <c r="N152" s="44">
        <v>0.0</v>
      </c>
      <c r="O152" s="46"/>
    </row>
    <row r="153">
      <c r="A153" s="42">
        <v>11.8</v>
      </c>
      <c r="B153" s="41" t="s">
        <v>880</v>
      </c>
      <c r="C153" s="40" t="s">
        <v>18</v>
      </c>
      <c r="D153" s="40" t="s">
        <v>881</v>
      </c>
      <c r="E153" s="46"/>
      <c r="F153" s="41" t="s">
        <v>21</v>
      </c>
      <c r="G153" s="41">
        <v>14.0</v>
      </c>
      <c r="H153" s="41" t="s">
        <v>22</v>
      </c>
      <c r="I153" s="42">
        <v>1.0</v>
      </c>
      <c r="J153" s="43"/>
      <c r="K153" s="42">
        <v>0.0</v>
      </c>
      <c r="L153" s="42">
        <v>0.0</v>
      </c>
      <c r="M153" s="42">
        <v>0.0</v>
      </c>
      <c r="N153" s="42">
        <v>0.0</v>
      </c>
      <c r="O153" s="46"/>
    </row>
    <row r="154">
      <c r="A154" s="42">
        <v>11.9</v>
      </c>
      <c r="B154" s="41" t="s">
        <v>59</v>
      </c>
      <c r="C154" s="40" t="s">
        <v>29</v>
      </c>
      <c r="D154" s="40" t="s">
        <v>60</v>
      </c>
      <c r="E154" s="46"/>
      <c r="F154" s="41" t="s">
        <v>21</v>
      </c>
      <c r="G154" s="41">
        <v>2.0</v>
      </c>
      <c r="H154" s="41" t="s">
        <v>29</v>
      </c>
      <c r="I154" s="42">
        <v>1.0</v>
      </c>
      <c r="J154" s="43"/>
      <c r="K154" s="42">
        <v>0.0</v>
      </c>
      <c r="L154" s="42">
        <v>0.0</v>
      </c>
      <c r="M154" s="42">
        <v>0.0</v>
      </c>
      <c r="N154" s="42">
        <v>0.0</v>
      </c>
      <c r="O154" s="46"/>
    </row>
    <row r="155">
      <c r="A155" s="47"/>
      <c r="B155" s="47"/>
      <c r="C155" s="47"/>
      <c r="D155" s="47"/>
      <c r="E155" s="48"/>
      <c r="F155" s="47"/>
      <c r="G155" s="47"/>
      <c r="H155" s="47"/>
      <c r="I155" s="47"/>
      <c r="J155" s="48"/>
      <c r="K155" s="47"/>
      <c r="L155" s="47"/>
      <c r="M155" s="50" t="s">
        <v>63</v>
      </c>
      <c r="N155" s="51">
        <v>13666.57</v>
      </c>
      <c r="O155" s="52"/>
    </row>
    <row r="156">
      <c r="A156" s="39">
        <v>12.0</v>
      </c>
      <c r="B156" s="39" t="s">
        <v>962</v>
      </c>
      <c r="C156" s="40" t="s">
        <v>18</v>
      </c>
      <c r="D156" s="40" t="s">
        <v>963</v>
      </c>
      <c r="E156" s="40" t="s">
        <v>20</v>
      </c>
      <c r="F156" s="41" t="s">
        <v>21</v>
      </c>
      <c r="G156" s="41">
        <v>14.0</v>
      </c>
      <c r="H156" s="41" t="s">
        <v>22</v>
      </c>
      <c r="I156" s="42">
        <v>1.0</v>
      </c>
      <c r="J156" s="43"/>
      <c r="K156" s="44">
        <v>9393.51</v>
      </c>
      <c r="L156" s="44">
        <v>9393.51</v>
      </c>
      <c r="M156" s="42">
        <v>0.0</v>
      </c>
      <c r="N156" s="44">
        <v>9393.51</v>
      </c>
      <c r="O156" s="46"/>
    </row>
    <row r="157">
      <c r="A157" s="42" t="s">
        <v>169</v>
      </c>
      <c r="B157" s="41" t="s">
        <v>964</v>
      </c>
      <c r="C157" s="40" t="s">
        <v>18</v>
      </c>
      <c r="D157" s="40" t="s">
        <v>965</v>
      </c>
      <c r="E157" s="46"/>
      <c r="F157" s="41">
        <v>36.0</v>
      </c>
      <c r="G157" s="41" t="s">
        <v>21</v>
      </c>
      <c r="H157" s="41" t="s">
        <v>22</v>
      </c>
      <c r="I157" s="42">
        <v>1.0</v>
      </c>
      <c r="J157" s="43"/>
      <c r="K157" s="44">
        <v>3085.5</v>
      </c>
      <c r="L157" s="44">
        <v>3085.5</v>
      </c>
      <c r="M157" s="42">
        <v>0.0</v>
      </c>
      <c r="N157" s="44">
        <v>3085.5</v>
      </c>
      <c r="O157" s="40" t="s">
        <v>26</v>
      </c>
    </row>
    <row r="158">
      <c r="A158" s="42">
        <v>12.1</v>
      </c>
      <c r="B158" s="41" t="s">
        <v>929</v>
      </c>
      <c r="C158" s="40" t="s">
        <v>29</v>
      </c>
      <c r="D158" s="40" t="s">
        <v>930</v>
      </c>
      <c r="E158" s="46"/>
      <c r="F158" s="41" t="s">
        <v>21</v>
      </c>
      <c r="G158" s="41">
        <v>14.0</v>
      </c>
      <c r="H158" s="41" t="s">
        <v>22</v>
      </c>
      <c r="I158" s="42">
        <v>1.0</v>
      </c>
      <c r="J158" s="43"/>
      <c r="K158" s="42">
        <v>0.0</v>
      </c>
      <c r="L158" s="42">
        <v>0.0</v>
      </c>
      <c r="M158" s="42">
        <v>0.0</v>
      </c>
      <c r="N158" s="42">
        <v>0.0</v>
      </c>
      <c r="O158" s="46"/>
    </row>
    <row r="159">
      <c r="A159" s="42" t="s">
        <v>966</v>
      </c>
      <c r="B159" s="41" t="s">
        <v>932</v>
      </c>
      <c r="C159" s="40" t="s">
        <v>18</v>
      </c>
      <c r="D159" s="40" t="s">
        <v>912</v>
      </c>
      <c r="E159" s="46"/>
      <c r="F159" s="41">
        <v>36.0</v>
      </c>
      <c r="G159" s="41" t="s">
        <v>21</v>
      </c>
      <c r="H159" s="41" t="s">
        <v>22</v>
      </c>
      <c r="I159" s="42">
        <v>1.0</v>
      </c>
      <c r="J159" s="43"/>
      <c r="K159" s="44">
        <v>1039.5</v>
      </c>
      <c r="L159" s="44">
        <v>1039.5</v>
      </c>
      <c r="M159" s="42">
        <v>0.0</v>
      </c>
      <c r="N159" s="44">
        <v>1039.5</v>
      </c>
      <c r="O159" s="40" t="s">
        <v>26</v>
      </c>
    </row>
    <row r="160">
      <c r="A160" s="42" t="s">
        <v>967</v>
      </c>
      <c r="B160" s="41" t="s">
        <v>934</v>
      </c>
      <c r="C160" s="40" t="s">
        <v>18</v>
      </c>
      <c r="D160" s="40" t="s">
        <v>935</v>
      </c>
      <c r="E160" s="46"/>
      <c r="F160" s="41">
        <v>36.0</v>
      </c>
      <c r="G160" s="41" t="s">
        <v>21</v>
      </c>
      <c r="H160" s="41" t="s">
        <v>22</v>
      </c>
      <c r="I160" s="42">
        <v>1.0</v>
      </c>
      <c r="J160" s="43"/>
      <c r="K160" s="44">
        <v>4437.0</v>
      </c>
      <c r="L160" s="44">
        <v>4437.0</v>
      </c>
      <c r="M160" s="42">
        <v>0.0</v>
      </c>
      <c r="N160" s="44">
        <v>4437.0</v>
      </c>
      <c r="O160" s="46"/>
    </row>
    <row r="161">
      <c r="A161" s="42">
        <v>12.2</v>
      </c>
      <c r="B161" s="41" t="s">
        <v>936</v>
      </c>
      <c r="C161" s="40" t="s">
        <v>29</v>
      </c>
      <c r="D161" s="40" t="s">
        <v>937</v>
      </c>
      <c r="E161" s="46"/>
      <c r="F161" s="41" t="s">
        <v>21</v>
      </c>
      <c r="G161" s="41">
        <v>14.0</v>
      </c>
      <c r="H161" s="41" t="s">
        <v>29</v>
      </c>
      <c r="I161" s="42">
        <v>1.0</v>
      </c>
      <c r="J161" s="43"/>
      <c r="K161" s="42">
        <v>0.0</v>
      </c>
      <c r="L161" s="42">
        <v>0.0</v>
      </c>
      <c r="M161" s="42">
        <v>0.0</v>
      </c>
      <c r="N161" s="44">
        <v>0.0</v>
      </c>
      <c r="O161" s="46"/>
    </row>
    <row r="162">
      <c r="A162" s="42">
        <v>12.3</v>
      </c>
      <c r="B162" s="41" t="s">
        <v>872</v>
      </c>
      <c r="C162" s="40" t="s">
        <v>18</v>
      </c>
      <c r="D162" s="40" t="s">
        <v>873</v>
      </c>
      <c r="E162" s="45"/>
      <c r="F162" s="41" t="s">
        <v>21</v>
      </c>
      <c r="G162" s="41">
        <v>14.0</v>
      </c>
      <c r="H162" s="41" t="s">
        <v>22</v>
      </c>
      <c r="I162" s="42">
        <v>1.0</v>
      </c>
      <c r="J162" s="43"/>
      <c r="K162" s="44">
        <v>0.0</v>
      </c>
      <c r="L162" s="44">
        <v>0.0</v>
      </c>
      <c r="M162" s="42">
        <v>0.0</v>
      </c>
      <c r="N162" s="44">
        <v>0.0</v>
      </c>
      <c r="O162" s="46"/>
    </row>
    <row r="163">
      <c r="A163" s="42">
        <v>12.4</v>
      </c>
      <c r="B163" s="41" t="s">
        <v>868</v>
      </c>
      <c r="C163" s="40" t="s">
        <v>18</v>
      </c>
      <c r="D163" s="40" t="s">
        <v>869</v>
      </c>
      <c r="E163" s="46"/>
      <c r="F163" s="41" t="s">
        <v>21</v>
      </c>
      <c r="G163" s="41">
        <v>14.0</v>
      </c>
      <c r="H163" s="41" t="s">
        <v>29</v>
      </c>
      <c r="I163" s="42">
        <v>1.0</v>
      </c>
      <c r="J163" s="43"/>
      <c r="K163" s="44">
        <v>0.0</v>
      </c>
      <c r="L163" s="44">
        <v>0.0</v>
      </c>
      <c r="M163" s="42">
        <v>0.0</v>
      </c>
      <c r="N163" s="44">
        <v>0.0</v>
      </c>
      <c r="O163" s="45"/>
    </row>
    <row r="164">
      <c r="A164" s="42">
        <v>12.5</v>
      </c>
      <c r="B164" s="41" t="s">
        <v>917</v>
      </c>
      <c r="C164" s="40" t="s">
        <v>18</v>
      </c>
      <c r="D164" s="40" t="s">
        <v>918</v>
      </c>
      <c r="E164" s="46"/>
      <c r="F164" s="41" t="s">
        <v>21</v>
      </c>
      <c r="G164" s="41">
        <v>14.0</v>
      </c>
      <c r="H164" s="41" t="s">
        <v>29</v>
      </c>
      <c r="I164" s="42">
        <v>2.0</v>
      </c>
      <c r="J164" s="43"/>
      <c r="K164" s="42">
        <v>0.0</v>
      </c>
      <c r="L164" s="42">
        <v>0.0</v>
      </c>
      <c r="M164" s="42">
        <v>0.0</v>
      </c>
      <c r="N164" s="42">
        <v>0.0</v>
      </c>
      <c r="O164" s="46"/>
    </row>
    <row r="165">
      <c r="A165" s="42">
        <v>12.6</v>
      </c>
      <c r="B165" s="41" t="s">
        <v>876</v>
      </c>
      <c r="C165" s="40" t="s">
        <v>18</v>
      </c>
      <c r="D165" s="40" t="s">
        <v>877</v>
      </c>
      <c r="E165" s="46"/>
      <c r="F165" s="41" t="s">
        <v>21</v>
      </c>
      <c r="G165" s="41">
        <v>14.0</v>
      </c>
      <c r="H165" s="41" t="s">
        <v>22</v>
      </c>
      <c r="I165" s="42">
        <v>1.0</v>
      </c>
      <c r="J165" s="43"/>
      <c r="K165" s="44">
        <v>0.0</v>
      </c>
      <c r="L165" s="44">
        <v>0.0</v>
      </c>
      <c r="M165" s="42">
        <v>0.0</v>
      </c>
      <c r="N165" s="44">
        <v>0.0</v>
      </c>
      <c r="O165" s="45"/>
    </row>
    <row r="166">
      <c r="A166" s="42">
        <v>12.7</v>
      </c>
      <c r="B166" s="41" t="s">
        <v>878</v>
      </c>
      <c r="C166" s="40" t="s">
        <v>18</v>
      </c>
      <c r="D166" s="40" t="s">
        <v>879</v>
      </c>
      <c r="E166" s="46"/>
      <c r="F166" s="41" t="s">
        <v>21</v>
      </c>
      <c r="G166" s="41">
        <v>14.0</v>
      </c>
      <c r="H166" s="41" t="s">
        <v>22</v>
      </c>
      <c r="I166" s="42">
        <v>1.0</v>
      </c>
      <c r="J166" s="43"/>
      <c r="K166" s="44">
        <v>0.0</v>
      </c>
      <c r="L166" s="44">
        <v>0.0</v>
      </c>
      <c r="M166" s="42">
        <v>0.0</v>
      </c>
      <c r="N166" s="44">
        <v>0.0</v>
      </c>
      <c r="O166" s="46"/>
    </row>
    <row r="167">
      <c r="A167" s="42">
        <v>12.8</v>
      </c>
      <c r="B167" s="41" t="s">
        <v>880</v>
      </c>
      <c r="C167" s="40" t="s">
        <v>18</v>
      </c>
      <c r="D167" s="40" t="s">
        <v>881</v>
      </c>
      <c r="E167" s="46"/>
      <c r="F167" s="41" t="s">
        <v>21</v>
      </c>
      <c r="G167" s="41">
        <v>14.0</v>
      </c>
      <c r="H167" s="41" t="s">
        <v>22</v>
      </c>
      <c r="I167" s="42">
        <v>1.0</v>
      </c>
      <c r="J167" s="43"/>
      <c r="K167" s="42">
        <v>0.0</v>
      </c>
      <c r="L167" s="42">
        <v>0.0</v>
      </c>
      <c r="M167" s="42">
        <v>0.0</v>
      </c>
      <c r="N167" s="42">
        <v>0.0</v>
      </c>
      <c r="O167" s="46"/>
    </row>
    <row r="168">
      <c r="A168" s="42">
        <v>12.9</v>
      </c>
      <c r="B168" s="41" t="s">
        <v>59</v>
      </c>
      <c r="C168" s="40" t="s">
        <v>29</v>
      </c>
      <c r="D168" s="40" t="s">
        <v>60</v>
      </c>
      <c r="E168" s="46"/>
      <c r="F168" s="41" t="s">
        <v>21</v>
      </c>
      <c r="G168" s="41">
        <v>2.0</v>
      </c>
      <c r="H168" s="41" t="s">
        <v>29</v>
      </c>
      <c r="I168" s="42">
        <v>1.0</v>
      </c>
      <c r="J168" s="43"/>
      <c r="K168" s="42">
        <v>0.0</v>
      </c>
      <c r="L168" s="42">
        <v>0.0</v>
      </c>
      <c r="M168" s="42">
        <v>0.0</v>
      </c>
      <c r="N168" s="42">
        <v>0.0</v>
      </c>
      <c r="O168" s="46"/>
    </row>
    <row r="169">
      <c r="A169" s="47"/>
      <c r="B169" s="47"/>
      <c r="C169" s="47"/>
      <c r="D169" s="47"/>
      <c r="E169" s="48"/>
      <c r="F169" s="47"/>
      <c r="G169" s="47"/>
      <c r="H169" s="47"/>
      <c r="I169" s="47"/>
      <c r="J169" s="48"/>
      <c r="K169" s="47"/>
      <c r="L169" s="47"/>
      <c r="M169" s="50" t="s">
        <v>63</v>
      </c>
      <c r="N169" s="51">
        <v>17955.51</v>
      </c>
      <c r="O169" s="52"/>
    </row>
    <row r="170">
      <c r="A170" s="39">
        <v>13.0</v>
      </c>
      <c r="B170" s="39" t="s">
        <v>968</v>
      </c>
      <c r="C170" s="40" t="s">
        <v>18</v>
      </c>
      <c r="D170" s="40" t="s">
        <v>969</v>
      </c>
      <c r="E170" s="40" t="s">
        <v>20</v>
      </c>
      <c r="F170" s="41" t="s">
        <v>21</v>
      </c>
      <c r="G170" s="41">
        <v>21.0</v>
      </c>
      <c r="H170" s="41" t="s">
        <v>22</v>
      </c>
      <c r="I170" s="42">
        <v>1.0</v>
      </c>
      <c r="J170" s="43"/>
      <c r="K170" s="44">
        <v>2743.98</v>
      </c>
      <c r="L170" s="44">
        <v>2743.98</v>
      </c>
      <c r="M170" s="42">
        <v>0.0</v>
      </c>
      <c r="N170" s="44">
        <v>2743.98</v>
      </c>
      <c r="O170" s="46"/>
    </row>
    <row r="171">
      <c r="A171" s="42" t="s">
        <v>189</v>
      </c>
      <c r="B171" s="41" t="s">
        <v>970</v>
      </c>
      <c r="C171" s="40" t="s">
        <v>18</v>
      </c>
      <c r="D171" s="40" t="s">
        <v>971</v>
      </c>
      <c r="E171" s="46"/>
      <c r="F171" s="41">
        <v>36.0</v>
      </c>
      <c r="G171" s="41" t="s">
        <v>21</v>
      </c>
      <c r="H171" s="41" t="s">
        <v>22</v>
      </c>
      <c r="I171" s="42">
        <v>1.0</v>
      </c>
      <c r="J171" s="43"/>
      <c r="K171" s="42">
        <v>858.0</v>
      </c>
      <c r="L171" s="42">
        <v>858.0</v>
      </c>
      <c r="M171" s="42">
        <v>0.0</v>
      </c>
      <c r="N171" s="42">
        <v>858.0</v>
      </c>
      <c r="O171" s="40" t="s">
        <v>26</v>
      </c>
    </row>
    <row r="172">
      <c r="A172" s="42">
        <v>13.1</v>
      </c>
      <c r="B172" s="41" t="s">
        <v>972</v>
      </c>
      <c r="C172" s="40" t="s">
        <v>29</v>
      </c>
      <c r="D172" s="40" t="s">
        <v>973</v>
      </c>
      <c r="E172" s="46"/>
      <c r="F172" s="41" t="s">
        <v>21</v>
      </c>
      <c r="G172" s="41">
        <v>21.0</v>
      </c>
      <c r="H172" s="41" t="s">
        <v>22</v>
      </c>
      <c r="I172" s="42">
        <v>1.0</v>
      </c>
      <c r="J172" s="43"/>
      <c r="K172" s="42">
        <v>0.0</v>
      </c>
      <c r="L172" s="42">
        <v>0.0</v>
      </c>
      <c r="M172" s="42">
        <v>0.0</v>
      </c>
      <c r="N172" s="42">
        <v>0.0</v>
      </c>
      <c r="O172" s="46"/>
    </row>
    <row r="173">
      <c r="A173" s="42" t="s">
        <v>974</v>
      </c>
      <c r="B173" s="41" t="s">
        <v>975</v>
      </c>
      <c r="C173" s="40" t="s">
        <v>18</v>
      </c>
      <c r="D173" s="40" t="s">
        <v>976</v>
      </c>
      <c r="E173" s="46"/>
      <c r="F173" s="41">
        <v>36.0</v>
      </c>
      <c r="G173" s="41" t="s">
        <v>21</v>
      </c>
      <c r="H173" s="41" t="s">
        <v>22</v>
      </c>
      <c r="I173" s="42">
        <v>1.0</v>
      </c>
      <c r="J173" s="43"/>
      <c r="K173" s="42">
        <v>169.14</v>
      </c>
      <c r="L173" s="42">
        <v>169.14</v>
      </c>
      <c r="M173" s="42">
        <v>0.0</v>
      </c>
      <c r="N173" s="42">
        <v>169.14</v>
      </c>
      <c r="O173" s="40" t="s">
        <v>26</v>
      </c>
    </row>
    <row r="174">
      <c r="A174" s="42" t="s">
        <v>977</v>
      </c>
      <c r="B174" s="41" t="s">
        <v>978</v>
      </c>
      <c r="C174" s="40" t="s">
        <v>18</v>
      </c>
      <c r="D174" s="40" t="s">
        <v>979</v>
      </c>
      <c r="E174" s="46"/>
      <c r="F174" s="41">
        <v>36.0</v>
      </c>
      <c r="G174" s="41" t="s">
        <v>21</v>
      </c>
      <c r="H174" s="41" t="s">
        <v>22</v>
      </c>
      <c r="I174" s="42">
        <v>1.0</v>
      </c>
      <c r="J174" s="43"/>
      <c r="K174" s="44">
        <v>1331.0</v>
      </c>
      <c r="L174" s="44">
        <v>1331.0</v>
      </c>
      <c r="M174" s="42">
        <v>0.0</v>
      </c>
      <c r="N174" s="44">
        <v>1331.0</v>
      </c>
      <c r="O174" s="46"/>
    </row>
    <row r="175">
      <c r="A175" s="42">
        <v>13.2</v>
      </c>
      <c r="B175" s="41" t="s">
        <v>980</v>
      </c>
      <c r="C175" s="40" t="s">
        <v>29</v>
      </c>
      <c r="D175" s="40" t="s">
        <v>981</v>
      </c>
      <c r="E175" s="46"/>
      <c r="F175" s="41" t="s">
        <v>21</v>
      </c>
      <c r="G175" s="41">
        <v>21.0</v>
      </c>
      <c r="H175" s="41" t="s">
        <v>29</v>
      </c>
      <c r="I175" s="42">
        <v>1.0</v>
      </c>
      <c r="J175" s="43"/>
      <c r="K175" s="42">
        <v>0.0</v>
      </c>
      <c r="L175" s="42">
        <v>0.0</v>
      </c>
      <c r="M175" s="42">
        <v>0.0</v>
      </c>
      <c r="N175" s="44">
        <v>0.0</v>
      </c>
      <c r="O175" s="46"/>
    </row>
    <row r="176">
      <c r="A176" s="42">
        <v>13.3</v>
      </c>
      <c r="B176" s="41" t="s">
        <v>872</v>
      </c>
      <c r="C176" s="40" t="s">
        <v>18</v>
      </c>
      <c r="D176" s="40" t="s">
        <v>873</v>
      </c>
      <c r="E176" s="45"/>
      <c r="F176" s="41" t="s">
        <v>21</v>
      </c>
      <c r="G176" s="41">
        <v>14.0</v>
      </c>
      <c r="H176" s="41" t="s">
        <v>22</v>
      </c>
      <c r="I176" s="42">
        <v>1.0</v>
      </c>
      <c r="J176" s="43"/>
      <c r="K176" s="44">
        <v>0.0</v>
      </c>
      <c r="L176" s="44">
        <v>0.0</v>
      </c>
      <c r="M176" s="42">
        <v>0.0</v>
      </c>
      <c r="N176" s="44">
        <v>0.0</v>
      </c>
      <c r="O176" s="46"/>
    </row>
    <row r="177">
      <c r="A177" s="42">
        <v>13.4</v>
      </c>
      <c r="B177" s="41" t="s">
        <v>982</v>
      </c>
      <c r="C177" s="40" t="s">
        <v>18</v>
      </c>
      <c r="D177" s="40" t="s">
        <v>983</v>
      </c>
      <c r="E177" s="46"/>
      <c r="F177" s="41" t="s">
        <v>21</v>
      </c>
      <c r="G177" s="41">
        <v>28.0</v>
      </c>
      <c r="H177" s="41" t="s">
        <v>22</v>
      </c>
      <c r="I177" s="42">
        <v>1.0</v>
      </c>
      <c r="J177" s="43"/>
      <c r="K177" s="44">
        <v>42.6</v>
      </c>
      <c r="L177" s="44">
        <v>42.6</v>
      </c>
      <c r="M177" s="42">
        <v>0.0</v>
      </c>
      <c r="N177" s="44">
        <v>42.6</v>
      </c>
      <c r="O177" s="45"/>
    </row>
    <row r="178">
      <c r="A178" s="42">
        <v>13.5</v>
      </c>
      <c r="B178" s="41" t="s">
        <v>984</v>
      </c>
      <c r="C178" s="40" t="s">
        <v>18</v>
      </c>
      <c r="D178" s="40" t="s">
        <v>985</v>
      </c>
      <c r="E178" s="46"/>
      <c r="F178" s="41" t="s">
        <v>21</v>
      </c>
      <c r="G178" s="41">
        <v>21.0</v>
      </c>
      <c r="H178" s="41" t="s">
        <v>29</v>
      </c>
      <c r="I178" s="42">
        <v>1.0</v>
      </c>
      <c r="J178" s="43"/>
      <c r="K178" s="42">
        <v>0.0</v>
      </c>
      <c r="L178" s="42">
        <v>0.0</v>
      </c>
      <c r="M178" s="42">
        <v>0.0</v>
      </c>
      <c r="N178" s="42">
        <v>0.0</v>
      </c>
      <c r="O178" s="46"/>
    </row>
    <row r="179">
      <c r="A179" s="42">
        <v>13.6</v>
      </c>
      <c r="B179" s="41" t="s">
        <v>59</v>
      </c>
      <c r="C179" s="40" t="s">
        <v>29</v>
      </c>
      <c r="D179" s="40" t="s">
        <v>60</v>
      </c>
      <c r="E179" s="46"/>
      <c r="F179" s="41" t="s">
        <v>21</v>
      </c>
      <c r="G179" s="41">
        <v>2.0</v>
      </c>
      <c r="H179" s="41" t="s">
        <v>29</v>
      </c>
      <c r="I179" s="42">
        <v>1.0</v>
      </c>
      <c r="J179" s="43"/>
      <c r="K179" s="44">
        <v>0.0</v>
      </c>
      <c r="L179" s="44">
        <v>0.0</v>
      </c>
      <c r="M179" s="42">
        <v>0.0</v>
      </c>
      <c r="N179" s="44">
        <v>0.0</v>
      </c>
      <c r="O179" s="45"/>
    </row>
    <row r="180">
      <c r="A180" s="47"/>
      <c r="B180" s="47"/>
      <c r="C180" s="47"/>
      <c r="D180" s="47"/>
      <c r="E180" s="48"/>
      <c r="F180" s="47"/>
      <c r="G180" s="47"/>
      <c r="H180" s="47"/>
      <c r="I180" s="47"/>
      <c r="J180" s="48"/>
      <c r="K180" s="49"/>
      <c r="L180" s="49"/>
      <c r="M180" s="50" t="s">
        <v>63</v>
      </c>
      <c r="N180" s="51">
        <v>5144.72</v>
      </c>
      <c r="O180" s="52"/>
    </row>
    <row r="181">
      <c r="A181" s="39">
        <v>14.0</v>
      </c>
      <c r="B181" s="39" t="s">
        <v>986</v>
      </c>
      <c r="C181" s="40" t="s">
        <v>18</v>
      </c>
      <c r="D181" s="40" t="s">
        <v>987</v>
      </c>
      <c r="E181" s="40" t="s">
        <v>20</v>
      </c>
      <c r="F181" s="41" t="s">
        <v>21</v>
      </c>
      <c r="G181" s="41">
        <v>21.0</v>
      </c>
      <c r="H181" s="41" t="s">
        <v>22</v>
      </c>
      <c r="I181" s="42">
        <v>1.0</v>
      </c>
      <c r="J181" s="43"/>
      <c r="K181" s="44">
        <v>2303.68</v>
      </c>
      <c r="L181" s="44">
        <v>2303.68</v>
      </c>
      <c r="M181" s="42">
        <v>0.0</v>
      </c>
      <c r="N181" s="44">
        <v>2303.68</v>
      </c>
      <c r="O181" s="46"/>
    </row>
    <row r="182">
      <c r="A182" s="42" t="s">
        <v>199</v>
      </c>
      <c r="B182" s="41" t="s">
        <v>988</v>
      </c>
      <c r="C182" s="40" t="s">
        <v>18</v>
      </c>
      <c r="D182" s="40" t="s">
        <v>989</v>
      </c>
      <c r="E182" s="46"/>
      <c r="F182" s="41">
        <v>36.0</v>
      </c>
      <c r="G182" s="41" t="s">
        <v>21</v>
      </c>
      <c r="H182" s="41" t="s">
        <v>22</v>
      </c>
      <c r="I182" s="42">
        <v>1.0</v>
      </c>
      <c r="J182" s="43"/>
      <c r="K182" s="42">
        <v>721.89</v>
      </c>
      <c r="L182" s="42">
        <v>721.89</v>
      </c>
      <c r="M182" s="42">
        <v>0.0</v>
      </c>
      <c r="N182" s="42">
        <v>721.89</v>
      </c>
      <c r="O182" s="40" t="s">
        <v>26</v>
      </c>
    </row>
    <row r="183">
      <c r="A183" s="42">
        <v>14.1</v>
      </c>
      <c r="B183" s="41" t="s">
        <v>59</v>
      </c>
      <c r="C183" s="40" t="s">
        <v>29</v>
      </c>
      <c r="D183" s="40" t="s">
        <v>60</v>
      </c>
      <c r="E183" s="46"/>
      <c r="F183" s="41" t="s">
        <v>21</v>
      </c>
      <c r="G183" s="41">
        <v>2.0</v>
      </c>
      <c r="H183" s="41" t="s">
        <v>29</v>
      </c>
      <c r="I183" s="42">
        <v>1.0</v>
      </c>
      <c r="J183" s="43"/>
      <c r="K183" s="42">
        <v>0.0</v>
      </c>
      <c r="L183" s="42">
        <v>0.0</v>
      </c>
      <c r="M183" s="42">
        <v>0.0</v>
      </c>
      <c r="N183" s="42">
        <v>0.0</v>
      </c>
      <c r="O183" s="46"/>
    </row>
    <row r="184">
      <c r="A184" s="42">
        <v>14.2</v>
      </c>
      <c r="B184" s="41" t="s">
        <v>990</v>
      </c>
      <c r="C184" s="40" t="s">
        <v>18</v>
      </c>
      <c r="D184" s="40" t="s">
        <v>985</v>
      </c>
      <c r="E184" s="46"/>
      <c r="F184" s="41" t="s">
        <v>21</v>
      </c>
      <c r="G184" s="41">
        <v>21.0</v>
      </c>
      <c r="H184" s="41" t="s">
        <v>29</v>
      </c>
      <c r="I184" s="42">
        <v>1.0</v>
      </c>
      <c r="J184" s="43"/>
      <c r="K184" s="42">
        <v>0.0</v>
      </c>
      <c r="L184" s="42">
        <v>0.0</v>
      </c>
      <c r="M184" s="42">
        <v>0.0</v>
      </c>
      <c r="N184" s="42">
        <v>0.0</v>
      </c>
      <c r="O184" s="46"/>
    </row>
    <row r="185">
      <c r="A185" s="42">
        <v>14.3</v>
      </c>
      <c r="B185" s="41" t="s">
        <v>991</v>
      </c>
      <c r="C185" s="40" t="s">
        <v>29</v>
      </c>
      <c r="D185" s="40" t="s">
        <v>992</v>
      </c>
      <c r="E185" s="46"/>
      <c r="F185" s="41" t="s">
        <v>21</v>
      </c>
      <c r="G185" s="41">
        <v>21.0</v>
      </c>
      <c r="H185" s="41" t="s">
        <v>29</v>
      </c>
      <c r="I185" s="42">
        <v>1.0</v>
      </c>
      <c r="J185" s="43"/>
      <c r="K185" s="42">
        <v>0.0</v>
      </c>
      <c r="L185" s="42">
        <v>0.0</v>
      </c>
      <c r="M185" s="42">
        <v>0.0</v>
      </c>
      <c r="N185" s="42">
        <v>0.0</v>
      </c>
      <c r="O185" s="46"/>
    </row>
    <row r="186">
      <c r="A186" s="42">
        <v>14.4</v>
      </c>
      <c r="B186" s="41" t="s">
        <v>993</v>
      </c>
      <c r="C186" s="40" t="s">
        <v>29</v>
      </c>
      <c r="D186" s="40" t="s">
        <v>994</v>
      </c>
      <c r="E186" s="46"/>
      <c r="F186" s="41" t="s">
        <v>21</v>
      </c>
      <c r="G186" s="41">
        <v>21.0</v>
      </c>
      <c r="H186" s="41" t="s">
        <v>22</v>
      </c>
      <c r="I186" s="42">
        <v>1.0</v>
      </c>
      <c r="J186" s="43"/>
      <c r="K186" s="42">
        <v>0.0</v>
      </c>
      <c r="L186" s="42">
        <v>0.0</v>
      </c>
      <c r="M186" s="42">
        <v>0.0</v>
      </c>
      <c r="N186" s="42">
        <v>0.0</v>
      </c>
      <c r="O186" s="46"/>
    </row>
    <row r="187">
      <c r="A187" s="42" t="s">
        <v>995</v>
      </c>
      <c r="B187" s="41" t="s">
        <v>996</v>
      </c>
      <c r="C187" s="40" t="s">
        <v>18</v>
      </c>
      <c r="D187" s="40" t="s">
        <v>997</v>
      </c>
      <c r="E187" s="46"/>
      <c r="F187" s="41">
        <v>36.0</v>
      </c>
      <c r="G187" s="41" t="s">
        <v>21</v>
      </c>
      <c r="H187" s="41" t="s">
        <v>22</v>
      </c>
      <c r="I187" s="42">
        <v>1.0</v>
      </c>
      <c r="J187" s="43"/>
      <c r="K187" s="42">
        <v>169.14</v>
      </c>
      <c r="L187" s="42">
        <v>169.14</v>
      </c>
      <c r="M187" s="42">
        <v>0.0</v>
      </c>
      <c r="N187" s="42">
        <v>169.14</v>
      </c>
      <c r="O187" s="40" t="s">
        <v>26</v>
      </c>
    </row>
    <row r="188">
      <c r="A188" s="42" t="s">
        <v>998</v>
      </c>
      <c r="B188" s="41" t="s">
        <v>999</v>
      </c>
      <c r="C188" s="40" t="s">
        <v>18</v>
      </c>
      <c r="D188" s="40" t="s">
        <v>1000</v>
      </c>
      <c r="E188" s="46"/>
      <c r="F188" s="41">
        <v>36.0</v>
      </c>
      <c r="G188" s="41" t="s">
        <v>21</v>
      </c>
      <c r="H188" s="41" t="s">
        <v>22</v>
      </c>
      <c r="I188" s="42">
        <v>1.0</v>
      </c>
      <c r="J188" s="43"/>
      <c r="K188" s="44">
        <v>1331.0</v>
      </c>
      <c r="L188" s="44">
        <v>1331.0</v>
      </c>
      <c r="M188" s="42">
        <v>0.0</v>
      </c>
      <c r="N188" s="44">
        <v>1331.0</v>
      </c>
      <c r="O188" s="46"/>
    </row>
    <row r="189">
      <c r="A189" s="42">
        <v>14.5</v>
      </c>
      <c r="B189" s="41" t="s">
        <v>982</v>
      </c>
      <c r="C189" s="40" t="s">
        <v>18</v>
      </c>
      <c r="D189" s="40" t="s">
        <v>983</v>
      </c>
      <c r="E189" s="46"/>
      <c r="F189" s="41" t="s">
        <v>21</v>
      </c>
      <c r="G189" s="41">
        <v>28.0</v>
      </c>
      <c r="H189" s="41" t="s">
        <v>22</v>
      </c>
      <c r="I189" s="42">
        <v>1.0</v>
      </c>
      <c r="J189" s="43"/>
      <c r="K189" s="42">
        <v>42.6</v>
      </c>
      <c r="L189" s="42">
        <v>42.6</v>
      </c>
      <c r="M189" s="42">
        <v>0.0</v>
      </c>
      <c r="N189" s="44">
        <v>42.6</v>
      </c>
      <c r="O189" s="46"/>
    </row>
    <row r="190">
      <c r="A190" s="42">
        <v>14.6</v>
      </c>
      <c r="B190" s="41" t="s">
        <v>1001</v>
      </c>
      <c r="C190" s="40" t="s">
        <v>18</v>
      </c>
      <c r="D190" s="40" t="s">
        <v>1002</v>
      </c>
      <c r="E190" s="45"/>
      <c r="F190" s="41" t="s">
        <v>21</v>
      </c>
      <c r="G190" s="41">
        <v>21.0</v>
      </c>
      <c r="H190" s="41" t="s">
        <v>22</v>
      </c>
      <c r="I190" s="42">
        <v>1.0</v>
      </c>
      <c r="J190" s="43"/>
      <c r="K190" s="44">
        <v>146.0</v>
      </c>
      <c r="L190" s="44">
        <v>146.0</v>
      </c>
      <c r="M190" s="42">
        <v>0.0</v>
      </c>
      <c r="N190" s="44">
        <v>146.0</v>
      </c>
      <c r="O190" s="46"/>
    </row>
    <row r="191">
      <c r="A191" s="42">
        <v>14.7</v>
      </c>
      <c r="B191" s="41" t="s">
        <v>1003</v>
      </c>
      <c r="C191" s="40" t="s">
        <v>18</v>
      </c>
      <c r="D191" s="40" t="s">
        <v>1004</v>
      </c>
      <c r="E191" s="46"/>
      <c r="F191" s="41" t="s">
        <v>21</v>
      </c>
      <c r="G191" s="41">
        <v>21.0</v>
      </c>
      <c r="H191" s="41" t="s">
        <v>22</v>
      </c>
      <c r="I191" s="42">
        <v>1.0</v>
      </c>
      <c r="J191" s="43"/>
      <c r="K191" s="44">
        <v>0.0</v>
      </c>
      <c r="L191" s="44">
        <v>0.0</v>
      </c>
      <c r="M191" s="42">
        <v>0.0</v>
      </c>
      <c r="N191" s="44">
        <v>0.0</v>
      </c>
      <c r="O191" s="45"/>
    </row>
    <row r="192">
      <c r="A192" s="47"/>
      <c r="B192" s="47"/>
      <c r="C192" s="47"/>
      <c r="D192" s="47"/>
      <c r="E192" s="48"/>
      <c r="F192" s="47"/>
      <c r="G192" s="47"/>
      <c r="H192" s="47"/>
      <c r="I192" s="47"/>
      <c r="J192" s="48"/>
      <c r="K192" s="47"/>
      <c r="L192" s="47"/>
      <c r="M192" s="50" t="s">
        <v>63</v>
      </c>
      <c r="N192" s="51">
        <v>4714.31</v>
      </c>
      <c r="O192" s="52"/>
    </row>
    <row r="193">
      <c r="A193" s="39">
        <v>15.0</v>
      </c>
      <c r="B193" s="39" t="s">
        <v>1005</v>
      </c>
      <c r="C193" s="40" t="s">
        <v>18</v>
      </c>
      <c r="D193" s="40" t="s">
        <v>1006</v>
      </c>
      <c r="E193" s="40" t="s">
        <v>20</v>
      </c>
      <c r="F193" s="41" t="s">
        <v>21</v>
      </c>
      <c r="G193" s="41">
        <v>21.0</v>
      </c>
      <c r="H193" s="41" t="s">
        <v>22</v>
      </c>
      <c r="I193" s="42">
        <v>1.0</v>
      </c>
      <c r="J193" s="43"/>
      <c r="K193" s="44">
        <v>3094.82</v>
      </c>
      <c r="L193" s="44">
        <v>3094.82</v>
      </c>
      <c r="M193" s="42">
        <v>0.0</v>
      </c>
      <c r="N193" s="44">
        <v>3094.82</v>
      </c>
      <c r="O193" s="45"/>
    </row>
    <row r="194">
      <c r="A194" s="42" t="s">
        <v>210</v>
      </c>
      <c r="B194" s="41" t="s">
        <v>1007</v>
      </c>
      <c r="C194" s="40" t="s">
        <v>18</v>
      </c>
      <c r="D194" s="40" t="s">
        <v>1008</v>
      </c>
      <c r="E194" s="46"/>
      <c r="F194" s="41">
        <v>36.0</v>
      </c>
      <c r="G194" s="41" t="s">
        <v>21</v>
      </c>
      <c r="H194" s="41" t="s">
        <v>22</v>
      </c>
      <c r="I194" s="42">
        <v>1.0</v>
      </c>
      <c r="J194" s="43"/>
      <c r="K194" s="44">
        <v>969.39</v>
      </c>
      <c r="L194" s="44">
        <v>969.39</v>
      </c>
      <c r="M194" s="42">
        <v>0.0</v>
      </c>
      <c r="N194" s="44">
        <v>969.39</v>
      </c>
      <c r="O194" s="40" t="s">
        <v>26</v>
      </c>
    </row>
    <row r="195">
      <c r="A195" s="42">
        <v>15.1</v>
      </c>
      <c r="B195" s="41" t="s">
        <v>993</v>
      </c>
      <c r="C195" s="40" t="s">
        <v>29</v>
      </c>
      <c r="D195" s="40" t="s">
        <v>994</v>
      </c>
      <c r="E195" s="46"/>
      <c r="F195" s="41" t="s">
        <v>21</v>
      </c>
      <c r="G195" s="41">
        <v>21.0</v>
      </c>
      <c r="H195" s="41" t="s">
        <v>22</v>
      </c>
      <c r="I195" s="42">
        <v>1.0</v>
      </c>
      <c r="J195" s="43"/>
      <c r="K195" s="42">
        <v>0.0</v>
      </c>
      <c r="L195" s="42">
        <v>0.0</v>
      </c>
      <c r="M195" s="42">
        <v>0.0</v>
      </c>
      <c r="N195" s="42">
        <v>0.0</v>
      </c>
      <c r="O195" s="46"/>
    </row>
    <row r="196">
      <c r="A196" s="42" t="s">
        <v>1009</v>
      </c>
      <c r="B196" s="41" t="s">
        <v>996</v>
      </c>
      <c r="C196" s="40" t="s">
        <v>18</v>
      </c>
      <c r="D196" s="40" t="s">
        <v>997</v>
      </c>
      <c r="E196" s="46"/>
      <c r="F196" s="41">
        <v>36.0</v>
      </c>
      <c r="G196" s="41" t="s">
        <v>21</v>
      </c>
      <c r="H196" s="41" t="s">
        <v>22</v>
      </c>
      <c r="I196" s="42">
        <v>1.0</v>
      </c>
      <c r="J196" s="43"/>
      <c r="K196" s="42">
        <v>169.14</v>
      </c>
      <c r="L196" s="42">
        <v>169.14</v>
      </c>
      <c r="M196" s="42">
        <v>0.0</v>
      </c>
      <c r="N196" s="42">
        <v>169.14</v>
      </c>
      <c r="O196" s="40" t="s">
        <v>26</v>
      </c>
    </row>
    <row r="197">
      <c r="A197" s="42" t="s">
        <v>1010</v>
      </c>
      <c r="B197" s="41" t="s">
        <v>999</v>
      </c>
      <c r="C197" s="40" t="s">
        <v>18</v>
      </c>
      <c r="D197" s="40" t="s">
        <v>1000</v>
      </c>
      <c r="E197" s="46"/>
      <c r="F197" s="41">
        <v>36.0</v>
      </c>
      <c r="G197" s="41" t="s">
        <v>21</v>
      </c>
      <c r="H197" s="41" t="s">
        <v>22</v>
      </c>
      <c r="I197" s="42">
        <v>1.0</v>
      </c>
      <c r="J197" s="43"/>
      <c r="K197" s="44">
        <v>1331.0</v>
      </c>
      <c r="L197" s="44">
        <v>1331.0</v>
      </c>
      <c r="M197" s="42">
        <v>0.0</v>
      </c>
      <c r="N197" s="44">
        <v>1331.0</v>
      </c>
      <c r="O197" s="46"/>
    </row>
    <row r="198">
      <c r="A198" s="42">
        <v>15.2</v>
      </c>
      <c r="B198" s="41" t="s">
        <v>991</v>
      </c>
      <c r="C198" s="40" t="s">
        <v>29</v>
      </c>
      <c r="D198" s="40" t="s">
        <v>992</v>
      </c>
      <c r="E198" s="46"/>
      <c r="F198" s="41" t="s">
        <v>21</v>
      </c>
      <c r="G198" s="41">
        <v>21.0</v>
      </c>
      <c r="H198" s="41" t="s">
        <v>29</v>
      </c>
      <c r="I198" s="42">
        <v>1.0</v>
      </c>
      <c r="J198" s="43"/>
      <c r="K198" s="42">
        <v>0.0</v>
      </c>
      <c r="L198" s="42">
        <v>0.0</v>
      </c>
      <c r="M198" s="42">
        <v>0.0</v>
      </c>
      <c r="N198" s="42">
        <v>0.0</v>
      </c>
      <c r="O198" s="46"/>
    </row>
    <row r="199">
      <c r="A199" s="42">
        <v>15.3</v>
      </c>
      <c r="B199" s="41" t="s">
        <v>872</v>
      </c>
      <c r="C199" s="40" t="s">
        <v>18</v>
      </c>
      <c r="D199" s="40" t="s">
        <v>873</v>
      </c>
      <c r="E199" s="46"/>
      <c r="F199" s="41" t="s">
        <v>21</v>
      </c>
      <c r="G199" s="41">
        <v>14.0</v>
      </c>
      <c r="H199" s="41" t="s">
        <v>22</v>
      </c>
      <c r="I199" s="42">
        <v>1.0</v>
      </c>
      <c r="J199" s="43"/>
      <c r="K199" s="42">
        <v>0.0</v>
      </c>
      <c r="L199" s="42">
        <v>0.0</v>
      </c>
      <c r="M199" s="42">
        <v>0.0</v>
      </c>
      <c r="N199" s="42">
        <v>0.0</v>
      </c>
      <c r="O199" s="46"/>
    </row>
    <row r="200">
      <c r="A200" s="42">
        <v>15.4</v>
      </c>
      <c r="B200" s="41" t="s">
        <v>982</v>
      </c>
      <c r="C200" s="40" t="s">
        <v>18</v>
      </c>
      <c r="D200" s="40" t="s">
        <v>983</v>
      </c>
      <c r="E200" s="46"/>
      <c r="F200" s="41" t="s">
        <v>21</v>
      </c>
      <c r="G200" s="41">
        <v>28.0</v>
      </c>
      <c r="H200" s="41" t="s">
        <v>22</v>
      </c>
      <c r="I200" s="42">
        <v>1.0</v>
      </c>
      <c r="J200" s="43"/>
      <c r="K200" s="42">
        <v>42.6</v>
      </c>
      <c r="L200" s="42">
        <v>42.6</v>
      </c>
      <c r="M200" s="42">
        <v>0.0</v>
      </c>
      <c r="N200" s="42">
        <v>42.6</v>
      </c>
      <c r="O200" s="46"/>
    </row>
    <row r="201">
      <c r="A201" s="42">
        <v>15.5</v>
      </c>
      <c r="B201" s="41" t="s">
        <v>984</v>
      </c>
      <c r="C201" s="40" t="s">
        <v>18</v>
      </c>
      <c r="D201" s="40" t="s">
        <v>985</v>
      </c>
      <c r="E201" s="46"/>
      <c r="F201" s="41" t="s">
        <v>21</v>
      </c>
      <c r="G201" s="41">
        <v>21.0</v>
      </c>
      <c r="H201" s="41" t="s">
        <v>29</v>
      </c>
      <c r="I201" s="42">
        <v>1.0</v>
      </c>
      <c r="J201" s="43"/>
      <c r="K201" s="42">
        <v>0.0</v>
      </c>
      <c r="L201" s="42">
        <v>0.0</v>
      </c>
      <c r="M201" s="42">
        <v>0.0</v>
      </c>
      <c r="N201" s="42">
        <v>0.0</v>
      </c>
      <c r="O201" s="46"/>
    </row>
    <row r="202">
      <c r="A202" s="42">
        <v>15.6</v>
      </c>
      <c r="B202" s="41" t="s">
        <v>59</v>
      </c>
      <c r="C202" s="40" t="s">
        <v>29</v>
      </c>
      <c r="D202" s="40" t="s">
        <v>60</v>
      </c>
      <c r="E202" s="46"/>
      <c r="F202" s="41" t="s">
        <v>21</v>
      </c>
      <c r="G202" s="41">
        <v>2.0</v>
      </c>
      <c r="H202" s="41" t="s">
        <v>29</v>
      </c>
      <c r="I202" s="42">
        <v>1.0</v>
      </c>
      <c r="J202" s="43"/>
      <c r="K202" s="42">
        <v>0.0</v>
      </c>
      <c r="L202" s="42">
        <v>0.0</v>
      </c>
      <c r="M202" s="42">
        <v>0.0</v>
      </c>
      <c r="N202" s="42">
        <v>0.0</v>
      </c>
      <c r="O202" s="46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50" t="s">
        <v>63</v>
      </c>
      <c r="N203" s="51">
        <v>5606.95</v>
      </c>
      <c r="O203" s="52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50" t="s">
        <v>233</v>
      </c>
      <c r="N204" s="51">
        <v>163996.86</v>
      </c>
      <c r="O204" s="5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75"/>
  </cols>
  <sheetData>
    <row r="1">
      <c r="A1" s="77" t="s">
        <v>2</v>
      </c>
      <c r="B1" s="77" t="s">
        <v>3</v>
      </c>
      <c r="C1" s="77" t="s">
        <v>4</v>
      </c>
      <c r="D1" s="77" t="s">
        <v>5</v>
      </c>
      <c r="E1" s="77" t="s">
        <v>6</v>
      </c>
      <c r="F1" s="77" t="s">
        <v>7</v>
      </c>
      <c r="G1" s="77" t="s">
        <v>8</v>
      </c>
      <c r="H1" s="77" t="s">
        <v>9</v>
      </c>
      <c r="I1" s="77" t="s">
        <v>10</v>
      </c>
      <c r="J1" s="77" t="s">
        <v>11</v>
      </c>
      <c r="K1" s="77" t="s">
        <v>12</v>
      </c>
      <c r="L1" s="77" t="s">
        <v>13</v>
      </c>
      <c r="M1" s="77" t="s">
        <v>14</v>
      </c>
      <c r="N1" s="77" t="s">
        <v>15</v>
      </c>
      <c r="O1" s="77" t="s">
        <v>16</v>
      </c>
    </row>
    <row r="2">
      <c r="A2" s="78">
        <v>1.0</v>
      </c>
      <c r="B2" s="78" t="s">
        <v>1011</v>
      </c>
      <c r="C2" s="79" t="s">
        <v>18</v>
      </c>
      <c r="D2" s="79" t="s">
        <v>1012</v>
      </c>
      <c r="E2" s="79" t="s">
        <v>20</v>
      </c>
      <c r="F2" s="79" t="s">
        <v>21</v>
      </c>
      <c r="G2" s="79">
        <v>14.0</v>
      </c>
      <c r="H2" s="79" t="s">
        <v>22</v>
      </c>
      <c r="I2" s="80">
        <v>1.0</v>
      </c>
      <c r="J2" s="81"/>
      <c r="K2" s="82">
        <v>5800.45</v>
      </c>
      <c r="L2" s="82">
        <v>5800.45</v>
      </c>
      <c r="M2" s="80">
        <v>0.0</v>
      </c>
      <c r="N2" s="82">
        <v>5800.45</v>
      </c>
      <c r="O2" s="83"/>
    </row>
    <row r="3">
      <c r="A3" s="80" t="s">
        <v>23</v>
      </c>
      <c r="B3" s="79" t="s">
        <v>1013</v>
      </c>
      <c r="C3" s="79" t="s">
        <v>18</v>
      </c>
      <c r="D3" s="79" t="s">
        <v>1014</v>
      </c>
      <c r="E3" s="83"/>
      <c r="F3" s="79">
        <v>36.0</v>
      </c>
      <c r="G3" s="79" t="s">
        <v>21</v>
      </c>
      <c r="H3" s="79" t="s">
        <v>22</v>
      </c>
      <c r="I3" s="80">
        <v>1.0</v>
      </c>
      <c r="J3" s="81"/>
      <c r="K3" s="82">
        <v>1815.0</v>
      </c>
      <c r="L3" s="82">
        <v>1815.0</v>
      </c>
      <c r="M3" s="80">
        <v>0.0</v>
      </c>
      <c r="N3" s="82">
        <v>1815.0</v>
      </c>
      <c r="O3" s="79" t="s">
        <v>26</v>
      </c>
    </row>
    <row r="4">
      <c r="A4" s="80">
        <v>1.1</v>
      </c>
      <c r="B4" s="79" t="s">
        <v>1015</v>
      </c>
      <c r="C4" s="79" t="s">
        <v>29</v>
      </c>
      <c r="D4" s="79" t="s">
        <v>1016</v>
      </c>
      <c r="E4" s="83"/>
      <c r="F4" s="79" t="s">
        <v>21</v>
      </c>
      <c r="G4" s="79">
        <v>14.0</v>
      </c>
      <c r="H4" s="79" t="s">
        <v>22</v>
      </c>
      <c r="I4" s="80">
        <v>1.0</v>
      </c>
      <c r="J4" s="81"/>
      <c r="K4" s="80">
        <v>0.0</v>
      </c>
      <c r="L4" s="80">
        <v>0.0</v>
      </c>
      <c r="M4" s="80">
        <v>0.0</v>
      </c>
      <c r="N4" s="80">
        <v>0.0</v>
      </c>
      <c r="O4" s="83"/>
    </row>
    <row r="5">
      <c r="A5" s="80" t="s">
        <v>606</v>
      </c>
      <c r="B5" s="79" t="s">
        <v>1017</v>
      </c>
      <c r="C5" s="79" t="s">
        <v>18</v>
      </c>
      <c r="D5" s="79" t="s">
        <v>1018</v>
      </c>
      <c r="E5" s="83"/>
      <c r="F5" s="79">
        <v>36.0</v>
      </c>
      <c r="G5" s="79" t="s">
        <v>21</v>
      </c>
      <c r="H5" s="79" t="s">
        <v>22</v>
      </c>
      <c r="I5" s="80">
        <v>1.0</v>
      </c>
      <c r="J5" s="81"/>
      <c r="K5" s="80">
        <v>486.75</v>
      </c>
      <c r="L5" s="80">
        <v>486.75</v>
      </c>
      <c r="M5" s="80">
        <v>0.0</v>
      </c>
      <c r="N5" s="80">
        <v>486.75</v>
      </c>
      <c r="O5" s="79" t="s">
        <v>26</v>
      </c>
    </row>
    <row r="6">
      <c r="A6" s="80" t="s">
        <v>30</v>
      </c>
      <c r="B6" s="79" t="s">
        <v>1019</v>
      </c>
      <c r="C6" s="79" t="s">
        <v>18</v>
      </c>
      <c r="D6" s="79" t="s">
        <v>1020</v>
      </c>
      <c r="E6" s="83"/>
      <c r="F6" s="79">
        <v>36.0</v>
      </c>
      <c r="G6" s="79" t="s">
        <v>21</v>
      </c>
      <c r="H6" s="79" t="s">
        <v>22</v>
      </c>
      <c r="I6" s="80">
        <v>1.0</v>
      </c>
      <c r="J6" s="81"/>
      <c r="K6" s="82">
        <v>2365.77</v>
      </c>
      <c r="L6" s="82">
        <v>2365.77</v>
      </c>
      <c r="M6" s="80">
        <v>0.0</v>
      </c>
      <c r="N6" s="82">
        <v>2365.77</v>
      </c>
      <c r="O6" s="83"/>
    </row>
    <row r="7">
      <c r="A7" s="80">
        <v>1.2</v>
      </c>
      <c r="B7" s="79" t="s">
        <v>1021</v>
      </c>
      <c r="C7" s="79" t="s">
        <v>29</v>
      </c>
      <c r="D7" s="79" t="s">
        <v>1022</v>
      </c>
      <c r="E7" s="83"/>
      <c r="F7" s="79" t="s">
        <v>21</v>
      </c>
      <c r="G7" s="79">
        <v>14.0</v>
      </c>
      <c r="H7" s="79" t="s">
        <v>29</v>
      </c>
      <c r="I7" s="80">
        <v>1.0</v>
      </c>
      <c r="J7" s="81"/>
      <c r="K7" s="80">
        <v>0.0</v>
      </c>
      <c r="L7" s="80">
        <v>0.0</v>
      </c>
      <c r="M7" s="80">
        <v>0.0</v>
      </c>
      <c r="N7" s="80">
        <v>0.0</v>
      </c>
      <c r="O7" s="83"/>
    </row>
    <row r="8">
      <c r="A8" s="80" t="s">
        <v>38</v>
      </c>
      <c r="B8" s="79" t="s">
        <v>1023</v>
      </c>
      <c r="C8" s="79" t="s">
        <v>18</v>
      </c>
      <c r="D8" s="79" t="s">
        <v>1024</v>
      </c>
      <c r="E8" s="83"/>
      <c r="F8" s="79">
        <v>36.0</v>
      </c>
      <c r="G8" s="79" t="s">
        <v>21</v>
      </c>
      <c r="H8" s="79" t="s">
        <v>22</v>
      </c>
      <c r="I8" s="80">
        <v>1.0</v>
      </c>
      <c r="J8" s="81"/>
      <c r="K8" s="80">
        <v>0.0</v>
      </c>
      <c r="L8" s="80">
        <v>0.0</v>
      </c>
      <c r="M8" s="80">
        <v>0.0</v>
      </c>
      <c r="N8" s="80">
        <v>0.0</v>
      </c>
      <c r="O8" s="83"/>
    </row>
    <row r="9">
      <c r="A9" s="80">
        <v>1.3</v>
      </c>
      <c r="B9" s="79" t="s">
        <v>1025</v>
      </c>
      <c r="C9" s="79" t="s">
        <v>29</v>
      </c>
      <c r="D9" s="79" t="s">
        <v>1026</v>
      </c>
      <c r="E9" s="83"/>
      <c r="F9" s="79" t="s">
        <v>21</v>
      </c>
      <c r="G9" s="79">
        <v>14.0</v>
      </c>
      <c r="H9" s="79" t="s">
        <v>29</v>
      </c>
      <c r="I9" s="80">
        <v>1.0</v>
      </c>
      <c r="J9" s="81"/>
      <c r="K9" s="80">
        <v>0.0</v>
      </c>
      <c r="L9" s="80">
        <v>0.0</v>
      </c>
      <c r="M9" s="80">
        <v>0.0</v>
      </c>
      <c r="N9" s="80">
        <v>0.0</v>
      </c>
      <c r="O9" s="83"/>
    </row>
    <row r="10">
      <c r="A10" s="80" t="s">
        <v>43</v>
      </c>
      <c r="B10" s="79" t="s">
        <v>1027</v>
      </c>
      <c r="C10" s="79" t="s">
        <v>18</v>
      </c>
      <c r="D10" s="79" t="s">
        <v>1028</v>
      </c>
      <c r="E10" s="83"/>
      <c r="F10" s="79">
        <v>36.0</v>
      </c>
      <c r="G10" s="79" t="s">
        <v>21</v>
      </c>
      <c r="H10" s="79" t="s">
        <v>22</v>
      </c>
      <c r="I10" s="80">
        <v>1.0</v>
      </c>
      <c r="J10" s="81"/>
      <c r="K10" s="80">
        <v>0.0</v>
      </c>
      <c r="L10" s="80">
        <v>0.0</v>
      </c>
      <c r="M10" s="80">
        <v>0.0</v>
      </c>
      <c r="N10" s="80">
        <v>0.0</v>
      </c>
      <c r="O10" s="83"/>
    </row>
    <row r="11">
      <c r="A11" s="80">
        <v>1.4</v>
      </c>
      <c r="B11" s="79" t="s">
        <v>1029</v>
      </c>
      <c r="C11" s="79" t="s">
        <v>18</v>
      </c>
      <c r="D11" s="79" t="s">
        <v>1030</v>
      </c>
      <c r="E11" s="83"/>
      <c r="F11" s="79" t="s">
        <v>21</v>
      </c>
      <c r="G11" s="79">
        <v>14.0</v>
      </c>
      <c r="H11" s="79" t="s">
        <v>29</v>
      </c>
      <c r="I11" s="80">
        <v>1.0</v>
      </c>
      <c r="J11" s="81"/>
      <c r="K11" s="80">
        <v>0.0</v>
      </c>
      <c r="L11" s="80">
        <v>0.0</v>
      </c>
      <c r="M11" s="80">
        <v>0.0</v>
      </c>
      <c r="N11" s="80">
        <v>0.0</v>
      </c>
      <c r="O11" s="83"/>
    </row>
    <row r="12">
      <c r="A12" s="80">
        <v>1.5</v>
      </c>
      <c r="B12" s="79" t="s">
        <v>1031</v>
      </c>
      <c r="C12" s="79" t="s">
        <v>29</v>
      </c>
      <c r="D12" s="79" t="s">
        <v>1032</v>
      </c>
      <c r="E12" s="83"/>
      <c r="F12" s="79" t="s">
        <v>21</v>
      </c>
      <c r="G12" s="79">
        <v>14.0</v>
      </c>
      <c r="H12" s="79" t="s">
        <v>29</v>
      </c>
      <c r="I12" s="80">
        <v>1.0</v>
      </c>
      <c r="J12" s="81"/>
      <c r="K12" s="80">
        <v>0.0</v>
      </c>
      <c r="L12" s="80">
        <v>0.0</v>
      </c>
      <c r="M12" s="80">
        <v>0.0</v>
      </c>
      <c r="N12" s="80">
        <v>0.0</v>
      </c>
      <c r="O12" s="83"/>
    </row>
    <row r="13">
      <c r="A13" s="80">
        <v>1.6</v>
      </c>
      <c r="B13" s="79" t="s">
        <v>1033</v>
      </c>
      <c r="C13" s="79" t="s">
        <v>18</v>
      </c>
      <c r="D13" s="79" t="s">
        <v>1034</v>
      </c>
      <c r="E13" s="83"/>
      <c r="F13" s="79" t="s">
        <v>21</v>
      </c>
      <c r="G13" s="79">
        <v>14.0</v>
      </c>
      <c r="H13" s="79" t="s">
        <v>29</v>
      </c>
      <c r="I13" s="80">
        <v>1.0</v>
      </c>
      <c r="J13" s="81"/>
      <c r="K13" s="80">
        <v>0.0</v>
      </c>
      <c r="L13" s="80">
        <v>0.0</v>
      </c>
      <c r="M13" s="80">
        <v>0.0</v>
      </c>
      <c r="N13" s="80">
        <v>0.0</v>
      </c>
      <c r="O13" s="83"/>
    </row>
    <row r="14">
      <c r="A14" s="80">
        <v>1.7</v>
      </c>
      <c r="B14" s="79" t="s">
        <v>1035</v>
      </c>
      <c r="C14" s="79" t="s">
        <v>18</v>
      </c>
      <c r="D14" s="79" t="s">
        <v>1036</v>
      </c>
      <c r="E14" s="83"/>
      <c r="F14" s="79" t="s">
        <v>21</v>
      </c>
      <c r="G14" s="79">
        <v>14.0</v>
      </c>
      <c r="H14" s="79" t="s">
        <v>29</v>
      </c>
      <c r="I14" s="80">
        <v>2.0</v>
      </c>
      <c r="J14" s="81"/>
      <c r="K14" s="80">
        <v>0.0</v>
      </c>
      <c r="L14" s="80">
        <v>0.0</v>
      </c>
      <c r="M14" s="80">
        <v>0.0</v>
      </c>
      <c r="N14" s="80">
        <v>0.0</v>
      </c>
      <c r="O14" s="83"/>
    </row>
    <row r="15">
      <c r="A15" s="80">
        <v>1.8</v>
      </c>
      <c r="B15" s="79" t="s">
        <v>1037</v>
      </c>
      <c r="C15" s="79" t="s">
        <v>18</v>
      </c>
      <c r="D15" s="79" t="s">
        <v>1038</v>
      </c>
      <c r="E15" s="83"/>
      <c r="F15" s="79" t="s">
        <v>21</v>
      </c>
      <c r="G15" s="79">
        <v>14.0</v>
      </c>
      <c r="H15" s="79" t="s">
        <v>29</v>
      </c>
      <c r="I15" s="80">
        <v>3.0</v>
      </c>
      <c r="J15" s="81"/>
      <c r="K15" s="80">
        <v>0.0</v>
      </c>
      <c r="L15" s="80">
        <v>0.0</v>
      </c>
      <c r="M15" s="80">
        <v>0.0</v>
      </c>
      <c r="N15" s="80">
        <v>0.0</v>
      </c>
      <c r="O15" s="83"/>
    </row>
    <row r="16">
      <c r="A16" s="80">
        <v>1.9</v>
      </c>
      <c r="B16" s="79" t="s">
        <v>1039</v>
      </c>
      <c r="C16" s="79" t="s">
        <v>18</v>
      </c>
      <c r="D16" s="79" t="s">
        <v>1040</v>
      </c>
      <c r="E16" s="83"/>
      <c r="F16" s="79" t="s">
        <v>21</v>
      </c>
      <c r="G16" s="79">
        <v>14.0</v>
      </c>
      <c r="H16" s="79" t="s">
        <v>29</v>
      </c>
      <c r="I16" s="80">
        <v>1.0</v>
      </c>
      <c r="J16" s="81"/>
      <c r="K16" s="80">
        <v>0.0</v>
      </c>
      <c r="L16" s="80">
        <v>0.0</v>
      </c>
      <c r="M16" s="80">
        <v>0.0</v>
      </c>
      <c r="N16" s="80">
        <v>0.0</v>
      </c>
      <c r="O16" s="83"/>
    </row>
    <row r="17">
      <c r="A17" s="80">
        <v>1.1</v>
      </c>
      <c r="B17" s="79" t="s">
        <v>1041</v>
      </c>
      <c r="C17" s="79" t="s">
        <v>18</v>
      </c>
      <c r="D17" s="79" t="s">
        <v>1042</v>
      </c>
      <c r="E17" s="83"/>
      <c r="F17" s="79" t="s">
        <v>21</v>
      </c>
      <c r="G17" s="79">
        <v>14.0</v>
      </c>
      <c r="H17" s="79" t="s">
        <v>29</v>
      </c>
      <c r="I17" s="80">
        <v>1.0</v>
      </c>
      <c r="J17" s="81"/>
      <c r="K17" s="80">
        <v>0.0</v>
      </c>
      <c r="L17" s="80">
        <v>0.0</v>
      </c>
      <c r="M17" s="80">
        <v>0.0</v>
      </c>
      <c r="N17" s="80">
        <v>0.0</v>
      </c>
      <c r="O17" s="83"/>
    </row>
    <row r="18">
      <c r="A18" s="80">
        <v>1.11</v>
      </c>
      <c r="B18" s="79" t="s">
        <v>872</v>
      </c>
      <c r="C18" s="79" t="s">
        <v>18</v>
      </c>
      <c r="D18" s="79" t="s">
        <v>873</v>
      </c>
      <c r="E18" s="83"/>
      <c r="F18" s="79" t="s">
        <v>21</v>
      </c>
      <c r="G18" s="79">
        <v>14.0</v>
      </c>
      <c r="H18" s="79" t="s">
        <v>22</v>
      </c>
      <c r="I18" s="80">
        <v>1.0</v>
      </c>
      <c r="J18" s="81"/>
      <c r="K18" s="80">
        <v>0.0</v>
      </c>
      <c r="L18" s="80">
        <v>0.0</v>
      </c>
      <c r="M18" s="80">
        <v>0.0</v>
      </c>
      <c r="N18" s="80">
        <v>0.0</v>
      </c>
      <c r="O18" s="83"/>
    </row>
    <row r="19">
      <c r="A19" s="80">
        <v>1.12</v>
      </c>
      <c r="B19" s="79" t="s">
        <v>1043</v>
      </c>
      <c r="C19" s="79" t="s">
        <v>18</v>
      </c>
      <c r="D19" s="79" t="s">
        <v>1044</v>
      </c>
      <c r="E19" s="83"/>
      <c r="F19" s="79" t="s">
        <v>21</v>
      </c>
      <c r="G19" s="79">
        <v>14.0</v>
      </c>
      <c r="H19" s="79" t="s">
        <v>22</v>
      </c>
      <c r="I19" s="80">
        <v>1.0</v>
      </c>
      <c r="J19" s="81"/>
      <c r="K19" s="82">
        <v>2806.4</v>
      </c>
      <c r="L19" s="82">
        <v>2806.4</v>
      </c>
      <c r="M19" s="80">
        <v>0.0</v>
      </c>
      <c r="N19" s="82">
        <v>2806.4</v>
      </c>
      <c r="O19" s="83"/>
    </row>
    <row r="20">
      <c r="A20" s="80">
        <v>1.13</v>
      </c>
      <c r="B20" s="79" t="s">
        <v>876</v>
      </c>
      <c r="C20" s="79" t="s">
        <v>18</v>
      </c>
      <c r="D20" s="79" t="s">
        <v>877</v>
      </c>
      <c r="E20" s="83"/>
      <c r="F20" s="79" t="s">
        <v>21</v>
      </c>
      <c r="G20" s="79">
        <v>14.0</v>
      </c>
      <c r="H20" s="79" t="s">
        <v>22</v>
      </c>
      <c r="I20" s="80">
        <v>1.0</v>
      </c>
      <c r="J20" s="81"/>
      <c r="K20" s="80">
        <v>0.0</v>
      </c>
      <c r="L20" s="80">
        <v>0.0</v>
      </c>
      <c r="M20" s="80">
        <v>0.0</v>
      </c>
      <c r="N20" s="80">
        <v>0.0</v>
      </c>
      <c r="O20" s="83"/>
    </row>
    <row r="21">
      <c r="A21" s="80">
        <v>1.14</v>
      </c>
      <c r="B21" s="79" t="s">
        <v>878</v>
      </c>
      <c r="C21" s="79" t="s">
        <v>18</v>
      </c>
      <c r="D21" s="79" t="s">
        <v>879</v>
      </c>
      <c r="E21" s="83"/>
      <c r="F21" s="79" t="s">
        <v>21</v>
      </c>
      <c r="G21" s="79">
        <v>14.0</v>
      </c>
      <c r="H21" s="79" t="s">
        <v>22</v>
      </c>
      <c r="I21" s="80">
        <v>1.0</v>
      </c>
      <c r="J21" s="81"/>
      <c r="K21" s="80">
        <v>0.0</v>
      </c>
      <c r="L21" s="80">
        <v>0.0</v>
      </c>
      <c r="M21" s="80">
        <v>0.0</v>
      </c>
      <c r="N21" s="80">
        <v>0.0</v>
      </c>
      <c r="O21" s="83"/>
    </row>
    <row r="22">
      <c r="A22" s="80">
        <v>1.15</v>
      </c>
      <c r="B22" s="79" t="s">
        <v>880</v>
      </c>
      <c r="C22" s="79" t="s">
        <v>18</v>
      </c>
      <c r="D22" s="79" t="s">
        <v>881</v>
      </c>
      <c r="E22" s="83"/>
      <c r="F22" s="79" t="s">
        <v>21</v>
      </c>
      <c r="G22" s="79">
        <v>14.0</v>
      </c>
      <c r="H22" s="79" t="s">
        <v>22</v>
      </c>
      <c r="I22" s="80">
        <v>1.0</v>
      </c>
      <c r="J22" s="81"/>
      <c r="K22" s="80">
        <v>0.0</v>
      </c>
      <c r="L22" s="80">
        <v>0.0</v>
      </c>
      <c r="M22" s="80">
        <v>0.0</v>
      </c>
      <c r="N22" s="80">
        <v>0.0</v>
      </c>
      <c r="O22" s="83"/>
    </row>
    <row r="23">
      <c r="A23" s="80">
        <v>1.16</v>
      </c>
      <c r="B23" s="79" t="s">
        <v>59</v>
      </c>
      <c r="C23" s="79" t="s">
        <v>29</v>
      </c>
      <c r="D23" s="79" t="s">
        <v>60</v>
      </c>
      <c r="E23" s="83"/>
      <c r="F23" s="79" t="s">
        <v>21</v>
      </c>
      <c r="G23" s="79">
        <v>2.0</v>
      </c>
      <c r="H23" s="79" t="s">
        <v>29</v>
      </c>
      <c r="I23" s="80">
        <v>1.0</v>
      </c>
      <c r="J23" s="81"/>
      <c r="K23" s="80">
        <v>0.0</v>
      </c>
      <c r="L23" s="80">
        <v>0.0</v>
      </c>
      <c r="M23" s="80">
        <v>0.0</v>
      </c>
      <c r="N23" s="80">
        <v>0.0</v>
      </c>
      <c r="O23" s="83"/>
    </row>
    <row r="24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5" t="s">
        <v>63</v>
      </c>
      <c r="N24" s="86">
        <v>13274.37</v>
      </c>
      <c r="O24" s="87"/>
    </row>
    <row r="25">
      <c r="A25" s="78">
        <v>2.0</v>
      </c>
      <c r="B25" s="78" t="s">
        <v>1045</v>
      </c>
      <c r="C25" s="79" t="s">
        <v>18</v>
      </c>
      <c r="D25" s="79" t="s">
        <v>1046</v>
      </c>
      <c r="E25" s="79" t="s">
        <v>20</v>
      </c>
      <c r="F25" s="79" t="s">
        <v>21</v>
      </c>
      <c r="G25" s="79">
        <v>14.0</v>
      </c>
      <c r="H25" s="79" t="s">
        <v>22</v>
      </c>
      <c r="I25" s="80">
        <v>1.0</v>
      </c>
      <c r="J25" s="81"/>
      <c r="K25" s="82">
        <v>6518.39</v>
      </c>
      <c r="L25" s="82">
        <v>6518.39</v>
      </c>
      <c r="M25" s="80">
        <v>0.0</v>
      </c>
      <c r="N25" s="82">
        <v>6518.39</v>
      </c>
      <c r="O25" s="83"/>
    </row>
    <row r="26">
      <c r="A26" s="80" t="s">
        <v>66</v>
      </c>
      <c r="B26" s="79" t="s">
        <v>1047</v>
      </c>
      <c r="C26" s="79" t="s">
        <v>18</v>
      </c>
      <c r="D26" s="79" t="s">
        <v>1048</v>
      </c>
      <c r="E26" s="83"/>
      <c r="F26" s="79">
        <v>36.0</v>
      </c>
      <c r="G26" s="79" t="s">
        <v>21</v>
      </c>
      <c r="H26" s="79" t="s">
        <v>22</v>
      </c>
      <c r="I26" s="80">
        <v>1.0</v>
      </c>
      <c r="J26" s="81"/>
      <c r="K26" s="82">
        <v>2041.89</v>
      </c>
      <c r="L26" s="82">
        <v>2041.89</v>
      </c>
      <c r="M26" s="80">
        <v>0.0</v>
      </c>
      <c r="N26" s="82">
        <v>2041.89</v>
      </c>
      <c r="O26" s="79" t="s">
        <v>26</v>
      </c>
    </row>
    <row r="27">
      <c r="A27" s="80">
        <v>2.1</v>
      </c>
      <c r="B27" s="79" t="s">
        <v>1015</v>
      </c>
      <c r="C27" s="79" t="s">
        <v>29</v>
      </c>
      <c r="D27" s="79" t="s">
        <v>1016</v>
      </c>
      <c r="E27" s="83"/>
      <c r="F27" s="79" t="s">
        <v>21</v>
      </c>
      <c r="G27" s="79">
        <v>14.0</v>
      </c>
      <c r="H27" s="79" t="s">
        <v>22</v>
      </c>
      <c r="I27" s="80">
        <v>1.0</v>
      </c>
      <c r="J27" s="81"/>
      <c r="K27" s="80">
        <v>0.0</v>
      </c>
      <c r="L27" s="80">
        <v>0.0</v>
      </c>
      <c r="M27" s="80">
        <v>0.0</v>
      </c>
      <c r="N27" s="80">
        <v>0.0</v>
      </c>
      <c r="O27" s="83"/>
    </row>
    <row r="28">
      <c r="A28" s="80" t="s">
        <v>886</v>
      </c>
      <c r="B28" s="79" t="s">
        <v>1017</v>
      </c>
      <c r="C28" s="79" t="s">
        <v>18</v>
      </c>
      <c r="D28" s="79" t="s">
        <v>1018</v>
      </c>
      <c r="E28" s="83"/>
      <c r="F28" s="79">
        <v>36.0</v>
      </c>
      <c r="G28" s="79" t="s">
        <v>21</v>
      </c>
      <c r="H28" s="79" t="s">
        <v>22</v>
      </c>
      <c r="I28" s="80">
        <v>1.0</v>
      </c>
      <c r="J28" s="81"/>
      <c r="K28" s="80">
        <v>486.75</v>
      </c>
      <c r="L28" s="80">
        <v>486.75</v>
      </c>
      <c r="M28" s="80">
        <v>0.0</v>
      </c>
      <c r="N28" s="80">
        <v>486.75</v>
      </c>
      <c r="O28" s="79" t="s">
        <v>26</v>
      </c>
    </row>
    <row r="29">
      <c r="A29" s="80" t="s">
        <v>71</v>
      </c>
      <c r="B29" s="79" t="s">
        <v>1019</v>
      </c>
      <c r="C29" s="79" t="s">
        <v>18</v>
      </c>
      <c r="D29" s="79" t="s">
        <v>1020</v>
      </c>
      <c r="E29" s="83"/>
      <c r="F29" s="79">
        <v>36.0</v>
      </c>
      <c r="G29" s="79" t="s">
        <v>21</v>
      </c>
      <c r="H29" s="79" t="s">
        <v>22</v>
      </c>
      <c r="I29" s="80">
        <v>1.0</v>
      </c>
      <c r="J29" s="81"/>
      <c r="K29" s="82">
        <v>2365.77</v>
      </c>
      <c r="L29" s="82">
        <v>2365.77</v>
      </c>
      <c r="M29" s="80">
        <v>0.0</v>
      </c>
      <c r="N29" s="82">
        <v>2365.77</v>
      </c>
      <c r="O29" s="83"/>
    </row>
    <row r="30">
      <c r="A30" s="80">
        <v>2.2</v>
      </c>
      <c r="B30" s="79" t="s">
        <v>1021</v>
      </c>
      <c r="C30" s="79" t="s">
        <v>29</v>
      </c>
      <c r="D30" s="79" t="s">
        <v>1022</v>
      </c>
      <c r="E30" s="83"/>
      <c r="F30" s="79" t="s">
        <v>21</v>
      </c>
      <c r="G30" s="79">
        <v>14.0</v>
      </c>
      <c r="H30" s="79" t="s">
        <v>29</v>
      </c>
      <c r="I30" s="80">
        <v>1.0</v>
      </c>
      <c r="J30" s="81"/>
      <c r="K30" s="80">
        <v>0.0</v>
      </c>
      <c r="L30" s="80">
        <v>0.0</v>
      </c>
      <c r="M30" s="80">
        <v>0.0</v>
      </c>
      <c r="N30" s="80">
        <v>0.0</v>
      </c>
      <c r="O30" s="83"/>
    </row>
    <row r="31">
      <c r="A31" s="80" t="s">
        <v>75</v>
      </c>
      <c r="B31" s="79" t="s">
        <v>1023</v>
      </c>
      <c r="C31" s="79" t="s">
        <v>18</v>
      </c>
      <c r="D31" s="79" t="s">
        <v>1024</v>
      </c>
      <c r="E31" s="83"/>
      <c r="F31" s="79">
        <v>36.0</v>
      </c>
      <c r="G31" s="79" t="s">
        <v>21</v>
      </c>
      <c r="H31" s="79" t="s">
        <v>22</v>
      </c>
      <c r="I31" s="80">
        <v>1.0</v>
      </c>
      <c r="J31" s="81"/>
      <c r="K31" s="80">
        <v>0.0</v>
      </c>
      <c r="L31" s="80">
        <v>0.0</v>
      </c>
      <c r="M31" s="80">
        <v>0.0</v>
      </c>
      <c r="N31" s="80">
        <v>0.0</v>
      </c>
      <c r="O31" s="83"/>
    </row>
    <row r="32">
      <c r="A32" s="80">
        <v>2.3</v>
      </c>
      <c r="B32" s="79" t="s">
        <v>1025</v>
      </c>
      <c r="C32" s="79" t="s">
        <v>29</v>
      </c>
      <c r="D32" s="79" t="s">
        <v>1026</v>
      </c>
      <c r="E32" s="83"/>
      <c r="F32" s="79" t="s">
        <v>21</v>
      </c>
      <c r="G32" s="79">
        <v>14.0</v>
      </c>
      <c r="H32" s="79" t="s">
        <v>29</v>
      </c>
      <c r="I32" s="80">
        <v>1.0</v>
      </c>
      <c r="J32" s="81"/>
      <c r="K32" s="80">
        <v>0.0</v>
      </c>
      <c r="L32" s="80">
        <v>0.0</v>
      </c>
      <c r="M32" s="80">
        <v>0.0</v>
      </c>
      <c r="N32" s="80">
        <v>0.0</v>
      </c>
      <c r="O32" s="83"/>
    </row>
    <row r="33">
      <c r="A33" s="80" t="s">
        <v>76</v>
      </c>
      <c r="B33" s="79" t="s">
        <v>1027</v>
      </c>
      <c r="C33" s="79" t="s">
        <v>18</v>
      </c>
      <c r="D33" s="79" t="s">
        <v>1028</v>
      </c>
      <c r="E33" s="83"/>
      <c r="F33" s="79">
        <v>36.0</v>
      </c>
      <c r="G33" s="79" t="s">
        <v>21</v>
      </c>
      <c r="H33" s="79" t="s">
        <v>22</v>
      </c>
      <c r="I33" s="80">
        <v>1.0</v>
      </c>
      <c r="J33" s="81"/>
      <c r="K33" s="80">
        <v>0.0</v>
      </c>
      <c r="L33" s="80">
        <v>0.0</v>
      </c>
      <c r="M33" s="80">
        <v>0.0</v>
      </c>
      <c r="N33" s="80">
        <v>0.0</v>
      </c>
      <c r="O33" s="83"/>
    </row>
    <row r="34">
      <c r="A34" s="80">
        <v>2.4</v>
      </c>
      <c r="B34" s="79" t="s">
        <v>1029</v>
      </c>
      <c r="C34" s="79" t="s">
        <v>18</v>
      </c>
      <c r="D34" s="79" t="s">
        <v>1030</v>
      </c>
      <c r="E34" s="83"/>
      <c r="F34" s="79" t="s">
        <v>21</v>
      </c>
      <c r="G34" s="79">
        <v>14.0</v>
      </c>
      <c r="H34" s="79" t="s">
        <v>29</v>
      </c>
      <c r="I34" s="80">
        <v>1.0</v>
      </c>
      <c r="J34" s="81"/>
      <c r="K34" s="80">
        <v>0.0</v>
      </c>
      <c r="L34" s="80">
        <v>0.0</v>
      </c>
      <c r="M34" s="80">
        <v>0.0</v>
      </c>
      <c r="N34" s="80">
        <v>0.0</v>
      </c>
      <c r="O34" s="83"/>
    </row>
    <row r="35">
      <c r="A35" s="80">
        <v>2.5</v>
      </c>
      <c r="B35" s="79" t="s">
        <v>1031</v>
      </c>
      <c r="C35" s="79" t="s">
        <v>29</v>
      </c>
      <c r="D35" s="79" t="s">
        <v>1032</v>
      </c>
      <c r="E35" s="83"/>
      <c r="F35" s="79" t="s">
        <v>21</v>
      </c>
      <c r="G35" s="79">
        <v>14.0</v>
      </c>
      <c r="H35" s="79" t="s">
        <v>29</v>
      </c>
      <c r="I35" s="80">
        <v>1.0</v>
      </c>
      <c r="J35" s="81"/>
      <c r="K35" s="80">
        <v>0.0</v>
      </c>
      <c r="L35" s="80">
        <v>0.0</v>
      </c>
      <c r="M35" s="80">
        <v>0.0</v>
      </c>
      <c r="N35" s="80">
        <v>0.0</v>
      </c>
      <c r="O35" s="83"/>
    </row>
    <row r="36">
      <c r="A36" s="80">
        <v>2.6</v>
      </c>
      <c r="B36" s="79" t="s">
        <v>1033</v>
      </c>
      <c r="C36" s="79" t="s">
        <v>18</v>
      </c>
      <c r="D36" s="79" t="s">
        <v>1034</v>
      </c>
      <c r="E36" s="83"/>
      <c r="F36" s="79" t="s">
        <v>21</v>
      </c>
      <c r="G36" s="79">
        <v>14.0</v>
      </c>
      <c r="H36" s="79" t="s">
        <v>29</v>
      </c>
      <c r="I36" s="80">
        <v>1.0</v>
      </c>
      <c r="J36" s="81"/>
      <c r="K36" s="80">
        <v>0.0</v>
      </c>
      <c r="L36" s="80">
        <v>0.0</v>
      </c>
      <c r="M36" s="80">
        <v>0.0</v>
      </c>
      <c r="N36" s="80">
        <v>0.0</v>
      </c>
      <c r="O36" s="83"/>
    </row>
    <row r="37">
      <c r="A37" s="80">
        <v>2.7</v>
      </c>
      <c r="B37" s="79" t="s">
        <v>1035</v>
      </c>
      <c r="C37" s="79" t="s">
        <v>18</v>
      </c>
      <c r="D37" s="79" t="s">
        <v>1036</v>
      </c>
      <c r="E37" s="83"/>
      <c r="F37" s="79" t="s">
        <v>21</v>
      </c>
      <c r="G37" s="79">
        <v>14.0</v>
      </c>
      <c r="H37" s="79" t="s">
        <v>29</v>
      </c>
      <c r="I37" s="80">
        <v>2.0</v>
      </c>
      <c r="J37" s="81"/>
      <c r="K37" s="80">
        <v>0.0</v>
      </c>
      <c r="L37" s="80">
        <v>0.0</v>
      </c>
      <c r="M37" s="80">
        <v>0.0</v>
      </c>
      <c r="N37" s="80">
        <v>0.0</v>
      </c>
      <c r="O37" s="83"/>
    </row>
    <row r="38">
      <c r="A38" s="80">
        <v>2.8</v>
      </c>
      <c r="B38" s="79" t="s">
        <v>1049</v>
      </c>
      <c r="C38" s="79" t="s">
        <v>18</v>
      </c>
      <c r="D38" s="79" t="s">
        <v>1050</v>
      </c>
      <c r="E38" s="83"/>
      <c r="F38" s="79" t="s">
        <v>21</v>
      </c>
      <c r="G38" s="79">
        <v>14.0</v>
      </c>
      <c r="H38" s="79" t="s">
        <v>29</v>
      </c>
      <c r="I38" s="80">
        <v>1.0</v>
      </c>
      <c r="J38" s="81"/>
      <c r="K38" s="80">
        <v>0.0</v>
      </c>
      <c r="L38" s="80">
        <v>0.0</v>
      </c>
      <c r="M38" s="80">
        <v>0.0</v>
      </c>
      <c r="N38" s="80">
        <v>0.0</v>
      </c>
      <c r="O38" s="83"/>
    </row>
    <row r="39">
      <c r="A39" s="80">
        <v>2.9</v>
      </c>
      <c r="B39" s="79" t="s">
        <v>1037</v>
      </c>
      <c r="C39" s="79" t="s">
        <v>18</v>
      </c>
      <c r="D39" s="79" t="s">
        <v>1038</v>
      </c>
      <c r="E39" s="83"/>
      <c r="F39" s="79" t="s">
        <v>21</v>
      </c>
      <c r="G39" s="79">
        <v>14.0</v>
      </c>
      <c r="H39" s="79" t="s">
        <v>29</v>
      </c>
      <c r="I39" s="80">
        <v>3.0</v>
      </c>
      <c r="J39" s="81"/>
      <c r="K39" s="80">
        <v>0.0</v>
      </c>
      <c r="L39" s="80">
        <v>0.0</v>
      </c>
      <c r="M39" s="80">
        <v>0.0</v>
      </c>
      <c r="N39" s="80">
        <v>0.0</v>
      </c>
      <c r="O39" s="83"/>
    </row>
    <row r="40">
      <c r="A40" s="80">
        <v>2.1</v>
      </c>
      <c r="B40" s="79" t="s">
        <v>1051</v>
      </c>
      <c r="C40" s="79" t="s">
        <v>18</v>
      </c>
      <c r="D40" s="79" t="s">
        <v>1052</v>
      </c>
      <c r="E40" s="83"/>
      <c r="F40" s="79" t="s">
        <v>21</v>
      </c>
      <c r="G40" s="79">
        <v>14.0</v>
      </c>
      <c r="H40" s="79" t="s">
        <v>29</v>
      </c>
      <c r="I40" s="80">
        <v>1.0</v>
      </c>
      <c r="J40" s="81"/>
      <c r="K40" s="80">
        <v>0.0</v>
      </c>
      <c r="L40" s="80">
        <v>0.0</v>
      </c>
      <c r="M40" s="80">
        <v>0.0</v>
      </c>
      <c r="N40" s="80">
        <v>0.0</v>
      </c>
      <c r="O40" s="83"/>
    </row>
    <row r="41">
      <c r="A41" s="80">
        <v>2.11</v>
      </c>
      <c r="B41" s="79" t="s">
        <v>1041</v>
      </c>
      <c r="C41" s="79" t="s">
        <v>18</v>
      </c>
      <c r="D41" s="79" t="s">
        <v>1042</v>
      </c>
      <c r="E41" s="83"/>
      <c r="F41" s="79" t="s">
        <v>21</v>
      </c>
      <c r="G41" s="79">
        <v>14.0</v>
      </c>
      <c r="H41" s="79" t="s">
        <v>29</v>
      </c>
      <c r="I41" s="80">
        <v>1.0</v>
      </c>
      <c r="J41" s="81"/>
      <c r="K41" s="80">
        <v>0.0</v>
      </c>
      <c r="L41" s="80">
        <v>0.0</v>
      </c>
      <c r="M41" s="80">
        <v>0.0</v>
      </c>
      <c r="N41" s="80">
        <v>0.0</v>
      </c>
      <c r="O41" s="83"/>
    </row>
    <row r="42">
      <c r="A42" s="80">
        <v>2.12</v>
      </c>
      <c r="B42" s="79" t="s">
        <v>872</v>
      </c>
      <c r="C42" s="79" t="s">
        <v>18</v>
      </c>
      <c r="D42" s="79" t="s">
        <v>873</v>
      </c>
      <c r="E42" s="83"/>
      <c r="F42" s="79" t="s">
        <v>21</v>
      </c>
      <c r="G42" s="79">
        <v>14.0</v>
      </c>
      <c r="H42" s="79" t="s">
        <v>22</v>
      </c>
      <c r="I42" s="80">
        <v>1.0</v>
      </c>
      <c r="J42" s="81"/>
      <c r="K42" s="80">
        <v>0.0</v>
      </c>
      <c r="L42" s="80">
        <v>0.0</v>
      </c>
      <c r="M42" s="80">
        <v>0.0</v>
      </c>
      <c r="N42" s="80">
        <v>0.0</v>
      </c>
      <c r="O42" s="83"/>
    </row>
    <row r="43">
      <c r="A43" s="80">
        <v>2.13</v>
      </c>
      <c r="B43" s="79" t="s">
        <v>1043</v>
      </c>
      <c r="C43" s="79" t="s">
        <v>18</v>
      </c>
      <c r="D43" s="79" t="s">
        <v>1044</v>
      </c>
      <c r="E43" s="83"/>
      <c r="F43" s="79" t="s">
        <v>21</v>
      </c>
      <c r="G43" s="79">
        <v>14.0</v>
      </c>
      <c r="H43" s="79" t="s">
        <v>22</v>
      </c>
      <c r="I43" s="80">
        <v>1.0</v>
      </c>
      <c r="J43" s="81"/>
      <c r="K43" s="82">
        <v>2806.4</v>
      </c>
      <c r="L43" s="82">
        <v>2806.4</v>
      </c>
      <c r="M43" s="80">
        <v>0.0</v>
      </c>
      <c r="N43" s="82">
        <v>2806.4</v>
      </c>
      <c r="O43" s="83"/>
    </row>
    <row r="44">
      <c r="A44" s="80">
        <v>2.14</v>
      </c>
      <c r="B44" s="79" t="s">
        <v>1053</v>
      </c>
      <c r="C44" s="79" t="s">
        <v>18</v>
      </c>
      <c r="D44" s="79" t="s">
        <v>1054</v>
      </c>
      <c r="E44" s="83"/>
      <c r="F44" s="79" t="s">
        <v>21</v>
      </c>
      <c r="G44" s="79">
        <v>14.0</v>
      </c>
      <c r="H44" s="79" t="s">
        <v>22</v>
      </c>
      <c r="I44" s="80">
        <v>1.0</v>
      </c>
      <c r="J44" s="81"/>
      <c r="K44" s="80">
        <v>0.0</v>
      </c>
      <c r="L44" s="80">
        <v>0.0</v>
      </c>
      <c r="M44" s="80">
        <v>0.0</v>
      </c>
      <c r="N44" s="80">
        <v>0.0</v>
      </c>
      <c r="O44" s="83"/>
    </row>
    <row r="45">
      <c r="A45" s="80">
        <v>2.15</v>
      </c>
      <c r="B45" s="79" t="s">
        <v>59</v>
      </c>
      <c r="C45" s="79" t="s">
        <v>29</v>
      </c>
      <c r="D45" s="79" t="s">
        <v>60</v>
      </c>
      <c r="E45" s="83"/>
      <c r="F45" s="79" t="s">
        <v>21</v>
      </c>
      <c r="G45" s="79">
        <v>2.0</v>
      </c>
      <c r="H45" s="79" t="s">
        <v>29</v>
      </c>
      <c r="I45" s="80">
        <v>1.0</v>
      </c>
      <c r="J45" s="81"/>
      <c r="K45" s="80">
        <v>0.0</v>
      </c>
      <c r="L45" s="80">
        <v>0.0</v>
      </c>
      <c r="M45" s="80">
        <v>0.0</v>
      </c>
      <c r="N45" s="80">
        <v>0.0</v>
      </c>
      <c r="O45" s="83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5" t="s">
        <v>63</v>
      </c>
      <c r="N46" s="86">
        <v>14219.2</v>
      </c>
      <c r="O46" s="87"/>
    </row>
    <row r="47">
      <c r="A47" s="78">
        <v>3.0</v>
      </c>
      <c r="B47" s="78" t="s">
        <v>1055</v>
      </c>
      <c r="C47" s="79" t="s">
        <v>18</v>
      </c>
      <c r="D47" s="79" t="s">
        <v>1056</v>
      </c>
      <c r="E47" s="79" t="s">
        <v>20</v>
      </c>
      <c r="F47" s="79" t="s">
        <v>21</v>
      </c>
      <c r="G47" s="79">
        <v>35.0</v>
      </c>
      <c r="H47" s="79" t="s">
        <v>22</v>
      </c>
      <c r="I47" s="80">
        <v>1.0</v>
      </c>
      <c r="J47" s="81"/>
      <c r="K47" s="82">
        <v>7954.27</v>
      </c>
      <c r="L47" s="82">
        <v>7954.27</v>
      </c>
      <c r="M47" s="80">
        <v>0.0</v>
      </c>
      <c r="N47" s="82">
        <v>7954.27</v>
      </c>
      <c r="O47" s="83"/>
    </row>
    <row r="48">
      <c r="A48" s="80" t="s">
        <v>83</v>
      </c>
      <c r="B48" s="79" t="s">
        <v>1057</v>
      </c>
      <c r="C48" s="79" t="s">
        <v>18</v>
      </c>
      <c r="D48" s="79" t="s">
        <v>1014</v>
      </c>
      <c r="E48" s="83"/>
      <c r="F48" s="79">
        <v>36.0</v>
      </c>
      <c r="G48" s="79" t="s">
        <v>21</v>
      </c>
      <c r="H48" s="79" t="s">
        <v>22</v>
      </c>
      <c r="I48" s="80">
        <v>1.0</v>
      </c>
      <c r="J48" s="81"/>
      <c r="K48" s="82">
        <v>2491.5</v>
      </c>
      <c r="L48" s="82">
        <v>2491.5</v>
      </c>
      <c r="M48" s="80">
        <v>0.0</v>
      </c>
      <c r="N48" s="82">
        <v>2491.5</v>
      </c>
      <c r="O48" s="79" t="s">
        <v>26</v>
      </c>
    </row>
    <row r="49">
      <c r="A49" s="80">
        <v>3.1</v>
      </c>
      <c r="B49" s="79" t="s">
        <v>1015</v>
      </c>
      <c r="C49" s="79" t="s">
        <v>29</v>
      </c>
      <c r="D49" s="79" t="s">
        <v>1016</v>
      </c>
      <c r="E49" s="83"/>
      <c r="F49" s="79" t="s">
        <v>21</v>
      </c>
      <c r="G49" s="79">
        <v>14.0</v>
      </c>
      <c r="H49" s="79" t="s">
        <v>22</v>
      </c>
      <c r="I49" s="80">
        <v>1.0</v>
      </c>
      <c r="J49" s="81"/>
      <c r="K49" s="80">
        <v>0.0</v>
      </c>
      <c r="L49" s="80">
        <v>0.0</v>
      </c>
      <c r="M49" s="80">
        <v>0.0</v>
      </c>
      <c r="N49" s="80">
        <v>0.0</v>
      </c>
      <c r="O49" s="83"/>
    </row>
    <row r="50">
      <c r="A50" s="80" t="s">
        <v>893</v>
      </c>
      <c r="B50" s="79" t="s">
        <v>1017</v>
      </c>
      <c r="C50" s="79" t="s">
        <v>18</v>
      </c>
      <c r="D50" s="79" t="s">
        <v>1018</v>
      </c>
      <c r="E50" s="83"/>
      <c r="F50" s="79">
        <v>36.0</v>
      </c>
      <c r="G50" s="79" t="s">
        <v>21</v>
      </c>
      <c r="H50" s="79" t="s">
        <v>22</v>
      </c>
      <c r="I50" s="80">
        <v>1.0</v>
      </c>
      <c r="J50" s="81"/>
      <c r="K50" s="80">
        <v>486.75</v>
      </c>
      <c r="L50" s="80">
        <v>486.75</v>
      </c>
      <c r="M50" s="80">
        <v>0.0</v>
      </c>
      <c r="N50" s="80">
        <v>486.75</v>
      </c>
      <c r="O50" s="79" t="s">
        <v>26</v>
      </c>
    </row>
    <row r="51">
      <c r="A51" s="80" t="s">
        <v>88</v>
      </c>
      <c r="B51" s="79" t="s">
        <v>1019</v>
      </c>
      <c r="C51" s="79" t="s">
        <v>18</v>
      </c>
      <c r="D51" s="79" t="s">
        <v>1020</v>
      </c>
      <c r="E51" s="83"/>
      <c r="F51" s="79">
        <v>36.0</v>
      </c>
      <c r="G51" s="79" t="s">
        <v>21</v>
      </c>
      <c r="H51" s="79" t="s">
        <v>22</v>
      </c>
      <c r="I51" s="80">
        <v>1.0</v>
      </c>
      <c r="J51" s="81"/>
      <c r="K51" s="82">
        <v>2365.77</v>
      </c>
      <c r="L51" s="82">
        <v>2365.77</v>
      </c>
      <c r="M51" s="80">
        <v>0.0</v>
      </c>
      <c r="N51" s="82">
        <v>2365.77</v>
      </c>
      <c r="O51" s="83"/>
    </row>
    <row r="52">
      <c r="A52" s="80">
        <v>3.2</v>
      </c>
      <c r="B52" s="79" t="s">
        <v>1021</v>
      </c>
      <c r="C52" s="79" t="s">
        <v>29</v>
      </c>
      <c r="D52" s="79" t="s">
        <v>1022</v>
      </c>
      <c r="E52" s="83"/>
      <c r="F52" s="79" t="s">
        <v>21</v>
      </c>
      <c r="G52" s="79">
        <v>14.0</v>
      </c>
      <c r="H52" s="79" t="s">
        <v>29</v>
      </c>
      <c r="I52" s="80">
        <v>1.0</v>
      </c>
      <c r="J52" s="81"/>
      <c r="K52" s="80">
        <v>0.0</v>
      </c>
      <c r="L52" s="80">
        <v>0.0</v>
      </c>
      <c r="M52" s="80">
        <v>0.0</v>
      </c>
      <c r="N52" s="80">
        <v>0.0</v>
      </c>
      <c r="O52" s="83"/>
    </row>
    <row r="53">
      <c r="A53" s="80" t="s">
        <v>92</v>
      </c>
      <c r="B53" s="79" t="s">
        <v>1023</v>
      </c>
      <c r="C53" s="79" t="s">
        <v>18</v>
      </c>
      <c r="D53" s="79" t="s">
        <v>1024</v>
      </c>
      <c r="E53" s="83"/>
      <c r="F53" s="79">
        <v>36.0</v>
      </c>
      <c r="G53" s="79" t="s">
        <v>21</v>
      </c>
      <c r="H53" s="79" t="s">
        <v>22</v>
      </c>
      <c r="I53" s="80">
        <v>1.0</v>
      </c>
      <c r="J53" s="81"/>
      <c r="K53" s="80">
        <v>0.0</v>
      </c>
      <c r="L53" s="80">
        <v>0.0</v>
      </c>
      <c r="M53" s="80">
        <v>0.0</v>
      </c>
      <c r="N53" s="80">
        <v>0.0</v>
      </c>
      <c r="O53" s="83"/>
    </row>
    <row r="54">
      <c r="A54" s="80">
        <v>3.3</v>
      </c>
      <c r="B54" s="79" t="s">
        <v>1025</v>
      </c>
      <c r="C54" s="79" t="s">
        <v>29</v>
      </c>
      <c r="D54" s="79" t="s">
        <v>1026</v>
      </c>
      <c r="E54" s="83"/>
      <c r="F54" s="79" t="s">
        <v>21</v>
      </c>
      <c r="G54" s="79">
        <v>14.0</v>
      </c>
      <c r="H54" s="79" t="s">
        <v>29</v>
      </c>
      <c r="I54" s="80">
        <v>1.0</v>
      </c>
      <c r="J54" s="81"/>
      <c r="K54" s="80">
        <v>0.0</v>
      </c>
      <c r="L54" s="80">
        <v>0.0</v>
      </c>
      <c r="M54" s="80">
        <v>0.0</v>
      </c>
      <c r="N54" s="80">
        <v>0.0</v>
      </c>
      <c r="O54" s="83"/>
    </row>
    <row r="55">
      <c r="A55" s="80" t="s">
        <v>93</v>
      </c>
      <c r="B55" s="79" t="s">
        <v>1027</v>
      </c>
      <c r="C55" s="79" t="s">
        <v>18</v>
      </c>
      <c r="D55" s="79" t="s">
        <v>1028</v>
      </c>
      <c r="E55" s="83"/>
      <c r="F55" s="79">
        <v>36.0</v>
      </c>
      <c r="G55" s="79" t="s">
        <v>21</v>
      </c>
      <c r="H55" s="79" t="s">
        <v>22</v>
      </c>
      <c r="I55" s="80">
        <v>1.0</v>
      </c>
      <c r="J55" s="81"/>
      <c r="K55" s="80">
        <v>0.0</v>
      </c>
      <c r="L55" s="80">
        <v>0.0</v>
      </c>
      <c r="M55" s="80">
        <v>0.0</v>
      </c>
      <c r="N55" s="80">
        <v>0.0</v>
      </c>
      <c r="O55" s="83"/>
    </row>
    <row r="56">
      <c r="A56" s="80">
        <v>3.4</v>
      </c>
      <c r="B56" s="79" t="s">
        <v>1029</v>
      </c>
      <c r="C56" s="79" t="s">
        <v>18</v>
      </c>
      <c r="D56" s="79" t="s">
        <v>1030</v>
      </c>
      <c r="E56" s="83"/>
      <c r="F56" s="79" t="s">
        <v>21</v>
      </c>
      <c r="G56" s="79">
        <v>14.0</v>
      </c>
      <c r="H56" s="79" t="s">
        <v>29</v>
      </c>
      <c r="I56" s="80">
        <v>1.0</v>
      </c>
      <c r="J56" s="81"/>
      <c r="K56" s="80">
        <v>0.0</v>
      </c>
      <c r="L56" s="80">
        <v>0.0</v>
      </c>
      <c r="M56" s="80">
        <v>0.0</v>
      </c>
      <c r="N56" s="80">
        <v>0.0</v>
      </c>
      <c r="O56" s="83"/>
    </row>
    <row r="57">
      <c r="A57" s="80">
        <v>3.5</v>
      </c>
      <c r="B57" s="79" t="s">
        <v>1031</v>
      </c>
      <c r="C57" s="79" t="s">
        <v>29</v>
      </c>
      <c r="D57" s="79" t="s">
        <v>1032</v>
      </c>
      <c r="E57" s="83"/>
      <c r="F57" s="79" t="s">
        <v>21</v>
      </c>
      <c r="G57" s="79">
        <v>14.0</v>
      </c>
      <c r="H57" s="79" t="s">
        <v>29</v>
      </c>
      <c r="I57" s="80">
        <v>1.0</v>
      </c>
      <c r="J57" s="81"/>
      <c r="K57" s="80">
        <v>0.0</v>
      </c>
      <c r="L57" s="80">
        <v>0.0</v>
      </c>
      <c r="M57" s="80">
        <v>0.0</v>
      </c>
      <c r="N57" s="80">
        <v>0.0</v>
      </c>
      <c r="O57" s="83"/>
    </row>
    <row r="58">
      <c r="A58" s="80">
        <v>3.6</v>
      </c>
      <c r="B58" s="79" t="s">
        <v>1033</v>
      </c>
      <c r="C58" s="79" t="s">
        <v>18</v>
      </c>
      <c r="D58" s="79" t="s">
        <v>1034</v>
      </c>
      <c r="E58" s="83"/>
      <c r="F58" s="79" t="s">
        <v>21</v>
      </c>
      <c r="G58" s="79">
        <v>14.0</v>
      </c>
      <c r="H58" s="79" t="s">
        <v>29</v>
      </c>
      <c r="I58" s="80">
        <v>1.0</v>
      </c>
      <c r="J58" s="81"/>
      <c r="K58" s="80">
        <v>0.0</v>
      </c>
      <c r="L58" s="80">
        <v>0.0</v>
      </c>
      <c r="M58" s="80">
        <v>0.0</v>
      </c>
      <c r="N58" s="80">
        <v>0.0</v>
      </c>
      <c r="O58" s="83"/>
    </row>
    <row r="59">
      <c r="A59" s="80">
        <v>3.7</v>
      </c>
      <c r="B59" s="79" t="s">
        <v>1035</v>
      </c>
      <c r="C59" s="79" t="s">
        <v>18</v>
      </c>
      <c r="D59" s="79" t="s">
        <v>1036</v>
      </c>
      <c r="E59" s="83"/>
      <c r="F59" s="79" t="s">
        <v>21</v>
      </c>
      <c r="G59" s="79">
        <v>14.0</v>
      </c>
      <c r="H59" s="79" t="s">
        <v>29</v>
      </c>
      <c r="I59" s="80">
        <v>2.0</v>
      </c>
      <c r="J59" s="81"/>
      <c r="K59" s="80">
        <v>0.0</v>
      </c>
      <c r="L59" s="80">
        <v>0.0</v>
      </c>
      <c r="M59" s="80">
        <v>0.0</v>
      </c>
      <c r="N59" s="80">
        <v>0.0</v>
      </c>
      <c r="O59" s="83"/>
    </row>
    <row r="60">
      <c r="A60" s="80">
        <v>3.8</v>
      </c>
      <c r="B60" s="79" t="s">
        <v>1049</v>
      </c>
      <c r="C60" s="79" t="s">
        <v>18</v>
      </c>
      <c r="D60" s="79" t="s">
        <v>1050</v>
      </c>
      <c r="E60" s="83"/>
      <c r="F60" s="79" t="s">
        <v>21</v>
      </c>
      <c r="G60" s="79">
        <v>14.0</v>
      </c>
      <c r="H60" s="79" t="s">
        <v>29</v>
      </c>
      <c r="I60" s="80">
        <v>1.0</v>
      </c>
      <c r="J60" s="81"/>
      <c r="K60" s="80">
        <v>0.0</v>
      </c>
      <c r="L60" s="80">
        <v>0.0</v>
      </c>
      <c r="M60" s="80">
        <v>0.0</v>
      </c>
      <c r="N60" s="80">
        <v>0.0</v>
      </c>
      <c r="O60" s="83"/>
    </row>
    <row r="61">
      <c r="A61" s="80">
        <v>3.9</v>
      </c>
      <c r="B61" s="79" t="s">
        <v>1037</v>
      </c>
      <c r="C61" s="79" t="s">
        <v>18</v>
      </c>
      <c r="D61" s="79" t="s">
        <v>1038</v>
      </c>
      <c r="E61" s="83"/>
      <c r="F61" s="79" t="s">
        <v>21</v>
      </c>
      <c r="G61" s="79">
        <v>14.0</v>
      </c>
      <c r="H61" s="79" t="s">
        <v>29</v>
      </c>
      <c r="I61" s="80">
        <v>3.0</v>
      </c>
      <c r="J61" s="81"/>
      <c r="K61" s="80">
        <v>0.0</v>
      </c>
      <c r="L61" s="80">
        <v>0.0</v>
      </c>
      <c r="M61" s="80">
        <v>0.0</v>
      </c>
      <c r="N61" s="80">
        <v>0.0</v>
      </c>
      <c r="O61" s="83"/>
    </row>
    <row r="62">
      <c r="A62" s="80">
        <v>3.1</v>
      </c>
      <c r="B62" s="79" t="s">
        <v>1039</v>
      </c>
      <c r="C62" s="79" t="s">
        <v>18</v>
      </c>
      <c r="D62" s="79" t="s">
        <v>1040</v>
      </c>
      <c r="E62" s="83"/>
      <c r="F62" s="79" t="s">
        <v>21</v>
      </c>
      <c r="G62" s="79">
        <v>14.0</v>
      </c>
      <c r="H62" s="79" t="s">
        <v>29</v>
      </c>
      <c r="I62" s="80">
        <v>1.0</v>
      </c>
      <c r="J62" s="81"/>
      <c r="K62" s="80">
        <v>0.0</v>
      </c>
      <c r="L62" s="80">
        <v>0.0</v>
      </c>
      <c r="M62" s="80">
        <v>0.0</v>
      </c>
      <c r="N62" s="80">
        <v>0.0</v>
      </c>
      <c r="O62" s="83"/>
    </row>
    <row r="63">
      <c r="A63" s="80">
        <v>3.11</v>
      </c>
      <c r="B63" s="79" t="s">
        <v>1041</v>
      </c>
      <c r="C63" s="79" t="s">
        <v>18</v>
      </c>
      <c r="D63" s="79" t="s">
        <v>1042</v>
      </c>
      <c r="E63" s="83"/>
      <c r="F63" s="79" t="s">
        <v>21</v>
      </c>
      <c r="G63" s="79">
        <v>14.0</v>
      </c>
      <c r="H63" s="79" t="s">
        <v>29</v>
      </c>
      <c r="I63" s="80">
        <v>1.0</v>
      </c>
      <c r="J63" s="81"/>
      <c r="K63" s="80">
        <v>0.0</v>
      </c>
      <c r="L63" s="80">
        <v>0.0</v>
      </c>
      <c r="M63" s="80">
        <v>0.0</v>
      </c>
      <c r="N63" s="80">
        <v>0.0</v>
      </c>
      <c r="O63" s="83"/>
    </row>
    <row r="64">
      <c r="A64" s="80">
        <v>3.12</v>
      </c>
      <c r="B64" s="79" t="s">
        <v>872</v>
      </c>
      <c r="C64" s="79" t="s">
        <v>18</v>
      </c>
      <c r="D64" s="79" t="s">
        <v>873</v>
      </c>
      <c r="E64" s="83"/>
      <c r="F64" s="79" t="s">
        <v>21</v>
      </c>
      <c r="G64" s="79">
        <v>14.0</v>
      </c>
      <c r="H64" s="79" t="s">
        <v>22</v>
      </c>
      <c r="I64" s="80">
        <v>1.0</v>
      </c>
      <c r="J64" s="81"/>
      <c r="K64" s="80">
        <v>0.0</v>
      </c>
      <c r="L64" s="80">
        <v>0.0</v>
      </c>
      <c r="M64" s="80">
        <v>0.0</v>
      </c>
      <c r="N64" s="80">
        <v>0.0</v>
      </c>
      <c r="O64" s="83"/>
    </row>
    <row r="65">
      <c r="A65" s="80">
        <v>3.13</v>
      </c>
      <c r="B65" s="79" t="s">
        <v>1043</v>
      </c>
      <c r="C65" s="79" t="s">
        <v>18</v>
      </c>
      <c r="D65" s="79" t="s">
        <v>1044</v>
      </c>
      <c r="E65" s="83"/>
      <c r="F65" s="79" t="s">
        <v>21</v>
      </c>
      <c r="G65" s="79">
        <v>14.0</v>
      </c>
      <c r="H65" s="79" t="s">
        <v>22</v>
      </c>
      <c r="I65" s="80">
        <v>1.0</v>
      </c>
      <c r="J65" s="81"/>
      <c r="K65" s="82">
        <v>2806.4</v>
      </c>
      <c r="L65" s="82">
        <v>2806.4</v>
      </c>
      <c r="M65" s="80">
        <v>0.0</v>
      </c>
      <c r="N65" s="82">
        <v>2806.4</v>
      </c>
      <c r="O65" s="83"/>
    </row>
    <row r="66">
      <c r="A66" s="80">
        <v>3.14</v>
      </c>
      <c r="B66" s="79" t="s">
        <v>1053</v>
      </c>
      <c r="C66" s="79" t="s">
        <v>18</v>
      </c>
      <c r="D66" s="79" t="s">
        <v>1054</v>
      </c>
      <c r="E66" s="83"/>
      <c r="F66" s="79" t="s">
        <v>21</v>
      </c>
      <c r="G66" s="79">
        <v>14.0</v>
      </c>
      <c r="H66" s="79" t="s">
        <v>22</v>
      </c>
      <c r="I66" s="80">
        <v>1.0</v>
      </c>
      <c r="J66" s="81"/>
      <c r="K66" s="80">
        <v>0.0</v>
      </c>
      <c r="L66" s="80">
        <v>0.0</v>
      </c>
      <c r="M66" s="80">
        <v>0.0</v>
      </c>
      <c r="N66" s="80">
        <v>0.0</v>
      </c>
      <c r="O66" s="83"/>
    </row>
    <row r="67">
      <c r="A67" s="80">
        <v>3.15</v>
      </c>
      <c r="B67" s="79" t="s">
        <v>59</v>
      </c>
      <c r="C67" s="79" t="s">
        <v>29</v>
      </c>
      <c r="D67" s="79" t="s">
        <v>60</v>
      </c>
      <c r="E67" s="83"/>
      <c r="F67" s="79" t="s">
        <v>21</v>
      </c>
      <c r="G67" s="79">
        <v>2.0</v>
      </c>
      <c r="H67" s="79" t="s">
        <v>29</v>
      </c>
      <c r="I67" s="80">
        <v>1.0</v>
      </c>
      <c r="J67" s="81"/>
      <c r="K67" s="80">
        <v>0.0</v>
      </c>
      <c r="L67" s="80">
        <v>0.0</v>
      </c>
      <c r="M67" s="80">
        <v>0.0</v>
      </c>
      <c r="N67" s="80">
        <v>0.0</v>
      </c>
      <c r="O67" s="83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5" t="s">
        <v>63</v>
      </c>
      <c r="N68" s="86">
        <v>16104.69</v>
      </c>
      <c r="O68" s="87"/>
    </row>
    <row r="69">
      <c r="A69" s="78">
        <v>4.0</v>
      </c>
      <c r="B69" s="78" t="s">
        <v>1058</v>
      </c>
      <c r="C69" s="79" t="s">
        <v>18</v>
      </c>
      <c r="D69" s="79" t="s">
        <v>1059</v>
      </c>
      <c r="E69" s="79" t="s">
        <v>20</v>
      </c>
      <c r="F69" s="79" t="s">
        <v>21</v>
      </c>
      <c r="G69" s="79">
        <v>14.0</v>
      </c>
      <c r="H69" s="79" t="s">
        <v>22</v>
      </c>
      <c r="I69" s="80">
        <v>1.0</v>
      </c>
      <c r="J69" s="81"/>
      <c r="K69" s="82">
        <v>8672.21</v>
      </c>
      <c r="L69" s="82">
        <v>8672.21</v>
      </c>
      <c r="M69" s="80">
        <v>0.0</v>
      </c>
      <c r="N69" s="82">
        <v>8672.21</v>
      </c>
      <c r="O69" s="83"/>
    </row>
    <row r="70">
      <c r="A70" s="80" t="s">
        <v>100</v>
      </c>
      <c r="B70" s="79" t="s">
        <v>1060</v>
      </c>
      <c r="C70" s="79" t="s">
        <v>18</v>
      </c>
      <c r="D70" s="79" t="s">
        <v>1048</v>
      </c>
      <c r="E70" s="83"/>
      <c r="F70" s="79">
        <v>36.0</v>
      </c>
      <c r="G70" s="79" t="s">
        <v>21</v>
      </c>
      <c r="H70" s="79" t="s">
        <v>22</v>
      </c>
      <c r="I70" s="80">
        <v>1.0</v>
      </c>
      <c r="J70" s="81"/>
      <c r="K70" s="82">
        <v>2714.25</v>
      </c>
      <c r="L70" s="82">
        <v>2714.25</v>
      </c>
      <c r="M70" s="80">
        <v>0.0</v>
      </c>
      <c r="N70" s="82">
        <v>2714.25</v>
      </c>
      <c r="O70" s="79" t="s">
        <v>26</v>
      </c>
    </row>
    <row r="71">
      <c r="A71" s="80">
        <v>4.1</v>
      </c>
      <c r="B71" s="79" t="s">
        <v>1015</v>
      </c>
      <c r="C71" s="79" t="s">
        <v>29</v>
      </c>
      <c r="D71" s="79" t="s">
        <v>1016</v>
      </c>
      <c r="E71" s="83"/>
      <c r="F71" s="79" t="s">
        <v>21</v>
      </c>
      <c r="G71" s="79">
        <v>14.0</v>
      </c>
      <c r="H71" s="79" t="s">
        <v>22</v>
      </c>
      <c r="I71" s="80">
        <v>1.0</v>
      </c>
      <c r="J71" s="81"/>
      <c r="K71" s="80">
        <v>0.0</v>
      </c>
      <c r="L71" s="80">
        <v>0.0</v>
      </c>
      <c r="M71" s="80">
        <v>0.0</v>
      </c>
      <c r="N71" s="80">
        <v>0.0</v>
      </c>
      <c r="O71" s="83"/>
    </row>
    <row r="72">
      <c r="A72" s="80" t="s">
        <v>903</v>
      </c>
      <c r="B72" s="79" t="s">
        <v>1017</v>
      </c>
      <c r="C72" s="79" t="s">
        <v>18</v>
      </c>
      <c r="D72" s="79" t="s">
        <v>1018</v>
      </c>
      <c r="E72" s="83"/>
      <c r="F72" s="79">
        <v>36.0</v>
      </c>
      <c r="G72" s="79" t="s">
        <v>21</v>
      </c>
      <c r="H72" s="79" t="s">
        <v>22</v>
      </c>
      <c r="I72" s="80">
        <v>1.0</v>
      </c>
      <c r="J72" s="81"/>
      <c r="K72" s="80">
        <v>486.75</v>
      </c>
      <c r="L72" s="80">
        <v>486.75</v>
      </c>
      <c r="M72" s="80">
        <v>0.0</v>
      </c>
      <c r="N72" s="80">
        <v>486.75</v>
      </c>
      <c r="O72" s="79" t="s">
        <v>26</v>
      </c>
    </row>
    <row r="73">
      <c r="A73" s="80" t="s">
        <v>105</v>
      </c>
      <c r="B73" s="79" t="s">
        <v>1019</v>
      </c>
      <c r="C73" s="79" t="s">
        <v>18</v>
      </c>
      <c r="D73" s="79" t="s">
        <v>1020</v>
      </c>
      <c r="E73" s="83"/>
      <c r="F73" s="79">
        <v>36.0</v>
      </c>
      <c r="G73" s="79" t="s">
        <v>21</v>
      </c>
      <c r="H73" s="79" t="s">
        <v>22</v>
      </c>
      <c r="I73" s="80">
        <v>1.0</v>
      </c>
      <c r="J73" s="81"/>
      <c r="K73" s="82">
        <v>2365.77</v>
      </c>
      <c r="L73" s="82">
        <v>2365.77</v>
      </c>
      <c r="M73" s="80">
        <v>0.0</v>
      </c>
      <c r="N73" s="82">
        <v>2365.77</v>
      </c>
      <c r="O73" s="83"/>
    </row>
    <row r="74">
      <c r="A74" s="80">
        <v>4.2</v>
      </c>
      <c r="B74" s="79" t="s">
        <v>1021</v>
      </c>
      <c r="C74" s="79" t="s">
        <v>29</v>
      </c>
      <c r="D74" s="79" t="s">
        <v>1022</v>
      </c>
      <c r="E74" s="83"/>
      <c r="F74" s="79" t="s">
        <v>21</v>
      </c>
      <c r="G74" s="79">
        <v>14.0</v>
      </c>
      <c r="H74" s="79" t="s">
        <v>29</v>
      </c>
      <c r="I74" s="80">
        <v>1.0</v>
      </c>
      <c r="J74" s="81"/>
      <c r="K74" s="80">
        <v>0.0</v>
      </c>
      <c r="L74" s="80">
        <v>0.0</v>
      </c>
      <c r="M74" s="80">
        <v>0.0</v>
      </c>
      <c r="N74" s="80">
        <v>0.0</v>
      </c>
      <c r="O74" s="83"/>
    </row>
    <row r="75">
      <c r="A75" s="80" t="s">
        <v>109</v>
      </c>
      <c r="B75" s="79" t="s">
        <v>1023</v>
      </c>
      <c r="C75" s="79" t="s">
        <v>18</v>
      </c>
      <c r="D75" s="79" t="s">
        <v>1024</v>
      </c>
      <c r="E75" s="83"/>
      <c r="F75" s="79">
        <v>36.0</v>
      </c>
      <c r="G75" s="79" t="s">
        <v>21</v>
      </c>
      <c r="H75" s="79" t="s">
        <v>22</v>
      </c>
      <c r="I75" s="80">
        <v>1.0</v>
      </c>
      <c r="J75" s="81"/>
      <c r="K75" s="80">
        <v>0.0</v>
      </c>
      <c r="L75" s="80">
        <v>0.0</v>
      </c>
      <c r="M75" s="80">
        <v>0.0</v>
      </c>
      <c r="N75" s="80">
        <v>0.0</v>
      </c>
      <c r="O75" s="83"/>
    </row>
    <row r="76">
      <c r="A76" s="80">
        <v>4.3</v>
      </c>
      <c r="B76" s="79" t="s">
        <v>1025</v>
      </c>
      <c r="C76" s="79" t="s">
        <v>29</v>
      </c>
      <c r="D76" s="79" t="s">
        <v>1026</v>
      </c>
      <c r="E76" s="83"/>
      <c r="F76" s="79" t="s">
        <v>21</v>
      </c>
      <c r="G76" s="79">
        <v>14.0</v>
      </c>
      <c r="H76" s="79" t="s">
        <v>29</v>
      </c>
      <c r="I76" s="80">
        <v>1.0</v>
      </c>
      <c r="J76" s="81"/>
      <c r="K76" s="80">
        <v>0.0</v>
      </c>
      <c r="L76" s="80">
        <v>0.0</v>
      </c>
      <c r="M76" s="80">
        <v>0.0</v>
      </c>
      <c r="N76" s="80">
        <v>0.0</v>
      </c>
      <c r="O76" s="83"/>
    </row>
    <row r="77">
      <c r="A77" s="80" t="s">
        <v>110</v>
      </c>
      <c r="B77" s="79" t="s">
        <v>1027</v>
      </c>
      <c r="C77" s="79" t="s">
        <v>18</v>
      </c>
      <c r="D77" s="79" t="s">
        <v>1028</v>
      </c>
      <c r="E77" s="83"/>
      <c r="F77" s="79">
        <v>36.0</v>
      </c>
      <c r="G77" s="79" t="s">
        <v>21</v>
      </c>
      <c r="H77" s="79" t="s">
        <v>22</v>
      </c>
      <c r="I77" s="80">
        <v>1.0</v>
      </c>
      <c r="J77" s="81"/>
      <c r="K77" s="80">
        <v>0.0</v>
      </c>
      <c r="L77" s="80">
        <v>0.0</v>
      </c>
      <c r="M77" s="80">
        <v>0.0</v>
      </c>
      <c r="N77" s="80">
        <v>0.0</v>
      </c>
      <c r="O77" s="83"/>
    </row>
    <row r="78">
      <c r="A78" s="80">
        <v>4.4</v>
      </c>
      <c r="B78" s="79" t="s">
        <v>1029</v>
      </c>
      <c r="C78" s="79" t="s">
        <v>18</v>
      </c>
      <c r="D78" s="79" t="s">
        <v>1030</v>
      </c>
      <c r="E78" s="83"/>
      <c r="F78" s="79" t="s">
        <v>21</v>
      </c>
      <c r="G78" s="79">
        <v>14.0</v>
      </c>
      <c r="H78" s="79" t="s">
        <v>29</v>
      </c>
      <c r="I78" s="80">
        <v>1.0</v>
      </c>
      <c r="J78" s="81"/>
      <c r="K78" s="80">
        <v>0.0</v>
      </c>
      <c r="L78" s="80">
        <v>0.0</v>
      </c>
      <c r="M78" s="80">
        <v>0.0</v>
      </c>
      <c r="N78" s="80">
        <v>0.0</v>
      </c>
      <c r="O78" s="83"/>
    </row>
    <row r="79">
      <c r="A79" s="80">
        <v>4.5</v>
      </c>
      <c r="B79" s="79" t="s">
        <v>1031</v>
      </c>
      <c r="C79" s="79" t="s">
        <v>29</v>
      </c>
      <c r="D79" s="79" t="s">
        <v>1032</v>
      </c>
      <c r="E79" s="83"/>
      <c r="F79" s="79" t="s">
        <v>21</v>
      </c>
      <c r="G79" s="79">
        <v>14.0</v>
      </c>
      <c r="H79" s="79" t="s">
        <v>29</v>
      </c>
      <c r="I79" s="80">
        <v>1.0</v>
      </c>
      <c r="J79" s="81"/>
      <c r="K79" s="80">
        <v>0.0</v>
      </c>
      <c r="L79" s="80">
        <v>0.0</v>
      </c>
      <c r="M79" s="80">
        <v>0.0</v>
      </c>
      <c r="N79" s="80">
        <v>0.0</v>
      </c>
      <c r="O79" s="83"/>
    </row>
    <row r="80">
      <c r="A80" s="80">
        <v>4.6</v>
      </c>
      <c r="B80" s="79" t="s">
        <v>1033</v>
      </c>
      <c r="C80" s="79" t="s">
        <v>18</v>
      </c>
      <c r="D80" s="79" t="s">
        <v>1034</v>
      </c>
      <c r="E80" s="83"/>
      <c r="F80" s="79" t="s">
        <v>21</v>
      </c>
      <c r="G80" s="79">
        <v>14.0</v>
      </c>
      <c r="H80" s="79" t="s">
        <v>29</v>
      </c>
      <c r="I80" s="80">
        <v>1.0</v>
      </c>
      <c r="J80" s="81"/>
      <c r="K80" s="80">
        <v>0.0</v>
      </c>
      <c r="L80" s="80">
        <v>0.0</v>
      </c>
      <c r="M80" s="80">
        <v>0.0</v>
      </c>
      <c r="N80" s="80">
        <v>0.0</v>
      </c>
      <c r="O80" s="83"/>
    </row>
    <row r="81">
      <c r="A81" s="80">
        <v>4.7</v>
      </c>
      <c r="B81" s="79" t="s">
        <v>1035</v>
      </c>
      <c r="C81" s="79" t="s">
        <v>18</v>
      </c>
      <c r="D81" s="79" t="s">
        <v>1036</v>
      </c>
      <c r="E81" s="83"/>
      <c r="F81" s="79" t="s">
        <v>21</v>
      </c>
      <c r="G81" s="79">
        <v>14.0</v>
      </c>
      <c r="H81" s="79" t="s">
        <v>29</v>
      </c>
      <c r="I81" s="80">
        <v>2.0</v>
      </c>
      <c r="J81" s="81"/>
      <c r="K81" s="80">
        <v>0.0</v>
      </c>
      <c r="L81" s="80">
        <v>0.0</v>
      </c>
      <c r="M81" s="80">
        <v>0.0</v>
      </c>
      <c r="N81" s="80">
        <v>0.0</v>
      </c>
      <c r="O81" s="83"/>
    </row>
    <row r="82">
      <c r="A82" s="80">
        <v>4.8</v>
      </c>
      <c r="B82" s="79" t="s">
        <v>1049</v>
      </c>
      <c r="C82" s="79" t="s">
        <v>18</v>
      </c>
      <c r="D82" s="79" t="s">
        <v>1050</v>
      </c>
      <c r="E82" s="83"/>
      <c r="F82" s="79" t="s">
        <v>21</v>
      </c>
      <c r="G82" s="79">
        <v>14.0</v>
      </c>
      <c r="H82" s="79" t="s">
        <v>29</v>
      </c>
      <c r="I82" s="80">
        <v>1.0</v>
      </c>
      <c r="J82" s="81"/>
      <c r="K82" s="80">
        <v>0.0</v>
      </c>
      <c r="L82" s="80">
        <v>0.0</v>
      </c>
      <c r="M82" s="80">
        <v>0.0</v>
      </c>
      <c r="N82" s="80">
        <v>0.0</v>
      </c>
      <c r="O82" s="83"/>
    </row>
    <row r="83">
      <c r="A83" s="80">
        <v>4.9</v>
      </c>
      <c r="B83" s="79" t="s">
        <v>1037</v>
      </c>
      <c r="C83" s="79" t="s">
        <v>18</v>
      </c>
      <c r="D83" s="79" t="s">
        <v>1038</v>
      </c>
      <c r="E83" s="83"/>
      <c r="F83" s="79" t="s">
        <v>21</v>
      </c>
      <c r="G83" s="79">
        <v>14.0</v>
      </c>
      <c r="H83" s="79" t="s">
        <v>29</v>
      </c>
      <c r="I83" s="80">
        <v>3.0</v>
      </c>
      <c r="J83" s="81"/>
      <c r="K83" s="80">
        <v>0.0</v>
      </c>
      <c r="L83" s="80">
        <v>0.0</v>
      </c>
      <c r="M83" s="80">
        <v>0.0</v>
      </c>
      <c r="N83" s="80">
        <v>0.0</v>
      </c>
      <c r="O83" s="83"/>
    </row>
    <row r="84">
      <c r="A84" s="80">
        <v>4.1</v>
      </c>
      <c r="B84" s="79" t="s">
        <v>1051</v>
      </c>
      <c r="C84" s="79" t="s">
        <v>18</v>
      </c>
      <c r="D84" s="79" t="s">
        <v>1052</v>
      </c>
      <c r="E84" s="83"/>
      <c r="F84" s="79" t="s">
        <v>21</v>
      </c>
      <c r="G84" s="79">
        <v>14.0</v>
      </c>
      <c r="H84" s="79" t="s">
        <v>29</v>
      </c>
      <c r="I84" s="80">
        <v>1.0</v>
      </c>
      <c r="J84" s="81"/>
      <c r="K84" s="80">
        <v>0.0</v>
      </c>
      <c r="L84" s="80">
        <v>0.0</v>
      </c>
      <c r="M84" s="80">
        <v>0.0</v>
      </c>
      <c r="N84" s="80">
        <v>0.0</v>
      </c>
      <c r="O84" s="83"/>
    </row>
    <row r="85">
      <c r="A85" s="80">
        <v>4.11</v>
      </c>
      <c r="B85" s="79" t="s">
        <v>1041</v>
      </c>
      <c r="C85" s="79" t="s">
        <v>18</v>
      </c>
      <c r="D85" s="79" t="s">
        <v>1042</v>
      </c>
      <c r="E85" s="83"/>
      <c r="F85" s="79" t="s">
        <v>21</v>
      </c>
      <c r="G85" s="79">
        <v>14.0</v>
      </c>
      <c r="H85" s="79" t="s">
        <v>29</v>
      </c>
      <c r="I85" s="80">
        <v>1.0</v>
      </c>
      <c r="J85" s="81"/>
      <c r="K85" s="80">
        <v>0.0</v>
      </c>
      <c r="L85" s="80">
        <v>0.0</v>
      </c>
      <c r="M85" s="80">
        <v>0.0</v>
      </c>
      <c r="N85" s="80">
        <v>0.0</v>
      </c>
      <c r="O85" s="83"/>
    </row>
    <row r="86">
      <c r="A86" s="80">
        <v>4.12</v>
      </c>
      <c r="B86" s="79" t="s">
        <v>872</v>
      </c>
      <c r="C86" s="79" t="s">
        <v>18</v>
      </c>
      <c r="D86" s="79" t="s">
        <v>873</v>
      </c>
      <c r="E86" s="83"/>
      <c r="F86" s="79" t="s">
        <v>21</v>
      </c>
      <c r="G86" s="79">
        <v>14.0</v>
      </c>
      <c r="H86" s="79" t="s">
        <v>22</v>
      </c>
      <c r="I86" s="80">
        <v>1.0</v>
      </c>
      <c r="J86" s="81"/>
      <c r="K86" s="80">
        <v>0.0</v>
      </c>
      <c r="L86" s="80">
        <v>0.0</v>
      </c>
      <c r="M86" s="80">
        <v>0.0</v>
      </c>
      <c r="N86" s="80">
        <v>0.0</v>
      </c>
      <c r="O86" s="83"/>
    </row>
    <row r="87">
      <c r="A87" s="80">
        <v>4.13</v>
      </c>
      <c r="B87" s="79" t="s">
        <v>1043</v>
      </c>
      <c r="C87" s="79" t="s">
        <v>18</v>
      </c>
      <c r="D87" s="79" t="s">
        <v>1044</v>
      </c>
      <c r="E87" s="83"/>
      <c r="F87" s="79" t="s">
        <v>21</v>
      </c>
      <c r="G87" s="79">
        <v>14.0</v>
      </c>
      <c r="H87" s="79" t="s">
        <v>22</v>
      </c>
      <c r="I87" s="80">
        <v>1.0</v>
      </c>
      <c r="J87" s="81"/>
      <c r="K87" s="82">
        <v>2806.4</v>
      </c>
      <c r="L87" s="82">
        <v>2806.4</v>
      </c>
      <c r="M87" s="80">
        <v>0.0</v>
      </c>
      <c r="N87" s="82">
        <v>2806.4</v>
      </c>
      <c r="O87" s="83"/>
    </row>
    <row r="88">
      <c r="A88" s="80">
        <v>4.14</v>
      </c>
      <c r="B88" s="79" t="s">
        <v>1053</v>
      </c>
      <c r="C88" s="79" t="s">
        <v>18</v>
      </c>
      <c r="D88" s="79" t="s">
        <v>1054</v>
      </c>
      <c r="E88" s="83"/>
      <c r="F88" s="79" t="s">
        <v>21</v>
      </c>
      <c r="G88" s="79">
        <v>14.0</v>
      </c>
      <c r="H88" s="79" t="s">
        <v>22</v>
      </c>
      <c r="I88" s="80">
        <v>1.0</v>
      </c>
      <c r="J88" s="81"/>
      <c r="K88" s="80">
        <v>0.0</v>
      </c>
      <c r="L88" s="80">
        <v>0.0</v>
      </c>
      <c r="M88" s="80">
        <v>0.0</v>
      </c>
      <c r="N88" s="80">
        <v>0.0</v>
      </c>
      <c r="O88" s="83"/>
    </row>
    <row r="89">
      <c r="A89" s="80">
        <v>4.15</v>
      </c>
      <c r="B89" s="79" t="s">
        <v>59</v>
      </c>
      <c r="C89" s="79" t="s">
        <v>29</v>
      </c>
      <c r="D89" s="79" t="s">
        <v>60</v>
      </c>
      <c r="E89" s="83"/>
      <c r="F89" s="79" t="s">
        <v>21</v>
      </c>
      <c r="G89" s="79">
        <v>2.0</v>
      </c>
      <c r="H89" s="79" t="s">
        <v>29</v>
      </c>
      <c r="I89" s="80">
        <v>1.0</v>
      </c>
      <c r="J89" s="81"/>
      <c r="K89" s="80">
        <v>0.0</v>
      </c>
      <c r="L89" s="80">
        <v>0.0</v>
      </c>
      <c r="M89" s="80">
        <v>0.0</v>
      </c>
      <c r="N89" s="80">
        <v>0.0</v>
      </c>
      <c r="O89" s="83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5" t="s">
        <v>63</v>
      </c>
      <c r="N90" s="86">
        <v>17045.38</v>
      </c>
      <c r="O90" s="87"/>
    </row>
    <row r="91">
      <c r="A91" s="78">
        <v>5.0</v>
      </c>
      <c r="B91" s="78" t="s">
        <v>1061</v>
      </c>
      <c r="C91" s="79" t="s">
        <v>18</v>
      </c>
      <c r="D91" s="79" t="s">
        <v>1062</v>
      </c>
      <c r="E91" s="79" t="s">
        <v>20</v>
      </c>
      <c r="F91" s="79" t="s">
        <v>21</v>
      </c>
      <c r="G91" s="79">
        <v>35.0</v>
      </c>
      <c r="H91" s="79" t="s">
        <v>22</v>
      </c>
      <c r="I91" s="80">
        <v>1.0</v>
      </c>
      <c r="J91" s="81"/>
      <c r="K91" s="82">
        <v>8585.08</v>
      </c>
      <c r="L91" s="82">
        <v>8585.08</v>
      </c>
      <c r="M91" s="80">
        <v>0.0</v>
      </c>
      <c r="N91" s="82">
        <v>8585.08</v>
      </c>
      <c r="O91" s="83"/>
    </row>
    <row r="92">
      <c r="A92" s="80" t="s">
        <v>117</v>
      </c>
      <c r="B92" s="79" t="s">
        <v>1063</v>
      </c>
      <c r="C92" s="79" t="s">
        <v>18</v>
      </c>
      <c r="D92" s="79" t="s">
        <v>1064</v>
      </c>
      <c r="E92" s="83"/>
      <c r="F92" s="79">
        <v>36.0</v>
      </c>
      <c r="G92" s="79" t="s">
        <v>21</v>
      </c>
      <c r="H92" s="79" t="s">
        <v>22</v>
      </c>
      <c r="I92" s="80">
        <v>1.0</v>
      </c>
      <c r="J92" s="81"/>
      <c r="K92" s="82">
        <v>2689.5</v>
      </c>
      <c r="L92" s="82">
        <v>2689.5</v>
      </c>
      <c r="M92" s="80">
        <v>0.0</v>
      </c>
      <c r="N92" s="82">
        <v>2689.5</v>
      </c>
      <c r="O92" s="79" t="s">
        <v>26</v>
      </c>
    </row>
    <row r="93">
      <c r="A93" s="80">
        <v>5.1</v>
      </c>
      <c r="B93" s="79" t="s">
        <v>1065</v>
      </c>
      <c r="C93" s="79" t="s">
        <v>29</v>
      </c>
      <c r="D93" s="79" t="s">
        <v>1066</v>
      </c>
      <c r="E93" s="83"/>
      <c r="F93" s="79" t="s">
        <v>21</v>
      </c>
      <c r="G93" s="79">
        <v>14.0</v>
      </c>
      <c r="H93" s="79" t="s">
        <v>22</v>
      </c>
      <c r="I93" s="80">
        <v>1.0</v>
      </c>
      <c r="J93" s="81"/>
      <c r="K93" s="80">
        <v>0.0</v>
      </c>
      <c r="L93" s="80">
        <v>0.0</v>
      </c>
      <c r="M93" s="80">
        <v>0.0</v>
      </c>
      <c r="N93" s="80">
        <v>0.0</v>
      </c>
      <c r="O93" s="83"/>
    </row>
    <row r="94">
      <c r="A94" s="80" t="s">
        <v>910</v>
      </c>
      <c r="B94" s="79" t="s">
        <v>1067</v>
      </c>
      <c r="C94" s="79" t="s">
        <v>18</v>
      </c>
      <c r="D94" s="79" t="s">
        <v>1018</v>
      </c>
      <c r="E94" s="83"/>
      <c r="F94" s="79">
        <v>36.0</v>
      </c>
      <c r="G94" s="79" t="s">
        <v>21</v>
      </c>
      <c r="H94" s="79" t="s">
        <v>22</v>
      </c>
      <c r="I94" s="80">
        <v>1.0</v>
      </c>
      <c r="J94" s="81"/>
      <c r="K94" s="80">
        <v>915.75</v>
      </c>
      <c r="L94" s="80">
        <v>915.75</v>
      </c>
      <c r="M94" s="80">
        <v>0.0</v>
      </c>
      <c r="N94" s="80">
        <v>915.75</v>
      </c>
      <c r="O94" s="79" t="s">
        <v>26</v>
      </c>
    </row>
    <row r="95">
      <c r="A95" s="80" t="s">
        <v>121</v>
      </c>
      <c r="B95" s="79" t="s">
        <v>1068</v>
      </c>
      <c r="C95" s="79" t="s">
        <v>18</v>
      </c>
      <c r="D95" s="79" t="s">
        <v>1069</v>
      </c>
      <c r="E95" s="83"/>
      <c r="F95" s="79">
        <v>36.0</v>
      </c>
      <c r="G95" s="79" t="s">
        <v>21</v>
      </c>
      <c r="H95" s="79" t="s">
        <v>22</v>
      </c>
      <c r="I95" s="80">
        <v>1.0</v>
      </c>
      <c r="J95" s="81"/>
      <c r="K95" s="82">
        <v>4437.29</v>
      </c>
      <c r="L95" s="82">
        <v>4437.29</v>
      </c>
      <c r="M95" s="80">
        <v>0.0</v>
      </c>
      <c r="N95" s="82">
        <v>4437.29</v>
      </c>
      <c r="O95" s="83"/>
    </row>
    <row r="96">
      <c r="A96" s="80">
        <v>5.2</v>
      </c>
      <c r="B96" s="79" t="s">
        <v>1021</v>
      </c>
      <c r="C96" s="79" t="s">
        <v>29</v>
      </c>
      <c r="D96" s="79" t="s">
        <v>1022</v>
      </c>
      <c r="E96" s="83"/>
      <c r="F96" s="79" t="s">
        <v>21</v>
      </c>
      <c r="G96" s="79">
        <v>14.0</v>
      </c>
      <c r="H96" s="79" t="s">
        <v>29</v>
      </c>
      <c r="I96" s="80">
        <v>1.0</v>
      </c>
      <c r="J96" s="81"/>
      <c r="K96" s="80">
        <v>0.0</v>
      </c>
      <c r="L96" s="80">
        <v>0.0</v>
      </c>
      <c r="M96" s="80">
        <v>0.0</v>
      </c>
      <c r="N96" s="80">
        <v>0.0</v>
      </c>
      <c r="O96" s="83"/>
    </row>
    <row r="97">
      <c r="A97" s="80" t="s">
        <v>125</v>
      </c>
      <c r="B97" s="79" t="s">
        <v>1023</v>
      </c>
      <c r="C97" s="79" t="s">
        <v>18</v>
      </c>
      <c r="D97" s="79" t="s">
        <v>1024</v>
      </c>
      <c r="E97" s="83"/>
      <c r="F97" s="79">
        <v>36.0</v>
      </c>
      <c r="G97" s="79" t="s">
        <v>21</v>
      </c>
      <c r="H97" s="79" t="s">
        <v>22</v>
      </c>
      <c r="I97" s="80">
        <v>1.0</v>
      </c>
      <c r="J97" s="81"/>
      <c r="K97" s="80">
        <v>0.0</v>
      </c>
      <c r="L97" s="80">
        <v>0.0</v>
      </c>
      <c r="M97" s="80">
        <v>0.0</v>
      </c>
      <c r="N97" s="80">
        <v>0.0</v>
      </c>
      <c r="O97" s="83"/>
    </row>
    <row r="98">
      <c r="A98" s="80">
        <v>5.3</v>
      </c>
      <c r="B98" s="79" t="s">
        <v>1025</v>
      </c>
      <c r="C98" s="79" t="s">
        <v>29</v>
      </c>
      <c r="D98" s="79" t="s">
        <v>1026</v>
      </c>
      <c r="E98" s="83"/>
      <c r="F98" s="79" t="s">
        <v>21</v>
      </c>
      <c r="G98" s="79">
        <v>14.0</v>
      </c>
      <c r="H98" s="79" t="s">
        <v>29</v>
      </c>
      <c r="I98" s="80">
        <v>1.0</v>
      </c>
      <c r="J98" s="81"/>
      <c r="K98" s="80">
        <v>0.0</v>
      </c>
      <c r="L98" s="80">
        <v>0.0</v>
      </c>
      <c r="M98" s="80">
        <v>0.0</v>
      </c>
      <c r="N98" s="80">
        <v>0.0</v>
      </c>
      <c r="O98" s="83"/>
    </row>
    <row r="99">
      <c r="A99" s="80" t="s">
        <v>126</v>
      </c>
      <c r="B99" s="79" t="s">
        <v>1027</v>
      </c>
      <c r="C99" s="79" t="s">
        <v>18</v>
      </c>
      <c r="D99" s="79" t="s">
        <v>1028</v>
      </c>
      <c r="E99" s="83"/>
      <c r="F99" s="79">
        <v>36.0</v>
      </c>
      <c r="G99" s="79" t="s">
        <v>21</v>
      </c>
      <c r="H99" s="79" t="s">
        <v>22</v>
      </c>
      <c r="I99" s="80">
        <v>1.0</v>
      </c>
      <c r="J99" s="81"/>
      <c r="K99" s="80">
        <v>0.0</v>
      </c>
      <c r="L99" s="80">
        <v>0.0</v>
      </c>
      <c r="M99" s="80">
        <v>0.0</v>
      </c>
      <c r="N99" s="80">
        <v>0.0</v>
      </c>
      <c r="O99" s="83"/>
    </row>
    <row r="100">
      <c r="A100" s="80">
        <v>5.4</v>
      </c>
      <c r="B100" s="79" t="s">
        <v>1029</v>
      </c>
      <c r="C100" s="79" t="s">
        <v>18</v>
      </c>
      <c r="D100" s="79" t="s">
        <v>1030</v>
      </c>
      <c r="E100" s="83"/>
      <c r="F100" s="79" t="s">
        <v>21</v>
      </c>
      <c r="G100" s="79">
        <v>14.0</v>
      </c>
      <c r="H100" s="79" t="s">
        <v>29</v>
      </c>
      <c r="I100" s="80">
        <v>1.0</v>
      </c>
      <c r="J100" s="81"/>
      <c r="K100" s="80">
        <v>0.0</v>
      </c>
      <c r="L100" s="80">
        <v>0.0</v>
      </c>
      <c r="M100" s="80">
        <v>0.0</v>
      </c>
      <c r="N100" s="80">
        <v>0.0</v>
      </c>
      <c r="O100" s="83"/>
    </row>
    <row r="101">
      <c r="A101" s="80">
        <v>5.5</v>
      </c>
      <c r="B101" s="79" t="s">
        <v>1070</v>
      </c>
      <c r="C101" s="79" t="s">
        <v>29</v>
      </c>
      <c r="D101" s="79" t="s">
        <v>1071</v>
      </c>
      <c r="E101" s="83"/>
      <c r="F101" s="79" t="s">
        <v>21</v>
      </c>
      <c r="G101" s="79">
        <v>14.0</v>
      </c>
      <c r="H101" s="79" t="s">
        <v>29</v>
      </c>
      <c r="I101" s="80">
        <v>1.0</v>
      </c>
      <c r="J101" s="81"/>
      <c r="K101" s="80">
        <v>0.0</v>
      </c>
      <c r="L101" s="80">
        <v>0.0</v>
      </c>
      <c r="M101" s="80">
        <v>0.0</v>
      </c>
      <c r="N101" s="80">
        <v>0.0</v>
      </c>
      <c r="O101" s="83"/>
    </row>
    <row r="102">
      <c r="A102" s="80">
        <v>5.6</v>
      </c>
      <c r="B102" s="79" t="s">
        <v>1033</v>
      </c>
      <c r="C102" s="79" t="s">
        <v>18</v>
      </c>
      <c r="D102" s="79" t="s">
        <v>1034</v>
      </c>
      <c r="E102" s="83"/>
      <c r="F102" s="79" t="s">
        <v>21</v>
      </c>
      <c r="G102" s="79">
        <v>14.0</v>
      </c>
      <c r="H102" s="79" t="s">
        <v>29</v>
      </c>
      <c r="I102" s="80">
        <v>1.0</v>
      </c>
      <c r="J102" s="81"/>
      <c r="K102" s="80">
        <v>0.0</v>
      </c>
      <c r="L102" s="80">
        <v>0.0</v>
      </c>
      <c r="M102" s="80">
        <v>0.0</v>
      </c>
      <c r="N102" s="80">
        <v>0.0</v>
      </c>
      <c r="O102" s="83"/>
    </row>
    <row r="103">
      <c r="A103" s="80">
        <v>5.7</v>
      </c>
      <c r="B103" s="79" t="s">
        <v>1035</v>
      </c>
      <c r="C103" s="79" t="s">
        <v>18</v>
      </c>
      <c r="D103" s="79" t="s">
        <v>1036</v>
      </c>
      <c r="E103" s="83"/>
      <c r="F103" s="79" t="s">
        <v>21</v>
      </c>
      <c r="G103" s="79">
        <v>14.0</v>
      </c>
      <c r="H103" s="79" t="s">
        <v>29</v>
      </c>
      <c r="I103" s="80">
        <v>2.0</v>
      </c>
      <c r="J103" s="81"/>
      <c r="K103" s="80">
        <v>0.0</v>
      </c>
      <c r="L103" s="80">
        <v>0.0</v>
      </c>
      <c r="M103" s="80">
        <v>0.0</v>
      </c>
      <c r="N103" s="80">
        <v>0.0</v>
      </c>
      <c r="O103" s="83"/>
    </row>
    <row r="104">
      <c r="A104" s="80">
        <v>5.8</v>
      </c>
      <c r="B104" s="79" t="s">
        <v>1049</v>
      </c>
      <c r="C104" s="79" t="s">
        <v>18</v>
      </c>
      <c r="D104" s="79" t="s">
        <v>1050</v>
      </c>
      <c r="E104" s="83"/>
      <c r="F104" s="79" t="s">
        <v>21</v>
      </c>
      <c r="G104" s="79">
        <v>14.0</v>
      </c>
      <c r="H104" s="79" t="s">
        <v>29</v>
      </c>
      <c r="I104" s="80">
        <v>1.0</v>
      </c>
      <c r="J104" s="81"/>
      <c r="K104" s="80">
        <v>0.0</v>
      </c>
      <c r="L104" s="80">
        <v>0.0</v>
      </c>
      <c r="M104" s="80">
        <v>0.0</v>
      </c>
      <c r="N104" s="80">
        <v>0.0</v>
      </c>
      <c r="O104" s="83"/>
    </row>
    <row r="105">
      <c r="A105" s="80">
        <v>5.9</v>
      </c>
      <c r="B105" s="79" t="s">
        <v>1037</v>
      </c>
      <c r="C105" s="79" t="s">
        <v>18</v>
      </c>
      <c r="D105" s="79" t="s">
        <v>1038</v>
      </c>
      <c r="E105" s="83"/>
      <c r="F105" s="79" t="s">
        <v>21</v>
      </c>
      <c r="G105" s="79">
        <v>14.0</v>
      </c>
      <c r="H105" s="79" t="s">
        <v>29</v>
      </c>
      <c r="I105" s="80">
        <v>3.0</v>
      </c>
      <c r="J105" s="81"/>
      <c r="K105" s="80">
        <v>0.0</v>
      </c>
      <c r="L105" s="80">
        <v>0.0</v>
      </c>
      <c r="M105" s="80">
        <v>0.0</v>
      </c>
      <c r="N105" s="80">
        <v>0.0</v>
      </c>
      <c r="O105" s="83"/>
    </row>
    <row r="106">
      <c r="A106" s="80">
        <v>5.1</v>
      </c>
      <c r="B106" s="79" t="s">
        <v>1039</v>
      </c>
      <c r="C106" s="79" t="s">
        <v>18</v>
      </c>
      <c r="D106" s="79" t="s">
        <v>1040</v>
      </c>
      <c r="E106" s="83"/>
      <c r="F106" s="79" t="s">
        <v>21</v>
      </c>
      <c r="G106" s="79">
        <v>14.0</v>
      </c>
      <c r="H106" s="79" t="s">
        <v>29</v>
      </c>
      <c r="I106" s="80">
        <v>1.0</v>
      </c>
      <c r="J106" s="81"/>
      <c r="K106" s="80">
        <v>0.0</v>
      </c>
      <c r="L106" s="80">
        <v>0.0</v>
      </c>
      <c r="M106" s="80">
        <v>0.0</v>
      </c>
      <c r="N106" s="80">
        <v>0.0</v>
      </c>
      <c r="O106" s="83"/>
    </row>
    <row r="107">
      <c r="A107" s="80">
        <v>5.11</v>
      </c>
      <c r="B107" s="79" t="s">
        <v>1041</v>
      </c>
      <c r="C107" s="79" t="s">
        <v>18</v>
      </c>
      <c r="D107" s="79" t="s">
        <v>1042</v>
      </c>
      <c r="E107" s="83"/>
      <c r="F107" s="79" t="s">
        <v>21</v>
      </c>
      <c r="G107" s="79">
        <v>14.0</v>
      </c>
      <c r="H107" s="79" t="s">
        <v>29</v>
      </c>
      <c r="I107" s="80">
        <v>1.0</v>
      </c>
      <c r="J107" s="81"/>
      <c r="K107" s="80">
        <v>0.0</v>
      </c>
      <c r="L107" s="80">
        <v>0.0</v>
      </c>
      <c r="M107" s="80">
        <v>0.0</v>
      </c>
      <c r="N107" s="80">
        <v>0.0</v>
      </c>
      <c r="O107" s="83"/>
    </row>
    <row r="108">
      <c r="A108" s="80">
        <v>5.12</v>
      </c>
      <c r="B108" s="79" t="s">
        <v>872</v>
      </c>
      <c r="C108" s="79" t="s">
        <v>18</v>
      </c>
      <c r="D108" s="79" t="s">
        <v>873</v>
      </c>
      <c r="E108" s="83"/>
      <c r="F108" s="79" t="s">
        <v>21</v>
      </c>
      <c r="G108" s="79">
        <v>14.0</v>
      </c>
      <c r="H108" s="79" t="s">
        <v>22</v>
      </c>
      <c r="I108" s="80">
        <v>1.0</v>
      </c>
      <c r="J108" s="81"/>
      <c r="K108" s="80">
        <v>0.0</v>
      </c>
      <c r="L108" s="80">
        <v>0.0</v>
      </c>
      <c r="M108" s="80">
        <v>0.0</v>
      </c>
      <c r="N108" s="80">
        <v>0.0</v>
      </c>
      <c r="O108" s="83"/>
    </row>
    <row r="109">
      <c r="A109" s="80">
        <v>5.13</v>
      </c>
      <c r="B109" s="79" t="s">
        <v>1043</v>
      </c>
      <c r="C109" s="79" t="s">
        <v>18</v>
      </c>
      <c r="D109" s="79" t="s">
        <v>1044</v>
      </c>
      <c r="E109" s="83"/>
      <c r="F109" s="79" t="s">
        <v>21</v>
      </c>
      <c r="G109" s="79">
        <v>14.0</v>
      </c>
      <c r="H109" s="79" t="s">
        <v>22</v>
      </c>
      <c r="I109" s="80">
        <v>1.0</v>
      </c>
      <c r="J109" s="81"/>
      <c r="K109" s="82">
        <v>2806.4</v>
      </c>
      <c r="L109" s="82">
        <v>2806.4</v>
      </c>
      <c r="M109" s="80">
        <v>0.0</v>
      </c>
      <c r="N109" s="82">
        <v>2806.4</v>
      </c>
      <c r="O109" s="83"/>
    </row>
    <row r="110">
      <c r="A110" s="80">
        <v>5.14</v>
      </c>
      <c r="B110" s="79" t="s">
        <v>1053</v>
      </c>
      <c r="C110" s="79" t="s">
        <v>18</v>
      </c>
      <c r="D110" s="79" t="s">
        <v>1054</v>
      </c>
      <c r="E110" s="83"/>
      <c r="F110" s="79" t="s">
        <v>21</v>
      </c>
      <c r="G110" s="79">
        <v>14.0</v>
      </c>
      <c r="H110" s="79" t="s">
        <v>22</v>
      </c>
      <c r="I110" s="80">
        <v>1.0</v>
      </c>
      <c r="J110" s="81"/>
      <c r="K110" s="80">
        <v>0.0</v>
      </c>
      <c r="L110" s="80">
        <v>0.0</v>
      </c>
      <c r="M110" s="80">
        <v>0.0</v>
      </c>
      <c r="N110" s="80">
        <v>0.0</v>
      </c>
      <c r="O110" s="83"/>
    </row>
    <row r="111">
      <c r="A111" s="80">
        <v>5.15</v>
      </c>
      <c r="B111" s="79" t="s">
        <v>59</v>
      </c>
      <c r="C111" s="79" t="s">
        <v>29</v>
      </c>
      <c r="D111" s="79" t="s">
        <v>60</v>
      </c>
      <c r="E111" s="83"/>
      <c r="F111" s="79" t="s">
        <v>21</v>
      </c>
      <c r="G111" s="79">
        <v>2.0</v>
      </c>
      <c r="H111" s="79" t="s">
        <v>29</v>
      </c>
      <c r="I111" s="80">
        <v>1.0</v>
      </c>
      <c r="J111" s="81"/>
      <c r="K111" s="80">
        <v>0.0</v>
      </c>
      <c r="L111" s="80">
        <v>0.0</v>
      </c>
      <c r="M111" s="80">
        <v>0.0</v>
      </c>
      <c r="N111" s="80">
        <v>0.0</v>
      </c>
      <c r="O111" s="83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5" t="s">
        <v>63</v>
      </c>
      <c r="N112" s="86">
        <v>19434.02</v>
      </c>
      <c r="O112" s="87"/>
    </row>
    <row r="113">
      <c r="A113" s="78">
        <v>6.0</v>
      </c>
      <c r="B113" s="78" t="s">
        <v>1072</v>
      </c>
      <c r="C113" s="79" t="s">
        <v>18</v>
      </c>
      <c r="D113" s="79" t="s">
        <v>1073</v>
      </c>
      <c r="E113" s="79" t="s">
        <v>20</v>
      </c>
      <c r="F113" s="79" t="s">
        <v>21</v>
      </c>
      <c r="G113" s="79">
        <v>35.0</v>
      </c>
      <c r="H113" s="79" t="s">
        <v>22</v>
      </c>
      <c r="I113" s="80">
        <v>1.0</v>
      </c>
      <c r="J113" s="81"/>
      <c r="K113" s="82">
        <v>10596.0</v>
      </c>
      <c r="L113" s="82">
        <v>10596.0</v>
      </c>
      <c r="M113" s="80">
        <v>0.0</v>
      </c>
      <c r="N113" s="82">
        <v>10596.0</v>
      </c>
      <c r="O113" s="83"/>
    </row>
    <row r="114">
      <c r="A114" s="80" t="s">
        <v>136</v>
      </c>
      <c r="B114" s="79" t="s">
        <v>1074</v>
      </c>
      <c r="C114" s="79" t="s">
        <v>18</v>
      </c>
      <c r="D114" s="79" t="s">
        <v>1075</v>
      </c>
      <c r="E114" s="83"/>
      <c r="F114" s="79">
        <v>36.0</v>
      </c>
      <c r="G114" s="79" t="s">
        <v>21</v>
      </c>
      <c r="H114" s="79" t="s">
        <v>22</v>
      </c>
      <c r="I114" s="80">
        <v>1.0</v>
      </c>
      <c r="J114" s="81"/>
      <c r="K114" s="82">
        <v>3316.5</v>
      </c>
      <c r="L114" s="82">
        <v>3316.5</v>
      </c>
      <c r="M114" s="80">
        <v>0.0</v>
      </c>
      <c r="N114" s="82">
        <v>3316.5</v>
      </c>
      <c r="O114" s="79" t="s">
        <v>26</v>
      </c>
    </row>
    <row r="115">
      <c r="A115" s="80">
        <v>6.1</v>
      </c>
      <c r="B115" s="79" t="s">
        <v>1065</v>
      </c>
      <c r="C115" s="79" t="s">
        <v>29</v>
      </c>
      <c r="D115" s="79" t="s">
        <v>1066</v>
      </c>
      <c r="E115" s="83"/>
      <c r="F115" s="79" t="s">
        <v>21</v>
      </c>
      <c r="G115" s="79">
        <v>14.0</v>
      </c>
      <c r="H115" s="79" t="s">
        <v>22</v>
      </c>
      <c r="I115" s="80">
        <v>1.0</v>
      </c>
      <c r="J115" s="81"/>
      <c r="K115" s="80">
        <v>0.0</v>
      </c>
      <c r="L115" s="80">
        <v>0.0</v>
      </c>
      <c r="M115" s="80">
        <v>0.0</v>
      </c>
      <c r="N115" s="80">
        <v>0.0</v>
      </c>
      <c r="O115" s="83"/>
    </row>
    <row r="116">
      <c r="A116" s="80" t="s">
        <v>923</v>
      </c>
      <c r="B116" s="79" t="s">
        <v>1067</v>
      </c>
      <c r="C116" s="79" t="s">
        <v>18</v>
      </c>
      <c r="D116" s="79" t="s">
        <v>1018</v>
      </c>
      <c r="E116" s="83"/>
      <c r="F116" s="79">
        <v>36.0</v>
      </c>
      <c r="G116" s="79" t="s">
        <v>21</v>
      </c>
      <c r="H116" s="79" t="s">
        <v>22</v>
      </c>
      <c r="I116" s="80">
        <v>1.0</v>
      </c>
      <c r="J116" s="81"/>
      <c r="K116" s="80">
        <v>915.75</v>
      </c>
      <c r="L116" s="80">
        <v>915.75</v>
      </c>
      <c r="M116" s="80">
        <v>0.0</v>
      </c>
      <c r="N116" s="80">
        <v>915.75</v>
      </c>
      <c r="O116" s="79" t="s">
        <v>26</v>
      </c>
    </row>
    <row r="117">
      <c r="A117" s="80" t="s">
        <v>924</v>
      </c>
      <c r="B117" s="79" t="s">
        <v>1068</v>
      </c>
      <c r="C117" s="79" t="s">
        <v>18</v>
      </c>
      <c r="D117" s="79" t="s">
        <v>1069</v>
      </c>
      <c r="E117" s="83"/>
      <c r="F117" s="79">
        <v>36.0</v>
      </c>
      <c r="G117" s="79" t="s">
        <v>21</v>
      </c>
      <c r="H117" s="79" t="s">
        <v>22</v>
      </c>
      <c r="I117" s="80">
        <v>1.0</v>
      </c>
      <c r="J117" s="81"/>
      <c r="K117" s="82">
        <v>4437.29</v>
      </c>
      <c r="L117" s="82">
        <v>4437.29</v>
      </c>
      <c r="M117" s="80">
        <v>0.0</v>
      </c>
      <c r="N117" s="82">
        <v>4437.29</v>
      </c>
      <c r="O117" s="83"/>
    </row>
    <row r="118">
      <c r="A118" s="80">
        <v>6.2</v>
      </c>
      <c r="B118" s="79" t="s">
        <v>1021</v>
      </c>
      <c r="C118" s="79" t="s">
        <v>29</v>
      </c>
      <c r="D118" s="79" t="s">
        <v>1022</v>
      </c>
      <c r="E118" s="83"/>
      <c r="F118" s="79" t="s">
        <v>21</v>
      </c>
      <c r="G118" s="79">
        <v>14.0</v>
      </c>
      <c r="H118" s="79" t="s">
        <v>29</v>
      </c>
      <c r="I118" s="80">
        <v>1.0</v>
      </c>
      <c r="J118" s="81"/>
      <c r="K118" s="80">
        <v>0.0</v>
      </c>
      <c r="L118" s="80">
        <v>0.0</v>
      </c>
      <c r="M118" s="80">
        <v>0.0</v>
      </c>
      <c r="N118" s="80">
        <v>0.0</v>
      </c>
      <c r="O118" s="83"/>
    </row>
    <row r="119">
      <c r="A119" s="80" t="s">
        <v>1076</v>
      </c>
      <c r="B119" s="79" t="s">
        <v>1023</v>
      </c>
      <c r="C119" s="79" t="s">
        <v>18</v>
      </c>
      <c r="D119" s="79" t="s">
        <v>1024</v>
      </c>
      <c r="E119" s="83"/>
      <c r="F119" s="79">
        <v>36.0</v>
      </c>
      <c r="G119" s="79" t="s">
        <v>21</v>
      </c>
      <c r="H119" s="79" t="s">
        <v>22</v>
      </c>
      <c r="I119" s="80">
        <v>1.0</v>
      </c>
      <c r="J119" s="81"/>
      <c r="K119" s="80">
        <v>0.0</v>
      </c>
      <c r="L119" s="80">
        <v>0.0</v>
      </c>
      <c r="M119" s="80">
        <v>0.0</v>
      </c>
      <c r="N119" s="80">
        <v>0.0</v>
      </c>
      <c r="O119" s="83"/>
    </row>
    <row r="120">
      <c r="A120" s="80">
        <v>6.3</v>
      </c>
      <c r="B120" s="79" t="s">
        <v>1025</v>
      </c>
      <c r="C120" s="79" t="s">
        <v>29</v>
      </c>
      <c r="D120" s="79" t="s">
        <v>1026</v>
      </c>
      <c r="E120" s="83"/>
      <c r="F120" s="79" t="s">
        <v>21</v>
      </c>
      <c r="G120" s="79">
        <v>14.0</v>
      </c>
      <c r="H120" s="79" t="s">
        <v>29</v>
      </c>
      <c r="I120" s="80">
        <v>1.0</v>
      </c>
      <c r="J120" s="81"/>
      <c r="K120" s="80">
        <v>0.0</v>
      </c>
      <c r="L120" s="80">
        <v>0.0</v>
      </c>
      <c r="M120" s="80">
        <v>0.0</v>
      </c>
      <c r="N120" s="80">
        <v>0.0</v>
      </c>
      <c r="O120" s="83"/>
    </row>
    <row r="121">
      <c r="A121" s="80" t="s">
        <v>1077</v>
      </c>
      <c r="B121" s="79" t="s">
        <v>1027</v>
      </c>
      <c r="C121" s="79" t="s">
        <v>18</v>
      </c>
      <c r="D121" s="79" t="s">
        <v>1028</v>
      </c>
      <c r="E121" s="83"/>
      <c r="F121" s="79">
        <v>36.0</v>
      </c>
      <c r="G121" s="79" t="s">
        <v>21</v>
      </c>
      <c r="H121" s="79" t="s">
        <v>22</v>
      </c>
      <c r="I121" s="80">
        <v>1.0</v>
      </c>
      <c r="J121" s="81"/>
      <c r="K121" s="80">
        <v>0.0</v>
      </c>
      <c r="L121" s="80">
        <v>0.0</v>
      </c>
      <c r="M121" s="80">
        <v>0.0</v>
      </c>
      <c r="N121" s="80">
        <v>0.0</v>
      </c>
      <c r="O121" s="83"/>
    </row>
    <row r="122">
      <c r="A122" s="80">
        <v>6.4</v>
      </c>
      <c r="B122" s="79" t="s">
        <v>1029</v>
      </c>
      <c r="C122" s="79" t="s">
        <v>18</v>
      </c>
      <c r="D122" s="79" t="s">
        <v>1030</v>
      </c>
      <c r="E122" s="83"/>
      <c r="F122" s="79" t="s">
        <v>21</v>
      </c>
      <c r="G122" s="79">
        <v>14.0</v>
      </c>
      <c r="H122" s="79" t="s">
        <v>29</v>
      </c>
      <c r="I122" s="80">
        <v>1.0</v>
      </c>
      <c r="J122" s="81"/>
      <c r="K122" s="80">
        <v>0.0</v>
      </c>
      <c r="L122" s="80">
        <v>0.0</v>
      </c>
      <c r="M122" s="80">
        <v>0.0</v>
      </c>
      <c r="N122" s="80">
        <v>0.0</v>
      </c>
      <c r="O122" s="83"/>
    </row>
    <row r="123">
      <c r="A123" s="80">
        <v>6.5</v>
      </c>
      <c r="B123" s="79" t="s">
        <v>1070</v>
      </c>
      <c r="C123" s="79" t="s">
        <v>29</v>
      </c>
      <c r="D123" s="79" t="s">
        <v>1071</v>
      </c>
      <c r="E123" s="83"/>
      <c r="F123" s="79" t="s">
        <v>21</v>
      </c>
      <c r="G123" s="79">
        <v>14.0</v>
      </c>
      <c r="H123" s="79" t="s">
        <v>29</v>
      </c>
      <c r="I123" s="80">
        <v>1.0</v>
      </c>
      <c r="J123" s="81"/>
      <c r="K123" s="80">
        <v>0.0</v>
      </c>
      <c r="L123" s="80">
        <v>0.0</v>
      </c>
      <c r="M123" s="80">
        <v>0.0</v>
      </c>
      <c r="N123" s="80">
        <v>0.0</v>
      </c>
      <c r="O123" s="83"/>
    </row>
    <row r="124">
      <c r="A124" s="80">
        <v>6.6</v>
      </c>
      <c r="B124" s="79" t="s">
        <v>1033</v>
      </c>
      <c r="C124" s="79" t="s">
        <v>18</v>
      </c>
      <c r="D124" s="79" t="s">
        <v>1034</v>
      </c>
      <c r="E124" s="83"/>
      <c r="F124" s="79" t="s">
        <v>21</v>
      </c>
      <c r="G124" s="79">
        <v>14.0</v>
      </c>
      <c r="H124" s="79" t="s">
        <v>29</v>
      </c>
      <c r="I124" s="80">
        <v>1.0</v>
      </c>
      <c r="J124" s="81"/>
      <c r="K124" s="80">
        <v>0.0</v>
      </c>
      <c r="L124" s="80">
        <v>0.0</v>
      </c>
      <c r="M124" s="80">
        <v>0.0</v>
      </c>
      <c r="N124" s="80">
        <v>0.0</v>
      </c>
      <c r="O124" s="83"/>
    </row>
    <row r="125">
      <c r="A125" s="80">
        <v>6.7</v>
      </c>
      <c r="B125" s="79" t="s">
        <v>1035</v>
      </c>
      <c r="C125" s="79" t="s">
        <v>18</v>
      </c>
      <c r="D125" s="79" t="s">
        <v>1036</v>
      </c>
      <c r="E125" s="83"/>
      <c r="F125" s="79" t="s">
        <v>21</v>
      </c>
      <c r="G125" s="79">
        <v>14.0</v>
      </c>
      <c r="H125" s="79" t="s">
        <v>29</v>
      </c>
      <c r="I125" s="80">
        <v>2.0</v>
      </c>
      <c r="J125" s="81"/>
      <c r="K125" s="80">
        <v>0.0</v>
      </c>
      <c r="L125" s="80">
        <v>0.0</v>
      </c>
      <c r="M125" s="80">
        <v>0.0</v>
      </c>
      <c r="N125" s="80">
        <v>0.0</v>
      </c>
      <c r="O125" s="83"/>
    </row>
    <row r="126">
      <c r="A126" s="80">
        <v>6.8</v>
      </c>
      <c r="B126" s="79" t="s">
        <v>1049</v>
      </c>
      <c r="C126" s="79" t="s">
        <v>18</v>
      </c>
      <c r="D126" s="79" t="s">
        <v>1050</v>
      </c>
      <c r="E126" s="83"/>
      <c r="F126" s="79" t="s">
        <v>21</v>
      </c>
      <c r="G126" s="79">
        <v>14.0</v>
      </c>
      <c r="H126" s="79" t="s">
        <v>29</v>
      </c>
      <c r="I126" s="80">
        <v>1.0</v>
      </c>
      <c r="J126" s="81"/>
      <c r="K126" s="80">
        <v>0.0</v>
      </c>
      <c r="L126" s="80">
        <v>0.0</v>
      </c>
      <c r="M126" s="80">
        <v>0.0</v>
      </c>
      <c r="N126" s="80">
        <v>0.0</v>
      </c>
      <c r="O126" s="83"/>
    </row>
    <row r="127">
      <c r="A127" s="80">
        <v>6.9</v>
      </c>
      <c r="B127" s="79" t="s">
        <v>1037</v>
      </c>
      <c r="C127" s="79" t="s">
        <v>18</v>
      </c>
      <c r="D127" s="79" t="s">
        <v>1038</v>
      </c>
      <c r="E127" s="83"/>
      <c r="F127" s="79" t="s">
        <v>21</v>
      </c>
      <c r="G127" s="79">
        <v>14.0</v>
      </c>
      <c r="H127" s="79" t="s">
        <v>29</v>
      </c>
      <c r="I127" s="80">
        <v>3.0</v>
      </c>
      <c r="J127" s="81"/>
      <c r="K127" s="80">
        <v>0.0</v>
      </c>
      <c r="L127" s="80">
        <v>0.0</v>
      </c>
      <c r="M127" s="80">
        <v>0.0</v>
      </c>
      <c r="N127" s="80">
        <v>0.0</v>
      </c>
      <c r="O127" s="83"/>
    </row>
    <row r="128">
      <c r="A128" s="80">
        <v>6.1</v>
      </c>
      <c r="B128" s="79" t="s">
        <v>1051</v>
      </c>
      <c r="C128" s="79" t="s">
        <v>18</v>
      </c>
      <c r="D128" s="79" t="s">
        <v>1052</v>
      </c>
      <c r="E128" s="83"/>
      <c r="F128" s="79" t="s">
        <v>21</v>
      </c>
      <c r="G128" s="79">
        <v>14.0</v>
      </c>
      <c r="H128" s="79" t="s">
        <v>29</v>
      </c>
      <c r="I128" s="80">
        <v>1.0</v>
      </c>
      <c r="J128" s="81"/>
      <c r="K128" s="80">
        <v>0.0</v>
      </c>
      <c r="L128" s="80">
        <v>0.0</v>
      </c>
      <c r="M128" s="80">
        <v>0.0</v>
      </c>
      <c r="N128" s="80">
        <v>0.0</v>
      </c>
      <c r="O128" s="83"/>
    </row>
    <row r="129">
      <c r="A129" s="80">
        <v>6.11</v>
      </c>
      <c r="B129" s="79" t="s">
        <v>1041</v>
      </c>
      <c r="C129" s="79" t="s">
        <v>18</v>
      </c>
      <c r="D129" s="79" t="s">
        <v>1042</v>
      </c>
      <c r="E129" s="83"/>
      <c r="F129" s="79" t="s">
        <v>21</v>
      </c>
      <c r="G129" s="79">
        <v>14.0</v>
      </c>
      <c r="H129" s="79" t="s">
        <v>29</v>
      </c>
      <c r="I129" s="80">
        <v>1.0</v>
      </c>
      <c r="J129" s="81"/>
      <c r="K129" s="80">
        <v>0.0</v>
      </c>
      <c r="L129" s="80">
        <v>0.0</v>
      </c>
      <c r="M129" s="80">
        <v>0.0</v>
      </c>
      <c r="N129" s="80">
        <v>0.0</v>
      </c>
      <c r="O129" s="83"/>
    </row>
    <row r="130">
      <c r="A130" s="80">
        <v>6.12</v>
      </c>
      <c r="B130" s="79" t="s">
        <v>872</v>
      </c>
      <c r="C130" s="79" t="s">
        <v>18</v>
      </c>
      <c r="D130" s="79" t="s">
        <v>873</v>
      </c>
      <c r="E130" s="83"/>
      <c r="F130" s="79" t="s">
        <v>21</v>
      </c>
      <c r="G130" s="79">
        <v>14.0</v>
      </c>
      <c r="H130" s="79" t="s">
        <v>22</v>
      </c>
      <c r="I130" s="80">
        <v>1.0</v>
      </c>
      <c r="J130" s="81"/>
      <c r="K130" s="80">
        <v>0.0</v>
      </c>
      <c r="L130" s="80">
        <v>0.0</v>
      </c>
      <c r="M130" s="80">
        <v>0.0</v>
      </c>
      <c r="N130" s="80">
        <v>0.0</v>
      </c>
      <c r="O130" s="83"/>
    </row>
    <row r="131">
      <c r="A131" s="80">
        <v>6.13</v>
      </c>
      <c r="B131" s="79" t="s">
        <v>1043</v>
      </c>
      <c r="C131" s="79" t="s">
        <v>18</v>
      </c>
      <c r="D131" s="79" t="s">
        <v>1044</v>
      </c>
      <c r="E131" s="83"/>
      <c r="F131" s="79" t="s">
        <v>21</v>
      </c>
      <c r="G131" s="79">
        <v>14.0</v>
      </c>
      <c r="H131" s="79" t="s">
        <v>22</v>
      </c>
      <c r="I131" s="80">
        <v>1.0</v>
      </c>
      <c r="J131" s="81"/>
      <c r="K131" s="82">
        <v>2806.4</v>
      </c>
      <c r="L131" s="82">
        <v>2806.4</v>
      </c>
      <c r="M131" s="80">
        <v>0.0</v>
      </c>
      <c r="N131" s="82">
        <v>2806.4</v>
      </c>
      <c r="O131" s="83"/>
    </row>
    <row r="132">
      <c r="A132" s="80">
        <v>6.14</v>
      </c>
      <c r="B132" s="79" t="s">
        <v>1053</v>
      </c>
      <c r="C132" s="79" t="s">
        <v>18</v>
      </c>
      <c r="D132" s="79" t="s">
        <v>1054</v>
      </c>
      <c r="E132" s="83"/>
      <c r="F132" s="79" t="s">
        <v>21</v>
      </c>
      <c r="G132" s="79">
        <v>14.0</v>
      </c>
      <c r="H132" s="79" t="s">
        <v>22</v>
      </c>
      <c r="I132" s="80">
        <v>1.0</v>
      </c>
      <c r="J132" s="81"/>
      <c r="K132" s="80">
        <v>0.0</v>
      </c>
      <c r="L132" s="80">
        <v>0.0</v>
      </c>
      <c r="M132" s="80">
        <v>0.0</v>
      </c>
      <c r="N132" s="80">
        <v>0.0</v>
      </c>
      <c r="O132" s="83"/>
    </row>
    <row r="133">
      <c r="A133" s="80">
        <v>6.15</v>
      </c>
      <c r="B133" s="79" t="s">
        <v>59</v>
      </c>
      <c r="C133" s="79" t="s">
        <v>29</v>
      </c>
      <c r="D133" s="79" t="s">
        <v>60</v>
      </c>
      <c r="E133" s="83"/>
      <c r="F133" s="79" t="s">
        <v>21</v>
      </c>
      <c r="G133" s="79">
        <v>2.0</v>
      </c>
      <c r="H133" s="79" t="s">
        <v>29</v>
      </c>
      <c r="I133" s="80">
        <v>1.0</v>
      </c>
      <c r="J133" s="81"/>
      <c r="K133" s="80">
        <v>0.0</v>
      </c>
      <c r="L133" s="80">
        <v>0.0</v>
      </c>
      <c r="M133" s="80">
        <v>0.0</v>
      </c>
      <c r="N133" s="80">
        <v>0.0</v>
      </c>
      <c r="O133" s="83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5" t="s">
        <v>63</v>
      </c>
      <c r="N134" s="86">
        <v>22071.94</v>
      </c>
      <c r="O134" s="87"/>
    </row>
    <row r="135">
      <c r="A135" s="78">
        <v>7.0</v>
      </c>
      <c r="B135" s="78" t="s">
        <v>1078</v>
      </c>
      <c r="C135" s="79" t="s">
        <v>18</v>
      </c>
      <c r="D135" s="79" t="s">
        <v>1079</v>
      </c>
      <c r="E135" s="79" t="s">
        <v>20</v>
      </c>
      <c r="F135" s="79" t="s">
        <v>21</v>
      </c>
      <c r="G135" s="79">
        <v>14.0</v>
      </c>
      <c r="H135" s="79" t="s">
        <v>22</v>
      </c>
      <c r="I135" s="80">
        <v>1.0</v>
      </c>
      <c r="J135" s="81"/>
      <c r="K135" s="82">
        <v>10738.9</v>
      </c>
      <c r="L135" s="82">
        <v>10738.9</v>
      </c>
      <c r="M135" s="80">
        <v>0.0</v>
      </c>
      <c r="N135" s="82">
        <v>10738.9</v>
      </c>
      <c r="O135" s="83"/>
    </row>
    <row r="136">
      <c r="A136" s="80" t="s">
        <v>141</v>
      </c>
      <c r="B136" s="79" t="s">
        <v>1080</v>
      </c>
      <c r="C136" s="79" t="s">
        <v>18</v>
      </c>
      <c r="D136" s="79" t="s">
        <v>1064</v>
      </c>
      <c r="E136" s="83"/>
      <c r="F136" s="79">
        <v>36.0</v>
      </c>
      <c r="G136" s="79" t="s">
        <v>21</v>
      </c>
      <c r="H136" s="79" t="s">
        <v>22</v>
      </c>
      <c r="I136" s="80">
        <v>1.0</v>
      </c>
      <c r="J136" s="81"/>
      <c r="K136" s="82">
        <v>3361.89</v>
      </c>
      <c r="L136" s="82">
        <v>3361.89</v>
      </c>
      <c r="M136" s="80">
        <v>0.0</v>
      </c>
      <c r="N136" s="82">
        <v>3361.89</v>
      </c>
      <c r="O136" s="79" t="s">
        <v>26</v>
      </c>
    </row>
    <row r="137">
      <c r="A137" s="80">
        <v>7.1</v>
      </c>
      <c r="B137" s="79" t="s">
        <v>1065</v>
      </c>
      <c r="C137" s="79" t="s">
        <v>29</v>
      </c>
      <c r="D137" s="79" t="s">
        <v>1066</v>
      </c>
      <c r="E137" s="83"/>
      <c r="F137" s="79" t="s">
        <v>21</v>
      </c>
      <c r="G137" s="79">
        <v>14.0</v>
      </c>
      <c r="H137" s="79" t="s">
        <v>22</v>
      </c>
      <c r="I137" s="80">
        <v>1.0</v>
      </c>
      <c r="J137" s="81"/>
      <c r="K137" s="80">
        <v>0.0</v>
      </c>
      <c r="L137" s="80">
        <v>0.0</v>
      </c>
      <c r="M137" s="80">
        <v>0.0</v>
      </c>
      <c r="N137" s="80">
        <v>0.0</v>
      </c>
      <c r="O137" s="83"/>
    </row>
    <row r="138">
      <c r="A138" s="80" t="s">
        <v>931</v>
      </c>
      <c r="B138" s="79" t="s">
        <v>1067</v>
      </c>
      <c r="C138" s="79" t="s">
        <v>18</v>
      </c>
      <c r="D138" s="79" t="s">
        <v>1018</v>
      </c>
      <c r="E138" s="83"/>
      <c r="F138" s="79">
        <v>36.0</v>
      </c>
      <c r="G138" s="79" t="s">
        <v>21</v>
      </c>
      <c r="H138" s="79" t="s">
        <v>22</v>
      </c>
      <c r="I138" s="80">
        <v>1.0</v>
      </c>
      <c r="J138" s="81"/>
      <c r="K138" s="80">
        <v>915.75</v>
      </c>
      <c r="L138" s="80">
        <v>915.75</v>
      </c>
      <c r="M138" s="80">
        <v>0.0</v>
      </c>
      <c r="N138" s="80">
        <v>915.75</v>
      </c>
      <c r="O138" s="79" t="s">
        <v>26</v>
      </c>
    </row>
    <row r="139">
      <c r="A139" s="80" t="s">
        <v>933</v>
      </c>
      <c r="B139" s="79" t="s">
        <v>1068</v>
      </c>
      <c r="C139" s="79" t="s">
        <v>18</v>
      </c>
      <c r="D139" s="79" t="s">
        <v>1069</v>
      </c>
      <c r="E139" s="83"/>
      <c r="F139" s="79">
        <v>36.0</v>
      </c>
      <c r="G139" s="79" t="s">
        <v>21</v>
      </c>
      <c r="H139" s="79" t="s">
        <v>22</v>
      </c>
      <c r="I139" s="80">
        <v>1.0</v>
      </c>
      <c r="J139" s="81"/>
      <c r="K139" s="82">
        <v>4437.29</v>
      </c>
      <c r="L139" s="82">
        <v>4437.29</v>
      </c>
      <c r="M139" s="80">
        <v>0.0</v>
      </c>
      <c r="N139" s="82">
        <v>4437.29</v>
      </c>
      <c r="O139" s="83"/>
    </row>
    <row r="140">
      <c r="A140" s="80">
        <v>7.2</v>
      </c>
      <c r="B140" s="79" t="s">
        <v>1021</v>
      </c>
      <c r="C140" s="79" t="s">
        <v>29</v>
      </c>
      <c r="D140" s="79" t="s">
        <v>1022</v>
      </c>
      <c r="E140" s="83"/>
      <c r="F140" s="79" t="s">
        <v>21</v>
      </c>
      <c r="G140" s="79">
        <v>14.0</v>
      </c>
      <c r="H140" s="79" t="s">
        <v>29</v>
      </c>
      <c r="I140" s="80">
        <v>1.0</v>
      </c>
      <c r="J140" s="81"/>
      <c r="K140" s="80">
        <v>0.0</v>
      </c>
      <c r="L140" s="80">
        <v>0.0</v>
      </c>
      <c r="M140" s="80">
        <v>0.0</v>
      </c>
      <c r="N140" s="80">
        <v>0.0</v>
      </c>
      <c r="O140" s="83"/>
    </row>
    <row r="141">
      <c r="A141" s="80" t="s">
        <v>1081</v>
      </c>
      <c r="B141" s="79" t="s">
        <v>1023</v>
      </c>
      <c r="C141" s="79" t="s">
        <v>18</v>
      </c>
      <c r="D141" s="79" t="s">
        <v>1024</v>
      </c>
      <c r="E141" s="83"/>
      <c r="F141" s="79">
        <v>36.0</v>
      </c>
      <c r="G141" s="79" t="s">
        <v>21</v>
      </c>
      <c r="H141" s="79" t="s">
        <v>22</v>
      </c>
      <c r="I141" s="80">
        <v>1.0</v>
      </c>
      <c r="J141" s="81"/>
      <c r="K141" s="80">
        <v>0.0</v>
      </c>
      <c r="L141" s="80">
        <v>0.0</v>
      </c>
      <c r="M141" s="80">
        <v>0.0</v>
      </c>
      <c r="N141" s="80">
        <v>0.0</v>
      </c>
      <c r="O141" s="83"/>
    </row>
    <row r="142">
      <c r="A142" s="80">
        <v>7.3</v>
      </c>
      <c r="B142" s="79" t="s">
        <v>1025</v>
      </c>
      <c r="C142" s="79" t="s">
        <v>29</v>
      </c>
      <c r="D142" s="79" t="s">
        <v>1026</v>
      </c>
      <c r="E142" s="83"/>
      <c r="F142" s="79" t="s">
        <v>21</v>
      </c>
      <c r="G142" s="79">
        <v>14.0</v>
      </c>
      <c r="H142" s="79" t="s">
        <v>29</v>
      </c>
      <c r="I142" s="80">
        <v>1.0</v>
      </c>
      <c r="J142" s="81"/>
      <c r="K142" s="80">
        <v>0.0</v>
      </c>
      <c r="L142" s="80">
        <v>0.0</v>
      </c>
      <c r="M142" s="80">
        <v>0.0</v>
      </c>
      <c r="N142" s="80">
        <v>0.0</v>
      </c>
      <c r="O142" s="83"/>
    </row>
    <row r="143">
      <c r="A143" s="80" t="s">
        <v>1082</v>
      </c>
      <c r="B143" s="79" t="s">
        <v>1027</v>
      </c>
      <c r="C143" s="79" t="s">
        <v>18</v>
      </c>
      <c r="D143" s="79" t="s">
        <v>1028</v>
      </c>
      <c r="E143" s="83"/>
      <c r="F143" s="79">
        <v>36.0</v>
      </c>
      <c r="G143" s="79" t="s">
        <v>21</v>
      </c>
      <c r="H143" s="79" t="s">
        <v>22</v>
      </c>
      <c r="I143" s="80">
        <v>1.0</v>
      </c>
      <c r="J143" s="81"/>
      <c r="K143" s="80">
        <v>0.0</v>
      </c>
      <c r="L143" s="80">
        <v>0.0</v>
      </c>
      <c r="M143" s="80">
        <v>0.0</v>
      </c>
      <c r="N143" s="80">
        <v>0.0</v>
      </c>
      <c r="O143" s="83"/>
    </row>
    <row r="144">
      <c r="A144" s="80">
        <v>7.4</v>
      </c>
      <c r="B144" s="79" t="s">
        <v>1029</v>
      </c>
      <c r="C144" s="79" t="s">
        <v>18</v>
      </c>
      <c r="D144" s="79" t="s">
        <v>1030</v>
      </c>
      <c r="E144" s="83"/>
      <c r="F144" s="79" t="s">
        <v>21</v>
      </c>
      <c r="G144" s="79">
        <v>14.0</v>
      </c>
      <c r="H144" s="79" t="s">
        <v>29</v>
      </c>
      <c r="I144" s="80">
        <v>1.0</v>
      </c>
      <c r="J144" s="81"/>
      <c r="K144" s="80">
        <v>0.0</v>
      </c>
      <c r="L144" s="80">
        <v>0.0</v>
      </c>
      <c r="M144" s="80">
        <v>0.0</v>
      </c>
      <c r="N144" s="80">
        <v>0.0</v>
      </c>
      <c r="O144" s="83"/>
    </row>
    <row r="145">
      <c r="A145" s="80">
        <v>7.5</v>
      </c>
      <c r="B145" s="79" t="s">
        <v>1070</v>
      </c>
      <c r="C145" s="79" t="s">
        <v>29</v>
      </c>
      <c r="D145" s="79" t="s">
        <v>1071</v>
      </c>
      <c r="E145" s="83"/>
      <c r="F145" s="79" t="s">
        <v>21</v>
      </c>
      <c r="G145" s="79">
        <v>14.0</v>
      </c>
      <c r="H145" s="79" t="s">
        <v>29</v>
      </c>
      <c r="I145" s="80">
        <v>1.0</v>
      </c>
      <c r="J145" s="81"/>
      <c r="K145" s="80">
        <v>0.0</v>
      </c>
      <c r="L145" s="80">
        <v>0.0</v>
      </c>
      <c r="M145" s="80">
        <v>0.0</v>
      </c>
      <c r="N145" s="80">
        <v>0.0</v>
      </c>
      <c r="O145" s="83"/>
    </row>
    <row r="146">
      <c r="A146" s="80">
        <v>7.6</v>
      </c>
      <c r="B146" s="79" t="s">
        <v>1033</v>
      </c>
      <c r="C146" s="79" t="s">
        <v>18</v>
      </c>
      <c r="D146" s="79" t="s">
        <v>1034</v>
      </c>
      <c r="E146" s="83"/>
      <c r="F146" s="79" t="s">
        <v>21</v>
      </c>
      <c r="G146" s="79">
        <v>14.0</v>
      </c>
      <c r="H146" s="79" t="s">
        <v>29</v>
      </c>
      <c r="I146" s="80">
        <v>1.0</v>
      </c>
      <c r="J146" s="81"/>
      <c r="K146" s="80">
        <v>0.0</v>
      </c>
      <c r="L146" s="80">
        <v>0.0</v>
      </c>
      <c r="M146" s="80">
        <v>0.0</v>
      </c>
      <c r="N146" s="80">
        <v>0.0</v>
      </c>
      <c r="O146" s="83"/>
    </row>
    <row r="147">
      <c r="A147" s="80">
        <v>7.7</v>
      </c>
      <c r="B147" s="79" t="s">
        <v>1035</v>
      </c>
      <c r="C147" s="79" t="s">
        <v>18</v>
      </c>
      <c r="D147" s="79" t="s">
        <v>1036</v>
      </c>
      <c r="E147" s="83"/>
      <c r="F147" s="79" t="s">
        <v>21</v>
      </c>
      <c r="G147" s="79">
        <v>14.0</v>
      </c>
      <c r="H147" s="79" t="s">
        <v>29</v>
      </c>
      <c r="I147" s="80">
        <v>2.0</v>
      </c>
      <c r="J147" s="81"/>
      <c r="K147" s="80">
        <v>0.0</v>
      </c>
      <c r="L147" s="80">
        <v>0.0</v>
      </c>
      <c r="M147" s="80">
        <v>0.0</v>
      </c>
      <c r="N147" s="80">
        <v>0.0</v>
      </c>
      <c r="O147" s="83"/>
    </row>
    <row r="148">
      <c r="A148" s="80">
        <v>7.8</v>
      </c>
      <c r="B148" s="79" t="s">
        <v>1049</v>
      </c>
      <c r="C148" s="79" t="s">
        <v>18</v>
      </c>
      <c r="D148" s="79" t="s">
        <v>1050</v>
      </c>
      <c r="E148" s="83"/>
      <c r="F148" s="79" t="s">
        <v>21</v>
      </c>
      <c r="G148" s="79">
        <v>14.0</v>
      </c>
      <c r="H148" s="79" t="s">
        <v>29</v>
      </c>
      <c r="I148" s="80">
        <v>1.0</v>
      </c>
      <c r="J148" s="81"/>
      <c r="K148" s="80">
        <v>0.0</v>
      </c>
      <c r="L148" s="80">
        <v>0.0</v>
      </c>
      <c r="M148" s="80">
        <v>0.0</v>
      </c>
      <c r="N148" s="80">
        <v>0.0</v>
      </c>
      <c r="O148" s="83"/>
    </row>
    <row r="149">
      <c r="A149" s="80">
        <v>7.9</v>
      </c>
      <c r="B149" s="79" t="s">
        <v>1037</v>
      </c>
      <c r="C149" s="79" t="s">
        <v>18</v>
      </c>
      <c r="D149" s="79" t="s">
        <v>1038</v>
      </c>
      <c r="E149" s="83"/>
      <c r="F149" s="79" t="s">
        <v>21</v>
      </c>
      <c r="G149" s="79">
        <v>14.0</v>
      </c>
      <c r="H149" s="79" t="s">
        <v>29</v>
      </c>
      <c r="I149" s="80">
        <v>3.0</v>
      </c>
      <c r="J149" s="81"/>
      <c r="K149" s="80">
        <v>0.0</v>
      </c>
      <c r="L149" s="80">
        <v>0.0</v>
      </c>
      <c r="M149" s="80">
        <v>0.0</v>
      </c>
      <c r="N149" s="80">
        <v>0.0</v>
      </c>
      <c r="O149" s="83"/>
    </row>
    <row r="150">
      <c r="A150" s="80">
        <v>7.1</v>
      </c>
      <c r="B150" s="79" t="s">
        <v>1039</v>
      </c>
      <c r="C150" s="79" t="s">
        <v>18</v>
      </c>
      <c r="D150" s="79" t="s">
        <v>1040</v>
      </c>
      <c r="E150" s="83"/>
      <c r="F150" s="79" t="s">
        <v>21</v>
      </c>
      <c r="G150" s="79">
        <v>14.0</v>
      </c>
      <c r="H150" s="79" t="s">
        <v>29</v>
      </c>
      <c r="I150" s="80">
        <v>1.0</v>
      </c>
      <c r="J150" s="81"/>
      <c r="K150" s="80">
        <v>0.0</v>
      </c>
      <c r="L150" s="80">
        <v>0.0</v>
      </c>
      <c r="M150" s="80">
        <v>0.0</v>
      </c>
      <c r="N150" s="80">
        <v>0.0</v>
      </c>
      <c r="O150" s="83"/>
    </row>
    <row r="151">
      <c r="A151" s="80">
        <v>7.11</v>
      </c>
      <c r="B151" s="79" t="s">
        <v>1041</v>
      </c>
      <c r="C151" s="79" t="s">
        <v>18</v>
      </c>
      <c r="D151" s="79" t="s">
        <v>1042</v>
      </c>
      <c r="E151" s="83"/>
      <c r="F151" s="79" t="s">
        <v>21</v>
      </c>
      <c r="G151" s="79">
        <v>14.0</v>
      </c>
      <c r="H151" s="79" t="s">
        <v>29</v>
      </c>
      <c r="I151" s="80">
        <v>1.0</v>
      </c>
      <c r="J151" s="81"/>
      <c r="K151" s="80">
        <v>0.0</v>
      </c>
      <c r="L151" s="80">
        <v>0.0</v>
      </c>
      <c r="M151" s="80">
        <v>0.0</v>
      </c>
      <c r="N151" s="80">
        <v>0.0</v>
      </c>
      <c r="O151" s="83"/>
    </row>
    <row r="152">
      <c r="A152" s="80">
        <v>7.12</v>
      </c>
      <c r="B152" s="79" t="s">
        <v>872</v>
      </c>
      <c r="C152" s="79" t="s">
        <v>18</v>
      </c>
      <c r="D152" s="79" t="s">
        <v>873</v>
      </c>
      <c r="E152" s="83"/>
      <c r="F152" s="79" t="s">
        <v>21</v>
      </c>
      <c r="G152" s="79">
        <v>14.0</v>
      </c>
      <c r="H152" s="79" t="s">
        <v>22</v>
      </c>
      <c r="I152" s="80">
        <v>1.0</v>
      </c>
      <c r="J152" s="81"/>
      <c r="K152" s="80">
        <v>0.0</v>
      </c>
      <c r="L152" s="80">
        <v>0.0</v>
      </c>
      <c r="M152" s="80">
        <v>0.0</v>
      </c>
      <c r="N152" s="80">
        <v>0.0</v>
      </c>
      <c r="O152" s="83"/>
    </row>
    <row r="153">
      <c r="A153" s="80">
        <v>7.13</v>
      </c>
      <c r="B153" s="79" t="s">
        <v>1043</v>
      </c>
      <c r="C153" s="79" t="s">
        <v>18</v>
      </c>
      <c r="D153" s="79" t="s">
        <v>1044</v>
      </c>
      <c r="E153" s="83"/>
      <c r="F153" s="79" t="s">
        <v>21</v>
      </c>
      <c r="G153" s="79">
        <v>14.0</v>
      </c>
      <c r="H153" s="79" t="s">
        <v>22</v>
      </c>
      <c r="I153" s="80">
        <v>1.0</v>
      </c>
      <c r="J153" s="81"/>
      <c r="K153" s="82">
        <v>2806.4</v>
      </c>
      <c r="L153" s="82">
        <v>2806.4</v>
      </c>
      <c r="M153" s="80">
        <v>0.0</v>
      </c>
      <c r="N153" s="82">
        <v>2806.4</v>
      </c>
      <c r="O153" s="83"/>
    </row>
    <row r="154">
      <c r="A154" s="80">
        <v>7.14</v>
      </c>
      <c r="B154" s="79" t="s">
        <v>1053</v>
      </c>
      <c r="C154" s="79" t="s">
        <v>18</v>
      </c>
      <c r="D154" s="79" t="s">
        <v>1054</v>
      </c>
      <c r="E154" s="83"/>
      <c r="F154" s="79" t="s">
        <v>21</v>
      </c>
      <c r="G154" s="79">
        <v>14.0</v>
      </c>
      <c r="H154" s="79" t="s">
        <v>22</v>
      </c>
      <c r="I154" s="80">
        <v>1.0</v>
      </c>
      <c r="J154" s="81"/>
      <c r="K154" s="80">
        <v>0.0</v>
      </c>
      <c r="L154" s="80">
        <v>0.0</v>
      </c>
      <c r="M154" s="80">
        <v>0.0</v>
      </c>
      <c r="N154" s="80">
        <v>0.0</v>
      </c>
      <c r="O154" s="83"/>
    </row>
    <row r="155">
      <c r="A155" s="80">
        <v>7.15</v>
      </c>
      <c r="B155" s="79" t="s">
        <v>59</v>
      </c>
      <c r="C155" s="79" t="s">
        <v>29</v>
      </c>
      <c r="D155" s="79" t="s">
        <v>60</v>
      </c>
      <c r="E155" s="83"/>
      <c r="F155" s="79" t="s">
        <v>21</v>
      </c>
      <c r="G155" s="79">
        <v>2.0</v>
      </c>
      <c r="H155" s="79" t="s">
        <v>29</v>
      </c>
      <c r="I155" s="80">
        <v>1.0</v>
      </c>
      <c r="J155" s="81"/>
      <c r="K155" s="80">
        <v>0.0</v>
      </c>
      <c r="L155" s="80">
        <v>0.0</v>
      </c>
      <c r="M155" s="80">
        <v>0.0</v>
      </c>
      <c r="N155" s="80">
        <v>0.0</v>
      </c>
      <c r="O155" s="83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5" t="s">
        <v>63</v>
      </c>
      <c r="N156" s="86">
        <v>22260.23</v>
      </c>
      <c r="O156" s="87"/>
    </row>
    <row r="157">
      <c r="A157" s="78">
        <v>8.0</v>
      </c>
      <c r="B157" s="78" t="s">
        <v>1083</v>
      </c>
      <c r="C157" s="79" t="s">
        <v>18</v>
      </c>
      <c r="D157" s="79" t="s">
        <v>1084</v>
      </c>
      <c r="E157" s="79" t="s">
        <v>20</v>
      </c>
      <c r="F157" s="79" t="s">
        <v>21</v>
      </c>
      <c r="G157" s="79">
        <v>14.0</v>
      </c>
      <c r="H157" s="79" t="s">
        <v>22</v>
      </c>
      <c r="I157" s="80">
        <v>1.0</v>
      </c>
      <c r="J157" s="81"/>
      <c r="K157" s="82">
        <v>12748.68</v>
      </c>
      <c r="L157" s="82">
        <v>12748.68</v>
      </c>
      <c r="M157" s="80">
        <v>0.0</v>
      </c>
      <c r="N157" s="82">
        <v>12748.68</v>
      </c>
      <c r="O157" s="83"/>
    </row>
    <row r="158">
      <c r="A158" s="80" t="s">
        <v>146</v>
      </c>
      <c r="B158" s="79" t="s">
        <v>1085</v>
      </c>
      <c r="C158" s="79" t="s">
        <v>18</v>
      </c>
      <c r="D158" s="79" t="s">
        <v>1075</v>
      </c>
      <c r="E158" s="83"/>
      <c r="F158" s="79">
        <v>36.0</v>
      </c>
      <c r="G158" s="79" t="s">
        <v>21</v>
      </c>
      <c r="H158" s="79" t="s">
        <v>22</v>
      </c>
      <c r="I158" s="80">
        <v>1.0</v>
      </c>
      <c r="J158" s="81"/>
      <c r="K158" s="82">
        <v>3993.0</v>
      </c>
      <c r="L158" s="82">
        <v>3993.0</v>
      </c>
      <c r="M158" s="80">
        <v>0.0</v>
      </c>
      <c r="N158" s="82">
        <v>3993.0</v>
      </c>
      <c r="O158" s="79" t="s">
        <v>26</v>
      </c>
    </row>
    <row r="159">
      <c r="A159" s="80">
        <v>8.1</v>
      </c>
      <c r="B159" s="79" t="s">
        <v>1065</v>
      </c>
      <c r="C159" s="79" t="s">
        <v>29</v>
      </c>
      <c r="D159" s="79" t="s">
        <v>1066</v>
      </c>
      <c r="E159" s="83"/>
      <c r="F159" s="79" t="s">
        <v>21</v>
      </c>
      <c r="G159" s="79">
        <v>14.0</v>
      </c>
      <c r="H159" s="79" t="s">
        <v>22</v>
      </c>
      <c r="I159" s="80">
        <v>1.0</v>
      </c>
      <c r="J159" s="81"/>
      <c r="K159" s="80">
        <v>0.0</v>
      </c>
      <c r="L159" s="80">
        <v>0.0</v>
      </c>
      <c r="M159" s="80">
        <v>0.0</v>
      </c>
      <c r="N159" s="80">
        <v>0.0</v>
      </c>
      <c r="O159" s="83"/>
    </row>
    <row r="160">
      <c r="A160" s="80" t="s">
        <v>942</v>
      </c>
      <c r="B160" s="79" t="s">
        <v>1067</v>
      </c>
      <c r="C160" s="79" t="s">
        <v>18</v>
      </c>
      <c r="D160" s="79" t="s">
        <v>1018</v>
      </c>
      <c r="E160" s="83"/>
      <c r="F160" s="79">
        <v>36.0</v>
      </c>
      <c r="G160" s="79" t="s">
        <v>21</v>
      </c>
      <c r="H160" s="79" t="s">
        <v>22</v>
      </c>
      <c r="I160" s="80">
        <v>1.0</v>
      </c>
      <c r="J160" s="81"/>
      <c r="K160" s="80">
        <v>915.75</v>
      </c>
      <c r="L160" s="80">
        <v>915.75</v>
      </c>
      <c r="M160" s="80">
        <v>0.0</v>
      </c>
      <c r="N160" s="80">
        <v>915.75</v>
      </c>
      <c r="O160" s="79" t="s">
        <v>26</v>
      </c>
    </row>
    <row r="161">
      <c r="A161" s="80" t="s">
        <v>943</v>
      </c>
      <c r="B161" s="79" t="s">
        <v>1068</v>
      </c>
      <c r="C161" s="79" t="s">
        <v>18</v>
      </c>
      <c r="D161" s="79" t="s">
        <v>1069</v>
      </c>
      <c r="E161" s="83"/>
      <c r="F161" s="79">
        <v>36.0</v>
      </c>
      <c r="G161" s="79" t="s">
        <v>21</v>
      </c>
      <c r="H161" s="79" t="s">
        <v>22</v>
      </c>
      <c r="I161" s="80">
        <v>1.0</v>
      </c>
      <c r="J161" s="81"/>
      <c r="K161" s="82">
        <v>4437.29</v>
      </c>
      <c r="L161" s="82">
        <v>4437.29</v>
      </c>
      <c r="M161" s="80">
        <v>0.0</v>
      </c>
      <c r="N161" s="82">
        <v>4437.29</v>
      </c>
      <c r="O161" s="83"/>
    </row>
    <row r="162">
      <c r="A162" s="80">
        <v>8.2</v>
      </c>
      <c r="B162" s="79" t="s">
        <v>1021</v>
      </c>
      <c r="C162" s="79" t="s">
        <v>29</v>
      </c>
      <c r="D162" s="79" t="s">
        <v>1022</v>
      </c>
      <c r="E162" s="83"/>
      <c r="F162" s="79" t="s">
        <v>21</v>
      </c>
      <c r="G162" s="79">
        <v>14.0</v>
      </c>
      <c r="H162" s="79" t="s">
        <v>29</v>
      </c>
      <c r="I162" s="80">
        <v>1.0</v>
      </c>
      <c r="J162" s="81"/>
      <c r="K162" s="80">
        <v>0.0</v>
      </c>
      <c r="L162" s="80">
        <v>0.0</v>
      </c>
      <c r="M162" s="80">
        <v>0.0</v>
      </c>
      <c r="N162" s="80">
        <v>0.0</v>
      </c>
      <c r="O162" s="83"/>
    </row>
    <row r="163">
      <c r="A163" s="80" t="s">
        <v>1086</v>
      </c>
      <c r="B163" s="79" t="s">
        <v>1023</v>
      </c>
      <c r="C163" s="79" t="s">
        <v>18</v>
      </c>
      <c r="D163" s="79" t="s">
        <v>1024</v>
      </c>
      <c r="E163" s="83"/>
      <c r="F163" s="79">
        <v>36.0</v>
      </c>
      <c r="G163" s="79" t="s">
        <v>21</v>
      </c>
      <c r="H163" s="79" t="s">
        <v>22</v>
      </c>
      <c r="I163" s="80">
        <v>1.0</v>
      </c>
      <c r="J163" s="81"/>
      <c r="K163" s="80">
        <v>0.0</v>
      </c>
      <c r="L163" s="80">
        <v>0.0</v>
      </c>
      <c r="M163" s="80">
        <v>0.0</v>
      </c>
      <c r="N163" s="80">
        <v>0.0</v>
      </c>
      <c r="O163" s="83"/>
    </row>
    <row r="164">
      <c r="A164" s="80">
        <v>8.3</v>
      </c>
      <c r="B164" s="79" t="s">
        <v>1025</v>
      </c>
      <c r="C164" s="79" t="s">
        <v>29</v>
      </c>
      <c r="D164" s="79" t="s">
        <v>1026</v>
      </c>
      <c r="E164" s="83"/>
      <c r="F164" s="79" t="s">
        <v>21</v>
      </c>
      <c r="G164" s="79">
        <v>14.0</v>
      </c>
      <c r="H164" s="79" t="s">
        <v>29</v>
      </c>
      <c r="I164" s="80">
        <v>1.0</v>
      </c>
      <c r="J164" s="81"/>
      <c r="K164" s="80">
        <v>0.0</v>
      </c>
      <c r="L164" s="80">
        <v>0.0</v>
      </c>
      <c r="M164" s="80">
        <v>0.0</v>
      </c>
      <c r="N164" s="80">
        <v>0.0</v>
      </c>
      <c r="O164" s="83"/>
    </row>
    <row r="165">
      <c r="A165" s="80" t="s">
        <v>1087</v>
      </c>
      <c r="B165" s="79" t="s">
        <v>1027</v>
      </c>
      <c r="C165" s="79" t="s">
        <v>18</v>
      </c>
      <c r="D165" s="79" t="s">
        <v>1028</v>
      </c>
      <c r="E165" s="83"/>
      <c r="F165" s="79">
        <v>36.0</v>
      </c>
      <c r="G165" s="79" t="s">
        <v>21</v>
      </c>
      <c r="H165" s="79" t="s">
        <v>22</v>
      </c>
      <c r="I165" s="80">
        <v>1.0</v>
      </c>
      <c r="J165" s="81"/>
      <c r="K165" s="80">
        <v>0.0</v>
      </c>
      <c r="L165" s="80">
        <v>0.0</v>
      </c>
      <c r="M165" s="80">
        <v>0.0</v>
      </c>
      <c r="N165" s="80">
        <v>0.0</v>
      </c>
      <c r="O165" s="83"/>
    </row>
    <row r="166">
      <c r="A166" s="80">
        <v>8.4</v>
      </c>
      <c r="B166" s="79" t="s">
        <v>1029</v>
      </c>
      <c r="C166" s="79" t="s">
        <v>18</v>
      </c>
      <c r="D166" s="79" t="s">
        <v>1030</v>
      </c>
      <c r="E166" s="83"/>
      <c r="F166" s="79" t="s">
        <v>21</v>
      </c>
      <c r="G166" s="79">
        <v>14.0</v>
      </c>
      <c r="H166" s="79" t="s">
        <v>29</v>
      </c>
      <c r="I166" s="80">
        <v>1.0</v>
      </c>
      <c r="J166" s="81"/>
      <c r="K166" s="80">
        <v>0.0</v>
      </c>
      <c r="L166" s="80">
        <v>0.0</v>
      </c>
      <c r="M166" s="80">
        <v>0.0</v>
      </c>
      <c r="N166" s="80">
        <v>0.0</v>
      </c>
      <c r="O166" s="83"/>
    </row>
    <row r="167">
      <c r="A167" s="80">
        <v>8.5</v>
      </c>
      <c r="B167" s="79" t="s">
        <v>1070</v>
      </c>
      <c r="C167" s="79" t="s">
        <v>29</v>
      </c>
      <c r="D167" s="79" t="s">
        <v>1071</v>
      </c>
      <c r="E167" s="83"/>
      <c r="F167" s="79" t="s">
        <v>21</v>
      </c>
      <c r="G167" s="79">
        <v>14.0</v>
      </c>
      <c r="H167" s="79" t="s">
        <v>29</v>
      </c>
      <c r="I167" s="80">
        <v>1.0</v>
      </c>
      <c r="J167" s="81"/>
      <c r="K167" s="80">
        <v>0.0</v>
      </c>
      <c r="L167" s="80">
        <v>0.0</v>
      </c>
      <c r="M167" s="80">
        <v>0.0</v>
      </c>
      <c r="N167" s="80">
        <v>0.0</v>
      </c>
      <c r="O167" s="83"/>
    </row>
    <row r="168">
      <c r="A168" s="80">
        <v>8.6</v>
      </c>
      <c r="B168" s="79" t="s">
        <v>1033</v>
      </c>
      <c r="C168" s="79" t="s">
        <v>18</v>
      </c>
      <c r="D168" s="79" t="s">
        <v>1034</v>
      </c>
      <c r="E168" s="83"/>
      <c r="F168" s="79" t="s">
        <v>21</v>
      </c>
      <c r="G168" s="79">
        <v>14.0</v>
      </c>
      <c r="H168" s="79" t="s">
        <v>29</v>
      </c>
      <c r="I168" s="80">
        <v>1.0</v>
      </c>
      <c r="J168" s="81"/>
      <c r="K168" s="80">
        <v>0.0</v>
      </c>
      <c r="L168" s="80">
        <v>0.0</v>
      </c>
      <c r="M168" s="80">
        <v>0.0</v>
      </c>
      <c r="N168" s="80">
        <v>0.0</v>
      </c>
      <c r="O168" s="83"/>
    </row>
    <row r="169">
      <c r="A169" s="80">
        <v>8.7</v>
      </c>
      <c r="B169" s="79" t="s">
        <v>1035</v>
      </c>
      <c r="C169" s="79" t="s">
        <v>18</v>
      </c>
      <c r="D169" s="79" t="s">
        <v>1036</v>
      </c>
      <c r="E169" s="83"/>
      <c r="F169" s="79" t="s">
        <v>21</v>
      </c>
      <c r="G169" s="79">
        <v>14.0</v>
      </c>
      <c r="H169" s="79" t="s">
        <v>29</v>
      </c>
      <c r="I169" s="80">
        <v>2.0</v>
      </c>
      <c r="J169" s="81"/>
      <c r="K169" s="80">
        <v>0.0</v>
      </c>
      <c r="L169" s="80">
        <v>0.0</v>
      </c>
      <c r="M169" s="80">
        <v>0.0</v>
      </c>
      <c r="N169" s="80">
        <v>0.0</v>
      </c>
      <c r="O169" s="83"/>
    </row>
    <row r="170">
      <c r="A170" s="80">
        <v>8.8</v>
      </c>
      <c r="B170" s="79" t="s">
        <v>1049</v>
      </c>
      <c r="C170" s="79" t="s">
        <v>18</v>
      </c>
      <c r="D170" s="79" t="s">
        <v>1050</v>
      </c>
      <c r="E170" s="83"/>
      <c r="F170" s="79" t="s">
        <v>21</v>
      </c>
      <c r="G170" s="79">
        <v>14.0</v>
      </c>
      <c r="H170" s="79" t="s">
        <v>29</v>
      </c>
      <c r="I170" s="80">
        <v>1.0</v>
      </c>
      <c r="J170" s="81"/>
      <c r="K170" s="80">
        <v>0.0</v>
      </c>
      <c r="L170" s="80">
        <v>0.0</v>
      </c>
      <c r="M170" s="80">
        <v>0.0</v>
      </c>
      <c r="N170" s="80">
        <v>0.0</v>
      </c>
      <c r="O170" s="83"/>
    </row>
    <row r="171">
      <c r="A171" s="80">
        <v>8.9</v>
      </c>
      <c r="B171" s="79" t="s">
        <v>1037</v>
      </c>
      <c r="C171" s="79" t="s">
        <v>18</v>
      </c>
      <c r="D171" s="79" t="s">
        <v>1038</v>
      </c>
      <c r="E171" s="83"/>
      <c r="F171" s="79" t="s">
        <v>21</v>
      </c>
      <c r="G171" s="79">
        <v>14.0</v>
      </c>
      <c r="H171" s="79" t="s">
        <v>29</v>
      </c>
      <c r="I171" s="80">
        <v>3.0</v>
      </c>
      <c r="J171" s="81"/>
      <c r="K171" s="80">
        <v>0.0</v>
      </c>
      <c r="L171" s="80">
        <v>0.0</v>
      </c>
      <c r="M171" s="80">
        <v>0.0</v>
      </c>
      <c r="N171" s="80">
        <v>0.0</v>
      </c>
      <c r="O171" s="83"/>
    </row>
    <row r="172">
      <c r="A172" s="80">
        <v>8.1</v>
      </c>
      <c r="B172" s="79" t="s">
        <v>1051</v>
      </c>
      <c r="C172" s="79" t="s">
        <v>18</v>
      </c>
      <c r="D172" s="79" t="s">
        <v>1052</v>
      </c>
      <c r="E172" s="83"/>
      <c r="F172" s="79" t="s">
        <v>21</v>
      </c>
      <c r="G172" s="79">
        <v>14.0</v>
      </c>
      <c r="H172" s="79" t="s">
        <v>29</v>
      </c>
      <c r="I172" s="80">
        <v>1.0</v>
      </c>
      <c r="J172" s="81"/>
      <c r="K172" s="80">
        <v>0.0</v>
      </c>
      <c r="L172" s="80">
        <v>0.0</v>
      </c>
      <c r="M172" s="80">
        <v>0.0</v>
      </c>
      <c r="N172" s="80">
        <v>0.0</v>
      </c>
      <c r="O172" s="83"/>
    </row>
    <row r="173">
      <c r="A173" s="80">
        <v>8.11</v>
      </c>
      <c r="B173" s="79" t="s">
        <v>1041</v>
      </c>
      <c r="C173" s="79" t="s">
        <v>18</v>
      </c>
      <c r="D173" s="79" t="s">
        <v>1042</v>
      </c>
      <c r="E173" s="83"/>
      <c r="F173" s="79" t="s">
        <v>21</v>
      </c>
      <c r="G173" s="79">
        <v>14.0</v>
      </c>
      <c r="H173" s="79" t="s">
        <v>29</v>
      </c>
      <c r="I173" s="80">
        <v>1.0</v>
      </c>
      <c r="J173" s="81"/>
      <c r="K173" s="80">
        <v>0.0</v>
      </c>
      <c r="L173" s="80">
        <v>0.0</v>
      </c>
      <c r="M173" s="80">
        <v>0.0</v>
      </c>
      <c r="N173" s="80">
        <v>0.0</v>
      </c>
      <c r="O173" s="83"/>
    </row>
    <row r="174">
      <c r="A174" s="80">
        <v>8.12</v>
      </c>
      <c r="B174" s="79" t="s">
        <v>872</v>
      </c>
      <c r="C174" s="79" t="s">
        <v>18</v>
      </c>
      <c r="D174" s="79" t="s">
        <v>873</v>
      </c>
      <c r="E174" s="83"/>
      <c r="F174" s="79" t="s">
        <v>21</v>
      </c>
      <c r="G174" s="79">
        <v>14.0</v>
      </c>
      <c r="H174" s="79" t="s">
        <v>22</v>
      </c>
      <c r="I174" s="80">
        <v>1.0</v>
      </c>
      <c r="J174" s="81"/>
      <c r="K174" s="80">
        <v>0.0</v>
      </c>
      <c r="L174" s="80">
        <v>0.0</v>
      </c>
      <c r="M174" s="80">
        <v>0.0</v>
      </c>
      <c r="N174" s="80">
        <v>0.0</v>
      </c>
      <c r="O174" s="83"/>
    </row>
    <row r="175">
      <c r="A175" s="80">
        <v>8.13</v>
      </c>
      <c r="B175" s="79" t="s">
        <v>1043</v>
      </c>
      <c r="C175" s="79" t="s">
        <v>18</v>
      </c>
      <c r="D175" s="79" t="s">
        <v>1044</v>
      </c>
      <c r="E175" s="83"/>
      <c r="F175" s="79" t="s">
        <v>21</v>
      </c>
      <c r="G175" s="79">
        <v>14.0</v>
      </c>
      <c r="H175" s="79" t="s">
        <v>22</v>
      </c>
      <c r="I175" s="80">
        <v>1.0</v>
      </c>
      <c r="J175" s="81"/>
      <c r="K175" s="82">
        <v>2806.4</v>
      </c>
      <c r="L175" s="82">
        <v>2806.4</v>
      </c>
      <c r="M175" s="80">
        <v>0.0</v>
      </c>
      <c r="N175" s="82">
        <v>2806.4</v>
      </c>
      <c r="O175" s="83"/>
    </row>
    <row r="176">
      <c r="A176" s="80">
        <v>8.14</v>
      </c>
      <c r="B176" s="79" t="s">
        <v>1053</v>
      </c>
      <c r="C176" s="79" t="s">
        <v>18</v>
      </c>
      <c r="D176" s="79" t="s">
        <v>1054</v>
      </c>
      <c r="E176" s="83"/>
      <c r="F176" s="79" t="s">
        <v>21</v>
      </c>
      <c r="G176" s="79">
        <v>14.0</v>
      </c>
      <c r="H176" s="79" t="s">
        <v>22</v>
      </c>
      <c r="I176" s="80">
        <v>1.0</v>
      </c>
      <c r="J176" s="81"/>
      <c r="K176" s="80">
        <v>0.0</v>
      </c>
      <c r="L176" s="80">
        <v>0.0</v>
      </c>
      <c r="M176" s="80">
        <v>0.0</v>
      </c>
      <c r="N176" s="80">
        <v>0.0</v>
      </c>
      <c r="O176" s="83"/>
    </row>
    <row r="177">
      <c r="A177" s="80">
        <v>8.15</v>
      </c>
      <c r="B177" s="79" t="s">
        <v>59</v>
      </c>
      <c r="C177" s="79" t="s">
        <v>29</v>
      </c>
      <c r="D177" s="79" t="s">
        <v>60</v>
      </c>
      <c r="E177" s="83"/>
      <c r="F177" s="79" t="s">
        <v>21</v>
      </c>
      <c r="G177" s="79">
        <v>2.0</v>
      </c>
      <c r="H177" s="79" t="s">
        <v>29</v>
      </c>
      <c r="I177" s="80">
        <v>1.0</v>
      </c>
      <c r="J177" s="81"/>
      <c r="K177" s="80">
        <v>0.0</v>
      </c>
      <c r="L177" s="80">
        <v>0.0</v>
      </c>
      <c r="M177" s="80">
        <v>0.0</v>
      </c>
      <c r="N177" s="80">
        <v>0.0</v>
      </c>
      <c r="O177" s="83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5" t="s">
        <v>63</v>
      </c>
      <c r="N178" s="86">
        <v>24901.12</v>
      </c>
      <c r="O178" s="87"/>
    </row>
    <row r="179">
      <c r="A179" s="78">
        <v>9.0</v>
      </c>
      <c r="B179" s="78" t="s">
        <v>1088</v>
      </c>
      <c r="C179" s="79" t="s">
        <v>18</v>
      </c>
      <c r="D179" s="79" t="s">
        <v>1089</v>
      </c>
      <c r="E179" s="79" t="s">
        <v>20</v>
      </c>
      <c r="F179" s="79" t="s">
        <v>21</v>
      </c>
      <c r="G179" s="79">
        <v>14.0</v>
      </c>
      <c r="H179" s="79" t="s">
        <v>22</v>
      </c>
      <c r="I179" s="80">
        <v>1.0</v>
      </c>
      <c r="J179" s="81"/>
      <c r="K179" s="82">
        <v>6518.52</v>
      </c>
      <c r="L179" s="82">
        <v>6518.52</v>
      </c>
      <c r="M179" s="80">
        <v>0.0</v>
      </c>
      <c r="N179" s="82">
        <v>6518.52</v>
      </c>
      <c r="O179" s="83"/>
    </row>
    <row r="180">
      <c r="A180" s="80" t="s">
        <v>151</v>
      </c>
      <c r="B180" s="79" t="s">
        <v>1090</v>
      </c>
      <c r="C180" s="79" t="s">
        <v>18</v>
      </c>
      <c r="D180" s="79" t="s">
        <v>1091</v>
      </c>
      <c r="E180" s="83"/>
      <c r="F180" s="79">
        <v>36.0</v>
      </c>
      <c r="G180" s="79" t="s">
        <v>21</v>
      </c>
      <c r="H180" s="79" t="s">
        <v>22</v>
      </c>
      <c r="I180" s="80">
        <v>1.0</v>
      </c>
      <c r="J180" s="81"/>
      <c r="K180" s="82">
        <v>2029.5</v>
      </c>
      <c r="L180" s="82">
        <v>2029.5</v>
      </c>
      <c r="M180" s="80">
        <v>0.0</v>
      </c>
      <c r="N180" s="82">
        <v>2029.5</v>
      </c>
      <c r="O180" s="79" t="s">
        <v>26</v>
      </c>
    </row>
    <row r="181">
      <c r="A181" s="80">
        <v>9.1</v>
      </c>
      <c r="B181" s="79" t="s">
        <v>1092</v>
      </c>
      <c r="C181" s="79" t="s">
        <v>29</v>
      </c>
      <c r="D181" s="79" t="s">
        <v>1093</v>
      </c>
      <c r="E181" s="83"/>
      <c r="F181" s="79" t="s">
        <v>21</v>
      </c>
      <c r="G181" s="79">
        <v>14.0</v>
      </c>
      <c r="H181" s="79" t="s">
        <v>22</v>
      </c>
      <c r="I181" s="80">
        <v>1.0</v>
      </c>
      <c r="J181" s="81"/>
      <c r="K181" s="80">
        <v>0.0</v>
      </c>
      <c r="L181" s="80">
        <v>0.0</v>
      </c>
      <c r="M181" s="80">
        <v>0.0</v>
      </c>
      <c r="N181" s="80">
        <v>0.0</v>
      </c>
      <c r="O181" s="83"/>
    </row>
    <row r="182">
      <c r="A182" s="80" t="s">
        <v>948</v>
      </c>
      <c r="B182" s="79" t="s">
        <v>1094</v>
      </c>
      <c r="C182" s="79" t="s">
        <v>18</v>
      </c>
      <c r="D182" s="79" t="s">
        <v>1095</v>
      </c>
      <c r="E182" s="83"/>
      <c r="F182" s="79">
        <v>36.0</v>
      </c>
      <c r="G182" s="79" t="s">
        <v>21</v>
      </c>
      <c r="H182" s="79" t="s">
        <v>22</v>
      </c>
      <c r="I182" s="80">
        <v>1.0</v>
      </c>
      <c r="J182" s="81"/>
      <c r="K182" s="80">
        <v>486.75</v>
      </c>
      <c r="L182" s="80">
        <v>486.75</v>
      </c>
      <c r="M182" s="80">
        <v>0.0</v>
      </c>
      <c r="N182" s="80">
        <v>486.75</v>
      </c>
      <c r="O182" s="79" t="s">
        <v>26</v>
      </c>
    </row>
    <row r="183">
      <c r="A183" s="80" t="s">
        <v>949</v>
      </c>
      <c r="B183" s="79" t="s">
        <v>1096</v>
      </c>
      <c r="C183" s="79" t="s">
        <v>18</v>
      </c>
      <c r="D183" s="79" t="s">
        <v>1097</v>
      </c>
      <c r="E183" s="83"/>
      <c r="F183" s="79">
        <v>36.0</v>
      </c>
      <c r="G183" s="79" t="s">
        <v>21</v>
      </c>
      <c r="H183" s="79" t="s">
        <v>22</v>
      </c>
      <c r="I183" s="80">
        <v>1.0</v>
      </c>
      <c r="J183" s="81"/>
      <c r="K183" s="82">
        <v>2365.77</v>
      </c>
      <c r="L183" s="82">
        <v>2365.77</v>
      </c>
      <c r="M183" s="80">
        <v>0.0</v>
      </c>
      <c r="N183" s="82">
        <v>2365.77</v>
      </c>
      <c r="O183" s="83"/>
    </row>
    <row r="184">
      <c r="A184" s="80">
        <v>9.2</v>
      </c>
      <c r="B184" s="79" t="s">
        <v>1025</v>
      </c>
      <c r="C184" s="79" t="s">
        <v>29</v>
      </c>
      <c r="D184" s="79" t="s">
        <v>1026</v>
      </c>
      <c r="E184" s="83"/>
      <c r="F184" s="79" t="s">
        <v>21</v>
      </c>
      <c r="G184" s="79">
        <v>14.0</v>
      </c>
      <c r="H184" s="79" t="s">
        <v>29</v>
      </c>
      <c r="I184" s="80">
        <v>1.0</v>
      </c>
      <c r="J184" s="81"/>
      <c r="K184" s="80">
        <v>0.0</v>
      </c>
      <c r="L184" s="80">
        <v>0.0</v>
      </c>
      <c r="M184" s="80">
        <v>0.0</v>
      </c>
      <c r="N184" s="80">
        <v>0.0</v>
      </c>
      <c r="O184" s="83"/>
    </row>
    <row r="185">
      <c r="A185" s="80" t="s">
        <v>1098</v>
      </c>
      <c r="B185" s="79" t="s">
        <v>1027</v>
      </c>
      <c r="C185" s="79" t="s">
        <v>18</v>
      </c>
      <c r="D185" s="79" t="s">
        <v>1028</v>
      </c>
      <c r="E185" s="83"/>
      <c r="F185" s="79">
        <v>36.0</v>
      </c>
      <c r="G185" s="79" t="s">
        <v>21</v>
      </c>
      <c r="H185" s="79" t="s">
        <v>22</v>
      </c>
      <c r="I185" s="80">
        <v>1.0</v>
      </c>
      <c r="J185" s="81"/>
      <c r="K185" s="80">
        <v>0.0</v>
      </c>
      <c r="L185" s="80">
        <v>0.0</v>
      </c>
      <c r="M185" s="80">
        <v>0.0</v>
      </c>
      <c r="N185" s="80">
        <v>0.0</v>
      </c>
      <c r="O185" s="83"/>
    </row>
    <row r="186">
      <c r="A186" s="80">
        <v>9.3</v>
      </c>
      <c r="B186" s="79" t="s">
        <v>1021</v>
      </c>
      <c r="C186" s="79" t="s">
        <v>29</v>
      </c>
      <c r="D186" s="79" t="s">
        <v>1022</v>
      </c>
      <c r="E186" s="83"/>
      <c r="F186" s="79" t="s">
        <v>21</v>
      </c>
      <c r="G186" s="79">
        <v>14.0</v>
      </c>
      <c r="H186" s="79" t="s">
        <v>29</v>
      </c>
      <c r="I186" s="80">
        <v>1.0</v>
      </c>
      <c r="J186" s="81"/>
      <c r="K186" s="80">
        <v>0.0</v>
      </c>
      <c r="L186" s="80">
        <v>0.0</v>
      </c>
      <c r="M186" s="80">
        <v>0.0</v>
      </c>
      <c r="N186" s="80">
        <v>0.0</v>
      </c>
      <c r="O186" s="83"/>
    </row>
    <row r="187">
      <c r="A187" s="80" t="s">
        <v>1099</v>
      </c>
      <c r="B187" s="79" t="s">
        <v>1023</v>
      </c>
      <c r="C187" s="79" t="s">
        <v>18</v>
      </c>
      <c r="D187" s="79" t="s">
        <v>1024</v>
      </c>
      <c r="E187" s="83"/>
      <c r="F187" s="79">
        <v>36.0</v>
      </c>
      <c r="G187" s="79" t="s">
        <v>21</v>
      </c>
      <c r="H187" s="79" t="s">
        <v>22</v>
      </c>
      <c r="I187" s="80">
        <v>1.0</v>
      </c>
      <c r="J187" s="81"/>
      <c r="K187" s="80">
        <v>0.0</v>
      </c>
      <c r="L187" s="80">
        <v>0.0</v>
      </c>
      <c r="M187" s="80">
        <v>0.0</v>
      </c>
      <c r="N187" s="80">
        <v>0.0</v>
      </c>
      <c r="O187" s="83"/>
    </row>
    <row r="188">
      <c r="A188" s="80">
        <v>9.4</v>
      </c>
      <c r="B188" s="79" t="s">
        <v>1100</v>
      </c>
      <c r="C188" s="79" t="s">
        <v>29</v>
      </c>
      <c r="D188" s="79" t="s">
        <v>1101</v>
      </c>
      <c r="E188" s="83"/>
      <c r="F188" s="79" t="s">
        <v>21</v>
      </c>
      <c r="G188" s="79">
        <v>14.0</v>
      </c>
      <c r="H188" s="79" t="s">
        <v>29</v>
      </c>
      <c r="I188" s="80">
        <v>1.0</v>
      </c>
      <c r="J188" s="81"/>
      <c r="K188" s="80">
        <v>0.0</v>
      </c>
      <c r="L188" s="80">
        <v>0.0</v>
      </c>
      <c r="M188" s="80">
        <v>0.0</v>
      </c>
      <c r="N188" s="80">
        <v>0.0</v>
      </c>
      <c r="O188" s="83"/>
    </row>
    <row r="189">
      <c r="A189" s="80">
        <v>9.5</v>
      </c>
      <c r="B189" s="79" t="s">
        <v>1102</v>
      </c>
      <c r="C189" s="79" t="s">
        <v>18</v>
      </c>
      <c r="D189" s="79" t="s">
        <v>1042</v>
      </c>
      <c r="E189" s="83"/>
      <c r="F189" s="79" t="s">
        <v>21</v>
      </c>
      <c r="G189" s="79">
        <v>14.0</v>
      </c>
      <c r="H189" s="79" t="s">
        <v>22</v>
      </c>
      <c r="I189" s="80">
        <v>1.0</v>
      </c>
      <c r="J189" s="81"/>
      <c r="K189" s="80">
        <v>0.0</v>
      </c>
      <c r="L189" s="80">
        <v>0.0</v>
      </c>
      <c r="M189" s="80">
        <v>0.0</v>
      </c>
      <c r="N189" s="80">
        <v>0.0</v>
      </c>
      <c r="O189" s="83"/>
    </row>
    <row r="190">
      <c r="A190" s="80">
        <v>9.6</v>
      </c>
      <c r="B190" s="79" t="s">
        <v>872</v>
      </c>
      <c r="C190" s="79" t="s">
        <v>18</v>
      </c>
      <c r="D190" s="79" t="s">
        <v>873</v>
      </c>
      <c r="E190" s="83"/>
      <c r="F190" s="79" t="s">
        <v>21</v>
      </c>
      <c r="G190" s="79">
        <v>14.0</v>
      </c>
      <c r="H190" s="79" t="s">
        <v>22</v>
      </c>
      <c r="I190" s="80">
        <v>1.0</v>
      </c>
      <c r="J190" s="81"/>
      <c r="K190" s="80">
        <v>0.0</v>
      </c>
      <c r="L190" s="80">
        <v>0.0</v>
      </c>
      <c r="M190" s="80">
        <v>0.0</v>
      </c>
      <c r="N190" s="80">
        <v>0.0</v>
      </c>
      <c r="O190" s="83"/>
    </row>
    <row r="191">
      <c r="A191" s="80">
        <v>9.7</v>
      </c>
      <c r="B191" s="79" t="s">
        <v>1043</v>
      </c>
      <c r="C191" s="79" t="s">
        <v>18</v>
      </c>
      <c r="D191" s="79" t="s">
        <v>1044</v>
      </c>
      <c r="E191" s="83"/>
      <c r="F191" s="79" t="s">
        <v>21</v>
      </c>
      <c r="G191" s="79">
        <v>14.0</v>
      </c>
      <c r="H191" s="79" t="s">
        <v>22</v>
      </c>
      <c r="I191" s="80">
        <v>1.0</v>
      </c>
      <c r="J191" s="81"/>
      <c r="K191" s="82">
        <v>2806.4</v>
      </c>
      <c r="L191" s="82">
        <v>2806.4</v>
      </c>
      <c r="M191" s="80">
        <v>0.0</v>
      </c>
      <c r="N191" s="82">
        <v>2806.4</v>
      </c>
      <c r="O191" s="83"/>
    </row>
    <row r="192">
      <c r="A192" s="80">
        <v>9.8</v>
      </c>
      <c r="B192" s="79" t="s">
        <v>1103</v>
      </c>
      <c r="C192" s="79" t="s">
        <v>18</v>
      </c>
      <c r="D192" s="79" t="s">
        <v>1104</v>
      </c>
      <c r="E192" s="83"/>
      <c r="F192" s="79" t="s">
        <v>21</v>
      </c>
      <c r="G192" s="79">
        <v>14.0</v>
      </c>
      <c r="H192" s="79" t="s">
        <v>22</v>
      </c>
      <c r="I192" s="80">
        <v>1.0</v>
      </c>
      <c r="J192" s="81"/>
      <c r="K192" s="80">
        <v>121.7</v>
      </c>
      <c r="L192" s="80">
        <v>121.7</v>
      </c>
      <c r="M192" s="80">
        <v>0.0</v>
      </c>
      <c r="N192" s="80">
        <v>121.7</v>
      </c>
      <c r="O192" s="83"/>
    </row>
    <row r="193">
      <c r="A193" s="80">
        <v>9.9</v>
      </c>
      <c r="B193" s="79" t="s">
        <v>1105</v>
      </c>
      <c r="C193" s="79" t="s">
        <v>18</v>
      </c>
      <c r="D193" s="79" t="s">
        <v>1106</v>
      </c>
      <c r="E193" s="83"/>
      <c r="F193" s="79" t="s">
        <v>21</v>
      </c>
      <c r="G193" s="79">
        <v>14.0</v>
      </c>
      <c r="H193" s="79" t="s">
        <v>22</v>
      </c>
      <c r="I193" s="80">
        <v>1.0</v>
      </c>
      <c r="J193" s="81"/>
      <c r="K193" s="80">
        <v>115.62</v>
      </c>
      <c r="L193" s="80">
        <v>115.62</v>
      </c>
      <c r="M193" s="80">
        <v>0.0</v>
      </c>
      <c r="N193" s="80">
        <v>115.62</v>
      </c>
      <c r="O193" s="83"/>
    </row>
    <row r="194">
      <c r="A194" s="80">
        <v>9.1</v>
      </c>
      <c r="B194" s="79" t="s">
        <v>1033</v>
      </c>
      <c r="C194" s="79" t="s">
        <v>18</v>
      </c>
      <c r="D194" s="79" t="s">
        <v>1034</v>
      </c>
      <c r="E194" s="83"/>
      <c r="F194" s="79" t="s">
        <v>21</v>
      </c>
      <c r="G194" s="79">
        <v>14.0</v>
      </c>
      <c r="H194" s="79" t="s">
        <v>29</v>
      </c>
      <c r="I194" s="80">
        <v>1.0</v>
      </c>
      <c r="J194" s="81"/>
      <c r="K194" s="80">
        <v>0.0</v>
      </c>
      <c r="L194" s="80">
        <v>0.0</v>
      </c>
      <c r="M194" s="80">
        <v>0.0</v>
      </c>
      <c r="N194" s="80">
        <v>0.0</v>
      </c>
      <c r="O194" s="83"/>
    </row>
    <row r="195">
      <c r="A195" s="80">
        <v>9.11</v>
      </c>
      <c r="B195" s="79" t="s">
        <v>1049</v>
      </c>
      <c r="C195" s="79" t="s">
        <v>18</v>
      </c>
      <c r="D195" s="79" t="s">
        <v>1050</v>
      </c>
      <c r="E195" s="83"/>
      <c r="F195" s="79" t="s">
        <v>21</v>
      </c>
      <c r="G195" s="79">
        <v>14.0</v>
      </c>
      <c r="H195" s="79" t="s">
        <v>29</v>
      </c>
      <c r="I195" s="80">
        <v>1.0</v>
      </c>
      <c r="J195" s="81"/>
      <c r="K195" s="80">
        <v>0.0</v>
      </c>
      <c r="L195" s="80">
        <v>0.0</v>
      </c>
      <c r="M195" s="80">
        <v>0.0</v>
      </c>
      <c r="N195" s="80">
        <v>0.0</v>
      </c>
      <c r="O195" s="83"/>
    </row>
    <row r="196">
      <c r="A196" s="80">
        <v>9.12</v>
      </c>
      <c r="B196" s="79" t="s">
        <v>876</v>
      </c>
      <c r="C196" s="79" t="s">
        <v>18</v>
      </c>
      <c r="D196" s="79" t="s">
        <v>877</v>
      </c>
      <c r="E196" s="83"/>
      <c r="F196" s="79" t="s">
        <v>21</v>
      </c>
      <c r="G196" s="79">
        <v>14.0</v>
      </c>
      <c r="H196" s="79" t="s">
        <v>29</v>
      </c>
      <c r="I196" s="80">
        <v>1.0</v>
      </c>
      <c r="J196" s="81"/>
      <c r="K196" s="80">
        <v>0.0</v>
      </c>
      <c r="L196" s="80">
        <v>0.0</v>
      </c>
      <c r="M196" s="80">
        <v>0.0</v>
      </c>
      <c r="N196" s="80">
        <v>0.0</v>
      </c>
      <c r="O196" s="83"/>
    </row>
    <row r="197">
      <c r="A197" s="80">
        <v>9.13</v>
      </c>
      <c r="B197" s="79" t="s">
        <v>878</v>
      </c>
      <c r="C197" s="79" t="s">
        <v>18</v>
      </c>
      <c r="D197" s="79" t="s">
        <v>879</v>
      </c>
      <c r="E197" s="83"/>
      <c r="F197" s="79" t="s">
        <v>21</v>
      </c>
      <c r="G197" s="79">
        <v>14.0</v>
      </c>
      <c r="H197" s="79" t="s">
        <v>29</v>
      </c>
      <c r="I197" s="80">
        <v>1.0</v>
      </c>
      <c r="J197" s="81"/>
      <c r="K197" s="80">
        <v>0.0</v>
      </c>
      <c r="L197" s="80">
        <v>0.0</v>
      </c>
      <c r="M197" s="80">
        <v>0.0</v>
      </c>
      <c r="N197" s="80">
        <v>0.0</v>
      </c>
      <c r="O197" s="83"/>
    </row>
    <row r="198">
      <c r="A198" s="80">
        <v>9.14</v>
      </c>
      <c r="B198" s="79" t="s">
        <v>880</v>
      </c>
      <c r="C198" s="79" t="s">
        <v>18</v>
      </c>
      <c r="D198" s="79" t="s">
        <v>881</v>
      </c>
      <c r="E198" s="83"/>
      <c r="F198" s="79" t="s">
        <v>21</v>
      </c>
      <c r="G198" s="79">
        <v>14.0</v>
      </c>
      <c r="H198" s="79" t="s">
        <v>29</v>
      </c>
      <c r="I198" s="80">
        <v>1.0</v>
      </c>
      <c r="J198" s="81"/>
      <c r="K198" s="80">
        <v>0.0</v>
      </c>
      <c r="L198" s="80">
        <v>0.0</v>
      </c>
      <c r="M198" s="80">
        <v>0.0</v>
      </c>
      <c r="N198" s="80">
        <v>0.0</v>
      </c>
      <c r="O198" s="83"/>
    </row>
    <row r="199">
      <c r="A199" s="80">
        <v>9.15</v>
      </c>
      <c r="B199" s="79" t="s">
        <v>1107</v>
      </c>
      <c r="C199" s="79" t="s">
        <v>18</v>
      </c>
      <c r="D199" s="79" t="s">
        <v>1108</v>
      </c>
      <c r="E199" s="83"/>
      <c r="F199" s="79" t="s">
        <v>21</v>
      </c>
      <c r="G199" s="79">
        <v>14.0</v>
      </c>
      <c r="H199" s="79" t="s">
        <v>22</v>
      </c>
      <c r="I199" s="80">
        <v>1.0</v>
      </c>
      <c r="J199" s="81"/>
      <c r="K199" s="82">
        <v>3103.4</v>
      </c>
      <c r="L199" s="82">
        <v>3103.4</v>
      </c>
      <c r="M199" s="80">
        <v>0.0</v>
      </c>
      <c r="N199" s="82">
        <v>3103.4</v>
      </c>
      <c r="O199" s="83"/>
    </row>
    <row r="200">
      <c r="A200" s="80">
        <v>9.16</v>
      </c>
      <c r="B200" s="79" t="s">
        <v>59</v>
      </c>
      <c r="C200" s="79" t="s">
        <v>29</v>
      </c>
      <c r="D200" s="79" t="s">
        <v>60</v>
      </c>
      <c r="E200" s="83"/>
      <c r="F200" s="79" t="s">
        <v>21</v>
      </c>
      <c r="G200" s="79">
        <v>2.0</v>
      </c>
      <c r="H200" s="79" t="s">
        <v>29</v>
      </c>
      <c r="I200" s="80">
        <v>1.0</v>
      </c>
      <c r="J200" s="81"/>
      <c r="K200" s="80">
        <v>0.0</v>
      </c>
      <c r="L200" s="80">
        <v>0.0</v>
      </c>
      <c r="M200" s="80">
        <v>0.0</v>
      </c>
      <c r="N200" s="80">
        <v>0.0</v>
      </c>
      <c r="O200" s="83"/>
    </row>
    <row r="201">
      <c r="A201" s="80">
        <v>9.17</v>
      </c>
      <c r="B201" s="79" t="s">
        <v>1109</v>
      </c>
      <c r="C201" s="79" t="s">
        <v>18</v>
      </c>
      <c r="D201" s="79" t="s">
        <v>1110</v>
      </c>
      <c r="E201" s="83"/>
      <c r="F201" s="79" t="s">
        <v>21</v>
      </c>
      <c r="G201" s="79">
        <v>14.0</v>
      </c>
      <c r="H201" s="79" t="s">
        <v>22</v>
      </c>
      <c r="I201" s="80">
        <v>1.0</v>
      </c>
      <c r="J201" s="81"/>
      <c r="K201" s="80">
        <v>0.0</v>
      </c>
      <c r="L201" s="80">
        <v>0.0</v>
      </c>
      <c r="M201" s="80">
        <v>0.0</v>
      </c>
      <c r="N201" s="80">
        <v>0.0</v>
      </c>
      <c r="O201" s="83"/>
    </row>
    <row r="202">
      <c r="A202" s="80">
        <v>9.18</v>
      </c>
      <c r="B202" s="79" t="s">
        <v>1039</v>
      </c>
      <c r="C202" s="79" t="s">
        <v>18</v>
      </c>
      <c r="D202" s="79" t="s">
        <v>1040</v>
      </c>
      <c r="E202" s="83"/>
      <c r="F202" s="79" t="s">
        <v>21</v>
      </c>
      <c r="G202" s="79">
        <v>14.0</v>
      </c>
      <c r="H202" s="79" t="s">
        <v>29</v>
      </c>
      <c r="I202" s="80">
        <v>1.0</v>
      </c>
      <c r="J202" s="81"/>
      <c r="K202" s="80">
        <v>0.0</v>
      </c>
      <c r="L202" s="80">
        <v>0.0</v>
      </c>
      <c r="M202" s="80">
        <v>0.0</v>
      </c>
      <c r="N202" s="80">
        <v>0.0</v>
      </c>
      <c r="O202" s="83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5" t="s">
        <v>63</v>
      </c>
      <c r="N203" s="86">
        <v>17547.66</v>
      </c>
      <c r="O203" s="87"/>
    </row>
    <row r="204">
      <c r="A204" s="78">
        <v>10.0</v>
      </c>
      <c r="B204" s="78" t="s">
        <v>1111</v>
      </c>
      <c r="C204" s="79" t="s">
        <v>18</v>
      </c>
      <c r="D204" s="79" t="s">
        <v>1112</v>
      </c>
      <c r="E204" s="79" t="s">
        <v>20</v>
      </c>
      <c r="F204" s="79" t="s">
        <v>21</v>
      </c>
      <c r="G204" s="79">
        <v>14.0</v>
      </c>
      <c r="H204" s="79" t="s">
        <v>22</v>
      </c>
      <c r="I204" s="80">
        <v>1.0</v>
      </c>
      <c r="J204" s="81"/>
      <c r="K204" s="82">
        <v>7654.44</v>
      </c>
      <c r="L204" s="82">
        <v>7654.44</v>
      </c>
      <c r="M204" s="80">
        <v>0.0</v>
      </c>
      <c r="N204" s="82">
        <v>7654.44</v>
      </c>
      <c r="O204" s="83"/>
    </row>
    <row r="205">
      <c r="A205" s="80" t="s">
        <v>156</v>
      </c>
      <c r="B205" s="79" t="s">
        <v>1113</v>
      </c>
      <c r="C205" s="79" t="s">
        <v>18</v>
      </c>
      <c r="D205" s="79" t="s">
        <v>1114</v>
      </c>
      <c r="E205" s="83"/>
      <c r="F205" s="79">
        <v>36.0</v>
      </c>
      <c r="G205" s="79" t="s">
        <v>21</v>
      </c>
      <c r="H205" s="79" t="s">
        <v>22</v>
      </c>
      <c r="I205" s="80">
        <v>1.0</v>
      </c>
      <c r="J205" s="81"/>
      <c r="K205" s="82">
        <v>2384.25</v>
      </c>
      <c r="L205" s="82">
        <v>2384.25</v>
      </c>
      <c r="M205" s="80">
        <v>0.0</v>
      </c>
      <c r="N205" s="82">
        <v>2384.25</v>
      </c>
      <c r="O205" s="79" t="s">
        <v>26</v>
      </c>
    </row>
    <row r="206">
      <c r="A206" s="80">
        <v>10.1</v>
      </c>
      <c r="B206" s="79" t="s">
        <v>1092</v>
      </c>
      <c r="C206" s="79" t="s">
        <v>29</v>
      </c>
      <c r="D206" s="79" t="s">
        <v>1093</v>
      </c>
      <c r="E206" s="83"/>
      <c r="F206" s="79" t="s">
        <v>21</v>
      </c>
      <c r="G206" s="79">
        <v>14.0</v>
      </c>
      <c r="H206" s="79" t="s">
        <v>22</v>
      </c>
      <c r="I206" s="80">
        <v>1.0</v>
      </c>
      <c r="J206" s="81"/>
      <c r="K206" s="80">
        <v>0.0</v>
      </c>
      <c r="L206" s="80">
        <v>0.0</v>
      </c>
      <c r="M206" s="80">
        <v>0.0</v>
      </c>
      <c r="N206" s="80">
        <v>0.0</v>
      </c>
      <c r="O206" s="83"/>
    </row>
    <row r="207">
      <c r="A207" s="80" t="s">
        <v>954</v>
      </c>
      <c r="B207" s="79" t="s">
        <v>1094</v>
      </c>
      <c r="C207" s="79" t="s">
        <v>18</v>
      </c>
      <c r="D207" s="79" t="s">
        <v>1095</v>
      </c>
      <c r="E207" s="83"/>
      <c r="F207" s="79">
        <v>36.0</v>
      </c>
      <c r="G207" s="79" t="s">
        <v>21</v>
      </c>
      <c r="H207" s="79" t="s">
        <v>22</v>
      </c>
      <c r="I207" s="80">
        <v>1.0</v>
      </c>
      <c r="J207" s="81"/>
      <c r="K207" s="80">
        <v>486.75</v>
      </c>
      <c r="L207" s="80">
        <v>486.75</v>
      </c>
      <c r="M207" s="80">
        <v>0.0</v>
      </c>
      <c r="N207" s="80">
        <v>486.75</v>
      </c>
      <c r="O207" s="79" t="s">
        <v>26</v>
      </c>
    </row>
    <row r="208">
      <c r="A208" s="80" t="s">
        <v>955</v>
      </c>
      <c r="B208" s="79" t="s">
        <v>1096</v>
      </c>
      <c r="C208" s="79" t="s">
        <v>18</v>
      </c>
      <c r="D208" s="79" t="s">
        <v>1097</v>
      </c>
      <c r="E208" s="83"/>
      <c r="F208" s="79">
        <v>36.0</v>
      </c>
      <c r="G208" s="79" t="s">
        <v>21</v>
      </c>
      <c r="H208" s="79" t="s">
        <v>22</v>
      </c>
      <c r="I208" s="80">
        <v>1.0</v>
      </c>
      <c r="J208" s="81"/>
      <c r="K208" s="82">
        <v>2365.77</v>
      </c>
      <c r="L208" s="82">
        <v>2365.77</v>
      </c>
      <c r="M208" s="80">
        <v>0.0</v>
      </c>
      <c r="N208" s="82">
        <v>2365.77</v>
      </c>
      <c r="O208" s="83"/>
    </row>
    <row r="209">
      <c r="A209" s="80">
        <v>10.2</v>
      </c>
      <c r="B209" s="79" t="s">
        <v>1025</v>
      </c>
      <c r="C209" s="79" t="s">
        <v>29</v>
      </c>
      <c r="D209" s="79" t="s">
        <v>1026</v>
      </c>
      <c r="E209" s="83"/>
      <c r="F209" s="79" t="s">
        <v>21</v>
      </c>
      <c r="G209" s="79">
        <v>14.0</v>
      </c>
      <c r="H209" s="79" t="s">
        <v>29</v>
      </c>
      <c r="I209" s="80">
        <v>1.0</v>
      </c>
      <c r="J209" s="81"/>
      <c r="K209" s="80">
        <v>0.0</v>
      </c>
      <c r="L209" s="80">
        <v>0.0</v>
      </c>
      <c r="M209" s="80">
        <v>0.0</v>
      </c>
      <c r="N209" s="80">
        <v>0.0</v>
      </c>
      <c r="O209" s="83"/>
    </row>
    <row r="210">
      <c r="A210" s="80" t="s">
        <v>1115</v>
      </c>
      <c r="B210" s="79" t="s">
        <v>1027</v>
      </c>
      <c r="C210" s="79" t="s">
        <v>18</v>
      </c>
      <c r="D210" s="79" t="s">
        <v>1028</v>
      </c>
      <c r="E210" s="83"/>
      <c r="F210" s="79">
        <v>36.0</v>
      </c>
      <c r="G210" s="79" t="s">
        <v>21</v>
      </c>
      <c r="H210" s="79" t="s">
        <v>22</v>
      </c>
      <c r="I210" s="80">
        <v>1.0</v>
      </c>
      <c r="J210" s="81"/>
      <c r="K210" s="80">
        <v>0.0</v>
      </c>
      <c r="L210" s="80">
        <v>0.0</v>
      </c>
      <c r="M210" s="80">
        <v>0.0</v>
      </c>
      <c r="N210" s="80">
        <v>0.0</v>
      </c>
      <c r="O210" s="83"/>
    </row>
    <row r="211">
      <c r="A211" s="80">
        <v>10.3</v>
      </c>
      <c r="B211" s="79" t="s">
        <v>1021</v>
      </c>
      <c r="C211" s="79" t="s">
        <v>29</v>
      </c>
      <c r="D211" s="79" t="s">
        <v>1022</v>
      </c>
      <c r="E211" s="83"/>
      <c r="F211" s="79" t="s">
        <v>21</v>
      </c>
      <c r="G211" s="79">
        <v>14.0</v>
      </c>
      <c r="H211" s="79" t="s">
        <v>29</v>
      </c>
      <c r="I211" s="80">
        <v>1.0</v>
      </c>
      <c r="J211" s="81"/>
      <c r="K211" s="80">
        <v>0.0</v>
      </c>
      <c r="L211" s="80">
        <v>0.0</v>
      </c>
      <c r="M211" s="80">
        <v>0.0</v>
      </c>
      <c r="N211" s="80">
        <v>0.0</v>
      </c>
      <c r="O211" s="83"/>
    </row>
    <row r="212">
      <c r="A212" s="80" t="s">
        <v>1116</v>
      </c>
      <c r="B212" s="79" t="s">
        <v>1023</v>
      </c>
      <c r="C212" s="79" t="s">
        <v>18</v>
      </c>
      <c r="D212" s="79" t="s">
        <v>1024</v>
      </c>
      <c r="E212" s="83"/>
      <c r="F212" s="79">
        <v>36.0</v>
      </c>
      <c r="G212" s="79" t="s">
        <v>21</v>
      </c>
      <c r="H212" s="79" t="s">
        <v>22</v>
      </c>
      <c r="I212" s="80">
        <v>1.0</v>
      </c>
      <c r="J212" s="81"/>
      <c r="K212" s="80">
        <v>0.0</v>
      </c>
      <c r="L212" s="80">
        <v>0.0</v>
      </c>
      <c r="M212" s="80">
        <v>0.0</v>
      </c>
      <c r="N212" s="80">
        <v>0.0</v>
      </c>
      <c r="O212" s="83"/>
    </row>
    <row r="213">
      <c r="A213" s="80">
        <v>10.4</v>
      </c>
      <c r="B213" s="79" t="s">
        <v>1100</v>
      </c>
      <c r="C213" s="79" t="s">
        <v>29</v>
      </c>
      <c r="D213" s="79" t="s">
        <v>1101</v>
      </c>
      <c r="E213" s="83"/>
      <c r="F213" s="79" t="s">
        <v>21</v>
      </c>
      <c r="G213" s="79">
        <v>14.0</v>
      </c>
      <c r="H213" s="79" t="s">
        <v>29</v>
      </c>
      <c r="I213" s="80">
        <v>1.0</v>
      </c>
      <c r="J213" s="81"/>
      <c r="K213" s="80">
        <v>0.0</v>
      </c>
      <c r="L213" s="80">
        <v>0.0</v>
      </c>
      <c r="M213" s="80">
        <v>0.0</v>
      </c>
      <c r="N213" s="80">
        <v>0.0</v>
      </c>
      <c r="O213" s="83"/>
    </row>
    <row r="214">
      <c r="A214" s="80">
        <v>10.5</v>
      </c>
      <c r="B214" s="79" t="s">
        <v>1117</v>
      </c>
      <c r="C214" s="79" t="s">
        <v>18</v>
      </c>
      <c r="D214" s="79" t="s">
        <v>1118</v>
      </c>
      <c r="E214" s="83"/>
      <c r="F214" s="79" t="s">
        <v>21</v>
      </c>
      <c r="G214" s="79">
        <v>14.0</v>
      </c>
      <c r="H214" s="79" t="s">
        <v>22</v>
      </c>
      <c r="I214" s="80">
        <v>1.0</v>
      </c>
      <c r="J214" s="81"/>
      <c r="K214" s="80">
        <v>0.0</v>
      </c>
      <c r="L214" s="80">
        <v>0.0</v>
      </c>
      <c r="M214" s="80">
        <v>0.0</v>
      </c>
      <c r="N214" s="80">
        <v>0.0</v>
      </c>
      <c r="O214" s="83"/>
    </row>
    <row r="215">
      <c r="A215" s="80">
        <v>10.6</v>
      </c>
      <c r="B215" s="79" t="s">
        <v>1051</v>
      </c>
      <c r="C215" s="79" t="s">
        <v>18</v>
      </c>
      <c r="D215" s="79" t="s">
        <v>1052</v>
      </c>
      <c r="E215" s="83"/>
      <c r="F215" s="79" t="s">
        <v>21</v>
      </c>
      <c r="G215" s="79">
        <v>14.0</v>
      </c>
      <c r="H215" s="79" t="s">
        <v>29</v>
      </c>
      <c r="I215" s="80">
        <v>1.0</v>
      </c>
      <c r="J215" s="81"/>
      <c r="K215" s="80">
        <v>0.0</v>
      </c>
      <c r="L215" s="80">
        <v>0.0</v>
      </c>
      <c r="M215" s="80">
        <v>0.0</v>
      </c>
      <c r="N215" s="80">
        <v>0.0</v>
      </c>
      <c r="O215" s="83"/>
    </row>
    <row r="216">
      <c r="A216" s="80">
        <v>10.7</v>
      </c>
      <c r="B216" s="79" t="s">
        <v>1102</v>
      </c>
      <c r="C216" s="79" t="s">
        <v>18</v>
      </c>
      <c r="D216" s="79" t="s">
        <v>1042</v>
      </c>
      <c r="E216" s="83"/>
      <c r="F216" s="79" t="s">
        <v>21</v>
      </c>
      <c r="G216" s="79">
        <v>14.0</v>
      </c>
      <c r="H216" s="79" t="s">
        <v>22</v>
      </c>
      <c r="I216" s="80">
        <v>1.0</v>
      </c>
      <c r="J216" s="81"/>
      <c r="K216" s="80">
        <v>0.0</v>
      </c>
      <c r="L216" s="80">
        <v>0.0</v>
      </c>
      <c r="M216" s="80">
        <v>0.0</v>
      </c>
      <c r="N216" s="80">
        <v>0.0</v>
      </c>
      <c r="O216" s="83"/>
    </row>
    <row r="217">
      <c r="A217" s="80">
        <v>10.8</v>
      </c>
      <c r="B217" s="79" t="s">
        <v>872</v>
      </c>
      <c r="C217" s="79" t="s">
        <v>18</v>
      </c>
      <c r="D217" s="79" t="s">
        <v>873</v>
      </c>
      <c r="E217" s="83"/>
      <c r="F217" s="79" t="s">
        <v>21</v>
      </c>
      <c r="G217" s="79">
        <v>14.0</v>
      </c>
      <c r="H217" s="79" t="s">
        <v>22</v>
      </c>
      <c r="I217" s="80">
        <v>1.0</v>
      </c>
      <c r="J217" s="81"/>
      <c r="K217" s="80">
        <v>0.0</v>
      </c>
      <c r="L217" s="80">
        <v>0.0</v>
      </c>
      <c r="M217" s="80">
        <v>0.0</v>
      </c>
      <c r="N217" s="80">
        <v>0.0</v>
      </c>
      <c r="O217" s="83"/>
    </row>
    <row r="218">
      <c r="A218" s="80">
        <v>10.9</v>
      </c>
      <c r="B218" s="79" t="s">
        <v>1043</v>
      </c>
      <c r="C218" s="79" t="s">
        <v>18</v>
      </c>
      <c r="D218" s="79" t="s">
        <v>1044</v>
      </c>
      <c r="E218" s="83"/>
      <c r="F218" s="79" t="s">
        <v>21</v>
      </c>
      <c r="G218" s="79">
        <v>14.0</v>
      </c>
      <c r="H218" s="79" t="s">
        <v>22</v>
      </c>
      <c r="I218" s="80">
        <v>1.0</v>
      </c>
      <c r="J218" s="81"/>
      <c r="K218" s="82">
        <v>2806.4</v>
      </c>
      <c r="L218" s="82">
        <v>2806.4</v>
      </c>
      <c r="M218" s="80">
        <v>0.0</v>
      </c>
      <c r="N218" s="82">
        <v>2806.4</v>
      </c>
      <c r="O218" s="83"/>
    </row>
    <row r="219">
      <c r="A219" s="80">
        <v>10.1</v>
      </c>
      <c r="B219" s="79" t="s">
        <v>1103</v>
      </c>
      <c r="C219" s="79" t="s">
        <v>18</v>
      </c>
      <c r="D219" s="79" t="s">
        <v>1104</v>
      </c>
      <c r="E219" s="83"/>
      <c r="F219" s="79" t="s">
        <v>21</v>
      </c>
      <c r="G219" s="79">
        <v>14.0</v>
      </c>
      <c r="H219" s="79" t="s">
        <v>22</v>
      </c>
      <c r="I219" s="80">
        <v>1.0</v>
      </c>
      <c r="J219" s="81"/>
      <c r="K219" s="80">
        <v>121.7</v>
      </c>
      <c r="L219" s="80">
        <v>121.7</v>
      </c>
      <c r="M219" s="80">
        <v>0.0</v>
      </c>
      <c r="N219" s="80">
        <v>121.7</v>
      </c>
      <c r="O219" s="83"/>
    </row>
    <row r="220">
      <c r="A220" s="80">
        <v>10.11</v>
      </c>
      <c r="B220" s="79" t="s">
        <v>1105</v>
      </c>
      <c r="C220" s="79" t="s">
        <v>18</v>
      </c>
      <c r="D220" s="79" t="s">
        <v>1106</v>
      </c>
      <c r="E220" s="83"/>
      <c r="F220" s="79" t="s">
        <v>21</v>
      </c>
      <c r="G220" s="79">
        <v>14.0</v>
      </c>
      <c r="H220" s="79" t="s">
        <v>22</v>
      </c>
      <c r="I220" s="80">
        <v>1.0</v>
      </c>
      <c r="J220" s="81"/>
      <c r="K220" s="80">
        <v>115.62</v>
      </c>
      <c r="L220" s="80">
        <v>115.62</v>
      </c>
      <c r="M220" s="80">
        <v>0.0</v>
      </c>
      <c r="N220" s="80">
        <v>115.62</v>
      </c>
      <c r="O220" s="83"/>
    </row>
    <row r="221">
      <c r="A221" s="80">
        <v>10.12</v>
      </c>
      <c r="B221" s="79" t="s">
        <v>1033</v>
      </c>
      <c r="C221" s="79" t="s">
        <v>18</v>
      </c>
      <c r="D221" s="79" t="s">
        <v>1034</v>
      </c>
      <c r="E221" s="83"/>
      <c r="F221" s="79" t="s">
        <v>21</v>
      </c>
      <c r="G221" s="79">
        <v>14.0</v>
      </c>
      <c r="H221" s="79" t="s">
        <v>29</v>
      </c>
      <c r="I221" s="80">
        <v>1.0</v>
      </c>
      <c r="J221" s="81"/>
      <c r="K221" s="80">
        <v>0.0</v>
      </c>
      <c r="L221" s="80">
        <v>0.0</v>
      </c>
      <c r="M221" s="80">
        <v>0.0</v>
      </c>
      <c r="N221" s="80">
        <v>0.0</v>
      </c>
      <c r="O221" s="83"/>
    </row>
    <row r="222">
      <c r="A222" s="80">
        <v>10.13</v>
      </c>
      <c r="B222" s="79" t="s">
        <v>1049</v>
      </c>
      <c r="C222" s="79" t="s">
        <v>18</v>
      </c>
      <c r="D222" s="79" t="s">
        <v>1050</v>
      </c>
      <c r="E222" s="83"/>
      <c r="F222" s="79" t="s">
        <v>21</v>
      </c>
      <c r="G222" s="79">
        <v>14.0</v>
      </c>
      <c r="H222" s="79" t="s">
        <v>29</v>
      </c>
      <c r="I222" s="80">
        <v>1.0</v>
      </c>
      <c r="J222" s="81"/>
      <c r="K222" s="80">
        <v>0.0</v>
      </c>
      <c r="L222" s="80">
        <v>0.0</v>
      </c>
      <c r="M222" s="80">
        <v>0.0</v>
      </c>
      <c r="N222" s="80">
        <v>0.0</v>
      </c>
      <c r="O222" s="83"/>
    </row>
    <row r="223">
      <c r="A223" s="80">
        <v>10.14</v>
      </c>
      <c r="B223" s="79" t="s">
        <v>876</v>
      </c>
      <c r="C223" s="79" t="s">
        <v>18</v>
      </c>
      <c r="D223" s="79" t="s">
        <v>877</v>
      </c>
      <c r="E223" s="83"/>
      <c r="F223" s="79" t="s">
        <v>21</v>
      </c>
      <c r="G223" s="79">
        <v>14.0</v>
      </c>
      <c r="H223" s="79" t="s">
        <v>29</v>
      </c>
      <c r="I223" s="80">
        <v>1.0</v>
      </c>
      <c r="J223" s="81"/>
      <c r="K223" s="80">
        <v>0.0</v>
      </c>
      <c r="L223" s="80">
        <v>0.0</v>
      </c>
      <c r="M223" s="80">
        <v>0.0</v>
      </c>
      <c r="N223" s="80">
        <v>0.0</v>
      </c>
      <c r="O223" s="83"/>
    </row>
    <row r="224">
      <c r="A224" s="80">
        <v>10.15</v>
      </c>
      <c r="B224" s="79" t="s">
        <v>878</v>
      </c>
      <c r="C224" s="79" t="s">
        <v>18</v>
      </c>
      <c r="D224" s="79" t="s">
        <v>879</v>
      </c>
      <c r="E224" s="83"/>
      <c r="F224" s="79" t="s">
        <v>21</v>
      </c>
      <c r="G224" s="79">
        <v>14.0</v>
      </c>
      <c r="H224" s="79" t="s">
        <v>29</v>
      </c>
      <c r="I224" s="80">
        <v>1.0</v>
      </c>
      <c r="J224" s="81"/>
      <c r="K224" s="80">
        <v>0.0</v>
      </c>
      <c r="L224" s="80">
        <v>0.0</v>
      </c>
      <c r="M224" s="80">
        <v>0.0</v>
      </c>
      <c r="N224" s="80">
        <v>0.0</v>
      </c>
      <c r="O224" s="83"/>
    </row>
    <row r="225">
      <c r="A225" s="80">
        <v>10.16</v>
      </c>
      <c r="B225" s="79" t="s">
        <v>880</v>
      </c>
      <c r="C225" s="79" t="s">
        <v>18</v>
      </c>
      <c r="D225" s="79" t="s">
        <v>881</v>
      </c>
      <c r="E225" s="83"/>
      <c r="F225" s="79" t="s">
        <v>21</v>
      </c>
      <c r="G225" s="79">
        <v>14.0</v>
      </c>
      <c r="H225" s="79" t="s">
        <v>29</v>
      </c>
      <c r="I225" s="80">
        <v>1.0</v>
      </c>
      <c r="J225" s="81"/>
      <c r="K225" s="80">
        <v>0.0</v>
      </c>
      <c r="L225" s="80">
        <v>0.0</v>
      </c>
      <c r="M225" s="80">
        <v>0.0</v>
      </c>
      <c r="N225" s="80">
        <v>0.0</v>
      </c>
      <c r="O225" s="83"/>
    </row>
    <row r="226">
      <c r="A226" s="80">
        <v>10.17</v>
      </c>
      <c r="B226" s="79" t="s">
        <v>1107</v>
      </c>
      <c r="C226" s="79" t="s">
        <v>18</v>
      </c>
      <c r="D226" s="79" t="s">
        <v>1108</v>
      </c>
      <c r="E226" s="83"/>
      <c r="F226" s="79" t="s">
        <v>21</v>
      </c>
      <c r="G226" s="79">
        <v>14.0</v>
      </c>
      <c r="H226" s="79" t="s">
        <v>22</v>
      </c>
      <c r="I226" s="80">
        <v>1.0</v>
      </c>
      <c r="J226" s="81"/>
      <c r="K226" s="82">
        <v>3103.4</v>
      </c>
      <c r="L226" s="82">
        <v>3103.4</v>
      </c>
      <c r="M226" s="80">
        <v>0.0</v>
      </c>
      <c r="N226" s="82">
        <v>3103.4</v>
      </c>
      <c r="O226" s="83"/>
    </row>
    <row r="227">
      <c r="A227" s="80">
        <v>10.18</v>
      </c>
      <c r="B227" s="79" t="s">
        <v>59</v>
      </c>
      <c r="C227" s="79" t="s">
        <v>29</v>
      </c>
      <c r="D227" s="79" t="s">
        <v>60</v>
      </c>
      <c r="E227" s="83"/>
      <c r="F227" s="79" t="s">
        <v>21</v>
      </c>
      <c r="G227" s="79">
        <v>2.0</v>
      </c>
      <c r="H227" s="79" t="s">
        <v>29</v>
      </c>
      <c r="I227" s="80">
        <v>1.0</v>
      </c>
      <c r="J227" s="81"/>
      <c r="K227" s="80">
        <v>0.0</v>
      </c>
      <c r="L227" s="80">
        <v>0.0</v>
      </c>
      <c r="M227" s="80">
        <v>0.0</v>
      </c>
      <c r="N227" s="80">
        <v>0.0</v>
      </c>
      <c r="O227" s="83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5" t="s">
        <v>63</v>
      </c>
      <c r="N228" s="86">
        <v>19038.33</v>
      </c>
      <c r="O228" s="87"/>
    </row>
    <row r="229">
      <c r="A229" s="78">
        <v>11.0</v>
      </c>
      <c r="B229" s="78" t="s">
        <v>1119</v>
      </c>
      <c r="C229" s="79" t="s">
        <v>18</v>
      </c>
      <c r="D229" s="79" t="s">
        <v>1120</v>
      </c>
      <c r="E229" s="79" t="s">
        <v>20</v>
      </c>
      <c r="F229" s="79" t="s">
        <v>21</v>
      </c>
      <c r="G229" s="79">
        <v>14.0</v>
      </c>
      <c r="H229" s="79" t="s">
        <v>22</v>
      </c>
      <c r="I229" s="80">
        <v>1.0</v>
      </c>
      <c r="J229" s="81"/>
      <c r="K229" s="82">
        <v>8362.68</v>
      </c>
      <c r="L229" s="82">
        <v>8362.68</v>
      </c>
      <c r="M229" s="80">
        <v>0.0</v>
      </c>
      <c r="N229" s="82">
        <v>8362.68</v>
      </c>
      <c r="O229" s="83"/>
    </row>
    <row r="230">
      <c r="A230" s="80" t="s">
        <v>369</v>
      </c>
      <c r="B230" s="79" t="s">
        <v>1121</v>
      </c>
      <c r="C230" s="79" t="s">
        <v>18</v>
      </c>
      <c r="D230" s="79" t="s">
        <v>1122</v>
      </c>
      <c r="E230" s="83"/>
      <c r="F230" s="79">
        <v>36.0</v>
      </c>
      <c r="G230" s="79" t="s">
        <v>21</v>
      </c>
      <c r="H230" s="79" t="s">
        <v>22</v>
      </c>
      <c r="I230" s="80">
        <v>1.0</v>
      </c>
      <c r="J230" s="81"/>
      <c r="K230" s="82">
        <v>2602.89</v>
      </c>
      <c r="L230" s="82">
        <v>2602.89</v>
      </c>
      <c r="M230" s="80">
        <v>0.0</v>
      </c>
      <c r="N230" s="82">
        <v>2602.89</v>
      </c>
      <c r="O230" s="79" t="s">
        <v>26</v>
      </c>
    </row>
    <row r="231">
      <c r="A231" s="80">
        <v>11.1</v>
      </c>
      <c r="B231" s="79" t="s">
        <v>1092</v>
      </c>
      <c r="C231" s="79" t="s">
        <v>29</v>
      </c>
      <c r="D231" s="79" t="s">
        <v>1093</v>
      </c>
      <c r="E231" s="83"/>
      <c r="F231" s="79" t="s">
        <v>21</v>
      </c>
      <c r="G231" s="79">
        <v>14.0</v>
      </c>
      <c r="H231" s="79" t="s">
        <v>22</v>
      </c>
      <c r="I231" s="80">
        <v>1.0</v>
      </c>
      <c r="J231" s="81"/>
      <c r="K231" s="80">
        <v>0.0</v>
      </c>
      <c r="L231" s="80">
        <v>0.0</v>
      </c>
      <c r="M231" s="80">
        <v>0.0</v>
      </c>
      <c r="N231" s="80">
        <v>0.0</v>
      </c>
      <c r="O231" s="83"/>
    </row>
    <row r="232">
      <c r="A232" s="80" t="s">
        <v>960</v>
      </c>
      <c r="B232" s="79" t="s">
        <v>1094</v>
      </c>
      <c r="C232" s="79" t="s">
        <v>18</v>
      </c>
      <c r="D232" s="79" t="s">
        <v>1095</v>
      </c>
      <c r="E232" s="83"/>
      <c r="F232" s="79">
        <v>36.0</v>
      </c>
      <c r="G232" s="79" t="s">
        <v>21</v>
      </c>
      <c r="H232" s="79" t="s">
        <v>22</v>
      </c>
      <c r="I232" s="80">
        <v>1.0</v>
      </c>
      <c r="J232" s="81"/>
      <c r="K232" s="80">
        <v>486.75</v>
      </c>
      <c r="L232" s="80">
        <v>486.75</v>
      </c>
      <c r="M232" s="80">
        <v>0.0</v>
      </c>
      <c r="N232" s="80">
        <v>486.75</v>
      </c>
      <c r="O232" s="79" t="s">
        <v>26</v>
      </c>
    </row>
    <row r="233">
      <c r="A233" s="80" t="s">
        <v>961</v>
      </c>
      <c r="B233" s="79" t="s">
        <v>1096</v>
      </c>
      <c r="C233" s="79" t="s">
        <v>18</v>
      </c>
      <c r="D233" s="79" t="s">
        <v>1097</v>
      </c>
      <c r="E233" s="83"/>
      <c r="F233" s="79">
        <v>36.0</v>
      </c>
      <c r="G233" s="79" t="s">
        <v>21</v>
      </c>
      <c r="H233" s="79" t="s">
        <v>22</v>
      </c>
      <c r="I233" s="80">
        <v>1.0</v>
      </c>
      <c r="J233" s="81"/>
      <c r="K233" s="82">
        <v>2365.77</v>
      </c>
      <c r="L233" s="82">
        <v>2365.77</v>
      </c>
      <c r="M233" s="80">
        <v>0.0</v>
      </c>
      <c r="N233" s="82">
        <v>2365.77</v>
      </c>
      <c r="O233" s="83"/>
    </row>
    <row r="234">
      <c r="A234" s="80">
        <v>11.2</v>
      </c>
      <c r="B234" s="79" t="s">
        <v>1025</v>
      </c>
      <c r="C234" s="79" t="s">
        <v>29</v>
      </c>
      <c r="D234" s="79" t="s">
        <v>1026</v>
      </c>
      <c r="E234" s="83"/>
      <c r="F234" s="79" t="s">
        <v>21</v>
      </c>
      <c r="G234" s="79">
        <v>14.0</v>
      </c>
      <c r="H234" s="79" t="s">
        <v>29</v>
      </c>
      <c r="I234" s="80">
        <v>1.0</v>
      </c>
      <c r="J234" s="81"/>
      <c r="K234" s="80">
        <v>0.0</v>
      </c>
      <c r="L234" s="80">
        <v>0.0</v>
      </c>
      <c r="M234" s="80">
        <v>0.0</v>
      </c>
      <c r="N234" s="80">
        <v>0.0</v>
      </c>
      <c r="O234" s="83"/>
    </row>
    <row r="235">
      <c r="A235" s="80" t="s">
        <v>1123</v>
      </c>
      <c r="B235" s="79" t="s">
        <v>1027</v>
      </c>
      <c r="C235" s="79" t="s">
        <v>18</v>
      </c>
      <c r="D235" s="79" t="s">
        <v>1028</v>
      </c>
      <c r="E235" s="83"/>
      <c r="F235" s="79">
        <v>36.0</v>
      </c>
      <c r="G235" s="79" t="s">
        <v>21</v>
      </c>
      <c r="H235" s="79" t="s">
        <v>22</v>
      </c>
      <c r="I235" s="80">
        <v>1.0</v>
      </c>
      <c r="J235" s="81"/>
      <c r="K235" s="80">
        <v>0.0</v>
      </c>
      <c r="L235" s="80">
        <v>0.0</v>
      </c>
      <c r="M235" s="80">
        <v>0.0</v>
      </c>
      <c r="N235" s="80">
        <v>0.0</v>
      </c>
      <c r="O235" s="83"/>
    </row>
    <row r="236">
      <c r="A236" s="80">
        <v>11.3</v>
      </c>
      <c r="B236" s="79" t="s">
        <v>1021</v>
      </c>
      <c r="C236" s="79" t="s">
        <v>29</v>
      </c>
      <c r="D236" s="79" t="s">
        <v>1022</v>
      </c>
      <c r="E236" s="83"/>
      <c r="F236" s="79" t="s">
        <v>21</v>
      </c>
      <c r="G236" s="79">
        <v>14.0</v>
      </c>
      <c r="H236" s="79" t="s">
        <v>29</v>
      </c>
      <c r="I236" s="80">
        <v>1.0</v>
      </c>
      <c r="J236" s="81"/>
      <c r="K236" s="80">
        <v>0.0</v>
      </c>
      <c r="L236" s="80">
        <v>0.0</v>
      </c>
      <c r="M236" s="80">
        <v>0.0</v>
      </c>
      <c r="N236" s="80">
        <v>0.0</v>
      </c>
      <c r="O236" s="83"/>
    </row>
    <row r="237">
      <c r="A237" s="80" t="s">
        <v>1124</v>
      </c>
      <c r="B237" s="79" t="s">
        <v>1023</v>
      </c>
      <c r="C237" s="79" t="s">
        <v>18</v>
      </c>
      <c r="D237" s="79" t="s">
        <v>1024</v>
      </c>
      <c r="E237" s="83"/>
      <c r="F237" s="79">
        <v>36.0</v>
      </c>
      <c r="G237" s="79" t="s">
        <v>21</v>
      </c>
      <c r="H237" s="79" t="s">
        <v>22</v>
      </c>
      <c r="I237" s="80">
        <v>1.0</v>
      </c>
      <c r="J237" s="81"/>
      <c r="K237" s="80">
        <v>0.0</v>
      </c>
      <c r="L237" s="80">
        <v>0.0</v>
      </c>
      <c r="M237" s="80">
        <v>0.0</v>
      </c>
      <c r="N237" s="80">
        <v>0.0</v>
      </c>
      <c r="O237" s="83"/>
    </row>
    <row r="238">
      <c r="A238" s="80">
        <v>11.4</v>
      </c>
      <c r="B238" s="79" t="s">
        <v>1100</v>
      </c>
      <c r="C238" s="79" t="s">
        <v>29</v>
      </c>
      <c r="D238" s="79" t="s">
        <v>1101</v>
      </c>
      <c r="E238" s="83"/>
      <c r="F238" s="79" t="s">
        <v>21</v>
      </c>
      <c r="G238" s="79">
        <v>14.0</v>
      </c>
      <c r="H238" s="79" t="s">
        <v>29</v>
      </c>
      <c r="I238" s="80">
        <v>1.0</v>
      </c>
      <c r="J238" s="81"/>
      <c r="K238" s="80">
        <v>0.0</v>
      </c>
      <c r="L238" s="80">
        <v>0.0</v>
      </c>
      <c r="M238" s="80">
        <v>0.0</v>
      </c>
      <c r="N238" s="80">
        <v>0.0</v>
      </c>
      <c r="O238" s="83"/>
    </row>
    <row r="239">
      <c r="A239" s="80">
        <v>11.5</v>
      </c>
      <c r="B239" s="79" t="s">
        <v>1125</v>
      </c>
      <c r="C239" s="79" t="s">
        <v>18</v>
      </c>
      <c r="D239" s="79" t="s">
        <v>1030</v>
      </c>
      <c r="E239" s="83"/>
      <c r="F239" s="79" t="s">
        <v>21</v>
      </c>
      <c r="G239" s="79">
        <v>14.0</v>
      </c>
      <c r="H239" s="79" t="s">
        <v>29</v>
      </c>
      <c r="I239" s="80">
        <v>1.0</v>
      </c>
      <c r="J239" s="81"/>
      <c r="K239" s="80">
        <v>0.0</v>
      </c>
      <c r="L239" s="80">
        <v>0.0</v>
      </c>
      <c r="M239" s="80">
        <v>0.0</v>
      </c>
      <c r="N239" s="80">
        <v>0.0</v>
      </c>
      <c r="O239" s="83"/>
    </row>
    <row r="240">
      <c r="A240" s="80">
        <v>11.6</v>
      </c>
      <c r="B240" s="79" t="s">
        <v>1126</v>
      </c>
      <c r="C240" s="79" t="s">
        <v>18</v>
      </c>
      <c r="D240" s="79" t="s">
        <v>1127</v>
      </c>
      <c r="E240" s="83"/>
      <c r="F240" s="79" t="s">
        <v>21</v>
      </c>
      <c r="G240" s="79">
        <v>14.0</v>
      </c>
      <c r="H240" s="79" t="s">
        <v>29</v>
      </c>
      <c r="I240" s="80">
        <v>1.0</v>
      </c>
      <c r="J240" s="81"/>
      <c r="K240" s="80">
        <v>0.0</v>
      </c>
      <c r="L240" s="80">
        <v>0.0</v>
      </c>
      <c r="M240" s="80">
        <v>0.0</v>
      </c>
      <c r="N240" s="80">
        <v>0.0</v>
      </c>
      <c r="O240" s="83"/>
    </row>
    <row r="241">
      <c r="A241" s="80">
        <v>11.7</v>
      </c>
      <c r="B241" s="79" t="s">
        <v>1102</v>
      </c>
      <c r="C241" s="79" t="s">
        <v>18</v>
      </c>
      <c r="D241" s="79" t="s">
        <v>1042</v>
      </c>
      <c r="E241" s="83"/>
      <c r="F241" s="79" t="s">
        <v>21</v>
      </c>
      <c r="G241" s="79">
        <v>14.0</v>
      </c>
      <c r="H241" s="79" t="s">
        <v>22</v>
      </c>
      <c r="I241" s="80">
        <v>1.0</v>
      </c>
      <c r="J241" s="81"/>
      <c r="K241" s="80">
        <v>0.0</v>
      </c>
      <c r="L241" s="80">
        <v>0.0</v>
      </c>
      <c r="M241" s="80">
        <v>0.0</v>
      </c>
      <c r="N241" s="80">
        <v>0.0</v>
      </c>
      <c r="O241" s="83"/>
    </row>
    <row r="242">
      <c r="A242" s="80">
        <v>11.8</v>
      </c>
      <c r="B242" s="79" t="s">
        <v>872</v>
      </c>
      <c r="C242" s="79" t="s">
        <v>18</v>
      </c>
      <c r="D242" s="79" t="s">
        <v>873</v>
      </c>
      <c r="E242" s="83"/>
      <c r="F242" s="79" t="s">
        <v>21</v>
      </c>
      <c r="G242" s="79">
        <v>14.0</v>
      </c>
      <c r="H242" s="79" t="s">
        <v>22</v>
      </c>
      <c r="I242" s="80">
        <v>1.0</v>
      </c>
      <c r="J242" s="81"/>
      <c r="K242" s="80">
        <v>0.0</v>
      </c>
      <c r="L242" s="80">
        <v>0.0</v>
      </c>
      <c r="M242" s="80">
        <v>0.0</v>
      </c>
      <c r="N242" s="80">
        <v>0.0</v>
      </c>
      <c r="O242" s="83"/>
    </row>
    <row r="243">
      <c r="A243" s="80">
        <v>11.9</v>
      </c>
      <c r="B243" s="79" t="s">
        <v>1043</v>
      </c>
      <c r="C243" s="79" t="s">
        <v>18</v>
      </c>
      <c r="D243" s="79" t="s">
        <v>1044</v>
      </c>
      <c r="E243" s="83"/>
      <c r="F243" s="79" t="s">
        <v>21</v>
      </c>
      <c r="G243" s="79">
        <v>14.0</v>
      </c>
      <c r="H243" s="79" t="s">
        <v>22</v>
      </c>
      <c r="I243" s="80">
        <v>1.0</v>
      </c>
      <c r="J243" s="81"/>
      <c r="K243" s="82">
        <v>2806.4</v>
      </c>
      <c r="L243" s="82">
        <v>2806.4</v>
      </c>
      <c r="M243" s="80">
        <v>0.0</v>
      </c>
      <c r="N243" s="82">
        <v>2806.4</v>
      </c>
      <c r="O243" s="83"/>
    </row>
    <row r="244">
      <c r="A244" s="80">
        <v>11.1</v>
      </c>
      <c r="B244" s="79" t="s">
        <v>1103</v>
      </c>
      <c r="C244" s="79" t="s">
        <v>18</v>
      </c>
      <c r="D244" s="79" t="s">
        <v>1104</v>
      </c>
      <c r="E244" s="83"/>
      <c r="F244" s="79" t="s">
        <v>21</v>
      </c>
      <c r="G244" s="79">
        <v>14.0</v>
      </c>
      <c r="H244" s="79" t="s">
        <v>22</v>
      </c>
      <c r="I244" s="80">
        <v>1.0</v>
      </c>
      <c r="J244" s="81"/>
      <c r="K244" s="80">
        <v>121.7</v>
      </c>
      <c r="L244" s="80">
        <v>121.7</v>
      </c>
      <c r="M244" s="80">
        <v>0.0</v>
      </c>
      <c r="N244" s="80">
        <v>121.7</v>
      </c>
      <c r="O244" s="83"/>
    </row>
    <row r="245">
      <c r="A245" s="80">
        <v>11.11</v>
      </c>
      <c r="B245" s="79" t="s">
        <v>1105</v>
      </c>
      <c r="C245" s="79" t="s">
        <v>18</v>
      </c>
      <c r="D245" s="79" t="s">
        <v>1106</v>
      </c>
      <c r="E245" s="83"/>
      <c r="F245" s="79" t="s">
        <v>21</v>
      </c>
      <c r="G245" s="79">
        <v>14.0</v>
      </c>
      <c r="H245" s="79" t="s">
        <v>22</v>
      </c>
      <c r="I245" s="80">
        <v>1.0</v>
      </c>
      <c r="J245" s="81"/>
      <c r="K245" s="80">
        <v>115.62</v>
      </c>
      <c r="L245" s="80">
        <v>115.62</v>
      </c>
      <c r="M245" s="80">
        <v>0.0</v>
      </c>
      <c r="N245" s="80">
        <v>115.62</v>
      </c>
      <c r="O245" s="83"/>
    </row>
    <row r="246">
      <c r="A246" s="80">
        <v>11.12</v>
      </c>
      <c r="B246" s="79" t="s">
        <v>1053</v>
      </c>
      <c r="C246" s="79" t="s">
        <v>18</v>
      </c>
      <c r="D246" s="79" t="s">
        <v>1054</v>
      </c>
      <c r="E246" s="83"/>
      <c r="F246" s="79" t="s">
        <v>21</v>
      </c>
      <c r="G246" s="79">
        <v>14.0</v>
      </c>
      <c r="H246" s="79" t="s">
        <v>22</v>
      </c>
      <c r="I246" s="80">
        <v>1.0</v>
      </c>
      <c r="J246" s="81"/>
      <c r="K246" s="80">
        <v>0.0</v>
      </c>
      <c r="L246" s="80">
        <v>0.0</v>
      </c>
      <c r="M246" s="80">
        <v>0.0</v>
      </c>
      <c r="N246" s="80">
        <v>0.0</v>
      </c>
      <c r="O246" s="83"/>
    </row>
    <row r="247">
      <c r="A247" s="80">
        <v>11.13</v>
      </c>
      <c r="B247" s="79" t="s">
        <v>1033</v>
      </c>
      <c r="C247" s="79" t="s">
        <v>18</v>
      </c>
      <c r="D247" s="79" t="s">
        <v>1034</v>
      </c>
      <c r="E247" s="83"/>
      <c r="F247" s="79" t="s">
        <v>21</v>
      </c>
      <c r="G247" s="79">
        <v>14.0</v>
      </c>
      <c r="H247" s="79" t="s">
        <v>29</v>
      </c>
      <c r="I247" s="80">
        <v>1.0</v>
      </c>
      <c r="J247" s="81"/>
      <c r="K247" s="80">
        <v>0.0</v>
      </c>
      <c r="L247" s="80">
        <v>0.0</v>
      </c>
      <c r="M247" s="80">
        <v>0.0</v>
      </c>
      <c r="N247" s="80">
        <v>0.0</v>
      </c>
      <c r="O247" s="83"/>
    </row>
    <row r="248">
      <c r="A248" s="80">
        <v>11.14</v>
      </c>
      <c r="B248" s="79" t="s">
        <v>1049</v>
      </c>
      <c r="C248" s="79" t="s">
        <v>18</v>
      </c>
      <c r="D248" s="79" t="s">
        <v>1050</v>
      </c>
      <c r="E248" s="83"/>
      <c r="F248" s="79" t="s">
        <v>21</v>
      </c>
      <c r="G248" s="79">
        <v>14.0</v>
      </c>
      <c r="H248" s="79" t="s">
        <v>29</v>
      </c>
      <c r="I248" s="80">
        <v>1.0</v>
      </c>
      <c r="J248" s="81"/>
      <c r="K248" s="80">
        <v>0.0</v>
      </c>
      <c r="L248" s="80">
        <v>0.0</v>
      </c>
      <c r="M248" s="80">
        <v>0.0</v>
      </c>
      <c r="N248" s="80">
        <v>0.0</v>
      </c>
      <c r="O248" s="83"/>
    </row>
    <row r="249">
      <c r="A249" s="80">
        <v>11.15</v>
      </c>
      <c r="B249" s="79" t="s">
        <v>1107</v>
      </c>
      <c r="C249" s="79" t="s">
        <v>18</v>
      </c>
      <c r="D249" s="79" t="s">
        <v>1108</v>
      </c>
      <c r="E249" s="83"/>
      <c r="F249" s="79" t="s">
        <v>21</v>
      </c>
      <c r="G249" s="79">
        <v>14.0</v>
      </c>
      <c r="H249" s="79" t="s">
        <v>22</v>
      </c>
      <c r="I249" s="80">
        <v>1.0</v>
      </c>
      <c r="J249" s="81"/>
      <c r="K249" s="82">
        <v>3103.4</v>
      </c>
      <c r="L249" s="82">
        <v>3103.4</v>
      </c>
      <c r="M249" s="80">
        <v>0.0</v>
      </c>
      <c r="N249" s="82">
        <v>3103.4</v>
      </c>
      <c r="O249" s="83"/>
    </row>
    <row r="250">
      <c r="A250" s="80">
        <v>11.16</v>
      </c>
      <c r="B250" s="79" t="s">
        <v>59</v>
      </c>
      <c r="C250" s="79" t="s">
        <v>29</v>
      </c>
      <c r="D250" s="79" t="s">
        <v>60</v>
      </c>
      <c r="E250" s="83"/>
      <c r="F250" s="79" t="s">
        <v>21</v>
      </c>
      <c r="G250" s="79">
        <v>2.0</v>
      </c>
      <c r="H250" s="79" t="s">
        <v>29</v>
      </c>
      <c r="I250" s="80">
        <v>1.0</v>
      </c>
      <c r="J250" s="81"/>
      <c r="K250" s="80">
        <v>0.0</v>
      </c>
      <c r="L250" s="80">
        <v>0.0</v>
      </c>
      <c r="M250" s="80">
        <v>0.0</v>
      </c>
      <c r="N250" s="80">
        <v>0.0</v>
      </c>
      <c r="O250" s="83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5" t="s">
        <v>63</v>
      </c>
      <c r="N251" s="86">
        <v>19965.21</v>
      </c>
      <c r="O251" s="87"/>
    </row>
    <row r="252">
      <c r="A252" s="78">
        <v>12.0</v>
      </c>
      <c r="B252" s="78" t="s">
        <v>1128</v>
      </c>
      <c r="C252" s="79" t="s">
        <v>18</v>
      </c>
      <c r="D252" s="79" t="s">
        <v>1129</v>
      </c>
      <c r="E252" s="79" t="s">
        <v>20</v>
      </c>
      <c r="F252" s="79" t="s">
        <v>21</v>
      </c>
      <c r="G252" s="79">
        <v>84.0</v>
      </c>
      <c r="H252" s="79" t="s">
        <v>22</v>
      </c>
      <c r="I252" s="80">
        <v>1.0</v>
      </c>
      <c r="J252" s="81"/>
      <c r="K252" s="82">
        <v>8780.76</v>
      </c>
      <c r="L252" s="82">
        <v>8780.76</v>
      </c>
      <c r="M252" s="80">
        <v>0.0</v>
      </c>
      <c r="N252" s="82">
        <v>8780.76</v>
      </c>
      <c r="O252" s="83"/>
    </row>
    <row r="253">
      <c r="A253" s="80" t="s">
        <v>169</v>
      </c>
      <c r="B253" s="79" t="s">
        <v>1130</v>
      </c>
      <c r="C253" s="79" t="s">
        <v>18</v>
      </c>
      <c r="D253" s="79" t="s">
        <v>1131</v>
      </c>
      <c r="E253" s="83"/>
      <c r="F253" s="79">
        <v>36.0</v>
      </c>
      <c r="G253" s="79" t="s">
        <v>21</v>
      </c>
      <c r="H253" s="79" t="s">
        <v>22</v>
      </c>
      <c r="I253" s="80">
        <v>1.0</v>
      </c>
      <c r="J253" s="81"/>
      <c r="K253" s="82">
        <v>2734.89</v>
      </c>
      <c r="L253" s="82">
        <v>2734.89</v>
      </c>
      <c r="M253" s="80">
        <v>0.0</v>
      </c>
      <c r="N253" s="82">
        <v>2734.89</v>
      </c>
      <c r="O253" s="79" t="s">
        <v>26</v>
      </c>
    </row>
    <row r="254">
      <c r="A254" s="80">
        <v>12.1</v>
      </c>
      <c r="B254" s="79" t="s">
        <v>1092</v>
      </c>
      <c r="C254" s="79" t="s">
        <v>29</v>
      </c>
      <c r="D254" s="79" t="s">
        <v>1093</v>
      </c>
      <c r="E254" s="83"/>
      <c r="F254" s="79" t="s">
        <v>21</v>
      </c>
      <c r="G254" s="79">
        <v>14.0</v>
      </c>
      <c r="H254" s="79" t="s">
        <v>22</v>
      </c>
      <c r="I254" s="80">
        <v>1.0</v>
      </c>
      <c r="J254" s="81"/>
      <c r="K254" s="80">
        <v>0.0</v>
      </c>
      <c r="L254" s="80">
        <v>0.0</v>
      </c>
      <c r="M254" s="80">
        <v>0.0</v>
      </c>
      <c r="N254" s="80">
        <v>0.0</v>
      </c>
      <c r="O254" s="83"/>
    </row>
    <row r="255">
      <c r="A255" s="80" t="s">
        <v>966</v>
      </c>
      <c r="B255" s="79" t="s">
        <v>1094</v>
      </c>
      <c r="C255" s="79" t="s">
        <v>18</v>
      </c>
      <c r="D255" s="79" t="s">
        <v>1095</v>
      </c>
      <c r="E255" s="83"/>
      <c r="F255" s="79">
        <v>36.0</v>
      </c>
      <c r="G255" s="79" t="s">
        <v>21</v>
      </c>
      <c r="H255" s="79" t="s">
        <v>22</v>
      </c>
      <c r="I255" s="80">
        <v>1.0</v>
      </c>
      <c r="J255" s="81"/>
      <c r="K255" s="80">
        <v>486.75</v>
      </c>
      <c r="L255" s="80">
        <v>486.75</v>
      </c>
      <c r="M255" s="80">
        <v>0.0</v>
      </c>
      <c r="N255" s="80">
        <v>486.75</v>
      </c>
      <c r="O255" s="79" t="s">
        <v>26</v>
      </c>
    </row>
    <row r="256">
      <c r="A256" s="80" t="s">
        <v>967</v>
      </c>
      <c r="B256" s="79" t="s">
        <v>1096</v>
      </c>
      <c r="C256" s="79" t="s">
        <v>18</v>
      </c>
      <c r="D256" s="79" t="s">
        <v>1097</v>
      </c>
      <c r="E256" s="83"/>
      <c r="F256" s="79">
        <v>36.0</v>
      </c>
      <c r="G256" s="79" t="s">
        <v>21</v>
      </c>
      <c r="H256" s="79" t="s">
        <v>22</v>
      </c>
      <c r="I256" s="80">
        <v>1.0</v>
      </c>
      <c r="J256" s="81"/>
      <c r="K256" s="82">
        <v>2365.77</v>
      </c>
      <c r="L256" s="82">
        <v>2365.77</v>
      </c>
      <c r="M256" s="80">
        <v>0.0</v>
      </c>
      <c r="N256" s="82">
        <v>2365.77</v>
      </c>
      <c r="O256" s="83"/>
    </row>
    <row r="257">
      <c r="A257" s="80">
        <v>12.2</v>
      </c>
      <c r="B257" s="79" t="s">
        <v>1025</v>
      </c>
      <c r="C257" s="79" t="s">
        <v>29</v>
      </c>
      <c r="D257" s="79" t="s">
        <v>1026</v>
      </c>
      <c r="E257" s="83"/>
      <c r="F257" s="79" t="s">
        <v>21</v>
      </c>
      <c r="G257" s="79">
        <v>14.0</v>
      </c>
      <c r="H257" s="79" t="s">
        <v>29</v>
      </c>
      <c r="I257" s="80">
        <v>1.0</v>
      </c>
      <c r="J257" s="81"/>
      <c r="K257" s="80">
        <v>0.0</v>
      </c>
      <c r="L257" s="80">
        <v>0.0</v>
      </c>
      <c r="M257" s="80">
        <v>0.0</v>
      </c>
      <c r="N257" s="80">
        <v>0.0</v>
      </c>
      <c r="O257" s="83"/>
    </row>
    <row r="258">
      <c r="A258" s="80" t="s">
        <v>172</v>
      </c>
      <c r="B258" s="79" t="s">
        <v>1027</v>
      </c>
      <c r="C258" s="79" t="s">
        <v>18</v>
      </c>
      <c r="D258" s="79" t="s">
        <v>1028</v>
      </c>
      <c r="E258" s="83"/>
      <c r="F258" s="79">
        <v>36.0</v>
      </c>
      <c r="G258" s="79" t="s">
        <v>21</v>
      </c>
      <c r="H258" s="79" t="s">
        <v>22</v>
      </c>
      <c r="I258" s="80">
        <v>1.0</v>
      </c>
      <c r="J258" s="81"/>
      <c r="K258" s="80">
        <v>0.0</v>
      </c>
      <c r="L258" s="80">
        <v>0.0</v>
      </c>
      <c r="M258" s="80">
        <v>0.0</v>
      </c>
      <c r="N258" s="80">
        <v>0.0</v>
      </c>
      <c r="O258" s="83"/>
    </row>
    <row r="259">
      <c r="A259" s="80">
        <v>12.3</v>
      </c>
      <c r="B259" s="79" t="s">
        <v>1021</v>
      </c>
      <c r="C259" s="79" t="s">
        <v>29</v>
      </c>
      <c r="D259" s="79" t="s">
        <v>1022</v>
      </c>
      <c r="E259" s="83"/>
      <c r="F259" s="79" t="s">
        <v>21</v>
      </c>
      <c r="G259" s="79">
        <v>14.0</v>
      </c>
      <c r="H259" s="79" t="s">
        <v>29</v>
      </c>
      <c r="I259" s="80">
        <v>1.0</v>
      </c>
      <c r="J259" s="81"/>
      <c r="K259" s="80">
        <v>0.0</v>
      </c>
      <c r="L259" s="80">
        <v>0.0</v>
      </c>
      <c r="M259" s="80">
        <v>0.0</v>
      </c>
      <c r="N259" s="80">
        <v>0.0</v>
      </c>
      <c r="O259" s="83"/>
    </row>
    <row r="260">
      <c r="A260" s="80" t="s">
        <v>173</v>
      </c>
      <c r="B260" s="79" t="s">
        <v>1023</v>
      </c>
      <c r="C260" s="79" t="s">
        <v>18</v>
      </c>
      <c r="D260" s="79" t="s">
        <v>1024</v>
      </c>
      <c r="E260" s="83"/>
      <c r="F260" s="79">
        <v>36.0</v>
      </c>
      <c r="G260" s="79" t="s">
        <v>21</v>
      </c>
      <c r="H260" s="79" t="s">
        <v>22</v>
      </c>
      <c r="I260" s="80">
        <v>1.0</v>
      </c>
      <c r="J260" s="81"/>
      <c r="K260" s="80">
        <v>0.0</v>
      </c>
      <c r="L260" s="80">
        <v>0.0</v>
      </c>
      <c r="M260" s="80">
        <v>0.0</v>
      </c>
      <c r="N260" s="80">
        <v>0.0</v>
      </c>
      <c r="O260" s="83"/>
    </row>
    <row r="261">
      <c r="A261" s="80">
        <v>12.4</v>
      </c>
      <c r="B261" s="79" t="s">
        <v>1100</v>
      </c>
      <c r="C261" s="79" t="s">
        <v>29</v>
      </c>
      <c r="D261" s="79" t="s">
        <v>1101</v>
      </c>
      <c r="E261" s="83"/>
      <c r="F261" s="79" t="s">
        <v>21</v>
      </c>
      <c r="G261" s="79">
        <v>14.0</v>
      </c>
      <c r="H261" s="79" t="s">
        <v>29</v>
      </c>
      <c r="I261" s="80">
        <v>1.0</v>
      </c>
      <c r="J261" s="81"/>
      <c r="K261" s="80">
        <v>0.0</v>
      </c>
      <c r="L261" s="80">
        <v>0.0</v>
      </c>
      <c r="M261" s="80">
        <v>0.0</v>
      </c>
      <c r="N261" s="80">
        <v>0.0</v>
      </c>
      <c r="O261" s="83"/>
    </row>
    <row r="262">
      <c r="A262" s="80">
        <v>12.5</v>
      </c>
      <c r="B262" s="79" t="s">
        <v>1125</v>
      </c>
      <c r="C262" s="79" t="s">
        <v>18</v>
      </c>
      <c r="D262" s="79" t="s">
        <v>1030</v>
      </c>
      <c r="E262" s="83"/>
      <c r="F262" s="79" t="s">
        <v>21</v>
      </c>
      <c r="G262" s="79">
        <v>14.0</v>
      </c>
      <c r="H262" s="79" t="s">
        <v>29</v>
      </c>
      <c r="I262" s="80">
        <v>1.0</v>
      </c>
      <c r="J262" s="81"/>
      <c r="K262" s="80">
        <v>0.0</v>
      </c>
      <c r="L262" s="80">
        <v>0.0</v>
      </c>
      <c r="M262" s="80">
        <v>0.0</v>
      </c>
      <c r="N262" s="80">
        <v>0.0</v>
      </c>
      <c r="O262" s="83"/>
    </row>
    <row r="263">
      <c r="A263" s="80">
        <v>12.6</v>
      </c>
      <c r="B263" s="79" t="s">
        <v>1126</v>
      </c>
      <c r="C263" s="79" t="s">
        <v>18</v>
      </c>
      <c r="D263" s="79" t="s">
        <v>1127</v>
      </c>
      <c r="E263" s="83"/>
      <c r="F263" s="79" t="s">
        <v>21</v>
      </c>
      <c r="G263" s="79">
        <v>14.0</v>
      </c>
      <c r="H263" s="79" t="s">
        <v>29</v>
      </c>
      <c r="I263" s="80">
        <v>1.0</v>
      </c>
      <c r="J263" s="81"/>
      <c r="K263" s="80">
        <v>0.0</v>
      </c>
      <c r="L263" s="80">
        <v>0.0</v>
      </c>
      <c r="M263" s="80">
        <v>0.0</v>
      </c>
      <c r="N263" s="80">
        <v>0.0</v>
      </c>
      <c r="O263" s="83"/>
    </row>
    <row r="264">
      <c r="A264" s="80">
        <v>12.7</v>
      </c>
      <c r="B264" s="79" t="s">
        <v>1102</v>
      </c>
      <c r="C264" s="79" t="s">
        <v>18</v>
      </c>
      <c r="D264" s="79" t="s">
        <v>1042</v>
      </c>
      <c r="E264" s="83"/>
      <c r="F264" s="79" t="s">
        <v>21</v>
      </c>
      <c r="G264" s="79">
        <v>14.0</v>
      </c>
      <c r="H264" s="79" t="s">
        <v>22</v>
      </c>
      <c r="I264" s="80">
        <v>1.0</v>
      </c>
      <c r="J264" s="81"/>
      <c r="K264" s="80">
        <v>0.0</v>
      </c>
      <c r="L264" s="80">
        <v>0.0</v>
      </c>
      <c r="M264" s="80">
        <v>0.0</v>
      </c>
      <c r="N264" s="80">
        <v>0.0</v>
      </c>
      <c r="O264" s="83"/>
    </row>
    <row r="265">
      <c r="A265" s="80">
        <v>12.8</v>
      </c>
      <c r="B265" s="79" t="s">
        <v>872</v>
      </c>
      <c r="C265" s="79" t="s">
        <v>18</v>
      </c>
      <c r="D265" s="79" t="s">
        <v>873</v>
      </c>
      <c r="E265" s="83"/>
      <c r="F265" s="79" t="s">
        <v>21</v>
      </c>
      <c r="G265" s="79">
        <v>14.0</v>
      </c>
      <c r="H265" s="79" t="s">
        <v>22</v>
      </c>
      <c r="I265" s="80">
        <v>1.0</v>
      </c>
      <c r="J265" s="81"/>
      <c r="K265" s="80">
        <v>0.0</v>
      </c>
      <c r="L265" s="80">
        <v>0.0</v>
      </c>
      <c r="M265" s="80">
        <v>0.0</v>
      </c>
      <c r="N265" s="80">
        <v>0.0</v>
      </c>
      <c r="O265" s="83"/>
    </row>
    <row r="266">
      <c r="A266" s="80">
        <v>12.9</v>
      </c>
      <c r="B266" s="79" t="s">
        <v>1043</v>
      </c>
      <c r="C266" s="79" t="s">
        <v>18</v>
      </c>
      <c r="D266" s="79" t="s">
        <v>1044</v>
      </c>
      <c r="E266" s="83"/>
      <c r="F266" s="79" t="s">
        <v>21</v>
      </c>
      <c r="G266" s="79">
        <v>14.0</v>
      </c>
      <c r="H266" s="79" t="s">
        <v>22</v>
      </c>
      <c r="I266" s="80">
        <v>1.0</v>
      </c>
      <c r="J266" s="81"/>
      <c r="K266" s="82">
        <v>2806.4</v>
      </c>
      <c r="L266" s="82">
        <v>2806.4</v>
      </c>
      <c r="M266" s="80">
        <v>0.0</v>
      </c>
      <c r="N266" s="82">
        <v>2806.4</v>
      </c>
      <c r="O266" s="83"/>
    </row>
    <row r="267">
      <c r="A267" s="80">
        <v>12.1</v>
      </c>
      <c r="B267" s="79" t="s">
        <v>1103</v>
      </c>
      <c r="C267" s="79" t="s">
        <v>18</v>
      </c>
      <c r="D267" s="79" t="s">
        <v>1104</v>
      </c>
      <c r="E267" s="83"/>
      <c r="F267" s="79" t="s">
        <v>21</v>
      </c>
      <c r="G267" s="79">
        <v>14.0</v>
      </c>
      <c r="H267" s="79" t="s">
        <v>22</v>
      </c>
      <c r="I267" s="80">
        <v>1.0</v>
      </c>
      <c r="J267" s="81"/>
      <c r="K267" s="80">
        <v>121.7</v>
      </c>
      <c r="L267" s="80">
        <v>121.7</v>
      </c>
      <c r="M267" s="80">
        <v>0.0</v>
      </c>
      <c r="N267" s="80">
        <v>121.7</v>
      </c>
      <c r="O267" s="83"/>
    </row>
    <row r="268">
      <c r="A268" s="80">
        <v>12.11</v>
      </c>
      <c r="B268" s="79" t="s">
        <v>1105</v>
      </c>
      <c r="C268" s="79" t="s">
        <v>18</v>
      </c>
      <c r="D268" s="79" t="s">
        <v>1106</v>
      </c>
      <c r="E268" s="83"/>
      <c r="F268" s="79" t="s">
        <v>21</v>
      </c>
      <c r="G268" s="79">
        <v>14.0</v>
      </c>
      <c r="H268" s="79" t="s">
        <v>22</v>
      </c>
      <c r="I268" s="80">
        <v>1.0</v>
      </c>
      <c r="J268" s="81"/>
      <c r="K268" s="80">
        <v>115.62</v>
      </c>
      <c r="L268" s="80">
        <v>115.62</v>
      </c>
      <c r="M268" s="80">
        <v>0.0</v>
      </c>
      <c r="N268" s="80">
        <v>115.62</v>
      </c>
      <c r="O268" s="83"/>
    </row>
    <row r="269">
      <c r="A269" s="80">
        <v>12.12</v>
      </c>
      <c r="B269" s="79" t="s">
        <v>1033</v>
      </c>
      <c r="C269" s="79" t="s">
        <v>18</v>
      </c>
      <c r="D269" s="79" t="s">
        <v>1034</v>
      </c>
      <c r="E269" s="83"/>
      <c r="F269" s="79" t="s">
        <v>21</v>
      </c>
      <c r="G269" s="79">
        <v>14.0</v>
      </c>
      <c r="H269" s="79" t="s">
        <v>29</v>
      </c>
      <c r="I269" s="80">
        <v>1.0</v>
      </c>
      <c r="J269" s="81"/>
      <c r="K269" s="80">
        <v>0.0</v>
      </c>
      <c r="L269" s="80">
        <v>0.0</v>
      </c>
      <c r="M269" s="80">
        <v>0.0</v>
      </c>
      <c r="N269" s="80">
        <v>0.0</v>
      </c>
      <c r="O269" s="83"/>
    </row>
    <row r="270">
      <c r="A270" s="80">
        <v>12.13</v>
      </c>
      <c r="B270" s="79" t="s">
        <v>1049</v>
      </c>
      <c r="C270" s="79" t="s">
        <v>18</v>
      </c>
      <c r="D270" s="79" t="s">
        <v>1050</v>
      </c>
      <c r="E270" s="83"/>
      <c r="F270" s="79" t="s">
        <v>21</v>
      </c>
      <c r="G270" s="79">
        <v>14.0</v>
      </c>
      <c r="H270" s="79" t="s">
        <v>29</v>
      </c>
      <c r="I270" s="80">
        <v>1.0</v>
      </c>
      <c r="J270" s="81"/>
      <c r="K270" s="80">
        <v>0.0</v>
      </c>
      <c r="L270" s="80">
        <v>0.0</v>
      </c>
      <c r="M270" s="80">
        <v>0.0</v>
      </c>
      <c r="N270" s="80">
        <v>0.0</v>
      </c>
      <c r="O270" s="83"/>
    </row>
    <row r="271">
      <c r="A271" s="80">
        <v>12.14</v>
      </c>
      <c r="B271" s="79" t="s">
        <v>1132</v>
      </c>
      <c r="C271" s="79" t="s">
        <v>18</v>
      </c>
      <c r="D271" s="79" t="s">
        <v>1133</v>
      </c>
      <c r="E271" s="83"/>
      <c r="F271" s="79" t="s">
        <v>21</v>
      </c>
      <c r="G271" s="79">
        <v>14.0</v>
      </c>
      <c r="H271" s="79" t="s">
        <v>29</v>
      </c>
      <c r="I271" s="80">
        <v>1.0</v>
      </c>
      <c r="J271" s="81"/>
      <c r="K271" s="80">
        <v>0.0</v>
      </c>
      <c r="L271" s="80">
        <v>0.0</v>
      </c>
      <c r="M271" s="80">
        <v>0.0</v>
      </c>
      <c r="N271" s="80">
        <v>0.0</v>
      </c>
      <c r="O271" s="83"/>
    </row>
    <row r="272">
      <c r="A272" s="80">
        <v>12.15</v>
      </c>
      <c r="B272" s="79" t="s">
        <v>876</v>
      </c>
      <c r="C272" s="79" t="s">
        <v>18</v>
      </c>
      <c r="D272" s="79" t="s">
        <v>877</v>
      </c>
      <c r="E272" s="83"/>
      <c r="F272" s="79" t="s">
        <v>21</v>
      </c>
      <c r="G272" s="79">
        <v>14.0</v>
      </c>
      <c r="H272" s="79" t="s">
        <v>29</v>
      </c>
      <c r="I272" s="80">
        <v>1.0</v>
      </c>
      <c r="J272" s="81"/>
      <c r="K272" s="80">
        <v>0.0</v>
      </c>
      <c r="L272" s="80">
        <v>0.0</v>
      </c>
      <c r="M272" s="80">
        <v>0.0</v>
      </c>
      <c r="N272" s="80">
        <v>0.0</v>
      </c>
      <c r="O272" s="83"/>
    </row>
    <row r="273">
      <c r="A273" s="80">
        <v>12.16</v>
      </c>
      <c r="B273" s="79" t="s">
        <v>878</v>
      </c>
      <c r="C273" s="79" t="s">
        <v>18</v>
      </c>
      <c r="D273" s="79" t="s">
        <v>879</v>
      </c>
      <c r="E273" s="83"/>
      <c r="F273" s="79" t="s">
        <v>21</v>
      </c>
      <c r="G273" s="79">
        <v>14.0</v>
      </c>
      <c r="H273" s="79" t="s">
        <v>29</v>
      </c>
      <c r="I273" s="80">
        <v>1.0</v>
      </c>
      <c r="J273" s="81"/>
      <c r="K273" s="80">
        <v>0.0</v>
      </c>
      <c r="L273" s="80">
        <v>0.0</v>
      </c>
      <c r="M273" s="80">
        <v>0.0</v>
      </c>
      <c r="N273" s="80">
        <v>0.0</v>
      </c>
      <c r="O273" s="83"/>
    </row>
    <row r="274">
      <c r="A274" s="80">
        <v>12.17</v>
      </c>
      <c r="B274" s="79" t="s">
        <v>880</v>
      </c>
      <c r="C274" s="79" t="s">
        <v>18</v>
      </c>
      <c r="D274" s="79" t="s">
        <v>881</v>
      </c>
      <c r="E274" s="83"/>
      <c r="F274" s="79" t="s">
        <v>21</v>
      </c>
      <c r="G274" s="79">
        <v>14.0</v>
      </c>
      <c r="H274" s="79" t="s">
        <v>29</v>
      </c>
      <c r="I274" s="80">
        <v>1.0</v>
      </c>
      <c r="J274" s="81"/>
      <c r="K274" s="80">
        <v>0.0</v>
      </c>
      <c r="L274" s="80">
        <v>0.0</v>
      </c>
      <c r="M274" s="80">
        <v>0.0</v>
      </c>
      <c r="N274" s="80">
        <v>0.0</v>
      </c>
      <c r="O274" s="83"/>
    </row>
    <row r="275">
      <c r="A275" s="80">
        <v>12.18</v>
      </c>
      <c r="B275" s="79" t="s">
        <v>1107</v>
      </c>
      <c r="C275" s="79" t="s">
        <v>18</v>
      </c>
      <c r="D275" s="79" t="s">
        <v>1108</v>
      </c>
      <c r="E275" s="83"/>
      <c r="F275" s="79" t="s">
        <v>21</v>
      </c>
      <c r="G275" s="79">
        <v>14.0</v>
      </c>
      <c r="H275" s="79" t="s">
        <v>22</v>
      </c>
      <c r="I275" s="80">
        <v>1.0</v>
      </c>
      <c r="J275" s="81"/>
      <c r="K275" s="82">
        <v>3103.4</v>
      </c>
      <c r="L275" s="82">
        <v>3103.4</v>
      </c>
      <c r="M275" s="80">
        <v>0.0</v>
      </c>
      <c r="N275" s="82">
        <v>3103.4</v>
      </c>
      <c r="O275" s="83"/>
    </row>
    <row r="276">
      <c r="A276" s="80">
        <v>12.19</v>
      </c>
      <c r="B276" s="79" t="s">
        <v>59</v>
      </c>
      <c r="C276" s="79" t="s">
        <v>29</v>
      </c>
      <c r="D276" s="79" t="s">
        <v>60</v>
      </c>
      <c r="E276" s="83"/>
      <c r="F276" s="79" t="s">
        <v>21</v>
      </c>
      <c r="G276" s="79">
        <v>2.0</v>
      </c>
      <c r="H276" s="79" t="s">
        <v>29</v>
      </c>
      <c r="I276" s="80">
        <v>1.0</v>
      </c>
      <c r="J276" s="81"/>
      <c r="K276" s="80">
        <v>0.0</v>
      </c>
      <c r="L276" s="80">
        <v>0.0</v>
      </c>
      <c r="M276" s="80">
        <v>0.0</v>
      </c>
      <c r="N276" s="80">
        <v>0.0</v>
      </c>
      <c r="O276" s="83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5" t="s">
        <v>63</v>
      </c>
      <c r="N277" s="86">
        <v>20515.29</v>
      </c>
      <c r="O277" s="87"/>
    </row>
    <row r="278">
      <c r="A278" s="78">
        <v>13.0</v>
      </c>
      <c r="B278" s="78" t="s">
        <v>1134</v>
      </c>
      <c r="C278" s="79" t="s">
        <v>18</v>
      </c>
      <c r="D278" s="79" t="s">
        <v>1135</v>
      </c>
      <c r="E278" s="79" t="s">
        <v>20</v>
      </c>
      <c r="F278" s="79" t="s">
        <v>21</v>
      </c>
      <c r="G278" s="79">
        <v>14.0</v>
      </c>
      <c r="H278" s="79" t="s">
        <v>22</v>
      </c>
      <c r="I278" s="80">
        <v>1.0</v>
      </c>
      <c r="J278" s="81"/>
      <c r="K278" s="82">
        <v>30295.97</v>
      </c>
      <c r="L278" s="82">
        <v>30295.97</v>
      </c>
      <c r="M278" s="80">
        <v>0.0</v>
      </c>
      <c r="N278" s="82">
        <v>30295.97</v>
      </c>
      <c r="O278" s="83"/>
    </row>
    <row r="279">
      <c r="A279" s="80" t="s">
        <v>189</v>
      </c>
      <c r="B279" s="79" t="s">
        <v>1136</v>
      </c>
      <c r="C279" s="79" t="s">
        <v>18</v>
      </c>
      <c r="D279" s="79" t="s">
        <v>1137</v>
      </c>
      <c r="E279" s="83"/>
      <c r="F279" s="79">
        <v>36.0</v>
      </c>
      <c r="G279" s="79" t="s">
        <v>21</v>
      </c>
      <c r="H279" s="79" t="s">
        <v>22</v>
      </c>
      <c r="I279" s="80">
        <v>1.0</v>
      </c>
      <c r="J279" s="81"/>
      <c r="K279" s="82">
        <v>9433.89</v>
      </c>
      <c r="L279" s="82">
        <v>9433.89</v>
      </c>
      <c r="M279" s="80">
        <v>0.0</v>
      </c>
      <c r="N279" s="82">
        <v>9433.89</v>
      </c>
      <c r="O279" s="79" t="s">
        <v>26</v>
      </c>
    </row>
    <row r="280">
      <c r="A280" s="80">
        <v>13.1</v>
      </c>
      <c r="B280" s="79" t="s">
        <v>1138</v>
      </c>
      <c r="C280" s="79" t="s">
        <v>29</v>
      </c>
      <c r="D280" s="79" t="s">
        <v>1139</v>
      </c>
      <c r="E280" s="83"/>
      <c r="F280" s="79" t="s">
        <v>21</v>
      </c>
      <c r="G280" s="79">
        <v>14.0</v>
      </c>
      <c r="H280" s="79" t="s">
        <v>22</v>
      </c>
      <c r="I280" s="80">
        <v>1.0</v>
      </c>
      <c r="J280" s="81"/>
      <c r="K280" s="80">
        <v>0.0</v>
      </c>
      <c r="L280" s="80">
        <v>0.0</v>
      </c>
      <c r="M280" s="80">
        <v>0.0</v>
      </c>
      <c r="N280" s="80">
        <v>0.0</v>
      </c>
      <c r="O280" s="83"/>
    </row>
    <row r="281">
      <c r="A281" s="80" t="s">
        <v>974</v>
      </c>
      <c r="B281" s="79" t="s">
        <v>1140</v>
      </c>
      <c r="C281" s="79" t="s">
        <v>18</v>
      </c>
      <c r="D281" s="79" t="s">
        <v>1095</v>
      </c>
      <c r="E281" s="83"/>
      <c r="F281" s="79">
        <v>36.0</v>
      </c>
      <c r="G281" s="79" t="s">
        <v>21</v>
      </c>
      <c r="H281" s="79" t="s">
        <v>22</v>
      </c>
      <c r="I281" s="80">
        <v>1.0</v>
      </c>
      <c r="J281" s="81"/>
      <c r="K281" s="80">
        <v>486.75</v>
      </c>
      <c r="L281" s="80">
        <v>486.75</v>
      </c>
      <c r="M281" s="80">
        <v>0.0</v>
      </c>
      <c r="N281" s="80">
        <v>486.75</v>
      </c>
      <c r="O281" s="79" t="s">
        <v>26</v>
      </c>
    </row>
    <row r="282">
      <c r="A282" s="80" t="s">
        <v>977</v>
      </c>
      <c r="B282" s="79" t="s">
        <v>1141</v>
      </c>
      <c r="C282" s="79" t="s">
        <v>18</v>
      </c>
      <c r="D282" s="79" t="s">
        <v>1142</v>
      </c>
      <c r="E282" s="83"/>
      <c r="F282" s="79">
        <v>36.0</v>
      </c>
      <c r="G282" s="79" t="s">
        <v>21</v>
      </c>
      <c r="H282" s="79" t="s">
        <v>22</v>
      </c>
      <c r="I282" s="80">
        <v>1.0</v>
      </c>
      <c r="J282" s="81"/>
      <c r="K282" s="82">
        <v>2365.77</v>
      </c>
      <c r="L282" s="82">
        <v>2365.77</v>
      </c>
      <c r="M282" s="80">
        <v>0.0</v>
      </c>
      <c r="N282" s="82">
        <v>2365.77</v>
      </c>
      <c r="O282" s="83"/>
    </row>
    <row r="283">
      <c r="A283" s="80">
        <v>13.2</v>
      </c>
      <c r="B283" s="79" t="s">
        <v>1021</v>
      </c>
      <c r="C283" s="79" t="s">
        <v>29</v>
      </c>
      <c r="D283" s="79" t="s">
        <v>1022</v>
      </c>
      <c r="E283" s="83"/>
      <c r="F283" s="79" t="s">
        <v>21</v>
      </c>
      <c r="G283" s="79">
        <v>14.0</v>
      </c>
      <c r="H283" s="79" t="s">
        <v>29</v>
      </c>
      <c r="I283" s="80">
        <v>1.0</v>
      </c>
      <c r="J283" s="81"/>
      <c r="K283" s="80">
        <v>0.0</v>
      </c>
      <c r="L283" s="80">
        <v>0.0</v>
      </c>
      <c r="M283" s="80">
        <v>0.0</v>
      </c>
      <c r="N283" s="80">
        <v>0.0</v>
      </c>
      <c r="O283" s="83"/>
    </row>
    <row r="284">
      <c r="A284" s="80" t="s">
        <v>192</v>
      </c>
      <c r="B284" s="79" t="s">
        <v>1023</v>
      </c>
      <c r="C284" s="79" t="s">
        <v>18</v>
      </c>
      <c r="D284" s="79" t="s">
        <v>1024</v>
      </c>
      <c r="E284" s="83"/>
      <c r="F284" s="79">
        <v>36.0</v>
      </c>
      <c r="G284" s="79" t="s">
        <v>21</v>
      </c>
      <c r="H284" s="79" t="s">
        <v>22</v>
      </c>
      <c r="I284" s="80">
        <v>1.0</v>
      </c>
      <c r="J284" s="81"/>
      <c r="K284" s="80">
        <v>0.0</v>
      </c>
      <c r="L284" s="80">
        <v>0.0</v>
      </c>
      <c r="M284" s="80">
        <v>0.0</v>
      </c>
      <c r="N284" s="80">
        <v>0.0</v>
      </c>
      <c r="O284" s="83"/>
    </row>
    <row r="285">
      <c r="A285" s="80">
        <v>13.3</v>
      </c>
      <c r="B285" s="79" t="s">
        <v>1025</v>
      </c>
      <c r="C285" s="79" t="s">
        <v>29</v>
      </c>
      <c r="D285" s="79" t="s">
        <v>1026</v>
      </c>
      <c r="E285" s="83"/>
      <c r="F285" s="79" t="s">
        <v>21</v>
      </c>
      <c r="G285" s="79">
        <v>14.0</v>
      </c>
      <c r="H285" s="79" t="s">
        <v>29</v>
      </c>
      <c r="I285" s="80">
        <v>1.0</v>
      </c>
      <c r="J285" s="81"/>
      <c r="K285" s="80">
        <v>0.0</v>
      </c>
      <c r="L285" s="80">
        <v>0.0</v>
      </c>
      <c r="M285" s="80">
        <v>0.0</v>
      </c>
      <c r="N285" s="80">
        <v>0.0</v>
      </c>
      <c r="O285" s="83"/>
    </row>
    <row r="286">
      <c r="A286" s="80" t="s">
        <v>193</v>
      </c>
      <c r="B286" s="79" t="s">
        <v>1027</v>
      </c>
      <c r="C286" s="79" t="s">
        <v>18</v>
      </c>
      <c r="D286" s="79" t="s">
        <v>1028</v>
      </c>
      <c r="E286" s="83"/>
      <c r="F286" s="79">
        <v>36.0</v>
      </c>
      <c r="G286" s="79" t="s">
        <v>21</v>
      </c>
      <c r="H286" s="79" t="s">
        <v>22</v>
      </c>
      <c r="I286" s="80">
        <v>1.0</v>
      </c>
      <c r="J286" s="81"/>
      <c r="K286" s="80">
        <v>0.0</v>
      </c>
      <c r="L286" s="80">
        <v>0.0</v>
      </c>
      <c r="M286" s="80">
        <v>0.0</v>
      </c>
      <c r="N286" s="80">
        <v>0.0</v>
      </c>
      <c r="O286" s="83"/>
    </row>
    <row r="287">
      <c r="A287" s="80">
        <v>13.4</v>
      </c>
      <c r="B287" s="79" t="s">
        <v>1100</v>
      </c>
      <c r="C287" s="79" t="s">
        <v>29</v>
      </c>
      <c r="D287" s="79" t="s">
        <v>1101</v>
      </c>
      <c r="E287" s="83"/>
      <c r="F287" s="79" t="s">
        <v>21</v>
      </c>
      <c r="G287" s="79">
        <v>14.0</v>
      </c>
      <c r="H287" s="79" t="s">
        <v>29</v>
      </c>
      <c r="I287" s="80">
        <v>1.0</v>
      </c>
      <c r="J287" s="81"/>
      <c r="K287" s="80">
        <v>0.0</v>
      </c>
      <c r="L287" s="80">
        <v>0.0</v>
      </c>
      <c r="M287" s="80">
        <v>0.0</v>
      </c>
      <c r="N287" s="80">
        <v>0.0</v>
      </c>
      <c r="O287" s="83"/>
    </row>
    <row r="288">
      <c r="A288" s="80">
        <v>13.5</v>
      </c>
      <c r="B288" s="79" t="s">
        <v>1143</v>
      </c>
      <c r="C288" s="79" t="s">
        <v>18</v>
      </c>
      <c r="D288" s="79" t="s">
        <v>1030</v>
      </c>
      <c r="E288" s="83"/>
      <c r="F288" s="79" t="s">
        <v>21</v>
      </c>
      <c r="G288" s="79">
        <v>14.0</v>
      </c>
      <c r="H288" s="79" t="s">
        <v>29</v>
      </c>
      <c r="I288" s="80">
        <v>1.0</v>
      </c>
      <c r="J288" s="81"/>
      <c r="K288" s="80">
        <v>0.0</v>
      </c>
      <c r="L288" s="80">
        <v>0.0</v>
      </c>
      <c r="M288" s="80">
        <v>0.0</v>
      </c>
      <c r="N288" s="80">
        <v>0.0</v>
      </c>
      <c r="O288" s="83"/>
    </row>
    <row r="289">
      <c r="A289" s="80">
        <v>13.6</v>
      </c>
      <c r="B289" s="79" t="s">
        <v>1033</v>
      </c>
      <c r="C289" s="79" t="s">
        <v>18</v>
      </c>
      <c r="D289" s="79" t="s">
        <v>1034</v>
      </c>
      <c r="E289" s="83"/>
      <c r="F289" s="79" t="s">
        <v>21</v>
      </c>
      <c r="G289" s="79">
        <v>14.0</v>
      </c>
      <c r="H289" s="79" t="s">
        <v>29</v>
      </c>
      <c r="I289" s="80">
        <v>1.0</v>
      </c>
      <c r="J289" s="81"/>
      <c r="K289" s="80">
        <v>0.0</v>
      </c>
      <c r="L289" s="80">
        <v>0.0</v>
      </c>
      <c r="M289" s="80">
        <v>0.0</v>
      </c>
      <c r="N289" s="80">
        <v>0.0</v>
      </c>
      <c r="O289" s="83"/>
    </row>
    <row r="290">
      <c r="A290" s="80">
        <v>13.7</v>
      </c>
      <c r="B290" s="79" t="s">
        <v>1049</v>
      </c>
      <c r="C290" s="79" t="s">
        <v>18</v>
      </c>
      <c r="D290" s="79" t="s">
        <v>1050</v>
      </c>
      <c r="E290" s="83"/>
      <c r="F290" s="79" t="s">
        <v>21</v>
      </c>
      <c r="G290" s="79">
        <v>14.0</v>
      </c>
      <c r="H290" s="79" t="s">
        <v>29</v>
      </c>
      <c r="I290" s="80">
        <v>1.0</v>
      </c>
      <c r="J290" s="81"/>
      <c r="K290" s="80">
        <v>0.0</v>
      </c>
      <c r="L290" s="80">
        <v>0.0</v>
      </c>
      <c r="M290" s="80">
        <v>0.0</v>
      </c>
      <c r="N290" s="80">
        <v>0.0</v>
      </c>
      <c r="O290" s="83"/>
    </row>
    <row r="291">
      <c r="A291" s="80">
        <v>13.8</v>
      </c>
      <c r="B291" s="79" t="s">
        <v>1051</v>
      </c>
      <c r="C291" s="79" t="s">
        <v>18</v>
      </c>
      <c r="D291" s="79" t="s">
        <v>1052</v>
      </c>
      <c r="E291" s="83"/>
      <c r="F291" s="79" t="s">
        <v>21</v>
      </c>
      <c r="G291" s="79">
        <v>14.0</v>
      </c>
      <c r="H291" s="79" t="s">
        <v>29</v>
      </c>
      <c r="I291" s="80">
        <v>1.0</v>
      </c>
      <c r="J291" s="81"/>
      <c r="K291" s="80">
        <v>0.0</v>
      </c>
      <c r="L291" s="80">
        <v>0.0</v>
      </c>
      <c r="M291" s="80">
        <v>0.0</v>
      </c>
      <c r="N291" s="80">
        <v>0.0</v>
      </c>
      <c r="O291" s="83"/>
    </row>
    <row r="292">
      <c r="A292" s="80">
        <v>13.9</v>
      </c>
      <c r="B292" s="79" t="s">
        <v>1102</v>
      </c>
      <c r="C292" s="79" t="s">
        <v>18</v>
      </c>
      <c r="D292" s="79" t="s">
        <v>1042</v>
      </c>
      <c r="E292" s="83"/>
      <c r="F292" s="79" t="s">
        <v>21</v>
      </c>
      <c r="G292" s="79">
        <v>14.0</v>
      </c>
      <c r="H292" s="79" t="s">
        <v>29</v>
      </c>
      <c r="I292" s="80">
        <v>1.0</v>
      </c>
      <c r="J292" s="81"/>
      <c r="K292" s="80">
        <v>0.0</v>
      </c>
      <c r="L292" s="80">
        <v>0.0</v>
      </c>
      <c r="M292" s="80">
        <v>0.0</v>
      </c>
      <c r="N292" s="80">
        <v>0.0</v>
      </c>
      <c r="O292" s="83"/>
    </row>
    <row r="293">
      <c r="A293" s="80">
        <v>13.1</v>
      </c>
      <c r="B293" s="79" t="s">
        <v>872</v>
      </c>
      <c r="C293" s="79" t="s">
        <v>18</v>
      </c>
      <c r="D293" s="79" t="s">
        <v>873</v>
      </c>
      <c r="E293" s="83"/>
      <c r="F293" s="79" t="s">
        <v>21</v>
      </c>
      <c r="G293" s="79">
        <v>14.0</v>
      </c>
      <c r="H293" s="79" t="s">
        <v>22</v>
      </c>
      <c r="I293" s="80">
        <v>1.0</v>
      </c>
      <c r="J293" s="81"/>
      <c r="K293" s="80">
        <v>0.0</v>
      </c>
      <c r="L293" s="80">
        <v>0.0</v>
      </c>
      <c r="M293" s="80">
        <v>0.0</v>
      </c>
      <c r="N293" s="80">
        <v>0.0</v>
      </c>
      <c r="O293" s="83"/>
    </row>
    <row r="294">
      <c r="A294" s="80">
        <v>13.11</v>
      </c>
      <c r="B294" s="79" t="s">
        <v>1107</v>
      </c>
      <c r="C294" s="79" t="s">
        <v>18</v>
      </c>
      <c r="D294" s="79" t="s">
        <v>1108</v>
      </c>
      <c r="E294" s="83"/>
      <c r="F294" s="79" t="s">
        <v>21</v>
      </c>
      <c r="G294" s="79">
        <v>14.0</v>
      </c>
      <c r="H294" s="79" t="s">
        <v>22</v>
      </c>
      <c r="I294" s="80">
        <v>1.0</v>
      </c>
      <c r="J294" s="81"/>
      <c r="K294" s="82">
        <v>3103.4</v>
      </c>
      <c r="L294" s="82">
        <v>3103.4</v>
      </c>
      <c r="M294" s="80">
        <v>0.0</v>
      </c>
      <c r="N294" s="82">
        <v>3103.4</v>
      </c>
      <c r="O294" s="83"/>
    </row>
    <row r="295">
      <c r="A295" s="80">
        <v>13.12</v>
      </c>
      <c r="B295" s="79" t="s">
        <v>1103</v>
      </c>
      <c r="C295" s="79" t="s">
        <v>18</v>
      </c>
      <c r="D295" s="79" t="s">
        <v>1104</v>
      </c>
      <c r="E295" s="83"/>
      <c r="F295" s="79" t="s">
        <v>21</v>
      </c>
      <c r="G295" s="79">
        <v>14.0</v>
      </c>
      <c r="H295" s="79" t="s">
        <v>22</v>
      </c>
      <c r="I295" s="80">
        <v>1.0</v>
      </c>
      <c r="J295" s="81"/>
      <c r="K295" s="80">
        <v>121.7</v>
      </c>
      <c r="L295" s="80">
        <v>121.7</v>
      </c>
      <c r="M295" s="80">
        <v>0.0</v>
      </c>
      <c r="N295" s="80">
        <v>121.7</v>
      </c>
      <c r="O295" s="83"/>
    </row>
    <row r="296">
      <c r="A296" s="80">
        <v>13.13</v>
      </c>
      <c r="B296" s="79" t="s">
        <v>1144</v>
      </c>
      <c r="C296" s="79" t="s">
        <v>18</v>
      </c>
      <c r="D296" s="79" t="s">
        <v>1145</v>
      </c>
      <c r="E296" s="83"/>
      <c r="F296" s="79" t="s">
        <v>21</v>
      </c>
      <c r="G296" s="79">
        <v>14.0</v>
      </c>
      <c r="H296" s="79" t="s">
        <v>22</v>
      </c>
      <c r="I296" s="80">
        <v>1.0</v>
      </c>
      <c r="J296" s="81"/>
      <c r="K296" s="80">
        <v>121.7</v>
      </c>
      <c r="L296" s="80">
        <v>121.7</v>
      </c>
      <c r="M296" s="80">
        <v>0.0</v>
      </c>
      <c r="N296" s="80">
        <v>121.7</v>
      </c>
      <c r="O296" s="83"/>
    </row>
    <row r="297">
      <c r="A297" s="80">
        <v>13.14</v>
      </c>
      <c r="B297" s="79" t="s">
        <v>1043</v>
      </c>
      <c r="C297" s="79" t="s">
        <v>18</v>
      </c>
      <c r="D297" s="79" t="s">
        <v>1044</v>
      </c>
      <c r="E297" s="83"/>
      <c r="F297" s="79" t="s">
        <v>21</v>
      </c>
      <c r="G297" s="79">
        <v>14.0</v>
      </c>
      <c r="H297" s="79" t="s">
        <v>22</v>
      </c>
      <c r="I297" s="80">
        <v>1.0</v>
      </c>
      <c r="J297" s="81"/>
      <c r="K297" s="82">
        <v>2806.4</v>
      </c>
      <c r="L297" s="82">
        <v>2806.4</v>
      </c>
      <c r="M297" s="80">
        <v>0.0</v>
      </c>
      <c r="N297" s="82">
        <v>2806.4</v>
      </c>
      <c r="O297" s="83"/>
    </row>
    <row r="298">
      <c r="A298" s="80">
        <v>13.15</v>
      </c>
      <c r="B298" s="79" t="s">
        <v>1053</v>
      </c>
      <c r="C298" s="79" t="s">
        <v>18</v>
      </c>
      <c r="D298" s="79" t="s">
        <v>1054</v>
      </c>
      <c r="E298" s="83"/>
      <c r="F298" s="79" t="s">
        <v>21</v>
      </c>
      <c r="G298" s="79">
        <v>14.0</v>
      </c>
      <c r="H298" s="79" t="s">
        <v>22</v>
      </c>
      <c r="I298" s="80">
        <v>1.0</v>
      </c>
      <c r="J298" s="81"/>
      <c r="K298" s="80">
        <v>0.0</v>
      </c>
      <c r="L298" s="80">
        <v>0.0</v>
      </c>
      <c r="M298" s="80">
        <v>0.0</v>
      </c>
      <c r="N298" s="80">
        <v>0.0</v>
      </c>
      <c r="O298" s="83"/>
    </row>
    <row r="299">
      <c r="A299" s="80">
        <v>13.16</v>
      </c>
      <c r="B299" s="79" t="s">
        <v>59</v>
      </c>
      <c r="C299" s="79" t="s">
        <v>29</v>
      </c>
      <c r="D299" s="79" t="s">
        <v>60</v>
      </c>
      <c r="E299" s="83"/>
      <c r="F299" s="79" t="s">
        <v>21</v>
      </c>
      <c r="G299" s="79">
        <v>2.0</v>
      </c>
      <c r="H299" s="79" t="s">
        <v>29</v>
      </c>
      <c r="I299" s="80">
        <v>1.0</v>
      </c>
      <c r="J299" s="81"/>
      <c r="K299" s="80">
        <v>0.0</v>
      </c>
      <c r="L299" s="80">
        <v>0.0</v>
      </c>
      <c r="M299" s="80">
        <v>0.0</v>
      </c>
      <c r="N299" s="80">
        <v>0.0</v>
      </c>
      <c r="O299" s="83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5" t="s">
        <v>63</v>
      </c>
      <c r="N300" s="86">
        <v>48735.58</v>
      </c>
      <c r="O300" s="87"/>
    </row>
    <row r="301">
      <c r="A301" s="78">
        <v>14.0</v>
      </c>
      <c r="B301" s="78" t="s">
        <v>1146</v>
      </c>
      <c r="C301" s="79" t="s">
        <v>18</v>
      </c>
      <c r="D301" s="79" t="s">
        <v>1147</v>
      </c>
      <c r="E301" s="79" t="s">
        <v>20</v>
      </c>
      <c r="F301" s="79" t="s">
        <v>21</v>
      </c>
      <c r="G301" s="79">
        <v>14.0</v>
      </c>
      <c r="H301" s="79" t="s">
        <v>22</v>
      </c>
      <c r="I301" s="80">
        <v>1.0</v>
      </c>
      <c r="J301" s="81"/>
      <c r="K301" s="82">
        <v>10039.06</v>
      </c>
      <c r="L301" s="82">
        <v>10039.06</v>
      </c>
      <c r="M301" s="80">
        <v>0.0</v>
      </c>
      <c r="N301" s="82">
        <v>10039.06</v>
      </c>
      <c r="O301" s="83"/>
    </row>
    <row r="302">
      <c r="A302" s="80" t="s">
        <v>199</v>
      </c>
      <c r="B302" s="79" t="s">
        <v>1148</v>
      </c>
      <c r="C302" s="79" t="s">
        <v>18</v>
      </c>
      <c r="D302" s="79" t="s">
        <v>1149</v>
      </c>
      <c r="E302" s="83"/>
      <c r="F302" s="79">
        <v>36.0</v>
      </c>
      <c r="G302" s="79" t="s">
        <v>21</v>
      </c>
      <c r="H302" s="79" t="s">
        <v>22</v>
      </c>
      <c r="I302" s="80">
        <v>1.0</v>
      </c>
      <c r="J302" s="81"/>
      <c r="K302" s="82">
        <v>3126.75</v>
      </c>
      <c r="L302" s="82">
        <v>3126.75</v>
      </c>
      <c r="M302" s="80">
        <v>0.0</v>
      </c>
      <c r="N302" s="82">
        <v>3126.75</v>
      </c>
      <c r="O302" s="79" t="s">
        <v>26</v>
      </c>
    </row>
    <row r="303">
      <c r="A303" s="80">
        <v>14.1</v>
      </c>
      <c r="B303" s="79" t="s">
        <v>1092</v>
      </c>
      <c r="C303" s="79" t="s">
        <v>29</v>
      </c>
      <c r="D303" s="79" t="s">
        <v>1093</v>
      </c>
      <c r="E303" s="83"/>
      <c r="F303" s="79" t="s">
        <v>21</v>
      </c>
      <c r="G303" s="79">
        <v>14.0</v>
      </c>
      <c r="H303" s="79" t="s">
        <v>22</v>
      </c>
      <c r="I303" s="80">
        <v>1.0</v>
      </c>
      <c r="J303" s="81"/>
      <c r="K303" s="80">
        <v>0.0</v>
      </c>
      <c r="L303" s="80">
        <v>0.0</v>
      </c>
      <c r="M303" s="80">
        <v>0.0</v>
      </c>
      <c r="N303" s="80">
        <v>0.0</v>
      </c>
      <c r="O303" s="83"/>
    </row>
    <row r="304">
      <c r="A304" s="80" t="s">
        <v>1150</v>
      </c>
      <c r="B304" s="79" t="s">
        <v>1094</v>
      </c>
      <c r="C304" s="79" t="s">
        <v>18</v>
      </c>
      <c r="D304" s="79" t="s">
        <v>1095</v>
      </c>
      <c r="E304" s="83"/>
      <c r="F304" s="79">
        <v>36.0</v>
      </c>
      <c r="G304" s="79" t="s">
        <v>21</v>
      </c>
      <c r="H304" s="79" t="s">
        <v>22</v>
      </c>
      <c r="I304" s="80">
        <v>1.0</v>
      </c>
      <c r="J304" s="81"/>
      <c r="K304" s="80">
        <v>486.75</v>
      </c>
      <c r="L304" s="80">
        <v>486.75</v>
      </c>
      <c r="M304" s="80">
        <v>0.0</v>
      </c>
      <c r="N304" s="80">
        <v>486.75</v>
      </c>
      <c r="O304" s="79" t="s">
        <v>26</v>
      </c>
    </row>
    <row r="305">
      <c r="A305" s="80" t="s">
        <v>1151</v>
      </c>
      <c r="B305" s="79" t="s">
        <v>1096</v>
      </c>
      <c r="C305" s="79" t="s">
        <v>18</v>
      </c>
      <c r="D305" s="79" t="s">
        <v>1097</v>
      </c>
      <c r="E305" s="83"/>
      <c r="F305" s="79">
        <v>36.0</v>
      </c>
      <c r="G305" s="79" t="s">
        <v>21</v>
      </c>
      <c r="H305" s="79" t="s">
        <v>22</v>
      </c>
      <c r="I305" s="80">
        <v>1.0</v>
      </c>
      <c r="J305" s="81"/>
      <c r="K305" s="82">
        <v>2365.77</v>
      </c>
      <c r="L305" s="82">
        <v>2365.77</v>
      </c>
      <c r="M305" s="80">
        <v>0.0</v>
      </c>
      <c r="N305" s="82">
        <v>2365.77</v>
      </c>
      <c r="O305" s="83"/>
    </row>
    <row r="306">
      <c r="A306" s="80">
        <v>14.2</v>
      </c>
      <c r="B306" s="79" t="s">
        <v>1021</v>
      </c>
      <c r="C306" s="79" t="s">
        <v>29</v>
      </c>
      <c r="D306" s="79" t="s">
        <v>1022</v>
      </c>
      <c r="E306" s="83"/>
      <c r="F306" s="79" t="s">
        <v>21</v>
      </c>
      <c r="G306" s="79">
        <v>14.0</v>
      </c>
      <c r="H306" s="79" t="s">
        <v>29</v>
      </c>
      <c r="I306" s="80">
        <v>1.0</v>
      </c>
      <c r="J306" s="81"/>
      <c r="K306" s="80">
        <v>0.0</v>
      </c>
      <c r="L306" s="80">
        <v>0.0</v>
      </c>
      <c r="M306" s="80">
        <v>0.0</v>
      </c>
      <c r="N306" s="80">
        <v>0.0</v>
      </c>
      <c r="O306" s="83"/>
    </row>
    <row r="307">
      <c r="A307" s="80" t="s">
        <v>202</v>
      </c>
      <c r="B307" s="79" t="s">
        <v>1023</v>
      </c>
      <c r="C307" s="79" t="s">
        <v>18</v>
      </c>
      <c r="D307" s="79" t="s">
        <v>1024</v>
      </c>
      <c r="E307" s="83"/>
      <c r="F307" s="79">
        <v>36.0</v>
      </c>
      <c r="G307" s="79" t="s">
        <v>21</v>
      </c>
      <c r="H307" s="79" t="s">
        <v>22</v>
      </c>
      <c r="I307" s="80">
        <v>1.0</v>
      </c>
      <c r="J307" s="81"/>
      <c r="K307" s="80">
        <v>0.0</v>
      </c>
      <c r="L307" s="80">
        <v>0.0</v>
      </c>
      <c r="M307" s="80">
        <v>0.0</v>
      </c>
      <c r="N307" s="80">
        <v>0.0</v>
      </c>
      <c r="O307" s="83"/>
    </row>
    <row r="308">
      <c r="A308" s="80">
        <v>14.3</v>
      </c>
      <c r="B308" s="79" t="s">
        <v>1025</v>
      </c>
      <c r="C308" s="79" t="s">
        <v>29</v>
      </c>
      <c r="D308" s="79" t="s">
        <v>1026</v>
      </c>
      <c r="E308" s="83"/>
      <c r="F308" s="79" t="s">
        <v>21</v>
      </c>
      <c r="G308" s="79">
        <v>14.0</v>
      </c>
      <c r="H308" s="79" t="s">
        <v>29</v>
      </c>
      <c r="I308" s="80">
        <v>1.0</v>
      </c>
      <c r="J308" s="81"/>
      <c r="K308" s="80">
        <v>0.0</v>
      </c>
      <c r="L308" s="80">
        <v>0.0</v>
      </c>
      <c r="M308" s="80">
        <v>0.0</v>
      </c>
      <c r="N308" s="80">
        <v>0.0</v>
      </c>
      <c r="O308" s="83"/>
    </row>
    <row r="309">
      <c r="A309" s="80" t="s">
        <v>203</v>
      </c>
      <c r="B309" s="79" t="s">
        <v>1027</v>
      </c>
      <c r="C309" s="79" t="s">
        <v>18</v>
      </c>
      <c r="D309" s="79" t="s">
        <v>1028</v>
      </c>
      <c r="E309" s="83"/>
      <c r="F309" s="79">
        <v>36.0</v>
      </c>
      <c r="G309" s="79" t="s">
        <v>21</v>
      </c>
      <c r="H309" s="79" t="s">
        <v>22</v>
      </c>
      <c r="I309" s="80">
        <v>1.0</v>
      </c>
      <c r="J309" s="81"/>
      <c r="K309" s="80">
        <v>0.0</v>
      </c>
      <c r="L309" s="80">
        <v>0.0</v>
      </c>
      <c r="M309" s="80">
        <v>0.0</v>
      </c>
      <c r="N309" s="80">
        <v>0.0</v>
      </c>
      <c r="O309" s="83"/>
    </row>
    <row r="310">
      <c r="A310" s="80">
        <v>14.4</v>
      </c>
      <c r="B310" s="79" t="s">
        <v>1100</v>
      </c>
      <c r="C310" s="79" t="s">
        <v>29</v>
      </c>
      <c r="D310" s="79" t="s">
        <v>1101</v>
      </c>
      <c r="E310" s="83"/>
      <c r="F310" s="79" t="s">
        <v>21</v>
      </c>
      <c r="G310" s="79">
        <v>14.0</v>
      </c>
      <c r="H310" s="79" t="s">
        <v>29</v>
      </c>
      <c r="I310" s="80">
        <v>1.0</v>
      </c>
      <c r="J310" s="81"/>
      <c r="K310" s="80">
        <v>0.0</v>
      </c>
      <c r="L310" s="80">
        <v>0.0</v>
      </c>
      <c r="M310" s="80">
        <v>0.0</v>
      </c>
      <c r="N310" s="80">
        <v>0.0</v>
      </c>
      <c r="O310" s="83"/>
    </row>
    <row r="311">
      <c r="A311" s="80">
        <v>14.5</v>
      </c>
      <c r="B311" s="79" t="s">
        <v>1143</v>
      </c>
      <c r="C311" s="79" t="s">
        <v>18</v>
      </c>
      <c r="D311" s="79" t="s">
        <v>1030</v>
      </c>
      <c r="E311" s="83"/>
      <c r="F311" s="79" t="s">
        <v>21</v>
      </c>
      <c r="G311" s="79">
        <v>14.0</v>
      </c>
      <c r="H311" s="79" t="s">
        <v>29</v>
      </c>
      <c r="I311" s="80">
        <v>1.0</v>
      </c>
      <c r="J311" s="81"/>
      <c r="K311" s="80">
        <v>0.0</v>
      </c>
      <c r="L311" s="80">
        <v>0.0</v>
      </c>
      <c r="M311" s="80">
        <v>0.0</v>
      </c>
      <c r="N311" s="80">
        <v>0.0</v>
      </c>
      <c r="O311" s="83"/>
    </row>
    <row r="312">
      <c r="A312" s="80">
        <v>14.6</v>
      </c>
      <c r="B312" s="79" t="s">
        <v>1049</v>
      </c>
      <c r="C312" s="79" t="s">
        <v>18</v>
      </c>
      <c r="D312" s="79" t="s">
        <v>1050</v>
      </c>
      <c r="E312" s="83"/>
      <c r="F312" s="79" t="s">
        <v>21</v>
      </c>
      <c r="G312" s="79">
        <v>14.0</v>
      </c>
      <c r="H312" s="79" t="s">
        <v>29</v>
      </c>
      <c r="I312" s="80">
        <v>1.0</v>
      </c>
      <c r="J312" s="81"/>
      <c r="K312" s="80">
        <v>0.0</v>
      </c>
      <c r="L312" s="80">
        <v>0.0</v>
      </c>
      <c r="M312" s="80">
        <v>0.0</v>
      </c>
      <c r="N312" s="80">
        <v>0.0</v>
      </c>
      <c r="O312" s="83"/>
    </row>
    <row r="313">
      <c r="A313" s="80">
        <v>14.7</v>
      </c>
      <c r="B313" s="79" t="s">
        <v>1126</v>
      </c>
      <c r="C313" s="79" t="s">
        <v>18</v>
      </c>
      <c r="D313" s="79" t="s">
        <v>1127</v>
      </c>
      <c r="E313" s="83"/>
      <c r="F313" s="79" t="s">
        <v>21</v>
      </c>
      <c r="G313" s="79">
        <v>14.0</v>
      </c>
      <c r="H313" s="79" t="s">
        <v>29</v>
      </c>
      <c r="I313" s="80">
        <v>1.0</v>
      </c>
      <c r="J313" s="81"/>
      <c r="K313" s="80">
        <v>0.0</v>
      </c>
      <c r="L313" s="80">
        <v>0.0</v>
      </c>
      <c r="M313" s="80">
        <v>0.0</v>
      </c>
      <c r="N313" s="80">
        <v>0.0</v>
      </c>
      <c r="O313" s="83"/>
    </row>
    <row r="314">
      <c r="A314" s="80">
        <v>14.8</v>
      </c>
      <c r="B314" s="79" t="s">
        <v>1152</v>
      </c>
      <c r="C314" s="79" t="s">
        <v>18</v>
      </c>
      <c r="D314" s="79" t="s">
        <v>1153</v>
      </c>
      <c r="E314" s="83"/>
      <c r="F314" s="79" t="s">
        <v>21</v>
      </c>
      <c r="G314" s="79">
        <v>14.0</v>
      </c>
      <c r="H314" s="79" t="s">
        <v>22</v>
      </c>
      <c r="I314" s="80">
        <v>1.0</v>
      </c>
      <c r="J314" s="81"/>
      <c r="K314" s="82">
        <v>2312.33</v>
      </c>
      <c r="L314" s="82">
        <v>2312.33</v>
      </c>
      <c r="M314" s="80">
        <v>0.0</v>
      </c>
      <c r="N314" s="82">
        <v>2312.33</v>
      </c>
      <c r="O314" s="83"/>
    </row>
    <row r="315">
      <c r="A315" s="80">
        <v>14.9</v>
      </c>
      <c r="B315" s="79" t="s">
        <v>872</v>
      </c>
      <c r="C315" s="79" t="s">
        <v>18</v>
      </c>
      <c r="D315" s="79" t="s">
        <v>873</v>
      </c>
      <c r="E315" s="83"/>
      <c r="F315" s="79" t="s">
        <v>21</v>
      </c>
      <c r="G315" s="79">
        <v>14.0</v>
      </c>
      <c r="H315" s="79" t="s">
        <v>22</v>
      </c>
      <c r="I315" s="80">
        <v>2.0</v>
      </c>
      <c r="J315" s="81"/>
      <c r="K315" s="80">
        <v>0.0</v>
      </c>
      <c r="L315" s="80">
        <v>0.0</v>
      </c>
      <c r="M315" s="80">
        <v>0.0</v>
      </c>
      <c r="N315" s="80">
        <v>0.0</v>
      </c>
      <c r="O315" s="83"/>
    </row>
    <row r="316">
      <c r="A316" s="80">
        <v>14.1</v>
      </c>
      <c r="B316" s="79" t="s">
        <v>1103</v>
      </c>
      <c r="C316" s="79" t="s">
        <v>18</v>
      </c>
      <c r="D316" s="79" t="s">
        <v>1104</v>
      </c>
      <c r="E316" s="83"/>
      <c r="F316" s="79" t="s">
        <v>21</v>
      </c>
      <c r="G316" s="79">
        <v>14.0</v>
      </c>
      <c r="H316" s="79" t="s">
        <v>22</v>
      </c>
      <c r="I316" s="80">
        <v>1.0</v>
      </c>
      <c r="J316" s="81"/>
      <c r="K316" s="80">
        <v>121.7</v>
      </c>
      <c r="L316" s="80">
        <v>121.7</v>
      </c>
      <c r="M316" s="80">
        <v>0.0</v>
      </c>
      <c r="N316" s="80">
        <v>121.7</v>
      </c>
      <c r="O316" s="83"/>
    </row>
    <row r="317">
      <c r="A317" s="80">
        <v>14.11</v>
      </c>
      <c r="B317" s="79" t="s">
        <v>1105</v>
      </c>
      <c r="C317" s="79" t="s">
        <v>18</v>
      </c>
      <c r="D317" s="79" t="s">
        <v>1106</v>
      </c>
      <c r="E317" s="83"/>
      <c r="F317" s="79" t="s">
        <v>21</v>
      </c>
      <c r="G317" s="79">
        <v>14.0</v>
      </c>
      <c r="H317" s="79" t="s">
        <v>22</v>
      </c>
      <c r="I317" s="80">
        <v>1.0</v>
      </c>
      <c r="J317" s="81"/>
      <c r="K317" s="80">
        <v>115.62</v>
      </c>
      <c r="L317" s="80">
        <v>115.62</v>
      </c>
      <c r="M317" s="80">
        <v>0.0</v>
      </c>
      <c r="N317" s="80">
        <v>115.62</v>
      </c>
      <c r="O317" s="83"/>
    </row>
    <row r="318">
      <c r="A318" s="80">
        <v>14.12</v>
      </c>
      <c r="B318" s="79" t="s">
        <v>1043</v>
      </c>
      <c r="C318" s="79" t="s">
        <v>18</v>
      </c>
      <c r="D318" s="79" t="s">
        <v>1044</v>
      </c>
      <c r="E318" s="83"/>
      <c r="F318" s="79" t="s">
        <v>21</v>
      </c>
      <c r="G318" s="79">
        <v>14.0</v>
      </c>
      <c r="H318" s="79" t="s">
        <v>22</v>
      </c>
      <c r="I318" s="80">
        <v>1.0</v>
      </c>
      <c r="J318" s="81"/>
      <c r="K318" s="82">
        <v>2806.4</v>
      </c>
      <c r="L318" s="82">
        <v>2806.4</v>
      </c>
      <c r="M318" s="80">
        <v>0.0</v>
      </c>
      <c r="N318" s="82">
        <v>2806.4</v>
      </c>
      <c r="O318" s="83"/>
    </row>
    <row r="319">
      <c r="A319" s="80">
        <v>14.13</v>
      </c>
      <c r="B319" s="79" t="s">
        <v>1053</v>
      </c>
      <c r="C319" s="79" t="s">
        <v>18</v>
      </c>
      <c r="D319" s="79" t="s">
        <v>1054</v>
      </c>
      <c r="E319" s="83"/>
      <c r="F319" s="79" t="s">
        <v>21</v>
      </c>
      <c r="G319" s="79">
        <v>14.0</v>
      </c>
      <c r="H319" s="79" t="s">
        <v>22</v>
      </c>
      <c r="I319" s="80">
        <v>1.0</v>
      </c>
      <c r="J319" s="81"/>
      <c r="K319" s="80">
        <v>0.0</v>
      </c>
      <c r="L319" s="80">
        <v>0.0</v>
      </c>
      <c r="M319" s="80">
        <v>0.0</v>
      </c>
      <c r="N319" s="80">
        <v>0.0</v>
      </c>
      <c r="O319" s="83"/>
    </row>
    <row r="320">
      <c r="A320" s="80">
        <v>14.14</v>
      </c>
      <c r="B320" s="79" t="s">
        <v>1107</v>
      </c>
      <c r="C320" s="79" t="s">
        <v>18</v>
      </c>
      <c r="D320" s="79" t="s">
        <v>1108</v>
      </c>
      <c r="E320" s="83"/>
      <c r="F320" s="79" t="s">
        <v>21</v>
      </c>
      <c r="G320" s="79">
        <v>14.0</v>
      </c>
      <c r="H320" s="79" t="s">
        <v>22</v>
      </c>
      <c r="I320" s="80">
        <v>1.0</v>
      </c>
      <c r="J320" s="81"/>
      <c r="K320" s="82">
        <v>3103.4</v>
      </c>
      <c r="L320" s="82">
        <v>3103.4</v>
      </c>
      <c r="M320" s="80">
        <v>0.0</v>
      </c>
      <c r="N320" s="82">
        <v>3103.4</v>
      </c>
      <c r="O320" s="83"/>
    </row>
    <row r="321">
      <c r="A321" s="80">
        <v>14.15</v>
      </c>
      <c r="B321" s="79" t="s">
        <v>59</v>
      </c>
      <c r="C321" s="79" t="s">
        <v>29</v>
      </c>
      <c r="D321" s="79" t="s">
        <v>60</v>
      </c>
      <c r="E321" s="83"/>
      <c r="F321" s="79" t="s">
        <v>21</v>
      </c>
      <c r="G321" s="79">
        <v>2.0</v>
      </c>
      <c r="H321" s="79" t="s">
        <v>29</v>
      </c>
      <c r="I321" s="80">
        <v>1.0</v>
      </c>
      <c r="J321" s="81"/>
      <c r="K321" s="80">
        <v>0.0</v>
      </c>
      <c r="L321" s="80">
        <v>0.0</v>
      </c>
      <c r="M321" s="80">
        <v>0.0</v>
      </c>
      <c r="N321" s="80">
        <v>0.0</v>
      </c>
      <c r="O321" s="83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5" t="s">
        <v>63</v>
      </c>
      <c r="N322" s="86">
        <v>24477.78</v>
      </c>
      <c r="O322" s="87"/>
    </row>
    <row r="323">
      <c r="A323" s="78">
        <v>15.0</v>
      </c>
      <c r="B323" s="78" t="s">
        <v>1154</v>
      </c>
      <c r="C323" s="79" t="s">
        <v>18</v>
      </c>
      <c r="D323" s="79" t="s">
        <v>1155</v>
      </c>
      <c r="E323" s="79" t="s">
        <v>20</v>
      </c>
      <c r="F323" s="79" t="s">
        <v>21</v>
      </c>
      <c r="G323" s="79">
        <v>14.0</v>
      </c>
      <c r="H323" s="79" t="s">
        <v>22</v>
      </c>
      <c r="I323" s="80">
        <v>1.0</v>
      </c>
      <c r="J323" s="81"/>
      <c r="K323" s="82">
        <v>10946.7</v>
      </c>
      <c r="L323" s="82">
        <v>10946.7</v>
      </c>
      <c r="M323" s="80">
        <v>0.0</v>
      </c>
      <c r="N323" s="82">
        <v>10946.7</v>
      </c>
      <c r="O323" s="83"/>
    </row>
    <row r="324">
      <c r="A324" s="80" t="s">
        <v>210</v>
      </c>
      <c r="B324" s="79" t="s">
        <v>1156</v>
      </c>
      <c r="C324" s="79" t="s">
        <v>18</v>
      </c>
      <c r="D324" s="79" t="s">
        <v>1157</v>
      </c>
      <c r="E324" s="83"/>
      <c r="F324" s="79">
        <v>36.0</v>
      </c>
      <c r="G324" s="79" t="s">
        <v>21</v>
      </c>
      <c r="H324" s="79" t="s">
        <v>22</v>
      </c>
      <c r="I324" s="80">
        <v>1.0</v>
      </c>
      <c r="J324" s="81"/>
      <c r="K324" s="82">
        <v>3407.25</v>
      </c>
      <c r="L324" s="82">
        <v>3407.25</v>
      </c>
      <c r="M324" s="80">
        <v>0.0</v>
      </c>
      <c r="N324" s="82">
        <v>3407.25</v>
      </c>
      <c r="O324" s="79" t="s">
        <v>26</v>
      </c>
    </row>
    <row r="325">
      <c r="A325" s="80">
        <v>15.1</v>
      </c>
      <c r="B325" s="79" t="s">
        <v>1158</v>
      </c>
      <c r="C325" s="79" t="s">
        <v>29</v>
      </c>
      <c r="D325" s="79" t="s">
        <v>1159</v>
      </c>
      <c r="E325" s="83"/>
      <c r="F325" s="79" t="s">
        <v>21</v>
      </c>
      <c r="G325" s="79">
        <v>14.0</v>
      </c>
      <c r="H325" s="79" t="s">
        <v>22</v>
      </c>
      <c r="I325" s="80">
        <v>1.0</v>
      </c>
      <c r="J325" s="81"/>
      <c r="K325" s="80">
        <v>0.0</v>
      </c>
      <c r="L325" s="80">
        <v>0.0</v>
      </c>
      <c r="M325" s="80">
        <v>0.0</v>
      </c>
      <c r="N325" s="80">
        <v>0.0</v>
      </c>
      <c r="O325" s="83"/>
    </row>
    <row r="326">
      <c r="A326" s="80" t="s">
        <v>1009</v>
      </c>
      <c r="B326" s="79" t="s">
        <v>1160</v>
      </c>
      <c r="C326" s="79" t="s">
        <v>18</v>
      </c>
      <c r="D326" s="79" t="s">
        <v>1095</v>
      </c>
      <c r="E326" s="83"/>
      <c r="F326" s="79">
        <v>36.0</v>
      </c>
      <c r="G326" s="79" t="s">
        <v>21</v>
      </c>
      <c r="H326" s="79" t="s">
        <v>22</v>
      </c>
      <c r="I326" s="80">
        <v>1.0</v>
      </c>
      <c r="J326" s="81"/>
      <c r="K326" s="80">
        <v>915.75</v>
      </c>
      <c r="L326" s="80">
        <v>915.75</v>
      </c>
      <c r="M326" s="80">
        <v>0.0</v>
      </c>
      <c r="N326" s="80">
        <v>915.75</v>
      </c>
      <c r="O326" s="79" t="s">
        <v>26</v>
      </c>
    </row>
    <row r="327">
      <c r="A327" s="80" t="s">
        <v>1010</v>
      </c>
      <c r="B327" s="79" t="s">
        <v>1161</v>
      </c>
      <c r="C327" s="79" t="s">
        <v>18</v>
      </c>
      <c r="D327" s="79" t="s">
        <v>1162</v>
      </c>
      <c r="E327" s="83"/>
      <c r="F327" s="79">
        <v>36.0</v>
      </c>
      <c r="G327" s="79" t="s">
        <v>21</v>
      </c>
      <c r="H327" s="79" t="s">
        <v>22</v>
      </c>
      <c r="I327" s="80">
        <v>1.0</v>
      </c>
      <c r="J327" s="81"/>
      <c r="K327" s="82">
        <v>4437.29</v>
      </c>
      <c r="L327" s="82">
        <v>4437.29</v>
      </c>
      <c r="M327" s="80">
        <v>0.0</v>
      </c>
      <c r="N327" s="82">
        <v>4437.29</v>
      </c>
      <c r="O327" s="83"/>
    </row>
    <row r="328">
      <c r="A328" s="80">
        <v>15.2</v>
      </c>
      <c r="B328" s="79" t="s">
        <v>1025</v>
      </c>
      <c r="C328" s="79" t="s">
        <v>29</v>
      </c>
      <c r="D328" s="79" t="s">
        <v>1026</v>
      </c>
      <c r="E328" s="83"/>
      <c r="F328" s="79" t="s">
        <v>21</v>
      </c>
      <c r="G328" s="79">
        <v>14.0</v>
      </c>
      <c r="H328" s="79" t="s">
        <v>29</v>
      </c>
      <c r="I328" s="80">
        <v>1.0</v>
      </c>
      <c r="J328" s="81"/>
      <c r="K328" s="80">
        <v>0.0</v>
      </c>
      <c r="L328" s="80">
        <v>0.0</v>
      </c>
      <c r="M328" s="80">
        <v>0.0</v>
      </c>
      <c r="N328" s="80">
        <v>0.0</v>
      </c>
      <c r="O328" s="83"/>
    </row>
    <row r="329">
      <c r="A329" s="80" t="s">
        <v>213</v>
      </c>
      <c r="B329" s="79" t="s">
        <v>1027</v>
      </c>
      <c r="C329" s="79" t="s">
        <v>18</v>
      </c>
      <c r="D329" s="79" t="s">
        <v>1028</v>
      </c>
      <c r="E329" s="83"/>
      <c r="F329" s="79">
        <v>36.0</v>
      </c>
      <c r="G329" s="79" t="s">
        <v>21</v>
      </c>
      <c r="H329" s="79" t="s">
        <v>22</v>
      </c>
      <c r="I329" s="80">
        <v>1.0</v>
      </c>
      <c r="J329" s="81"/>
      <c r="K329" s="80">
        <v>0.0</v>
      </c>
      <c r="L329" s="80">
        <v>0.0</v>
      </c>
      <c r="M329" s="80">
        <v>0.0</v>
      </c>
      <c r="N329" s="80">
        <v>0.0</v>
      </c>
      <c r="O329" s="83"/>
    </row>
    <row r="330">
      <c r="A330" s="80">
        <v>15.3</v>
      </c>
      <c r="B330" s="79" t="s">
        <v>1021</v>
      </c>
      <c r="C330" s="79" t="s">
        <v>29</v>
      </c>
      <c r="D330" s="79" t="s">
        <v>1022</v>
      </c>
      <c r="E330" s="83"/>
      <c r="F330" s="79" t="s">
        <v>21</v>
      </c>
      <c r="G330" s="79">
        <v>14.0</v>
      </c>
      <c r="H330" s="79" t="s">
        <v>29</v>
      </c>
      <c r="I330" s="80">
        <v>1.0</v>
      </c>
      <c r="J330" s="81"/>
      <c r="K330" s="80">
        <v>0.0</v>
      </c>
      <c r="L330" s="80">
        <v>0.0</v>
      </c>
      <c r="M330" s="80">
        <v>0.0</v>
      </c>
      <c r="N330" s="80">
        <v>0.0</v>
      </c>
      <c r="O330" s="83"/>
    </row>
    <row r="331">
      <c r="A331" s="80" t="s">
        <v>1163</v>
      </c>
      <c r="B331" s="79" t="s">
        <v>1023</v>
      </c>
      <c r="C331" s="79" t="s">
        <v>18</v>
      </c>
      <c r="D331" s="79" t="s">
        <v>1024</v>
      </c>
      <c r="E331" s="83"/>
      <c r="F331" s="79">
        <v>36.0</v>
      </c>
      <c r="G331" s="79" t="s">
        <v>21</v>
      </c>
      <c r="H331" s="79" t="s">
        <v>22</v>
      </c>
      <c r="I331" s="80">
        <v>1.0</v>
      </c>
      <c r="J331" s="81"/>
      <c r="K331" s="80">
        <v>0.0</v>
      </c>
      <c r="L331" s="80">
        <v>0.0</v>
      </c>
      <c r="M331" s="80">
        <v>0.0</v>
      </c>
      <c r="N331" s="80">
        <v>0.0</v>
      </c>
      <c r="O331" s="83"/>
    </row>
    <row r="332">
      <c r="A332" s="80">
        <v>15.4</v>
      </c>
      <c r="B332" s="79" t="s">
        <v>1164</v>
      </c>
      <c r="C332" s="79" t="s">
        <v>29</v>
      </c>
      <c r="D332" s="79" t="s">
        <v>1165</v>
      </c>
      <c r="E332" s="83"/>
      <c r="F332" s="79" t="s">
        <v>21</v>
      </c>
      <c r="G332" s="79">
        <v>14.0</v>
      </c>
      <c r="H332" s="79" t="s">
        <v>29</v>
      </c>
      <c r="I332" s="80">
        <v>1.0</v>
      </c>
      <c r="J332" s="81"/>
      <c r="K332" s="80">
        <v>0.0</v>
      </c>
      <c r="L332" s="80">
        <v>0.0</v>
      </c>
      <c r="M332" s="80">
        <v>0.0</v>
      </c>
      <c r="N332" s="80">
        <v>0.0</v>
      </c>
      <c r="O332" s="83"/>
    </row>
    <row r="333">
      <c r="A333" s="80">
        <v>15.5</v>
      </c>
      <c r="B333" s="79" t="s">
        <v>1125</v>
      </c>
      <c r="C333" s="79" t="s">
        <v>18</v>
      </c>
      <c r="D333" s="79" t="s">
        <v>1030</v>
      </c>
      <c r="E333" s="83"/>
      <c r="F333" s="79" t="s">
        <v>21</v>
      </c>
      <c r="G333" s="79">
        <v>14.0</v>
      </c>
      <c r="H333" s="79" t="s">
        <v>29</v>
      </c>
      <c r="I333" s="80">
        <v>1.0</v>
      </c>
      <c r="J333" s="81"/>
      <c r="K333" s="80">
        <v>0.0</v>
      </c>
      <c r="L333" s="80">
        <v>0.0</v>
      </c>
      <c r="M333" s="80">
        <v>0.0</v>
      </c>
      <c r="N333" s="80">
        <v>0.0</v>
      </c>
      <c r="O333" s="83"/>
    </row>
    <row r="334">
      <c r="A334" s="80">
        <v>15.6</v>
      </c>
      <c r="B334" s="79" t="s">
        <v>1039</v>
      </c>
      <c r="C334" s="79" t="s">
        <v>18</v>
      </c>
      <c r="D334" s="79" t="s">
        <v>1040</v>
      </c>
      <c r="E334" s="83"/>
      <c r="F334" s="79" t="s">
        <v>21</v>
      </c>
      <c r="G334" s="79">
        <v>14.0</v>
      </c>
      <c r="H334" s="79" t="s">
        <v>29</v>
      </c>
      <c r="I334" s="80">
        <v>1.0</v>
      </c>
      <c r="J334" s="81"/>
      <c r="K334" s="80">
        <v>0.0</v>
      </c>
      <c r="L334" s="80">
        <v>0.0</v>
      </c>
      <c r="M334" s="80">
        <v>0.0</v>
      </c>
      <c r="N334" s="80">
        <v>0.0</v>
      </c>
      <c r="O334" s="83"/>
    </row>
    <row r="335">
      <c r="A335" s="80">
        <v>15.7</v>
      </c>
      <c r="B335" s="79" t="s">
        <v>1102</v>
      </c>
      <c r="C335" s="79" t="s">
        <v>18</v>
      </c>
      <c r="D335" s="79" t="s">
        <v>1042</v>
      </c>
      <c r="E335" s="83"/>
      <c r="F335" s="79" t="s">
        <v>21</v>
      </c>
      <c r="G335" s="79">
        <v>14.0</v>
      </c>
      <c r="H335" s="79" t="s">
        <v>22</v>
      </c>
      <c r="I335" s="80">
        <v>1.0</v>
      </c>
      <c r="J335" s="81"/>
      <c r="K335" s="80">
        <v>0.0</v>
      </c>
      <c r="L335" s="80">
        <v>0.0</v>
      </c>
      <c r="M335" s="80">
        <v>0.0</v>
      </c>
      <c r="N335" s="80">
        <v>0.0</v>
      </c>
      <c r="O335" s="83"/>
    </row>
    <row r="336">
      <c r="A336" s="80">
        <v>15.8</v>
      </c>
      <c r="B336" s="79" t="s">
        <v>872</v>
      </c>
      <c r="C336" s="79" t="s">
        <v>18</v>
      </c>
      <c r="D336" s="79" t="s">
        <v>873</v>
      </c>
      <c r="E336" s="83"/>
      <c r="F336" s="79" t="s">
        <v>21</v>
      </c>
      <c r="G336" s="79">
        <v>14.0</v>
      </c>
      <c r="H336" s="79" t="s">
        <v>22</v>
      </c>
      <c r="I336" s="80">
        <v>1.0</v>
      </c>
      <c r="J336" s="81"/>
      <c r="K336" s="80">
        <v>0.0</v>
      </c>
      <c r="L336" s="80">
        <v>0.0</v>
      </c>
      <c r="M336" s="80">
        <v>0.0</v>
      </c>
      <c r="N336" s="80">
        <v>0.0</v>
      </c>
      <c r="O336" s="83"/>
    </row>
    <row r="337">
      <c r="A337" s="80">
        <v>15.9</v>
      </c>
      <c r="B337" s="79" t="s">
        <v>1043</v>
      </c>
      <c r="C337" s="79" t="s">
        <v>18</v>
      </c>
      <c r="D337" s="79" t="s">
        <v>1044</v>
      </c>
      <c r="E337" s="83"/>
      <c r="F337" s="79" t="s">
        <v>21</v>
      </c>
      <c r="G337" s="79">
        <v>14.0</v>
      </c>
      <c r="H337" s="79" t="s">
        <v>22</v>
      </c>
      <c r="I337" s="80">
        <v>1.0</v>
      </c>
      <c r="J337" s="81"/>
      <c r="K337" s="82">
        <v>2806.4</v>
      </c>
      <c r="L337" s="82">
        <v>2806.4</v>
      </c>
      <c r="M337" s="80">
        <v>0.0</v>
      </c>
      <c r="N337" s="82">
        <v>2806.4</v>
      </c>
      <c r="O337" s="83"/>
    </row>
    <row r="338">
      <c r="A338" s="80">
        <v>15.1</v>
      </c>
      <c r="B338" s="79" t="s">
        <v>1103</v>
      </c>
      <c r="C338" s="79" t="s">
        <v>18</v>
      </c>
      <c r="D338" s="79" t="s">
        <v>1104</v>
      </c>
      <c r="E338" s="83"/>
      <c r="F338" s="79" t="s">
        <v>21</v>
      </c>
      <c r="G338" s="79">
        <v>14.0</v>
      </c>
      <c r="H338" s="79" t="s">
        <v>22</v>
      </c>
      <c r="I338" s="80">
        <v>1.0</v>
      </c>
      <c r="J338" s="81"/>
      <c r="K338" s="80">
        <v>121.7</v>
      </c>
      <c r="L338" s="80">
        <v>121.7</v>
      </c>
      <c r="M338" s="80">
        <v>0.0</v>
      </c>
      <c r="N338" s="80">
        <v>121.7</v>
      </c>
      <c r="O338" s="83"/>
    </row>
    <row r="339">
      <c r="A339" s="80">
        <v>15.11</v>
      </c>
      <c r="B339" s="79" t="s">
        <v>1105</v>
      </c>
      <c r="C339" s="79" t="s">
        <v>18</v>
      </c>
      <c r="D339" s="79" t="s">
        <v>1106</v>
      </c>
      <c r="E339" s="83"/>
      <c r="F339" s="79" t="s">
        <v>21</v>
      </c>
      <c r="G339" s="79">
        <v>14.0</v>
      </c>
      <c r="H339" s="79" t="s">
        <v>22</v>
      </c>
      <c r="I339" s="80">
        <v>1.0</v>
      </c>
      <c r="J339" s="81"/>
      <c r="K339" s="80">
        <v>115.62</v>
      </c>
      <c r="L339" s="80">
        <v>115.62</v>
      </c>
      <c r="M339" s="80">
        <v>0.0</v>
      </c>
      <c r="N339" s="80">
        <v>115.62</v>
      </c>
      <c r="O339" s="83"/>
    </row>
    <row r="340">
      <c r="A340" s="80">
        <v>15.12</v>
      </c>
      <c r="B340" s="79" t="s">
        <v>1053</v>
      </c>
      <c r="C340" s="79" t="s">
        <v>18</v>
      </c>
      <c r="D340" s="79" t="s">
        <v>1054</v>
      </c>
      <c r="E340" s="83"/>
      <c r="F340" s="79" t="s">
        <v>21</v>
      </c>
      <c r="G340" s="79">
        <v>14.0</v>
      </c>
      <c r="H340" s="79" t="s">
        <v>22</v>
      </c>
      <c r="I340" s="80">
        <v>1.0</v>
      </c>
      <c r="J340" s="81"/>
      <c r="K340" s="80">
        <v>0.0</v>
      </c>
      <c r="L340" s="80">
        <v>0.0</v>
      </c>
      <c r="M340" s="80">
        <v>0.0</v>
      </c>
      <c r="N340" s="80">
        <v>0.0</v>
      </c>
      <c r="O340" s="83"/>
    </row>
    <row r="341">
      <c r="A341" s="80">
        <v>15.13</v>
      </c>
      <c r="B341" s="79" t="s">
        <v>1033</v>
      </c>
      <c r="C341" s="79" t="s">
        <v>18</v>
      </c>
      <c r="D341" s="79" t="s">
        <v>1034</v>
      </c>
      <c r="E341" s="83"/>
      <c r="F341" s="79" t="s">
        <v>21</v>
      </c>
      <c r="G341" s="79">
        <v>14.0</v>
      </c>
      <c r="H341" s="79" t="s">
        <v>29</v>
      </c>
      <c r="I341" s="80">
        <v>1.0</v>
      </c>
      <c r="J341" s="81"/>
      <c r="K341" s="80">
        <v>0.0</v>
      </c>
      <c r="L341" s="80">
        <v>0.0</v>
      </c>
      <c r="M341" s="80">
        <v>0.0</v>
      </c>
      <c r="N341" s="80">
        <v>0.0</v>
      </c>
      <c r="O341" s="83"/>
    </row>
    <row r="342">
      <c r="A342" s="80">
        <v>15.14</v>
      </c>
      <c r="B342" s="79" t="s">
        <v>1049</v>
      </c>
      <c r="C342" s="79" t="s">
        <v>18</v>
      </c>
      <c r="D342" s="79" t="s">
        <v>1050</v>
      </c>
      <c r="E342" s="83"/>
      <c r="F342" s="79" t="s">
        <v>21</v>
      </c>
      <c r="G342" s="79">
        <v>14.0</v>
      </c>
      <c r="H342" s="79" t="s">
        <v>29</v>
      </c>
      <c r="I342" s="80">
        <v>1.0</v>
      </c>
      <c r="J342" s="81"/>
      <c r="K342" s="80">
        <v>0.0</v>
      </c>
      <c r="L342" s="80">
        <v>0.0</v>
      </c>
      <c r="M342" s="80">
        <v>0.0</v>
      </c>
      <c r="N342" s="80">
        <v>0.0</v>
      </c>
      <c r="O342" s="83"/>
    </row>
    <row r="343">
      <c r="A343" s="80">
        <v>15.15</v>
      </c>
      <c r="B343" s="79" t="s">
        <v>1107</v>
      </c>
      <c r="C343" s="79" t="s">
        <v>18</v>
      </c>
      <c r="D343" s="79" t="s">
        <v>1108</v>
      </c>
      <c r="E343" s="83"/>
      <c r="F343" s="79" t="s">
        <v>21</v>
      </c>
      <c r="G343" s="79">
        <v>14.0</v>
      </c>
      <c r="H343" s="79" t="s">
        <v>22</v>
      </c>
      <c r="I343" s="80">
        <v>1.0</v>
      </c>
      <c r="J343" s="81"/>
      <c r="K343" s="82">
        <v>3103.4</v>
      </c>
      <c r="L343" s="82">
        <v>3103.4</v>
      </c>
      <c r="M343" s="80">
        <v>0.0</v>
      </c>
      <c r="N343" s="82">
        <v>3103.4</v>
      </c>
      <c r="O343" s="83"/>
    </row>
    <row r="344">
      <c r="A344" s="80">
        <v>15.16</v>
      </c>
      <c r="B344" s="79" t="s">
        <v>59</v>
      </c>
      <c r="C344" s="79" t="s">
        <v>29</v>
      </c>
      <c r="D344" s="79" t="s">
        <v>60</v>
      </c>
      <c r="E344" s="83"/>
      <c r="F344" s="79" t="s">
        <v>21</v>
      </c>
      <c r="G344" s="79">
        <v>2.0</v>
      </c>
      <c r="H344" s="79" t="s">
        <v>29</v>
      </c>
      <c r="I344" s="80">
        <v>1.0</v>
      </c>
      <c r="J344" s="81"/>
      <c r="K344" s="80">
        <v>0.0</v>
      </c>
      <c r="L344" s="80">
        <v>0.0</v>
      </c>
      <c r="M344" s="80">
        <v>0.0</v>
      </c>
      <c r="N344" s="80">
        <v>0.0</v>
      </c>
      <c r="O344" s="83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5" t="s">
        <v>63</v>
      </c>
      <c r="N345" s="86">
        <v>25854.11</v>
      </c>
      <c r="O345" s="87"/>
    </row>
    <row r="346">
      <c r="A346" s="78">
        <v>16.0</v>
      </c>
      <c r="B346" s="78" t="s">
        <v>1166</v>
      </c>
      <c r="C346" s="79" t="s">
        <v>18</v>
      </c>
      <c r="D346" s="79" t="s">
        <v>1167</v>
      </c>
      <c r="E346" s="79" t="s">
        <v>20</v>
      </c>
      <c r="F346" s="79" t="s">
        <v>21</v>
      </c>
      <c r="G346" s="79">
        <v>14.0</v>
      </c>
      <c r="H346" s="79" t="s">
        <v>22</v>
      </c>
      <c r="I346" s="80">
        <v>1.0</v>
      </c>
      <c r="J346" s="81"/>
      <c r="K346" s="82">
        <v>13175.93</v>
      </c>
      <c r="L346" s="82">
        <v>13175.93</v>
      </c>
      <c r="M346" s="80">
        <v>0.0</v>
      </c>
      <c r="N346" s="82">
        <v>13175.93</v>
      </c>
      <c r="O346" s="83"/>
    </row>
    <row r="347">
      <c r="A347" s="80" t="s">
        <v>400</v>
      </c>
      <c r="B347" s="79" t="s">
        <v>1168</v>
      </c>
      <c r="C347" s="79" t="s">
        <v>18</v>
      </c>
      <c r="D347" s="79" t="s">
        <v>1169</v>
      </c>
      <c r="E347" s="83"/>
      <c r="F347" s="79">
        <v>36.0</v>
      </c>
      <c r="G347" s="79" t="s">
        <v>21</v>
      </c>
      <c r="H347" s="79" t="s">
        <v>22</v>
      </c>
      <c r="I347" s="80">
        <v>1.0</v>
      </c>
      <c r="J347" s="81"/>
      <c r="K347" s="82">
        <v>4100.25</v>
      </c>
      <c r="L347" s="82">
        <v>4100.25</v>
      </c>
      <c r="M347" s="80">
        <v>0.0</v>
      </c>
      <c r="N347" s="82">
        <v>4100.25</v>
      </c>
      <c r="O347" s="79" t="s">
        <v>26</v>
      </c>
    </row>
    <row r="348">
      <c r="A348" s="80">
        <v>16.1</v>
      </c>
      <c r="B348" s="79" t="s">
        <v>1158</v>
      </c>
      <c r="C348" s="79" t="s">
        <v>29</v>
      </c>
      <c r="D348" s="79" t="s">
        <v>1159</v>
      </c>
      <c r="E348" s="83"/>
      <c r="F348" s="79" t="s">
        <v>21</v>
      </c>
      <c r="G348" s="79">
        <v>14.0</v>
      </c>
      <c r="H348" s="79" t="s">
        <v>22</v>
      </c>
      <c r="I348" s="80">
        <v>1.0</v>
      </c>
      <c r="J348" s="81"/>
      <c r="K348" s="80">
        <v>0.0</v>
      </c>
      <c r="L348" s="80">
        <v>0.0</v>
      </c>
      <c r="M348" s="80">
        <v>0.0</v>
      </c>
      <c r="N348" s="80">
        <v>0.0</v>
      </c>
      <c r="O348" s="83"/>
    </row>
    <row r="349">
      <c r="A349" s="80" t="s">
        <v>1170</v>
      </c>
      <c r="B349" s="79" t="s">
        <v>1160</v>
      </c>
      <c r="C349" s="79" t="s">
        <v>18</v>
      </c>
      <c r="D349" s="79" t="s">
        <v>1095</v>
      </c>
      <c r="E349" s="83"/>
      <c r="F349" s="79">
        <v>36.0</v>
      </c>
      <c r="G349" s="79" t="s">
        <v>21</v>
      </c>
      <c r="H349" s="79" t="s">
        <v>22</v>
      </c>
      <c r="I349" s="80">
        <v>1.0</v>
      </c>
      <c r="J349" s="81"/>
      <c r="K349" s="80">
        <v>915.75</v>
      </c>
      <c r="L349" s="80">
        <v>915.75</v>
      </c>
      <c r="M349" s="80">
        <v>0.0</v>
      </c>
      <c r="N349" s="80">
        <v>915.75</v>
      </c>
      <c r="O349" s="79" t="s">
        <v>26</v>
      </c>
    </row>
    <row r="350">
      <c r="A350" s="80" t="s">
        <v>1171</v>
      </c>
      <c r="B350" s="79" t="s">
        <v>1161</v>
      </c>
      <c r="C350" s="79" t="s">
        <v>18</v>
      </c>
      <c r="D350" s="79" t="s">
        <v>1162</v>
      </c>
      <c r="E350" s="83"/>
      <c r="F350" s="79">
        <v>36.0</v>
      </c>
      <c r="G350" s="79" t="s">
        <v>21</v>
      </c>
      <c r="H350" s="79" t="s">
        <v>22</v>
      </c>
      <c r="I350" s="80">
        <v>1.0</v>
      </c>
      <c r="J350" s="81"/>
      <c r="K350" s="82">
        <v>4437.29</v>
      </c>
      <c r="L350" s="82">
        <v>4437.29</v>
      </c>
      <c r="M350" s="80">
        <v>0.0</v>
      </c>
      <c r="N350" s="82">
        <v>4437.29</v>
      </c>
      <c r="O350" s="83"/>
    </row>
    <row r="351">
      <c r="A351" s="80">
        <v>16.2</v>
      </c>
      <c r="B351" s="79" t="s">
        <v>1025</v>
      </c>
      <c r="C351" s="79" t="s">
        <v>29</v>
      </c>
      <c r="D351" s="79" t="s">
        <v>1026</v>
      </c>
      <c r="E351" s="83"/>
      <c r="F351" s="79" t="s">
        <v>21</v>
      </c>
      <c r="G351" s="79">
        <v>14.0</v>
      </c>
      <c r="H351" s="79" t="s">
        <v>29</v>
      </c>
      <c r="I351" s="80">
        <v>1.0</v>
      </c>
      <c r="J351" s="81"/>
      <c r="K351" s="80">
        <v>0.0</v>
      </c>
      <c r="L351" s="80">
        <v>0.0</v>
      </c>
      <c r="M351" s="80">
        <v>0.0</v>
      </c>
      <c r="N351" s="80">
        <v>0.0</v>
      </c>
      <c r="O351" s="83"/>
    </row>
    <row r="352">
      <c r="A352" s="80" t="s">
        <v>1172</v>
      </c>
      <c r="B352" s="79" t="s">
        <v>1027</v>
      </c>
      <c r="C352" s="79" t="s">
        <v>18</v>
      </c>
      <c r="D352" s="79" t="s">
        <v>1028</v>
      </c>
      <c r="E352" s="83"/>
      <c r="F352" s="79">
        <v>36.0</v>
      </c>
      <c r="G352" s="79" t="s">
        <v>21</v>
      </c>
      <c r="H352" s="79" t="s">
        <v>22</v>
      </c>
      <c r="I352" s="80">
        <v>1.0</v>
      </c>
      <c r="J352" s="81"/>
      <c r="K352" s="80">
        <v>0.0</v>
      </c>
      <c r="L352" s="80">
        <v>0.0</v>
      </c>
      <c r="M352" s="80">
        <v>0.0</v>
      </c>
      <c r="N352" s="80">
        <v>0.0</v>
      </c>
      <c r="O352" s="83"/>
    </row>
    <row r="353">
      <c r="A353" s="80">
        <v>16.3</v>
      </c>
      <c r="B353" s="79" t="s">
        <v>1021</v>
      </c>
      <c r="C353" s="79" t="s">
        <v>29</v>
      </c>
      <c r="D353" s="79" t="s">
        <v>1022</v>
      </c>
      <c r="E353" s="83"/>
      <c r="F353" s="79" t="s">
        <v>21</v>
      </c>
      <c r="G353" s="79">
        <v>14.0</v>
      </c>
      <c r="H353" s="79" t="s">
        <v>29</v>
      </c>
      <c r="I353" s="80">
        <v>1.0</v>
      </c>
      <c r="J353" s="81"/>
      <c r="K353" s="80">
        <v>0.0</v>
      </c>
      <c r="L353" s="80">
        <v>0.0</v>
      </c>
      <c r="M353" s="80">
        <v>0.0</v>
      </c>
      <c r="N353" s="80">
        <v>0.0</v>
      </c>
      <c r="O353" s="83"/>
    </row>
    <row r="354">
      <c r="A354" s="80" t="s">
        <v>1173</v>
      </c>
      <c r="B354" s="79" t="s">
        <v>1023</v>
      </c>
      <c r="C354" s="79" t="s">
        <v>18</v>
      </c>
      <c r="D354" s="79" t="s">
        <v>1024</v>
      </c>
      <c r="E354" s="83"/>
      <c r="F354" s="79">
        <v>36.0</v>
      </c>
      <c r="G354" s="79" t="s">
        <v>21</v>
      </c>
      <c r="H354" s="79" t="s">
        <v>22</v>
      </c>
      <c r="I354" s="80">
        <v>1.0</v>
      </c>
      <c r="J354" s="81"/>
      <c r="K354" s="80">
        <v>0.0</v>
      </c>
      <c r="L354" s="80">
        <v>0.0</v>
      </c>
      <c r="M354" s="80">
        <v>0.0</v>
      </c>
      <c r="N354" s="80">
        <v>0.0</v>
      </c>
      <c r="O354" s="83"/>
    </row>
    <row r="355">
      <c r="A355" s="80">
        <v>16.4</v>
      </c>
      <c r="B355" s="79" t="s">
        <v>1164</v>
      </c>
      <c r="C355" s="79" t="s">
        <v>29</v>
      </c>
      <c r="D355" s="79" t="s">
        <v>1165</v>
      </c>
      <c r="E355" s="83"/>
      <c r="F355" s="79" t="s">
        <v>21</v>
      </c>
      <c r="G355" s="79">
        <v>14.0</v>
      </c>
      <c r="H355" s="79" t="s">
        <v>29</v>
      </c>
      <c r="I355" s="80">
        <v>1.0</v>
      </c>
      <c r="J355" s="81"/>
      <c r="K355" s="80">
        <v>0.0</v>
      </c>
      <c r="L355" s="80">
        <v>0.0</v>
      </c>
      <c r="M355" s="80">
        <v>0.0</v>
      </c>
      <c r="N355" s="80">
        <v>0.0</v>
      </c>
      <c r="O355" s="83"/>
    </row>
    <row r="356">
      <c r="A356" s="80">
        <v>16.5</v>
      </c>
      <c r="B356" s="79" t="s">
        <v>1051</v>
      </c>
      <c r="C356" s="79" t="s">
        <v>18</v>
      </c>
      <c r="D356" s="79" t="s">
        <v>1052</v>
      </c>
      <c r="E356" s="83"/>
      <c r="F356" s="79" t="s">
        <v>21</v>
      </c>
      <c r="G356" s="79">
        <v>14.0</v>
      </c>
      <c r="H356" s="79" t="s">
        <v>29</v>
      </c>
      <c r="I356" s="80">
        <v>1.0</v>
      </c>
      <c r="J356" s="81"/>
      <c r="K356" s="80">
        <v>0.0</v>
      </c>
      <c r="L356" s="80">
        <v>0.0</v>
      </c>
      <c r="M356" s="80">
        <v>0.0</v>
      </c>
      <c r="N356" s="80">
        <v>0.0</v>
      </c>
      <c r="O356" s="83"/>
    </row>
    <row r="357">
      <c r="A357" s="80">
        <v>16.6</v>
      </c>
      <c r="B357" s="79" t="s">
        <v>1102</v>
      </c>
      <c r="C357" s="79" t="s">
        <v>18</v>
      </c>
      <c r="D357" s="79" t="s">
        <v>1042</v>
      </c>
      <c r="E357" s="83"/>
      <c r="F357" s="79" t="s">
        <v>21</v>
      </c>
      <c r="G357" s="79">
        <v>14.0</v>
      </c>
      <c r="H357" s="79" t="s">
        <v>22</v>
      </c>
      <c r="I357" s="80">
        <v>1.0</v>
      </c>
      <c r="J357" s="81"/>
      <c r="K357" s="80">
        <v>0.0</v>
      </c>
      <c r="L357" s="80">
        <v>0.0</v>
      </c>
      <c r="M357" s="80">
        <v>0.0</v>
      </c>
      <c r="N357" s="80">
        <v>0.0</v>
      </c>
      <c r="O357" s="83"/>
    </row>
    <row r="358">
      <c r="A358" s="80">
        <v>16.7</v>
      </c>
      <c r="B358" s="79" t="s">
        <v>872</v>
      </c>
      <c r="C358" s="79" t="s">
        <v>18</v>
      </c>
      <c r="D358" s="79" t="s">
        <v>873</v>
      </c>
      <c r="E358" s="83"/>
      <c r="F358" s="79" t="s">
        <v>21</v>
      </c>
      <c r="G358" s="79">
        <v>14.0</v>
      </c>
      <c r="H358" s="79" t="s">
        <v>22</v>
      </c>
      <c r="I358" s="80">
        <v>1.0</v>
      </c>
      <c r="J358" s="81"/>
      <c r="K358" s="80">
        <v>0.0</v>
      </c>
      <c r="L358" s="80">
        <v>0.0</v>
      </c>
      <c r="M358" s="80">
        <v>0.0</v>
      </c>
      <c r="N358" s="80">
        <v>0.0</v>
      </c>
      <c r="O358" s="83"/>
    </row>
    <row r="359">
      <c r="A359" s="80">
        <v>16.8</v>
      </c>
      <c r="B359" s="79" t="s">
        <v>1043</v>
      </c>
      <c r="C359" s="79" t="s">
        <v>18</v>
      </c>
      <c r="D359" s="79" t="s">
        <v>1044</v>
      </c>
      <c r="E359" s="83"/>
      <c r="F359" s="79" t="s">
        <v>21</v>
      </c>
      <c r="G359" s="79">
        <v>14.0</v>
      </c>
      <c r="H359" s="79" t="s">
        <v>22</v>
      </c>
      <c r="I359" s="80">
        <v>1.0</v>
      </c>
      <c r="J359" s="81"/>
      <c r="K359" s="82">
        <v>2806.4</v>
      </c>
      <c r="L359" s="82">
        <v>2806.4</v>
      </c>
      <c r="M359" s="80">
        <v>0.0</v>
      </c>
      <c r="N359" s="82">
        <v>2806.4</v>
      </c>
      <c r="O359" s="83"/>
    </row>
    <row r="360">
      <c r="A360" s="80">
        <v>16.9</v>
      </c>
      <c r="B360" s="79" t="s">
        <v>1103</v>
      </c>
      <c r="C360" s="79" t="s">
        <v>18</v>
      </c>
      <c r="D360" s="79" t="s">
        <v>1104</v>
      </c>
      <c r="E360" s="83"/>
      <c r="F360" s="79" t="s">
        <v>21</v>
      </c>
      <c r="G360" s="79">
        <v>14.0</v>
      </c>
      <c r="H360" s="79" t="s">
        <v>22</v>
      </c>
      <c r="I360" s="80">
        <v>1.0</v>
      </c>
      <c r="J360" s="81"/>
      <c r="K360" s="80">
        <v>121.7</v>
      </c>
      <c r="L360" s="80">
        <v>121.7</v>
      </c>
      <c r="M360" s="80">
        <v>0.0</v>
      </c>
      <c r="N360" s="80">
        <v>121.7</v>
      </c>
      <c r="O360" s="83"/>
    </row>
    <row r="361">
      <c r="A361" s="80">
        <v>16.1</v>
      </c>
      <c r="B361" s="79" t="s">
        <v>1105</v>
      </c>
      <c r="C361" s="79" t="s">
        <v>18</v>
      </c>
      <c r="D361" s="79" t="s">
        <v>1106</v>
      </c>
      <c r="E361" s="83"/>
      <c r="F361" s="79" t="s">
        <v>21</v>
      </c>
      <c r="G361" s="79">
        <v>14.0</v>
      </c>
      <c r="H361" s="79" t="s">
        <v>22</v>
      </c>
      <c r="I361" s="80">
        <v>1.0</v>
      </c>
      <c r="J361" s="81"/>
      <c r="K361" s="80">
        <v>115.62</v>
      </c>
      <c r="L361" s="80">
        <v>115.62</v>
      </c>
      <c r="M361" s="80">
        <v>0.0</v>
      </c>
      <c r="N361" s="80">
        <v>115.62</v>
      </c>
      <c r="O361" s="83"/>
    </row>
    <row r="362">
      <c r="A362" s="80">
        <v>16.11</v>
      </c>
      <c r="B362" s="79" t="s">
        <v>1053</v>
      </c>
      <c r="C362" s="79" t="s">
        <v>18</v>
      </c>
      <c r="D362" s="79" t="s">
        <v>1054</v>
      </c>
      <c r="E362" s="83"/>
      <c r="F362" s="79" t="s">
        <v>21</v>
      </c>
      <c r="G362" s="79">
        <v>14.0</v>
      </c>
      <c r="H362" s="79" t="s">
        <v>22</v>
      </c>
      <c r="I362" s="80">
        <v>1.0</v>
      </c>
      <c r="J362" s="81"/>
      <c r="K362" s="80">
        <v>0.0</v>
      </c>
      <c r="L362" s="80">
        <v>0.0</v>
      </c>
      <c r="M362" s="80">
        <v>0.0</v>
      </c>
      <c r="N362" s="80">
        <v>0.0</v>
      </c>
      <c r="O362" s="83"/>
    </row>
    <row r="363">
      <c r="A363" s="80">
        <v>16.12</v>
      </c>
      <c r="B363" s="79" t="s">
        <v>1033</v>
      </c>
      <c r="C363" s="79" t="s">
        <v>18</v>
      </c>
      <c r="D363" s="79" t="s">
        <v>1034</v>
      </c>
      <c r="E363" s="83"/>
      <c r="F363" s="79" t="s">
        <v>21</v>
      </c>
      <c r="G363" s="79">
        <v>14.0</v>
      </c>
      <c r="H363" s="79" t="s">
        <v>29</v>
      </c>
      <c r="I363" s="80">
        <v>1.0</v>
      </c>
      <c r="J363" s="81"/>
      <c r="K363" s="80">
        <v>0.0</v>
      </c>
      <c r="L363" s="80">
        <v>0.0</v>
      </c>
      <c r="M363" s="80">
        <v>0.0</v>
      </c>
      <c r="N363" s="80">
        <v>0.0</v>
      </c>
      <c r="O363" s="83"/>
    </row>
    <row r="364">
      <c r="A364" s="80">
        <v>16.13</v>
      </c>
      <c r="B364" s="79" t="s">
        <v>1049</v>
      </c>
      <c r="C364" s="79" t="s">
        <v>18</v>
      </c>
      <c r="D364" s="79" t="s">
        <v>1050</v>
      </c>
      <c r="E364" s="83"/>
      <c r="F364" s="79" t="s">
        <v>21</v>
      </c>
      <c r="G364" s="79">
        <v>14.0</v>
      </c>
      <c r="H364" s="79" t="s">
        <v>29</v>
      </c>
      <c r="I364" s="80">
        <v>1.0</v>
      </c>
      <c r="J364" s="81"/>
      <c r="K364" s="80">
        <v>0.0</v>
      </c>
      <c r="L364" s="80">
        <v>0.0</v>
      </c>
      <c r="M364" s="80">
        <v>0.0</v>
      </c>
      <c r="N364" s="80">
        <v>0.0</v>
      </c>
      <c r="O364" s="83"/>
    </row>
    <row r="365">
      <c r="A365" s="80">
        <v>16.14</v>
      </c>
      <c r="B365" s="79" t="s">
        <v>1107</v>
      </c>
      <c r="C365" s="79" t="s">
        <v>18</v>
      </c>
      <c r="D365" s="79" t="s">
        <v>1108</v>
      </c>
      <c r="E365" s="83"/>
      <c r="F365" s="79" t="s">
        <v>21</v>
      </c>
      <c r="G365" s="79">
        <v>14.0</v>
      </c>
      <c r="H365" s="79" t="s">
        <v>22</v>
      </c>
      <c r="I365" s="80">
        <v>1.0</v>
      </c>
      <c r="J365" s="81"/>
      <c r="K365" s="82">
        <v>3103.4</v>
      </c>
      <c r="L365" s="82">
        <v>3103.4</v>
      </c>
      <c r="M365" s="80">
        <v>0.0</v>
      </c>
      <c r="N365" s="82">
        <v>3103.4</v>
      </c>
      <c r="O365" s="83"/>
    </row>
    <row r="366">
      <c r="A366" s="80">
        <v>16.15</v>
      </c>
      <c r="B366" s="79" t="s">
        <v>59</v>
      </c>
      <c r="C366" s="79" t="s">
        <v>29</v>
      </c>
      <c r="D366" s="79" t="s">
        <v>60</v>
      </c>
      <c r="E366" s="83"/>
      <c r="F366" s="79" t="s">
        <v>21</v>
      </c>
      <c r="G366" s="79">
        <v>2.0</v>
      </c>
      <c r="H366" s="79" t="s">
        <v>29</v>
      </c>
      <c r="I366" s="80">
        <v>1.0</v>
      </c>
      <c r="J366" s="81"/>
      <c r="K366" s="80">
        <v>0.0</v>
      </c>
      <c r="L366" s="80">
        <v>0.0</v>
      </c>
      <c r="M366" s="80">
        <v>0.0</v>
      </c>
      <c r="N366" s="80">
        <v>0.0</v>
      </c>
      <c r="O366" s="83"/>
    </row>
    <row r="367">
      <c r="A367" s="80">
        <v>16.16</v>
      </c>
      <c r="B367" s="79" t="s">
        <v>1117</v>
      </c>
      <c r="C367" s="79" t="s">
        <v>18</v>
      </c>
      <c r="D367" s="79" t="s">
        <v>1118</v>
      </c>
      <c r="E367" s="83"/>
      <c r="F367" s="79" t="s">
        <v>21</v>
      </c>
      <c r="G367" s="79">
        <v>14.0</v>
      </c>
      <c r="H367" s="79" t="s">
        <v>22</v>
      </c>
      <c r="I367" s="80">
        <v>1.0</v>
      </c>
      <c r="J367" s="81"/>
      <c r="K367" s="80">
        <v>0.0</v>
      </c>
      <c r="L367" s="80">
        <v>0.0</v>
      </c>
      <c r="M367" s="80">
        <v>0.0</v>
      </c>
      <c r="N367" s="80">
        <v>0.0</v>
      </c>
      <c r="O367" s="83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5" t="s">
        <v>63</v>
      </c>
      <c r="N368" s="86">
        <v>28776.34</v>
      </c>
      <c r="O368" s="87"/>
    </row>
    <row r="369">
      <c r="A369" s="78">
        <v>17.0</v>
      </c>
      <c r="B369" s="78" t="s">
        <v>1174</v>
      </c>
      <c r="C369" s="79" t="s">
        <v>18</v>
      </c>
      <c r="D369" s="79" t="s">
        <v>1175</v>
      </c>
      <c r="E369" s="79" t="s">
        <v>20</v>
      </c>
      <c r="F369" s="79" t="s">
        <v>21</v>
      </c>
      <c r="G369" s="79">
        <v>14.0</v>
      </c>
      <c r="H369" s="79" t="s">
        <v>22</v>
      </c>
      <c r="I369" s="80">
        <v>1.0</v>
      </c>
      <c r="J369" s="81"/>
      <c r="K369" s="82">
        <v>14591.02</v>
      </c>
      <c r="L369" s="82">
        <v>14591.02</v>
      </c>
      <c r="M369" s="80">
        <v>0.0</v>
      </c>
      <c r="N369" s="82">
        <v>14591.02</v>
      </c>
      <c r="O369" s="83"/>
    </row>
    <row r="370">
      <c r="A370" s="80" t="s">
        <v>405</v>
      </c>
      <c r="B370" s="79" t="s">
        <v>1176</v>
      </c>
      <c r="C370" s="79" t="s">
        <v>18</v>
      </c>
      <c r="D370" s="79" t="s">
        <v>1177</v>
      </c>
      <c r="E370" s="83"/>
      <c r="F370" s="79">
        <v>36.0</v>
      </c>
      <c r="G370" s="79" t="s">
        <v>21</v>
      </c>
      <c r="H370" s="79" t="s">
        <v>22</v>
      </c>
      <c r="I370" s="80">
        <v>1.0</v>
      </c>
      <c r="J370" s="81"/>
      <c r="K370" s="82">
        <v>4541.64</v>
      </c>
      <c r="L370" s="82">
        <v>4541.64</v>
      </c>
      <c r="M370" s="80">
        <v>0.0</v>
      </c>
      <c r="N370" s="82">
        <v>4541.64</v>
      </c>
      <c r="O370" s="79" t="s">
        <v>26</v>
      </c>
    </row>
    <row r="371">
      <c r="A371" s="80">
        <v>17.1</v>
      </c>
      <c r="B371" s="79" t="s">
        <v>1158</v>
      </c>
      <c r="C371" s="79" t="s">
        <v>29</v>
      </c>
      <c r="D371" s="79" t="s">
        <v>1159</v>
      </c>
      <c r="E371" s="83"/>
      <c r="F371" s="79" t="s">
        <v>21</v>
      </c>
      <c r="G371" s="79">
        <v>14.0</v>
      </c>
      <c r="H371" s="79" t="s">
        <v>22</v>
      </c>
      <c r="I371" s="80">
        <v>1.0</v>
      </c>
      <c r="J371" s="81"/>
      <c r="K371" s="80">
        <v>0.0</v>
      </c>
      <c r="L371" s="80">
        <v>0.0</v>
      </c>
      <c r="M371" s="80">
        <v>0.0</v>
      </c>
      <c r="N371" s="80">
        <v>0.0</v>
      </c>
      <c r="O371" s="83"/>
    </row>
    <row r="372">
      <c r="A372" s="80" t="s">
        <v>1178</v>
      </c>
      <c r="B372" s="79" t="s">
        <v>1160</v>
      </c>
      <c r="C372" s="79" t="s">
        <v>18</v>
      </c>
      <c r="D372" s="79" t="s">
        <v>1095</v>
      </c>
      <c r="E372" s="83"/>
      <c r="F372" s="79">
        <v>36.0</v>
      </c>
      <c r="G372" s="79" t="s">
        <v>21</v>
      </c>
      <c r="H372" s="79" t="s">
        <v>22</v>
      </c>
      <c r="I372" s="80">
        <v>1.0</v>
      </c>
      <c r="J372" s="81"/>
      <c r="K372" s="80">
        <v>915.75</v>
      </c>
      <c r="L372" s="80">
        <v>915.75</v>
      </c>
      <c r="M372" s="80">
        <v>0.0</v>
      </c>
      <c r="N372" s="80">
        <v>915.75</v>
      </c>
      <c r="O372" s="79" t="s">
        <v>26</v>
      </c>
    </row>
    <row r="373">
      <c r="A373" s="80" t="s">
        <v>1179</v>
      </c>
      <c r="B373" s="79" t="s">
        <v>1161</v>
      </c>
      <c r="C373" s="79" t="s">
        <v>18</v>
      </c>
      <c r="D373" s="79" t="s">
        <v>1162</v>
      </c>
      <c r="E373" s="83"/>
      <c r="F373" s="79">
        <v>36.0</v>
      </c>
      <c r="G373" s="79" t="s">
        <v>21</v>
      </c>
      <c r="H373" s="79" t="s">
        <v>22</v>
      </c>
      <c r="I373" s="80">
        <v>1.0</v>
      </c>
      <c r="J373" s="81"/>
      <c r="K373" s="82">
        <v>4437.29</v>
      </c>
      <c r="L373" s="82">
        <v>4437.29</v>
      </c>
      <c r="M373" s="80">
        <v>0.0</v>
      </c>
      <c r="N373" s="82">
        <v>4437.29</v>
      </c>
      <c r="O373" s="83"/>
    </row>
    <row r="374">
      <c r="A374" s="80">
        <v>17.2</v>
      </c>
      <c r="B374" s="79" t="s">
        <v>1025</v>
      </c>
      <c r="C374" s="79" t="s">
        <v>29</v>
      </c>
      <c r="D374" s="79" t="s">
        <v>1026</v>
      </c>
      <c r="E374" s="83"/>
      <c r="F374" s="79" t="s">
        <v>21</v>
      </c>
      <c r="G374" s="79">
        <v>14.0</v>
      </c>
      <c r="H374" s="79" t="s">
        <v>29</v>
      </c>
      <c r="I374" s="80">
        <v>1.0</v>
      </c>
      <c r="J374" s="81"/>
      <c r="K374" s="80">
        <v>0.0</v>
      </c>
      <c r="L374" s="80">
        <v>0.0</v>
      </c>
      <c r="M374" s="80">
        <v>0.0</v>
      </c>
      <c r="N374" s="80">
        <v>0.0</v>
      </c>
      <c r="O374" s="83"/>
    </row>
    <row r="375">
      <c r="A375" s="80" t="s">
        <v>1180</v>
      </c>
      <c r="B375" s="79" t="s">
        <v>1027</v>
      </c>
      <c r="C375" s="79" t="s">
        <v>18</v>
      </c>
      <c r="D375" s="79" t="s">
        <v>1028</v>
      </c>
      <c r="E375" s="83"/>
      <c r="F375" s="79">
        <v>36.0</v>
      </c>
      <c r="G375" s="79" t="s">
        <v>21</v>
      </c>
      <c r="H375" s="79" t="s">
        <v>22</v>
      </c>
      <c r="I375" s="80">
        <v>1.0</v>
      </c>
      <c r="J375" s="81"/>
      <c r="K375" s="80">
        <v>0.0</v>
      </c>
      <c r="L375" s="80">
        <v>0.0</v>
      </c>
      <c r="M375" s="80">
        <v>0.0</v>
      </c>
      <c r="N375" s="80">
        <v>0.0</v>
      </c>
      <c r="O375" s="83"/>
    </row>
    <row r="376">
      <c r="A376" s="80">
        <v>17.3</v>
      </c>
      <c r="B376" s="79" t="s">
        <v>1021</v>
      </c>
      <c r="C376" s="79" t="s">
        <v>29</v>
      </c>
      <c r="D376" s="79" t="s">
        <v>1022</v>
      </c>
      <c r="E376" s="83"/>
      <c r="F376" s="79" t="s">
        <v>21</v>
      </c>
      <c r="G376" s="79">
        <v>14.0</v>
      </c>
      <c r="H376" s="79" t="s">
        <v>29</v>
      </c>
      <c r="I376" s="80">
        <v>1.0</v>
      </c>
      <c r="J376" s="81"/>
      <c r="K376" s="80">
        <v>0.0</v>
      </c>
      <c r="L376" s="80">
        <v>0.0</v>
      </c>
      <c r="M376" s="80">
        <v>0.0</v>
      </c>
      <c r="N376" s="80">
        <v>0.0</v>
      </c>
      <c r="O376" s="83"/>
    </row>
    <row r="377">
      <c r="A377" s="80" t="s">
        <v>1181</v>
      </c>
      <c r="B377" s="79" t="s">
        <v>1023</v>
      </c>
      <c r="C377" s="79" t="s">
        <v>18</v>
      </c>
      <c r="D377" s="79" t="s">
        <v>1024</v>
      </c>
      <c r="E377" s="83"/>
      <c r="F377" s="79">
        <v>36.0</v>
      </c>
      <c r="G377" s="79" t="s">
        <v>21</v>
      </c>
      <c r="H377" s="79" t="s">
        <v>22</v>
      </c>
      <c r="I377" s="80">
        <v>1.0</v>
      </c>
      <c r="J377" s="81"/>
      <c r="K377" s="80">
        <v>0.0</v>
      </c>
      <c r="L377" s="80">
        <v>0.0</v>
      </c>
      <c r="M377" s="80">
        <v>0.0</v>
      </c>
      <c r="N377" s="80">
        <v>0.0</v>
      </c>
      <c r="O377" s="83"/>
    </row>
    <row r="378">
      <c r="A378" s="80">
        <v>17.4</v>
      </c>
      <c r="B378" s="79" t="s">
        <v>1164</v>
      </c>
      <c r="C378" s="79" t="s">
        <v>29</v>
      </c>
      <c r="D378" s="79" t="s">
        <v>1165</v>
      </c>
      <c r="E378" s="83"/>
      <c r="F378" s="79" t="s">
        <v>21</v>
      </c>
      <c r="G378" s="79">
        <v>14.0</v>
      </c>
      <c r="H378" s="79" t="s">
        <v>29</v>
      </c>
      <c r="I378" s="80">
        <v>1.0</v>
      </c>
      <c r="J378" s="81"/>
      <c r="K378" s="80">
        <v>0.0</v>
      </c>
      <c r="L378" s="80">
        <v>0.0</v>
      </c>
      <c r="M378" s="80">
        <v>0.0</v>
      </c>
      <c r="N378" s="80">
        <v>0.0</v>
      </c>
      <c r="O378" s="83"/>
    </row>
    <row r="379">
      <c r="A379" s="80">
        <v>17.5</v>
      </c>
      <c r="B379" s="79" t="s">
        <v>1117</v>
      </c>
      <c r="C379" s="79" t="s">
        <v>18</v>
      </c>
      <c r="D379" s="79" t="s">
        <v>1118</v>
      </c>
      <c r="E379" s="83"/>
      <c r="F379" s="79" t="s">
        <v>21</v>
      </c>
      <c r="G379" s="79">
        <v>14.0</v>
      </c>
      <c r="H379" s="79" t="s">
        <v>22</v>
      </c>
      <c r="I379" s="80">
        <v>1.0</v>
      </c>
      <c r="J379" s="81"/>
      <c r="K379" s="80">
        <v>0.0</v>
      </c>
      <c r="L379" s="80">
        <v>0.0</v>
      </c>
      <c r="M379" s="80">
        <v>0.0</v>
      </c>
      <c r="N379" s="80">
        <v>0.0</v>
      </c>
      <c r="O379" s="83"/>
    </row>
    <row r="380">
      <c r="A380" s="80">
        <v>17.6</v>
      </c>
      <c r="B380" s="79" t="s">
        <v>1126</v>
      </c>
      <c r="C380" s="79" t="s">
        <v>18</v>
      </c>
      <c r="D380" s="79" t="s">
        <v>1127</v>
      </c>
      <c r="E380" s="83"/>
      <c r="F380" s="79" t="s">
        <v>21</v>
      </c>
      <c r="G380" s="79">
        <v>14.0</v>
      </c>
      <c r="H380" s="79" t="s">
        <v>29</v>
      </c>
      <c r="I380" s="80">
        <v>1.0</v>
      </c>
      <c r="J380" s="81"/>
      <c r="K380" s="80">
        <v>0.0</v>
      </c>
      <c r="L380" s="80">
        <v>0.0</v>
      </c>
      <c r="M380" s="80">
        <v>0.0</v>
      </c>
      <c r="N380" s="80">
        <v>0.0</v>
      </c>
      <c r="O380" s="83"/>
    </row>
    <row r="381">
      <c r="A381" s="80">
        <v>17.7</v>
      </c>
      <c r="B381" s="79" t="s">
        <v>1102</v>
      </c>
      <c r="C381" s="79" t="s">
        <v>18</v>
      </c>
      <c r="D381" s="79" t="s">
        <v>1042</v>
      </c>
      <c r="E381" s="83"/>
      <c r="F381" s="79" t="s">
        <v>21</v>
      </c>
      <c r="G381" s="79">
        <v>14.0</v>
      </c>
      <c r="H381" s="79" t="s">
        <v>22</v>
      </c>
      <c r="I381" s="80">
        <v>1.0</v>
      </c>
      <c r="J381" s="81"/>
      <c r="K381" s="80">
        <v>0.0</v>
      </c>
      <c r="L381" s="80">
        <v>0.0</v>
      </c>
      <c r="M381" s="80">
        <v>0.0</v>
      </c>
      <c r="N381" s="80">
        <v>0.0</v>
      </c>
      <c r="O381" s="83"/>
    </row>
    <row r="382">
      <c r="A382" s="80">
        <v>17.8</v>
      </c>
      <c r="B382" s="79" t="s">
        <v>872</v>
      </c>
      <c r="C382" s="79" t="s">
        <v>18</v>
      </c>
      <c r="D382" s="79" t="s">
        <v>873</v>
      </c>
      <c r="E382" s="83"/>
      <c r="F382" s="79" t="s">
        <v>21</v>
      </c>
      <c r="G382" s="79">
        <v>14.0</v>
      </c>
      <c r="H382" s="79" t="s">
        <v>22</v>
      </c>
      <c r="I382" s="80">
        <v>1.0</v>
      </c>
      <c r="J382" s="81"/>
      <c r="K382" s="80">
        <v>0.0</v>
      </c>
      <c r="L382" s="80">
        <v>0.0</v>
      </c>
      <c r="M382" s="80">
        <v>0.0</v>
      </c>
      <c r="N382" s="80">
        <v>0.0</v>
      </c>
      <c r="O382" s="83"/>
    </row>
    <row r="383">
      <c r="A383" s="80">
        <v>17.9</v>
      </c>
      <c r="B383" s="79" t="s">
        <v>1043</v>
      </c>
      <c r="C383" s="79" t="s">
        <v>18</v>
      </c>
      <c r="D383" s="79" t="s">
        <v>1044</v>
      </c>
      <c r="E383" s="83"/>
      <c r="F383" s="79" t="s">
        <v>21</v>
      </c>
      <c r="G383" s="79">
        <v>14.0</v>
      </c>
      <c r="H383" s="79" t="s">
        <v>22</v>
      </c>
      <c r="I383" s="80">
        <v>1.0</v>
      </c>
      <c r="J383" s="81"/>
      <c r="K383" s="82">
        <v>2806.4</v>
      </c>
      <c r="L383" s="82">
        <v>2806.4</v>
      </c>
      <c r="M383" s="80">
        <v>0.0</v>
      </c>
      <c r="N383" s="82">
        <v>2806.4</v>
      </c>
      <c r="O383" s="83"/>
    </row>
    <row r="384">
      <c r="A384" s="80">
        <v>17.1</v>
      </c>
      <c r="B384" s="79" t="s">
        <v>1103</v>
      </c>
      <c r="C384" s="79" t="s">
        <v>18</v>
      </c>
      <c r="D384" s="79" t="s">
        <v>1104</v>
      </c>
      <c r="E384" s="83"/>
      <c r="F384" s="79" t="s">
        <v>21</v>
      </c>
      <c r="G384" s="79">
        <v>14.0</v>
      </c>
      <c r="H384" s="79" t="s">
        <v>22</v>
      </c>
      <c r="I384" s="80">
        <v>1.0</v>
      </c>
      <c r="J384" s="81"/>
      <c r="K384" s="80">
        <v>121.7</v>
      </c>
      <c r="L384" s="80">
        <v>121.7</v>
      </c>
      <c r="M384" s="80">
        <v>0.0</v>
      </c>
      <c r="N384" s="80">
        <v>121.7</v>
      </c>
      <c r="O384" s="83"/>
    </row>
    <row r="385">
      <c r="A385" s="80">
        <v>17.11</v>
      </c>
      <c r="B385" s="79" t="s">
        <v>1105</v>
      </c>
      <c r="C385" s="79" t="s">
        <v>18</v>
      </c>
      <c r="D385" s="79" t="s">
        <v>1106</v>
      </c>
      <c r="E385" s="83"/>
      <c r="F385" s="79" t="s">
        <v>21</v>
      </c>
      <c r="G385" s="79">
        <v>14.0</v>
      </c>
      <c r="H385" s="79" t="s">
        <v>22</v>
      </c>
      <c r="I385" s="80">
        <v>1.0</v>
      </c>
      <c r="J385" s="81"/>
      <c r="K385" s="80">
        <v>115.62</v>
      </c>
      <c r="L385" s="80">
        <v>115.62</v>
      </c>
      <c r="M385" s="80">
        <v>0.0</v>
      </c>
      <c r="N385" s="80">
        <v>115.62</v>
      </c>
      <c r="O385" s="83"/>
    </row>
    <row r="386">
      <c r="A386" s="80">
        <v>17.12</v>
      </c>
      <c r="B386" s="79" t="s">
        <v>1033</v>
      </c>
      <c r="C386" s="79" t="s">
        <v>18</v>
      </c>
      <c r="D386" s="79" t="s">
        <v>1034</v>
      </c>
      <c r="E386" s="83"/>
      <c r="F386" s="79" t="s">
        <v>21</v>
      </c>
      <c r="G386" s="79">
        <v>14.0</v>
      </c>
      <c r="H386" s="79" t="s">
        <v>29</v>
      </c>
      <c r="I386" s="80">
        <v>1.0</v>
      </c>
      <c r="J386" s="81"/>
      <c r="K386" s="80">
        <v>0.0</v>
      </c>
      <c r="L386" s="80">
        <v>0.0</v>
      </c>
      <c r="M386" s="80">
        <v>0.0</v>
      </c>
      <c r="N386" s="80">
        <v>0.0</v>
      </c>
      <c r="O386" s="83"/>
    </row>
    <row r="387">
      <c r="A387" s="80">
        <v>17.13</v>
      </c>
      <c r="B387" s="79" t="s">
        <v>1049</v>
      </c>
      <c r="C387" s="79" t="s">
        <v>18</v>
      </c>
      <c r="D387" s="79" t="s">
        <v>1050</v>
      </c>
      <c r="E387" s="83"/>
      <c r="F387" s="79" t="s">
        <v>21</v>
      </c>
      <c r="G387" s="79">
        <v>14.0</v>
      </c>
      <c r="H387" s="79" t="s">
        <v>29</v>
      </c>
      <c r="I387" s="80">
        <v>1.0</v>
      </c>
      <c r="J387" s="81"/>
      <c r="K387" s="80">
        <v>0.0</v>
      </c>
      <c r="L387" s="80">
        <v>0.0</v>
      </c>
      <c r="M387" s="80">
        <v>0.0</v>
      </c>
      <c r="N387" s="80">
        <v>0.0</v>
      </c>
      <c r="O387" s="83"/>
    </row>
    <row r="388">
      <c r="A388" s="80">
        <v>17.14</v>
      </c>
      <c r="B388" s="79" t="s">
        <v>876</v>
      </c>
      <c r="C388" s="79" t="s">
        <v>18</v>
      </c>
      <c r="D388" s="79" t="s">
        <v>877</v>
      </c>
      <c r="E388" s="83"/>
      <c r="F388" s="79" t="s">
        <v>21</v>
      </c>
      <c r="G388" s="79">
        <v>14.0</v>
      </c>
      <c r="H388" s="79" t="s">
        <v>29</v>
      </c>
      <c r="I388" s="80">
        <v>1.0</v>
      </c>
      <c r="J388" s="81"/>
      <c r="K388" s="80">
        <v>0.0</v>
      </c>
      <c r="L388" s="80">
        <v>0.0</v>
      </c>
      <c r="M388" s="80">
        <v>0.0</v>
      </c>
      <c r="N388" s="80">
        <v>0.0</v>
      </c>
      <c r="O388" s="83"/>
    </row>
    <row r="389">
      <c r="A389" s="80">
        <v>17.15</v>
      </c>
      <c r="B389" s="79" t="s">
        <v>878</v>
      </c>
      <c r="C389" s="79" t="s">
        <v>18</v>
      </c>
      <c r="D389" s="79" t="s">
        <v>879</v>
      </c>
      <c r="E389" s="83"/>
      <c r="F389" s="79" t="s">
        <v>21</v>
      </c>
      <c r="G389" s="79">
        <v>14.0</v>
      </c>
      <c r="H389" s="79" t="s">
        <v>29</v>
      </c>
      <c r="I389" s="80">
        <v>1.0</v>
      </c>
      <c r="J389" s="81"/>
      <c r="K389" s="80">
        <v>0.0</v>
      </c>
      <c r="L389" s="80">
        <v>0.0</v>
      </c>
      <c r="M389" s="80">
        <v>0.0</v>
      </c>
      <c r="N389" s="80">
        <v>0.0</v>
      </c>
      <c r="O389" s="83"/>
    </row>
    <row r="390">
      <c r="A390" s="80">
        <v>17.16</v>
      </c>
      <c r="B390" s="79" t="s">
        <v>880</v>
      </c>
      <c r="C390" s="79" t="s">
        <v>18</v>
      </c>
      <c r="D390" s="79" t="s">
        <v>881</v>
      </c>
      <c r="E390" s="83"/>
      <c r="F390" s="79" t="s">
        <v>21</v>
      </c>
      <c r="G390" s="79">
        <v>14.0</v>
      </c>
      <c r="H390" s="79" t="s">
        <v>29</v>
      </c>
      <c r="I390" s="80">
        <v>1.0</v>
      </c>
      <c r="J390" s="81"/>
      <c r="K390" s="80">
        <v>0.0</v>
      </c>
      <c r="L390" s="80">
        <v>0.0</v>
      </c>
      <c r="M390" s="80">
        <v>0.0</v>
      </c>
      <c r="N390" s="80">
        <v>0.0</v>
      </c>
      <c r="O390" s="83"/>
    </row>
    <row r="391">
      <c r="A391" s="80">
        <v>17.17</v>
      </c>
      <c r="B391" s="79" t="s">
        <v>1107</v>
      </c>
      <c r="C391" s="79" t="s">
        <v>18</v>
      </c>
      <c r="D391" s="79" t="s">
        <v>1108</v>
      </c>
      <c r="E391" s="83"/>
      <c r="F391" s="79" t="s">
        <v>21</v>
      </c>
      <c r="G391" s="79">
        <v>14.0</v>
      </c>
      <c r="H391" s="79" t="s">
        <v>22</v>
      </c>
      <c r="I391" s="80">
        <v>1.0</v>
      </c>
      <c r="J391" s="81"/>
      <c r="K391" s="82">
        <v>3103.4</v>
      </c>
      <c r="L391" s="82">
        <v>3103.4</v>
      </c>
      <c r="M391" s="80">
        <v>0.0</v>
      </c>
      <c r="N391" s="82">
        <v>3103.4</v>
      </c>
      <c r="O391" s="83"/>
    </row>
    <row r="392">
      <c r="A392" s="80">
        <v>17.18</v>
      </c>
      <c r="B392" s="79" t="s">
        <v>59</v>
      </c>
      <c r="C392" s="79" t="s">
        <v>29</v>
      </c>
      <c r="D392" s="79" t="s">
        <v>60</v>
      </c>
      <c r="E392" s="83"/>
      <c r="F392" s="79" t="s">
        <v>21</v>
      </c>
      <c r="G392" s="79">
        <v>2.0</v>
      </c>
      <c r="H392" s="79" t="s">
        <v>29</v>
      </c>
      <c r="I392" s="80">
        <v>1.0</v>
      </c>
      <c r="J392" s="81"/>
      <c r="K392" s="80">
        <v>0.0</v>
      </c>
      <c r="L392" s="80">
        <v>0.0</v>
      </c>
      <c r="M392" s="80">
        <v>0.0</v>
      </c>
      <c r="N392" s="80">
        <v>0.0</v>
      </c>
      <c r="O392" s="83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5" t="s">
        <v>63</v>
      </c>
      <c r="N393" s="86">
        <v>30632.82</v>
      </c>
      <c r="O393" s="87"/>
    </row>
    <row r="394">
      <c r="A394" s="78">
        <v>18.0</v>
      </c>
      <c r="B394" s="78" t="s">
        <v>1182</v>
      </c>
      <c r="C394" s="79" t="s">
        <v>18</v>
      </c>
      <c r="D394" s="79" t="s">
        <v>1183</v>
      </c>
      <c r="E394" s="79" t="s">
        <v>20</v>
      </c>
      <c r="F394" s="79" t="s">
        <v>21</v>
      </c>
      <c r="G394" s="79">
        <v>14.0</v>
      </c>
      <c r="H394" s="79" t="s">
        <v>22</v>
      </c>
      <c r="I394" s="80">
        <v>1.0</v>
      </c>
      <c r="J394" s="81"/>
      <c r="K394" s="82">
        <v>15328.13</v>
      </c>
      <c r="L394" s="82">
        <v>15328.13</v>
      </c>
      <c r="M394" s="80">
        <v>0.0</v>
      </c>
      <c r="N394" s="82">
        <v>15328.13</v>
      </c>
      <c r="O394" s="83"/>
    </row>
    <row r="395">
      <c r="A395" s="80" t="s">
        <v>411</v>
      </c>
      <c r="B395" s="79" t="s">
        <v>1184</v>
      </c>
      <c r="C395" s="79" t="s">
        <v>18</v>
      </c>
      <c r="D395" s="79" t="s">
        <v>1185</v>
      </c>
      <c r="E395" s="83"/>
      <c r="F395" s="79">
        <v>36.0</v>
      </c>
      <c r="G395" s="79" t="s">
        <v>21</v>
      </c>
      <c r="H395" s="79" t="s">
        <v>22</v>
      </c>
      <c r="I395" s="80">
        <v>1.0</v>
      </c>
      <c r="J395" s="81"/>
      <c r="K395" s="82">
        <v>4772.64</v>
      </c>
      <c r="L395" s="82">
        <v>4772.64</v>
      </c>
      <c r="M395" s="80">
        <v>0.0</v>
      </c>
      <c r="N395" s="82">
        <v>4772.64</v>
      </c>
      <c r="O395" s="79" t="s">
        <v>26</v>
      </c>
    </row>
    <row r="396">
      <c r="A396" s="80">
        <v>18.1</v>
      </c>
      <c r="B396" s="79" t="s">
        <v>1164</v>
      </c>
      <c r="C396" s="79" t="s">
        <v>29</v>
      </c>
      <c r="D396" s="79" t="s">
        <v>1165</v>
      </c>
      <c r="E396" s="83"/>
      <c r="F396" s="79" t="s">
        <v>21</v>
      </c>
      <c r="G396" s="79">
        <v>14.0</v>
      </c>
      <c r="H396" s="79" t="s">
        <v>29</v>
      </c>
      <c r="I396" s="80">
        <v>1.0</v>
      </c>
      <c r="J396" s="81"/>
      <c r="K396" s="80">
        <v>0.0</v>
      </c>
      <c r="L396" s="80">
        <v>0.0</v>
      </c>
      <c r="M396" s="80">
        <v>0.0</v>
      </c>
      <c r="N396" s="80">
        <v>0.0</v>
      </c>
      <c r="O396" s="83"/>
    </row>
    <row r="397">
      <c r="A397" s="80">
        <v>18.2</v>
      </c>
      <c r="B397" s="79" t="s">
        <v>1125</v>
      </c>
      <c r="C397" s="79" t="s">
        <v>18</v>
      </c>
      <c r="D397" s="79" t="s">
        <v>1030</v>
      </c>
      <c r="E397" s="83"/>
      <c r="F397" s="79" t="s">
        <v>21</v>
      </c>
      <c r="G397" s="79">
        <v>14.0</v>
      </c>
      <c r="H397" s="79" t="s">
        <v>29</v>
      </c>
      <c r="I397" s="80">
        <v>1.0</v>
      </c>
      <c r="J397" s="81"/>
      <c r="K397" s="80">
        <v>0.0</v>
      </c>
      <c r="L397" s="80">
        <v>0.0</v>
      </c>
      <c r="M397" s="80">
        <v>0.0</v>
      </c>
      <c r="N397" s="80">
        <v>0.0</v>
      </c>
      <c r="O397" s="83"/>
    </row>
    <row r="398">
      <c r="A398" s="80">
        <v>18.3</v>
      </c>
      <c r="B398" s="79" t="s">
        <v>1126</v>
      </c>
      <c r="C398" s="79" t="s">
        <v>18</v>
      </c>
      <c r="D398" s="79" t="s">
        <v>1127</v>
      </c>
      <c r="E398" s="83"/>
      <c r="F398" s="79" t="s">
        <v>21</v>
      </c>
      <c r="G398" s="79">
        <v>14.0</v>
      </c>
      <c r="H398" s="79" t="s">
        <v>29</v>
      </c>
      <c r="I398" s="80">
        <v>1.0</v>
      </c>
      <c r="J398" s="81"/>
      <c r="K398" s="80">
        <v>0.0</v>
      </c>
      <c r="L398" s="80">
        <v>0.0</v>
      </c>
      <c r="M398" s="80">
        <v>0.0</v>
      </c>
      <c r="N398" s="80">
        <v>0.0</v>
      </c>
      <c r="O398" s="83"/>
    </row>
    <row r="399">
      <c r="A399" s="80">
        <v>18.4</v>
      </c>
      <c r="B399" s="79" t="s">
        <v>1102</v>
      </c>
      <c r="C399" s="79" t="s">
        <v>18</v>
      </c>
      <c r="D399" s="79" t="s">
        <v>1042</v>
      </c>
      <c r="E399" s="83"/>
      <c r="F399" s="79" t="s">
        <v>21</v>
      </c>
      <c r="G399" s="79">
        <v>14.0</v>
      </c>
      <c r="H399" s="79" t="s">
        <v>22</v>
      </c>
      <c r="I399" s="80">
        <v>1.0</v>
      </c>
      <c r="J399" s="81"/>
      <c r="K399" s="80">
        <v>0.0</v>
      </c>
      <c r="L399" s="80">
        <v>0.0</v>
      </c>
      <c r="M399" s="80">
        <v>0.0</v>
      </c>
      <c r="N399" s="80">
        <v>0.0</v>
      </c>
      <c r="O399" s="83"/>
    </row>
    <row r="400">
      <c r="A400" s="80">
        <v>18.5</v>
      </c>
      <c r="B400" s="79" t="s">
        <v>872</v>
      </c>
      <c r="C400" s="79" t="s">
        <v>18</v>
      </c>
      <c r="D400" s="79" t="s">
        <v>873</v>
      </c>
      <c r="E400" s="83"/>
      <c r="F400" s="79" t="s">
        <v>21</v>
      </c>
      <c r="G400" s="79">
        <v>14.0</v>
      </c>
      <c r="H400" s="79" t="s">
        <v>22</v>
      </c>
      <c r="I400" s="80">
        <v>1.0</v>
      </c>
      <c r="J400" s="81"/>
      <c r="K400" s="80">
        <v>0.0</v>
      </c>
      <c r="L400" s="80">
        <v>0.0</v>
      </c>
      <c r="M400" s="80">
        <v>0.0</v>
      </c>
      <c r="N400" s="80">
        <v>0.0</v>
      </c>
      <c r="O400" s="83"/>
    </row>
    <row r="401">
      <c r="A401" s="80">
        <v>18.6</v>
      </c>
      <c r="B401" s="79" t="s">
        <v>1043</v>
      </c>
      <c r="C401" s="79" t="s">
        <v>18</v>
      </c>
      <c r="D401" s="79" t="s">
        <v>1044</v>
      </c>
      <c r="E401" s="83"/>
      <c r="F401" s="79" t="s">
        <v>21</v>
      </c>
      <c r="G401" s="79">
        <v>14.0</v>
      </c>
      <c r="H401" s="79" t="s">
        <v>22</v>
      </c>
      <c r="I401" s="80">
        <v>1.0</v>
      </c>
      <c r="J401" s="81"/>
      <c r="K401" s="82">
        <v>2806.4</v>
      </c>
      <c r="L401" s="82">
        <v>2806.4</v>
      </c>
      <c r="M401" s="80">
        <v>0.0</v>
      </c>
      <c r="N401" s="82">
        <v>2806.4</v>
      </c>
      <c r="O401" s="83"/>
    </row>
    <row r="402">
      <c r="A402" s="80">
        <v>18.7</v>
      </c>
      <c r="B402" s="79" t="s">
        <v>1103</v>
      </c>
      <c r="C402" s="79" t="s">
        <v>18</v>
      </c>
      <c r="D402" s="79" t="s">
        <v>1104</v>
      </c>
      <c r="E402" s="83"/>
      <c r="F402" s="79" t="s">
        <v>21</v>
      </c>
      <c r="G402" s="79">
        <v>14.0</v>
      </c>
      <c r="H402" s="79" t="s">
        <v>22</v>
      </c>
      <c r="I402" s="80">
        <v>1.0</v>
      </c>
      <c r="J402" s="81"/>
      <c r="K402" s="80">
        <v>121.7</v>
      </c>
      <c r="L402" s="80">
        <v>121.7</v>
      </c>
      <c r="M402" s="80">
        <v>0.0</v>
      </c>
      <c r="N402" s="80">
        <v>121.7</v>
      </c>
      <c r="O402" s="83"/>
    </row>
    <row r="403">
      <c r="A403" s="80">
        <v>18.8</v>
      </c>
      <c r="B403" s="79" t="s">
        <v>1105</v>
      </c>
      <c r="C403" s="79" t="s">
        <v>18</v>
      </c>
      <c r="D403" s="79" t="s">
        <v>1106</v>
      </c>
      <c r="E403" s="83"/>
      <c r="F403" s="79" t="s">
        <v>21</v>
      </c>
      <c r="G403" s="79">
        <v>14.0</v>
      </c>
      <c r="H403" s="79" t="s">
        <v>22</v>
      </c>
      <c r="I403" s="80">
        <v>1.0</v>
      </c>
      <c r="J403" s="81"/>
      <c r="K403" s="80">
        <v>115.62</v>
      </c>
      <c r="L403" s="80">
        <v>115.62</v>
      </c>
      <c r="M403" s="80">
        <v>0.0</v>
      </c>
      <c r="N403" s="80">
        <v>115.62</v>
      </c>
      <c r="O403" s="83"/>
    </row>
    <row r="404">
      <c r="A404" s="80">
        <v>18.9</v>
      </c>
      <c r="B404" s="79" t="s">
        <v>1053</v>
      </c>
      <c r="C404" s="79" t="s">
        <v>18</v>
      </c>
      <c r="D404" s="79" t="s">
        <v>1054</v>
      </c>
      <c r="E404" s="83"/>
      <c r="F404" s="79" t="s">
        <v>21</v>
      </c>
      <c r="G404" s="79">
        <v>14.0</v>
      </c>
      <c r="H404" s="79" t="s">
        <v>22</v>
      </c>
      <c r="I404" s="80">
        <v>1.0</v>
      </c>
      <c r="J404" s="81"/>
      <c r="K404" s="80">
        <v>0.0</v>
      </c>
      <c r="L404" s="80">
        <v>0.0</v>
      </c>
      <c r="M404" s="80">
        <v>0.0</v>
      </c>
      <c r="N404" s="80">
        <v>0.0</v>
      </c>
      <c r="O404" s="83"/>
    </row>
    <row r="405">
      <c r="A405" s="80">
        <v>18.1</v>
      </c>
      <c r="B405" s="79" t="s">
        <v>1033</v>
      </c>
      <c r="C405" s="79" t="s">
        <v>18</v>
      </c>
      <c r="D405" s="79" t="s">
        <v>1034</v>
      </c>
      <c r="E405" s="83"/>
      <c r="F405" s="79" t="s">
        <v>21</v>
      </c>
      <c r="G405" s="79">
        <v>14.0</v>
      </c>
      <c r="H405" s="79" t="s">
        <v>29</v>
      </c>
      <c r="I405" s="80">
        <v>1.0</v>
      </c>
      <c r="J405" s="81"/>
      <c r="K405" s="80">
        <v>0.0</v>
      </c>
      <c r="L405" s="80">
        <v>0.0</v>
      </c>
      <c r="M405" s="80">
        <v>0.0</v>
      </c>
      <c r="N405" s="80">
        <v>0.0</v>
      </c>
      <c r="O405" s="83"/>
    </row>
    <row r="406">
      <c r="A406" s="80">
        <v>18.11</v>
      </c>
      <c r="B406" s="79" t="s">
        <v>1049</v>
      </c>
      <c r="C406" s="79" t="s">
        <v>18</v>
      </c>
      <c r="D406" s="79" t="s">
        <v>1050</v>
      </c>
      <c r="E406" s="83"/>
      <c r="F406" s="79" t="s">
        <v>21</v>
      </c>
      <c r="G406" s="79">
        <v>14.0</v>
      </c>
      <c r="H406" s="79" t="s">
        <v>29</v>
      </c>
      <c r="I406" s="80">
        <v>1.0</v>
      </c>
      <c r="J406" s="81"/>
      <c r="K406" s="80">
        <v>0.0</v>
      </c>
      <c r="L406" s="80">
        <v>0.0</v>
      </c>
      <c r="M406" s="80">
        <v>0.0</v>
      </c>
      <c r="N406" s="80">
        <v>0.0</v>
      </c>
      <c r="O406" s="83"/>
    </row>
    <row r="407">
      <c r="A407" s="80">
        <v>18.12</v>
      </c>
      <c r="B407" s="79" t="s">
        <v>1132</v>
      </c>
      <c r="C407" s="79" t="s">
        <v>18</v>
      </c>
      <c r="D407" s="79" t="s">
        <v>1133</v>
      </c>
      <c r="E407" s="83"/>
      <c r="F407" s="79" t="s">
        <v>21</v>
      </c>
      <c r="G407" s="79">
        <v>14.0</v>
      </c>
      <c r="H407" s="79" t="s">
        <v>29</v>
      </c>
      <c r="I407" s="80">
        <v>1.0</v>
      </c>
      <c r="J407" s="81"/>
      <c r="K407" s="80">
        <v>0.0</v>
      </c>
      <c r="L407" s="80">
        <v>0.0</v>
      </c>
      <c r="M407" s="80">
        <v>0.0</v>
      </c>
      <c r="N407" s="80">
        <v>0.0</v>
      </c>
      <c r="O407" s="83"/>
    </row>
    <row r="408">
      <c r="A408" s="80">
        <v>18.13</v>
      </c>
      <c r="B408" s="79" t="s">
        <v>1158</v>
      </c>
      <c r="C408" s="79" t="s">
        <v>29</v>
      </c>
      <c r="D408" s="79" t="s">
        <v>1159</v>
      </c>
      <c r="E408" s="83"/>
      <c r="F408" s="79" t="s">
        <v>21</v>
      </c>
      <c r="G408" s="79">
        <v>14.0</v>
      </c>
      <c r="H408" s="79" t="s">
        <v>22</v>
      </c>
      <c r="I408" s="80">
        <v>1.0</v>
      </c>
      <c r="J408" s="81"/>
      <c r="K408" s="80">
        <v>0.0</v>
      </c>
      <c r="L408" s="80">
        <v>0.0</v>
      </c>
      <c r="M408" s="80">
        <v>0.0</v>
      </c>
      <c r="N408" s="80">
        <v>0.0</v>
      </c>
      <c r="O408" s="83"/>
    </row>
    <row r="409">
      <c r="A409" s="80" t="s">
        <v>1186</v>
      </c>
      <c r="B409" s="79" t="s">
        <v>1160</v>
      </c>
      <c r="C409" s="79" t="s">
        <v>18</v>
      </c>
      <c r="D409" s="79" t="s">
        <v>1095</v>
      </c>
      <c r="E409" s="83"/>
      <c r="F409" s="79">
        <v>36.0</v>
      </c>
      <c r="G409" s="79" t="s">
        <v>21</v>
      </c>
      <c r="H409" s="79" t="s">
        <v>22</v>
      </c>
      <c r="I409" s="80">
        <v>1.0</v>
      </c>
      <c r="J409" s="81"/>
      <c r="K409" s="80">
        <v>915.75</v>
      </c>
      <c r="L409" s="80">
        <v>915.75</v>
      </c>
      <c r="M409" s="80">
        <v>0.0</v>
      </c>
      <c r="N409" s="80">
        <v>915.75</v>
      </c>
      <c r="O409" s="79" t="s">
        <v>26</v>
      </c>
    </row>
    <row r="410">
      <c r="A410" s="80" t="s">
        <v>1187</v>
      </c>
      <c r="B410" s="79" t="s">
        <v>1161</v>
      </c>
      <c r="C410" s="79" t="s">
        <v>18</v>
      </c>
      <c r="D410" s="79" t="s">
        <v>1162</v>
      </c>
      <c r="E410" s="83"/>
      <c r="F410" s="79">
        <v>36.0</v>
      </c>
      <c r="G410" s="79" t="s">
        <v>21</v>
      </c>
      <c r="H410" s="79" t="s">
        <v>22</v>
      </c>
      <c r="I410" s="80">
        <v>1.0</v>
      </c>
      <c r="J410" s="81"/>
      <c r="K410" s="82">
        <v>4437.29</v>
      </c>
      <c r="L410" s="82">
        <v>4437.29</v>
      </c>
      <c r="M410" s="80">
        <v>0.0</v>
      </c>
      <c r="N410" s="82">
        <v>4437.29</v>
      </c>
      <c r="O410" s="83"/>
    </row>
    <row r="411">
      <c r="A411" s="80">
        <v>18.14</v>
      </c>
      <c r="B411" s="79" t="s">
        <v>1025</v>
      </c>
      <c r="C411" s="79" t="s">
        <v>29</v>
      </c>
      <c r="D411" s="79" t="s">
        <v>1026</v>
      </c>
      <c r="E411" s="83"/>
      <c r="F411" s="79" t="s">
        <v>21</v>
      </c>
      <c r="G411" s="79">
        <v>14.0</v>
      </c>
      <c r="H411" s="79" t="s">
        <v>29</v>
      </c>
      <c r="I411" s="80">
        <v>1.0</v>
      </c>
      <c r="J411" s="81"/>
      <c r="K411" s="80">
        <v>0.0</v>
      </c>
      <c r="L411" s="80">
        <v>0.0</v>
      </c>
      <c r="M411" s="80">
        <v>0.0</v>
      </c>
      <c r="N411" s="80">
        <v>0.0</v>
      </c>
      <c r="O411" s="83"/>
    </row>
    <row r="412">
      <c r="A412" s="80" t="s">
        <v>1188</v>
      </c>
      <c r="B412" s="79" t="s">
        <v>1027</v>
      </c>
      <c r="C412" s="79" t="s">
        <v>18</v>
      </c>
      <c r="D412" s="79" t="s">
        <v>1028</v>
      </c>
      <c r="E412" s="83"/>
      <c r="F412" s="79">
        <v>36.0</v>
      </c>
      <c r="G412" s="79" t="s">
        <v>21</v>
      </c>
      <c r="H412" s="79" t="s">
        <v>22</v>
      </c>
      <c r="I412" s="80">
        <v>1.0</v>
      </c>
      <c r="J412" s="81"/>
      <c r="K412" s="80">
        <v>0.0</v>
      </c>
      <c r="L412" s="80">
        <v>0.0</v>
      </c>
      <c r="M412" s="80">
        <v>0.0</v>
      </c>
      <c r="N412" s="80">
        <v>0.0</v>
      </c>
      <c r="O412" s="83"/>
    </row>
    <row r="413">
      <c r="A413" s="80">
        <v>18.15</v>
      </c>
      <c r="B413" s="79" t="s">
        <v>1021</v>
      </c>
      <c r="C413" s="79" t="s">
        <v>29</v>
      </c>
      <c r="D413" s="79" t="s">
        <v>1022</v>
      </c>
      <c r="E413" s="83"/>
      <c r="F413" s="79" t="s">
        <v>21</v>
      </c>
      <c r="G413" s="79">
        <v>14.0</v>
      </c>
      <c r="H413" s="79" t="s">
        <v>29</v>
      </c>
      <c r="I413" s="80">
        <v>1.0</v>
      </c>
      <c r="J413" s="81"/>
      <c r="K413" s="80">
        <v>0.0</v>
      </c>
      <c r="L413" s="80">
        <v>0.0</v>
      </c>
      <c r="M413" s="80">
        <v>0.0</v>
      </c>
      <c r="N413" s="80">
        <v>0.0</v>
      </c>
      <c r="O413" s="83"/>
    </row>
    <row r="414">
      <c r="A414" s="80" t="s">
        <v>1189</v>
      </c>
      <c r="B414" s="79" t="s">
        <v>1023</v>
      </c>
      <c r="C414" s="79" t="s">
        <v>18</v>
      </c>
      <c r="D414" s="79" t="s">
        <v>1024</v>
      </c>
      <c r="E414" s="83"/>
      <c r="F414" s="79">
        <v>36.0</v>
      </c>
      <c r="G414" s="79" t="s">
        <v>21</v>
      </c>
      <c r="H414" s="79" t="s">
        <v>22</v>
      </c>
      <c r="I414" s="80">
        <v>1.0</v>
      </c>
      <c r="J414" s="81"/>
      <c r="K414" s="80">
        <v>0.0</v>
      </c>
      <c r="L414" s="80">
        <v>0.0</v>
      </c>
      <c r="M414" s="80">
        <v>0.0</v>
      </c>
      <c r="N414" s="80">
        <v>0.0</v>
      </c>
      <c r="O414" s="83"/>
    </row>
    <row r="415">
      <c r="A415" s="80">
        <v>18.16</v>
      </c>
      <c r="B415" s="79" t="s">
        <v>1107</v>
      </c>
      <c r="C415" s="79" t="s">
        <v>18</v>
      </c>
      <c r="D415" s="79" t="s">
        <v>1108</v>
      </c>
      <c r="E415" s="83"/>
      <c r="F415" s="79" t="s">
        <v>21</v>
      </c>
      <c r="G415" s="79">
        <v>14.0</v>
      </c>
      <c r="H415" s="79" t="s">
        <v>22</v>
      </c>
      <c r="I415" s="80">
        <v>1.0</v>
      </c>
      <c r="J415" s="81"/>
      <c r="K415" s="82">
        <v>3103.4</v>
      </c>
      <c r="L415" s="82">
        <v>3103.4</v>
      </c>
      <c r="M415" s="80">
        <v>0.0</v>
      </c>
      <c r="N415" s="82">
        <v>3103.4</v>
      </c>
      <c r="O415" s="83"/>
    </row>
    <row r="416">
      <c r="A416" s="80">
        <v>18.17</v>
      </c>
      <c r="B416" s="79" t="s">
        <v>59</v>
      </c>
      <c r="C416" s="79" t="s">
        <v>29</v>
      </c>
      <c r="D416" s="79" t="s">
        <v>60</v>
      </c>
      <c r="E416" s="83"/>
      <c r="F416" s="79" t="s">
        <v>21</v>
      </c>
      <c r="G416" s="79">
        <v>2.0</v>
      </c>
      <c r="H416" s="79" t="s">
        <v>29</v>
      </c>
      <c r="I416" s="80">
        <v>1.0</v>
      </c>
      <c r="J416" s="81"/>
      <c r="K416" s="80">
        <v>0.0</v>
      </c>
      <c r="L416" s="80">
        <v>0.0</v>
      </c>
      <c r="M416" s="80">
        <v>0.0</v>
      </c>
      <c r="N416" s="80">
        <v>0.0</v>
      </c>
      <c r="O416" s="83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5" t="s">
        <v>63</v>
      </c>
      <c r="N417" s="86">
        <v>31600.93</v>
      </c>
      <c r="O417" s="87"/>
    </row>
    <row r="418">
      <c r="A418" s="78">
        <v>19.0</v>
      </c>
      <c r="B418" s="78" t="s">
        <v>1190</v>
      </c>
      <c r="C418" s="79" t="s">
        <v>18</v>
      </c>
      <c r="D418" s="79" t="s">
        <v>1191</v>
      </c>
      <c r="E418" s="79" t="s">
        <v>20</v>
      </c>
      <c r="F418" s="79" t="s">
        <v>21</v>
      </c>
      <c r="G418" s="79">
        <v>14.0</v>
      </c>
      <c r="H418" s="79" t="s">
        <v>22</v>
      </c>
      <c r="I418" s="80">
        <v>1.0</v>
      </c>
      <c r="J418" s="81"/>
      <c r="K418" s="82">
        <v>33830.27</v>
      </c>
      <c r="L418" s="82">
        <v>33830.27</v>
      </c>
      <c r="M418" s="80">
        <v>0.0</v>
      </c>
      <c r="N418" s="82">
        <v>33830.27</v>
      </c>
      <c r="O418" s="83"/>
    </row>
    <row r="419">
      <c r="A419" s="80" t="s">
        <v>418</v>
      </c>
      <c r="B419" s="79" t="s">
        <v>1192</v>
      </c>
      <c r="C419" s="79" t="s">
        <v>18</v>
      </c>
      <c r="D419" s="79" t="s">
        <v>1193</v>
      </c>
      <c r="E419" s="83"/>
      <c r="F419" s="79">
        <v>36.0</v>
      </c>
      <c r="G419" s="79" t="s">
        <v>21</v>
      </c>
      <c r="H419" s="79" t="s">
        <v>22</v>
      </c>
      <c r="I419" s="80">
        <v>1.0</v>
      </c>
      <c r="J419" s="81"/>
      <c r="K419" s="82">
        <v>10531.14</v>
      </c>
      <c r="L419" s="82">
        <v>10531.14</v>
      </c>
      <c r="M419" s="80">
        <v>0.0</v>
      </c>
      <c r="N419" s="82">
        <v>10531.14</v>
      </c>
      <c r="O419" s="79" t="s">
        <v>26</v>
      </c>
    </row>
    <row r="420">
      <c r="A420" s="80">
        <v>19.1</v>
      </c>
      <c r="B420" s="79" t="s">
        <v>1164</v>
      </c>
      <c r="C420" s="79" t="s">
        <v>29</v>
      </c>
      <c r="D420" s="79" t="s">
        <v>1165</v>
      </c>
      <c r="E420" s="83"/>
      <c r="F420" s="79" t="s">
        <v>21</v>
      </c>
      <c r="G420" s="79">
        <v>14.0</v>
      </c>
      <c r="H420" s="79" t="s">
        <v>29</v>
      </c>
      <c r="I420" s="80">
        <v>1.0</v>
      </c>
      <c r="J420" s="81"/>
      <c r="K420" s="80">
        <v>0.0</v>
      </c>
      <c r="L420" s="80">
        <v>0.0</v>
      </c>
      <c r="M420" s="80">
        <v>0.0</v>
      </c>
      <c r="N420" s="80">
        <v>0.0</v>
      </c>
      <c r="O420" s="83"/>
    </row>
    <row r="421">
      <c r="A421" s="80">
        <v>19.2</v>
      </c>
      <c r="B421" s="79" t="s">
        <v>1143</v>
      </c>
      <c r="C421" s="79" t="s">
        <v>18</v>
      </c>
      <c r="D421" s="79" t="s">
        <v>1030</v>
      </c>
      <c r="E421" s="83"/>
      <c r="F421" s="79" t="s">
        <v>21</v>
      </c>
      <c r="G421" s="79">
        <v>14.0</v>
      </c>
      <c r="H421" s="79" t="s">
        <v>29</v>
      </c>
      <c r="I421" s="80">
        <v>1.0</v>
      </c>
      <c r="J421" s="81"/>
      <c r="K421" s="80">
        <v>0.0</v>
      </c>
      <c r="L421" s="80">
        <v>0.0</v>
      </c>
      <c r="M421" s="80">
        <v>0.0</v>
      </c>
      <c r="N421" s="80">
        <v>0.0</v>
      </c>
      <c r="O421" s="83"/>
    </row>
    <row r="422">
      <c r="A422" s="80">
        <v>19.3</v>
      </c>
      <c r="B422" s="79" t="s">
        <v>1033</v>
      </c>
      <c r="C422" s="79" t="s">
        <v>18</v>
      </c>
      <c r="D422" s="79" t="s">
        <v>1034</v>
      </c>
      <c r="E422" s="83"/>
      <c r="F422" s="79" t="s">
        <v>21</v>
      </c>
      <c r="G422" s="79">
        <v>14.0</v>
      </c>
      <c r="H422" s="79" t="s">
        <v>29</v>
      </c>
      <c r="I422" s="80">
        <v>1.0</v>
      </c>
      <c r="J422" s="81"/>
      <c r="K422" s="80">
        <v>0.0</v>
      </c>
      <c r="L422" s="80">
        <v>0.0</v>
      </c>
      <c r="M422" s="80">
        <v>0.0</v>
      </c>
      <c r="N422" s="80">
        <v>0.0</v>
      </c>
      <c r="O422" s="83"/>
    </row>
    <row r="423">
      <c r="A423" s="80">
        <v>19.4</v>
      </c>
      <c r="B423" s="79" t="s">
        <v>1049</v>
      </c>
      <c r="C423" s="79" t="s">
        <v>18</v>
      </c>
      <c r="D423" s="79" t="s">
        <v>1050</v>
      </c>
      <c r="E423" s="83"/>
      <c r="F423" s="79" t="s">
        <v>21</v>
      </c>
      <c r="G423" s="79">
        <v>14.0</v>
      </c>
      <c r="H423" s="79" t="s">
        <v>29</v>
      </c>
      <c r="I423" s="80">
        <v>1.0</v>
      </c>
      <c r="J423" s="81"/>
      <c r="K423" s="80">
        <v>0.0</v>
      </c>
      <c r="L423" s="80">
        <v>0.0</v>
      </c>
      <c r="M423" s="80">
        <v>0.0</v>
      </c>
      <c r="N423" s="80">
        <v>0.0</v>
      </c>
      <c r="O423" s="83"/>
    </row>
    <row r="424">
      <c r="A424" s="80">
        <v>19.5</v>
      </c>
      <c r="B424" s="79" t="s">
        <v>1051</v>
      </c>
      <c r="C424" s="79" t="s">
        <v>18</v>
      </c>
      <c r="D424" s="79" t="s">
        <v>1052</v>
      </c>
      <c r="E424" s="83"/>
      <c r="F424" s="79" t="s">
        <v>21</v>
      </c>
      <c r="G424" s="79">
        <v>14.0</v>
      </c>
      <c r="H424" s="79" t="s">
        <v>29</v>
      </c>
      <c r="I424" s="80">
        <v>1.0</v>
      </c>
      <c r="J424" s="81"/>
      <c r="K424" s="80">
        <v>0.0</v>
      </c>
      <c r="L424" s="80">
        <v>0.0</v>
      </c>
      <c r="M424" s="80">
        <v>0.0</v>
      </c>
      <c r="N424" s="80">
        <v>0.0</v>
      </c>
      <c r="O424" s="83"/>
    </row>
    <row r="425">
      <c r="A425" s="80">
        <v>19.6</v>
      </c>
      <c r="B425" s="79" t="s">
        <v>1102</v>
      </c>
      <c r="C425" s="79" t="s">
        <v>18</v>
      </c>
      <c r="D425" s="79" t="s">
        <v>1042</v>
      </c>
      <c r="E425" s="83"/>
      <c r="F425" s="79" t="s">
        <v>21</v>
      </c>
      <c r="G425" s="79">
        <v>14.0</v>
      </c>
      <c r="H425" s="79" t="s">
        <v>29</v>
      </c>
      <c r="I425" s="80">
        <v>1.0</v>
      </c>
      <c r="J425" s="81"/>
      <c r="K425" s="80">
        <v>0.0</v>
      </c>
      <c r="L425" s="80">
        <v>0.0</v>
      </c>
      <c r="M425" s="80">
        <v>0.0</v>
      </c>
      <c r="N425" s="80">
        <v>0.0</v>
      </c>
      <c r="O425" s="83"/>
    </row>
    <row r="426">
      <c r="A426" s="80">
        <v>19.7</v>
      </c>
      <c r="B426" s="79" t="s">
        <v>872</v>
      </c>
      <c r="C426" s="79" t="s">
        <v>18</v>
      </c>
      <c r="D426" s="79" t="s">
        <v>873</v>
      </c>
      <c r="E426" s="83"/>
      <c r="F426" s="79" t="s">
        <v>21</v>
      </c>
      <c r="G426" s="79">
        <v>14.0</v>
      </c>
      <c r="H426" s="79" t="s">
        <v>22</v>
      </c>
      <c r="I426" s="80">
        <v>1.0</v>
      </c>
      <c r="J426" s="81"/>
      <c r="K426" s="80">
        <v>0.0</v>
      </c>
      <c r="L426" s="80">
        <v>0.0</v>
      </c>
      <c r="M426" s="80">
        <v>0.0</v>
      </c>
      <c r="N426" s="80">
        <v>0.0</v>
      </c>
      <c r="O426" s="83"/>
    </row>
    <row r="427">
      <c r="A427" s="80">
        <v>19.8</v>
      </c>
      <c r="B427" s="79" t="s">
        <v>1107</v>
      </c>
      <c r="C427" s="79" t="s">
        <v>18</v>
      </c>
      <c r="D427" s="79" t="s">
        <v>1108</v>
      </c>
      <c r="E427" s="83"/>
      <c r="F427" s="79" t="s">
        <v>21</v>
      </c>
      <c r="G427" s="79">
        <v>14.0</v>
      </c>
      <c r="H427" s="79" t="s">
        <v>22</v>
      </c>
      <c r="I427" s="80">
        <v>1.0</v>
      </c>
      <c r="J427" s="81"/>
      <c r="K427" s="82">
        <v>3103.4</v>
      </c>
      <c r="L427" s="82">
        <v>3103.4</v>
      </c>
      <c r="M427" s="80">
        <v>0.0</v>
      </c>
      <c r="N427" s="82">
        <v>3103.4</v>
      </c>
      <c r="O427" s="83"/>
    </row>
    <row r="428">
      <c r="A428" s="80">
        <v>19.9</v>
      </c>
      <c r="B428" s="79" t="s">
        <v>1103</v>
      </c>
      <c r="C428" s="79" t="s">
        <v>18</v>
      </c>
      <c r="D428" s="79" t="s">
        <v>1104</v>
      </c>
      <c r="E428" s="83"/>
      <c r="F428" s="79" t="s">
        <v>21</v>
      </c>
      <c r="G428" s="79">
        <v>14.0</v>
      </c>
      <c r="H428" s="79" t="s">
        <v>22</v>
      </c>
      <c r="I428" s="80">
        <v>1.0</v>
      </c>
      <c r="J428" s="81"/>
      <c r="K428" s="80">
        <v>121.7</v>
      </c>
      <c r="L428" s="80">
        <v>121.7</v>
      </c>
      <c r="M428" s="80">
        <v>0.0</v>
      </c>
      <c r="N428" s="80">
        <v>121.7</v>
      </c>
      <c r="O428" s="83"/>
    </row>
    <row r="429">
      <c r="A429" s="80">
        <v>19.1</v>
      </c>
      <c r="B429" s="79" t="s">
        <v>1144</v>
      </c>
      <c r="C429" s="79" t="s">
        <v>18</v>
      </c>
      <c r="D429" s="79" t="s">
        <v>1145</v>
      </c>
      <c r="E429" s="83"/>
      <c r="F429" s="79" t="s">
        <v>21</v>
      </c>
      <c r="G429" s="79">
        <v>14.0</v>
      </c>
      <c r="H429" s="79" t="s">
        <v>22</v>
      </c>
      <c r="I429" s="80">
        <v>1.0</v>
      </c>
      <c r="J429" s="81"/>
      <c r="K429" s="80">
        <v>121.7</v>
      </c>
      <c r="L429" s="80">
        <v>121.7</v>
      </c>
      <c r="M429" s="80">
        <v>0.0</v>
      </c>
      <c r="N429" s="80">
        <v>121.7</v>
      </c>
      <c r="O429" s="83"/>
    </row>
    <row r="430">
      <c r="A430" s="80">
        <v>19.11</v>
      </c>
      <c r="B430" s="79" t="s">
        <v>1043</v>
      </c>
      <c r="C430" s="79" t="s">
        <v>18</v>
      </c>
      <c r="D430" s="79" t="s">
        <v>1044</v>
      </c>
      <c r="E430" s="83"/>
      <c r="F430" s="79" t="s">
        <v>21</v>
      </c>
      <c r="G430" s="79">
        <v>14.0</v>
      </c>
      <c r="H430" s="79" t="s">
        <v>22</v>
      </c>
      <c r="I430" s="80">
        <v>1.0</v>
      </c>
      <c r="J430" s="81"/>
      <c r="K430" s="82">
        <v>2806.4</v>
      </c>
      <c r="L430" s="82">
        <v>2806.4</v>
      </c>
      <c r="M430" s="80">
        <v>0.0</v>
      </c>
      <c r="N430" s="82">
        <v>2806.4</v>
      </c>
      <c r="O430" s="83"/>
    </row>
    <row r="431">
      <c r="A431" s="80">
        <v>19.12</v>
      </c>
      <c r="B431" s="79" t="s">
        <v>876</v>
      </c>
      <c r="C431" s="79" t="s">
        <v>18</v>
      </c>
      <c r="D431" s="79" t="s">
        <v>877</v>
      </c>
      <c r="E431" s="83"/>
      <c r="F431" s="79" t="s">
        <v>21</v>
      </c>
      <c r="G431" s="79">
        <v>14.0</v>
      </c>
      <c r="H431" s="79" t="s">
        <v>29</v>
      </c>
      <c r="I431" s="80">
        <v>1.0</v>
      </c>
      <c r="J431" s="81"/>
      <c r="K431" s="80">
        <v>0.0</v>
      </c>
      <c r="L431" s="80">
        <v>0.0</v>
      </c>
      <c r="M431" s="80">
        <v>0.0</v>
      </c>
      <c r="N431" s="80">
        <v>0.0</v>
      </c>
      <c r="O431" s="83"/>
    </row>
    <row r="432">
      <c r="A432" s="80">
        <v>19.13</v>
      </c>
      <c r="B432" s="79" t="s">
        <v>878</v>
      </c>
      <c r="C432" s="79" t="s">
        <v>18</v>
      </c>
      <c r="D432" s="79" t="s">
        <v>879</v>
      </c>
      <c r="E432" s="83"/>
      <c r="F432" s="79" t="s">
        <v>21</v>
      </c>
      <c r="G432" s="79">
        <v>14.0</v>
      </c>
      <c r="H432" s="79" t="s">
        <v>29</v>
      </c>
      <c r="I432" s="80">
        <v>1.0</v>
      </c>
      <c r="J432" s="81"/>
      <c r="K432" s="80">
        <v>0.0</v>
      </c>
      <c r="L432" s="80">
        <v>0.0</v>
      </c>
      <c r="M432" s="80">
        <v>0.0</v>
      </c>
      <c r="N432" s="80">
        <v>0.0</v>
      </c>
      <c r="O432" s="83"/>
    </row>
    <row r="433">
      <c r="A433" s="80">
        <v>19.14</v>
      </c>
      <c r="B433" s="79" t="s">
        <v>880</v>
      </c>
      <c r="C433" s="79" t="s">
        <v>18</v>
      </c>
      <c r="D433" s="79" t="s">
        <v>881</v>
      </c>
      <c r="E433" s="83"/>
      <c r="F433" s="79" t="s">
        <v>21</v>
      </c>
      <c r="G433" s="79">
        <v>14.0</v>
      </c>
      <c r="H433" s="79" t="s">
        <v>29</v>
      </c>
      <c r="I433" s="80">
        <v>1.0</v>
      </c>
      <c r="J433" s="81"/>
      <c r="K433" s="80">
        <v>0.0</v>
      </c>
      <c r="L433" s="80">
        <v>0.0</v>
      </c>
      <c r="M433" s="80">
        <v>0.0</v>
      </c>
      <c r="N433" s="80">
        <v>0.0</v>
      </c>
      <c r="O433" s="83"/>
    </row>
    <row r="434">
      <c r="A434" s="80">
        <v>19.15</v>
      </c>
      <c r="B434" s="79" t="s">
        <v>1194</v>
      </c>
      <c r="C434" s="79" t="s">
        <v>29</v>
      </c>
      <c r="D434" s="79" t="s">
        <v>1195</v>
      </c>
      <c r="E434" s="83"/>
      <c r="F434" s="79" t="s">
        <v>21</v>
      </c>
      <c r="G434" s="79">
        <v>14.0</v>
      </c>
      <c r="H434" s="79" t="s">
        <v>22</v>
      </c>
      <c r="I434" s="80">
        <v>1.0</v>
      </c>
      <c r="J434" s="81"/>
      <c r="K434" s="80">
        <v>0.0</v>
      </c>
      <c r="L434" s="80">
        <v>0.0</v>
      </c>
      <c r="M434" s="80">
        <v>0.0</v>
      </c>
      <c r="N434" s="80">
        <v>0.0</v>
      </c>
      <c r="O434" s="83"/>
    </row>
    <row r="435">
      <c r="A435" s="80" t="s">
        <v>1196</v>
      </c>
      <c r="B435" s="79" t="s">
        <v>1197</v>
      </c>
      <c r="C435" s="79" t="s">
        <v>18</v>
      </c>
      <c r="D435" s="79" t="s">
        <v>1095</v>
      </c>
      <c r="E435" s="83"/>
      <c r="F435" s="79">
        <v>36.0</v>
      </c>
      <c r="G435" s="79" t="s">
        <v>21</v>
      </c>
      <c r="H435" s="79" t="s">
        <v>22</v>
      </c>
      <c r="I435" s="80">
        <v>1.0</v>
      </c>
      <c r="J435" s="81"/>
      <c r="K435" s="80">
        <v>915.75</v>
      </c>
      <c r="L435" s="80">
        <v>915.75</v>
      </c>
      <c r="M435" s="80">
        <v>0.0</v>
      </c>
      <c r="N435" s="80">
        <v>915.75</v>
      </c>
      <c r="O435" s="79" t="s">
        <v>26</v>
      </c>
    </row>
    <row r="436">
      <c r="A436" s="80" t="s">
        <v>1198</v>
      </c>
      <c r="B436" s="79" t="s">
        <v>1199</v>
      </c>
      <c r="C436" s="79" t="s">
        <v>18</v>
      </c>
      <c r="D436" s="79" t="s">
        <v>1200</v>
      </c>
      <c r="E436" s="83"/>
      <c r="F436" s="79">
        <v>36.0</v>
      </c>
      <c r="G436" s="79" t="s">
        <v>21</v>
      </c>
      <c r="H436" s="79" t="s">
        <v>22</v>
      </c>
      <c r="I436" s="80">
        <v>1.0</v>
      </c>
      <c r="J436" s="81"/>
      <c r="K436" s="82">
        <v>4437.29</v>
      </c>
      <c r="L436" s="82">
        <v>4437.29</v>
      </c>
      <c r="M436" s="80">
        <v>0.0</v>
      </c>
      <c r="N436" s="82">
        <v>4437.29</v>
      </c>
      <c r="O436" s="83"/>
    </row>
    <row r="437">
      <c r="A437" s="80">
        <v>19.16</v>
      </c>
      <c r="B437" s="79" t="s">
        <v>1021</v>
      </c>
      <c r="C437" s="79" t="s">
        <v>29</v>
      </c>
      <c r="D437" s="79" t="s">
        <v>1022</v>
      </c>
      <c r="E437" s="83"/>
      <c r="F437" s="79" t="s">
        <v>21</v>
      </c>
      <c r="G437" s="79">
        <v>14.0</v>
      </c>
      <c r="H437" s="79" t="s">
        <v>29</v>
      </c>
      <c r="I437" s="80">
        <v>1.0</v>
      </c>
      <c r="J437" s="81"/>
      <c r="K437" s="80">
        <v>0.0</v>
      </c>
      <c r="L437" s="80">
        <v>0.0</v>
      </c>
      <c r="M437" s="80">
        <v>0.0</v>
      </c>
      <c r="N437" s="80">
        <v>0.0</v>
      </c>
      <c r="O437" s="83"/>
    </row>
    <row r="438">
      <c r="A438" s="80" t="s">
        <v>1201</v>
      </c>
      <c r="B438" s="79" t="s">
        <v>1023</v>
      </c>
      <c r="C438" s="79" t="s">
        <v>18</v>
      </c>
      <c r="D438" s="79" t="s">
        <v>1024</v>
      </c>
      <c r="E438" s="83"/>
      <c r="F438" s="79">
        <v>36.0</v>
      </c>
      <c r="G438" s="79" t="s">
        <v>21</v>
      </c>
      <c r="H438" s="79" t="s">
        <v>22</v>
      </c>
      <c r="I438" s="80">
        <v>1.0</v>
      </c>
      <c r="J438" s="81"/>
      <c r="K438" s="80">
        <v>0.0</v>
      </c>
      <c r="L438" s="80">
        <v>0.0</v>
      </c>
      <c r="M438" s="80">
        <v>0.0</v>
      </c>
      <c r="N438" s="80">
        <v>0.0</v>
      </c>
      <c r="O438" s="83"/>
    </row>
    <row r="439">
      <c r="A439" s="80">
        <v>19.17</v>
      </c>
      <c r="B439" s="79" t="s">
        <v>1025</v>
      </c>
      <c r="C439" s="79" t="s">
        <v>29</v>
      </c>
      <c r="D439" s="79" t="s">
        <v>1026</v>
      </c>
      <c r="E439" s="83"/>
      <c r="F439" s="79" t="s">
        <v>21</v>
      </c>
      <c r="G439" s="79">
        <v>14.0</v>
      </c>
      <c r="H439" s="79" t="s">
        <v>29</v>
      </c>
      <c r="I439" s="80">
        <v>1.0</v>
      </c>
      <c r="J439" s="81"/>
      <c r="K439" s="80">
        <v>0.0</v>
      </c>
      <c r="L439" s="80">
        <v>0.0</v>
      </c>
      <c r="M439" s="80">
        <v>0.0</v>
      </c>
      <c r="N439" s="80">
        <v>0.0</v>
      </c>
      <c r="O439" s="83"/>
    </row>
    <row r="440">
      <c r="A440" s="80" t="s">
        <v>1202</v>
      </c>
      <c r="B440" s="79" t="s">
        <v>1027</v>
      </c>
      <c r="C440" s="79" t="s">
        <v>18</v>
      </c>
      <c r="D440" s="79" t="s">
        <v>1028</v>
      </c>
      <c r="E440" s="83"/>
      <c r="F440" s="79">
        <v>36.0</v>
      </c>
      <c r="G440" s="79" t="s">
        <v>21</v>
      </c>
      <c r="H440" s="79" t="s">
        <v>22</v>
      </c>
      <c r="I440" s="80">
        <v>1.0</v>
      </c>
      <c r="J440" s="81"/>
      <c r="K440" s="80">
        <v>0.0</v>
      </c>
      <c r="L440" s="80">
        <v>0.0</v>
      </c>
      <c r="M440" s="80">
        <v>0.0</v>
      </c>
      <c r="N440" s="80">
        <v>0.0</v>
      </c>
      <c r="O440" s="83"/>
    </row>
    <row r="441">
      <c r="A441" s="80">
        <v>19.18</v>
      </c>
      <c r="B441" s="79" t="s">
        <v>59</v>
      </c>
      <c r="C441" s="79" t="s">
        <v>29</v>
      </c>
      <c r="D441" s="79" t="s">
        <v>60</v>
      </c>
      <c r="E441" s="83"/>
      <c r="F441" s="79" t="s">
        <v>21</v>
      </c>
      <c r="G441" s="79">
        <v>2.0</v>
      </c>
      <c r="H441" s="79" t="s">
        <v>29</v>
      </c>
      <c r="I441" s="80">
        <v>1.0</v>
      </c>
      <c r="J441" s="81"/>
      <c r="K441" s="80">
        <v>0.0</v>
      </c>
      <c r="L441" s="80">
        <v>0.0</v>
      </c>
      <c r="M441" s="80">
        <v>0.0</v>
      </c>
      <c r="N441" s="80">
        <v>0.0</v>
      </c>
      <c r="O441" s="83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5" t="s">
        <v>63</v>
      </c>
      <c r="N442" s="86">
        <v>55867.65</v>
      </c>
      <c r="O442" s="87"/>
    </row>
    <row r="443">
      <c r="A443" s="78">
        <v>20.0</v>
      </c>
      <c r="B443" s="78" t="s">
        <v>1203</v>
      </c>
      <c r="C443" s="79" t="s">
        <v>18</v>
      </c>
      <c r="D443" s="79" t="s">
        <v>1204</v>
      </c>
      <c r="E443" s="79" t="s">
        <v>20</v>
      </c>
      <c r="F443" s="79" t="s">
        <v>21</v>
      </c>
      <c r="G443" s="79">
        <v>14.0</v>
      </c>
      <c r="H443" s="79" t="s">
        <v>22</v>
      </c>
      <c r="I443" s="80">
        <v>1.0</v>
      </c>
      <c r="J443" s="81"/>
      <c r="K443" s="82">
        <v>17465.22</v>
      </c>
      <c r="L443" s="82">
        <v>17465.22</v>
      </c>
      <c r="M443" s="80">
        <v>0.0</v>
      </c>
      <c r="N443" s="82">
        <v>17465.22</v>
      </c>
      <c r="O443" s="83"/>
    </row>
    <row r="444">
      <c r="A444" s="80" t="s">
        <v>811</v>
      </c>
      <c r="B444" s="79" t="s">
        <v>1205</v>
      </c>
      <c r="C444" s="79" t="s">
        <v>18</v>
      </c>
      <c r="D444" s="79" t="s">
        <v>1206</v>
      </c>
      <c r="E444" s="83"/>
      <c r="F444" s="79">
        <v>36.0</v>
      </c>
      <c r="G444" s="79" t="s">
        <v>21</v>
      </c>
      <c r="H444" s="79" t="s">
        <v>22</v>
      </c>
      <c r="I444" s="80">
        <v>1.0</v>
      </c>
      <c r="J444" s="81"/>
      <c r="K444" s="82">
        <v>5436.75</v>
      </c>
      <c r="L444" s="82">
        <v>5436.75</v>
      </c>
      <c r="M444" s="80">
        <v>0.0</v>
      </c>
      <c r="N444" s="82">
        <v>5436.75</v>
      </c>
      <c r="O444" s="79" t="s">
        <v>26</v>
      </c>
    </row>
    <row r="445">
      <c r="A445" s="80">
        <v>20.1</v>
      </c>
      <c r="B445" s="79" t="s">
        <v>1158</v>
      </c>
      <c r="C445" s="79" t="s">
        <v>29</v>
      </c>
      <c r="D445" s="79" t="s">
        <v>1159</v>
      </c>
      <c r="E445" s="83"/>
      <c r="F445" s="79" t="s">
        <v>21</v>
      </c>
      <c r="G445" s="79">
        <v>14.0</v>
      </c>
      <c r="H445" s="79" t="s">
        <v>22</v>
      </c>
      <c r="I445" s="80">
        <v>1.0</v>
      </c>
      <c r="J445" s="81"/>
      <c r="K445" s="80">
        <v>0.0</v>
      </c>
      <c r="L445" s="80">
        <v>0.0</v>
      </c>
      <c r="M445" s="80">
        <v>0.0</v>
      </c>
      <c r="N445" s="80">
        <v>0.0</v>
      </c>
      <c r="O445" s="83"/>
    </row>
    <row r="446">
      <c r="A446" s="80" t="s">
        <v>1207</v>
      </c>
      <c r="B446" s="79" t="s">
        <v>1160</v>
      </c>
      <c r="C446" s="79" t="s">
        <v>18</v>
      </c>
      <c r="D446" s="79" t="s">
        <v>1095</v>
      </c>
      <c r="E446" s="83"/>
      <c r="F446" s="79">
        <v>36.0</v>
      </c>
      <c r="G446" s="79" t="s">
        <v>21</v>
      </c>
      <c r="H446" s="79" t="s">
        <v>22</v>
      </c>
      <c r="I446" s="80">
        <v>1.0</v>
      </c>
      <c r="J446" s="81"/>
      <c r="K446" s="80">
        <v>915.75</v>
      </c>
      <c r="L446" s="80">
        <v>915.75</v>
      </c>
      <c r="M446" s="80">
        <v>0.0</v>
      </c>
      <c r="N446" s="80">
        <v>915.75</v>
      </c>
      <c r="O446" s="79" t="s">
        <v>26</v>
      </c>
    </row>
    <row r="447">
      <c r="A447" s="80" t="s">
        <v>1208</v>
      </c>
      <c r="B447" s="79" t="s">
        <v>1161</v>
      </c>
      <c r="C447" s="79" t="s">
        <v>18</v>
      </c>
      <c r="D447" s="79" t="s">
        <v>1162</v>
      </c>
      <c r="E447" s="83"/>
      <c r="F447" s="79">
        <v>36.0</v>
      </c>
      <c r="G447" s="79" t="s">
        <v>21</v>
      </c>
      <c r="H447" s="79" t="s">
        <v>22</v>
      </c>
      <c r="I447" s="80">
        <v>1.0</v>
      </c>
      <c r="J447" s="81"/>
      <c r="K447" s="82">
        <v>4437.29</v>
      </c>
      <c r="L447" s="82">
        <v>4437.29</v>
      </c>
      <c r="M447" s="80">
        <v>0.0</v>
      </c>
      <c r="N447" s="82">
        <v>4437.29</v>
      </c>
      <c r="O447" s="83"/>
    </row>
    <row r="448">
      <c r="A448" s="80">
        <v>20.2</v>
      </c>
      <c r="B448" s="79" t="s">
        <v>1021</v>
      </c>
      <c r="C448" s="79" t="s">
        <v>29</v>
      </c>
      <c r="D448" s="79" t="s">
        <v>1022</v>
      </c>
      <c r="E448" s="83"/>
      <c r="F448" s="79" t="s">
        <v>21</v>
      </c>
      <c r="G448" s="79">
        <v>14.0</v>
      </c>
      <c r="H448" s="79" t="s">
        <v>29</v>
      </c>
      <c r="I448" s="80">
        <v>1.0</v>
      </c>
      <c r="J448" s="81"/>
      <c r="K448" s="80">
        <v>0.0</v>
      </c>
      <c r="L448" s="80">
        <v>0.0</v>
      </c>
      <c r="M448" s="80">
        <v>0.0</v>
      </c>
      <c r="N448" s="80">
        <v>0.0</v>
      </c>
      <c r="O448" s="83"/>
    </row>
    <row r="449">
      <c r="A449" s="80" t="s">
        <v>1209</v>
      </c>
      <c r="B449" s="79" t="s">
        <v>1023</v>
      </c>
      <c r="C449" s="79" t="s">
        <v>18</v>
      </c>
      <c r="D449" s="79" t="s">
        <v>1024</v>
      </c>
      <c r="E449" s="83"/>
      <c r="F449" s="79">
        <v>36.0</v>
      </c>
      <c r="G449" s="79" t="s">
        <v>21</v>
      </c>
      <c r="H449" s="79" t="s">
        <v>22</v>
      </c>
      <c r="I449" s="80">
        <v>1.0</v>
      </c>
      <c r="J449" s="81"/>
      <c r="K449" s="80">
        <v>0.0</v>
      </c>
      <c r="L449" s="80">
        <v>0.0</v>
      </c>
      <c r="M449" s="80">
        <v>0.0</v>
      </c>
      <c r="N449" s="80">
        <v>0.0</v>
      </c>
      <c r="O449" s="83"/>
    </row>
    <row r="450">
      <c r="A450" s="80">
        <v>20.3</v>
      </c>
      <c r="B450" s="79" t="s">
        <v>1025</v>
      </c>
      <c r="C450" s="79" t="s">
        <v>29</v>
      </c>
      <c r="D450" s="79" t="s">
        <v>1026</v>
      </c>
      <c r="E450" s="83"/>
      <c r="F450" s="79" t="s">
        <v>21</v>
      </c>
      <c r="G450" s="79">
        <v>14.0</v>
      </c>
      <c r="H450" s="79" t="s">
        <v>29</v>
      </c>
      <c r="I450" s="80">
        <v>1.0</v>
      </c>
      <c r="J450" s="81"/>
      <c r="K450" s="80">
        <v>0.0</v>
      </c>
      <c r="L450" s="80">
        <v>0.0</v>
      </c>
      <c r="M450" s="80">
        <v>0.0</v>
      </c>
      <c r="N450" s="80">
        <v>0.0</v>
      </c>
      <c r="O450" s="83"/>
    </row>
    <row r="451">
      <c r="A451" s="80" t="s">
        <v>1210</v>
      </c>
      <c r="B451" s="79" t="s">
        <v>1027</v>
      </c>
      <c r="C451" s="79" t="s">
        <v>18</v>
      </c>
      <c r="D451" s="79" t="s">
        <v>1028</v>
      </c>
      <c r="E451" s="83"/>
      <c r="F451" s="79">
        <v>36.0</v>
      </c>
      <c r="G451" s="79" t="s">
        <v>21</v>
      </c>
      <c r="H451" s="79" t="s">
        <v>22</v>
      </c>
      <c r="I451" s="80">
        <v>1.0</v>
      </c>
      <c r="J451" s="81"/>
      <c r="K451" s="80">
        <v>0.0</v>
      </c>
      <c r="L451" s="80">
        <v>0.0</v>
      </c>
      <c r="M451" s="80">
        <v>0.0</v>
      </c>
      <c r="N451" s="80">
        <v>0.0</v>
      </c>
      <c r="O451" s="83"/>
    </row>
    <row r="452">
      <c r="A452" s="80">
        <v>20.4</v>
      </c>
      <c r="B452" s="79" t="s">
        <v>1164</v>
      </c>
      <c r="C452" s="79" t="s">
        <v>29</v>
      </c>
      <c r="D452" s="79" t="s">
        <v>1165</v>
      </c>
      <c r="E452" s="83"/>
      <c r="F452" s="79" t="s">
        <v>21</v>
      </c>
      <c r="G452" s="79">
        <v>14.0</v>
      </c>
      <c r="H452" s="79" t="s">
        <v>29</v>
      </c>
      <c r="I452" s="80">
        <v>1.0</v>
      </c>
      <c r="J452" s="81"/>
      <c r="K452" s="80">
        <v>0.0</v>
      </c>
      <c r="L452" s="80">
        <v>0.0</v>
      </c>
      <c r="M452" s="80">
        <v>0.0</v>
      </c>
      <c r="N452" s="80">
        <v>0.0</v>
      </c>
      <c r="O452" s="83"/>
    </row>
    <row r="453">
      <c r="A453" s="80">
        <v>20.5</v>
      </c>
      <c r="B453" s="79" t="s">
        <v>1143</v>
      </c>
      <c r="C453" s="79" t="s">
        <v>18</v>
      </c>
      <c r="D453" s="79" t="s">
        <v>1030</v>
      </c>
      <c r="E453" s="83"/>
      <c r="F453" s="79" t="s">
        <v>21</v>
      </c>
      <c r="G453" s="79">
        <v>14.0</v>
      </c>
      <c r="H453" s="79" t="s">
        <v>29</v>
      </c>
      <c r="I453" s="80">
        <v>1.0</v>
      </c>
      <c r="J453" s="81"/>
      <c r="K453" s="80">
        <v>0.0</v>
      </c>
      <c r="L453" s="80">
        <v>0.0</v>
      </c>
      <c r="M453" s="80">
        <v>0.0</v>
      </c>
      <c r="N453" s="80">
        <v>0.0</v>
      </c>
      <c r="O453" s="83"/>
    </row>
    <row r="454">
      <c r="A454" s="80">
        <v>20.6</v>
      </c>
      <c r="B454" s="79" t="s">
        <v>1049</v>
      </c>
      <c r="C454" s="79" t="s">
        <v>18</v>
      </c>
      <c r="D454" s="79" t="s">
        <v>1050</v>
      </c>
      <c r="E454" s="83"/>
      <c r="F454" s="79" t="s">
        <v>21</v>
      </c>
      <c r="G454" s="79">
        <v>14.0</v>
      </c>
      <c r="H454" s="79" t="s">
        <v>29</v>
      </c>
      <c r="I454" s="80">
        <v>1.0</v>
      </c>
      <c r="J454" s="81"/>
      <c r="K454" s="80">
        <v>0.0</v>
      </c>
      <c r="L454" s="80">
        <v>0.0</v>
      </c>
      <c r="M454" s="80">
        <v>0.0</v>
      </c>
      <c r="N454" s="80">
        <v>0.0</v>
      </c>
      <c r="O454" s="83"/>
    </row>
    <row r="455">
      <c r="A455" s="80">
        <v>20.7</v>
      </c>
      <c r="B455" s="79" t="s">
        <v>1126</v>
      </c>
      <c r="C455" s="79" t="s">
        <v>18</v>
      </c>
      <c r="D455" s="79" t="s">
        <v>1127</v>
      </c>
      <c r="E455" s="83"/>
      <c r="F455" s="79" t="s">
        <v>21</v>
      </c>
      <c r="G455" s="79">
        <v>14.0</v>
      </c>
      <c r="H455" s="79" t="s">
        <v>29</v>
      </c>
      <c r="I455" s="80">
        <v>1.0</v>
      </c>
      <c r="J455" s="81"/>
      <c r="K455" s="80">
        <v>0.0</v>
      </c>
      <c r="L455" s="80">
        <v>0.0</v>
      </c>
      <c r="M455" s="80">
        <v>0.0</v>
      </c>
      <c r="N455" s="80">
        <v>0.0</v>
      </c>
      <c r="O455" s="83"/>
    </row>
    <row r="456">
      <c r="A456" s="80">
        <v>20.8</v>
      </c>
      <c r="B456" s="79" t="s">
        <v>1152</v>
      </c>
      <c r="C456" s="79" t="s">
        <v>18</v>
      </c>
      <c r="D456" s="79" t="s">
        <v>1153</v>
      </c>
      <c r="E456" s="83"/>
      <c r="F456" s="79" t="s">
        <v>21</v>
      </c>
      <c r="G456" s="79">
        <v>14.0</v>
      </c>
      <c r="H456" s="79" t="s">
        <v>22</v>
      </c>
      <c r="I456" s="80">
        <v>1.0</v>
      </c>
      <c r="J456" s="81"/>
      <c r="K456" s="82">
        <v>2312.33</v>
      </c>
      <c r="L456" s="82">
        <v>2312.33</v>
      </c>
      <c r="M456" s="80">
        <v>0.0</v>
      </c>
      <c r="N456" s="82">
        <v>2312.33</v>
      </c>
      <c r="O456" s="83"/>
    </row>
    <row r="457">
      <c r="A457" s="80">
        <v>20.9</v>
      </c>
      <c r="B457" s="79" t="s">
        <v>872</v>
      </c>
      <c r="C457" s="79" t="s">
        <v>18</v>
      </c>
      <c r="D457" s="79" t="s">
        <v>873</v>
      </c>
      <c r="E457" s="83"/>
      <c r="F457" s="79" t="s">
        <v>21</v>
      </c>
      <c r="G457" s="79">
        <v>14.0</v>
      </c>
      <c r="H457" s="79" t="s">
        <v>22</v>
      </c>
      <c r="I457" s="80">
        <v>2.0</v>
      </c>
      <c r="J457" s="81"/>
      <c r="K457" s="80">
        <v>0.0</v>
      </c>
      <c r="L457" s="80">
        <v>0.0</v>
      </c>
      <c r="M457" s="80">
        <v>0.0</v>
      </c>
      <c r="N457" s="80">
        <v>0.0</v>
      </c>
      <c r="O457" s="83"/>
    </row>
    <row r="458">
      <c r="A458" s="80">
        <v>20.1</v>
      </c>
      <c r="B458" s="79" t="s">
        <v>1103</v>
      </c>
      <c r="C458" s="79" t="s">
        <v>18</v>
      </c>
      <c r="D458" s="79" t="s">
        <v>1104</v>
      </c>
      <c r="E458" s="83"/>
      <c r="F458" s="79" t="s">
        <v>21</v>
      </c>
      <c r="G458" s="79">
        <v>14.0</v>
      </c>
      <c r="H458" s="79" t="s">
        <v>22</v>
      </c>
      <c r="I458" s="80">
        <v>1.0</v>
      </c>
      <c r="J458" s="81"/>
      <c r="K458" s="80">
        <v>121.7</v>
      </c>
      <c r="L458" s="80">
        <v>121.7</v>
      </c>
      <c r="M458" s="80">
        <v>0.0</v>
      </c>
      <c r="N458" s="80">
        <v>121.7</v>
      </c>
      <c r="O458" s="83"/>
    </row>
    <row r="459">
      <c r="A459" s="80">
        <v>20.11</v>
      </c>
      <c r="B459" s="79" t="s">
        <v>1105</v>
      </c>
      <c r="C459" s="79" t="s">
        <v>18</v>
      </c>
      <c r="D459" s="79" t="s">
        <v>1106</v>
      </c>
      <c r="E459" s="83"/>
      <c r="F459" s="79" t="s">
        <v>21</v>
      </c>
      <c r="G459" s="79">
        <v>14.0</v>
      </c>
      <c r="H459" s="79" t="s">
        <v>22</v>
      </c>
      <c r="I459" s="80">
        <v>1.0</v>
      </c>
      <c r="J459" s="81"/>
      <c r="K459" s="80">
        <v>115.62</v>
      </c>
      <c r="L459" s="80">
        <v>115.62</v>
      </c>
      <c r="M459" s="80">
        <v>0.0</v>
      </c>
      <c r="N459" s="80">
        <v>115.62</v>
      </c>
      <c r="O459" s="83"/>
    </row>
    <row r="460">
      <c r="A460" s="80">
        <v>20.12</v>
      </c>
      <c r="B460" s="79" t="s">
        <v>1043</v>
      </c>
      <c r="C460" s="79" t="s">
        <v>18</v>
      </c>
      <c r="D460" s="79" t="s">
        <v>1044</v>
      </c>
      <c r="E460" s="83"/>
      <c r="F460" s="79" t="s">
        <v>21</v>
      </c>
      <c r="G460" s="79">
        <v>14.0</v>
      </c>
      <c r="H460" s="79" t="s">
        <v>22</v>
      </c>
      <c r="I460" s="80">
        <v>1.0</v>
      </c>
      <c r="J460" s="81"/>
      <c r="K460" s="82">
        <v>2806.4</v>
      </c>
      <c r="L460" s="82">
        <v>2806.4</v>
      </c>
      <c r="M460" s="80">
        <v>0.0</v>
      </c>
      <c r="N460" s="82">
        <v>2806.4</v>
      </c>
      <c r="O460" s="83"/>
    </row>
    <row r="461">
      <c r="A461" s="80">
        <v>20.13</v>
      </c>
      <c r="B461" s="79" t="s">
        <v>1053</v>
      </c>
      <c r="C461" s="79" t="s">
        <v>18</v>
      </c>
      <c r="D461" s="79" t="s">
        <v>1054</v>
      </c>
      <c r="E461" s="83"/>
      <c r="F461" s="79" t="s">
        <v>21</v>
      </c>
      <c r="G461" s="79">
        <v>14.0</v>
      </c>
      <c r="H461" s="79" t="s">
        <v>22</v>
      </c>
      <c r="I461" s="80">
        <v>1.0</v>
      </c>
      <c r="J461" s="81"/>
      <c r="K461" s="80">
        <v>0.0</v>
      </c>
      <c r="L461" s="80">
        <v>0.0</v>
      </c>
      <c r="M461" s="80">
        <v>0.0</v>
      </c>
      <c r="N461" s="80">
        <v>0.0</v>
      </c>
      <c r="O461" s="83"/>
    </row>
    <row r="462">
      <c r="A462" s="80">
        <v>20.14</v>
      </c>
      <c r="B462" s="79" t="s">
        <v>1107</v>
      </c>
      <c r="C462" s="79" t="s">
        <v>18</v>
      </c>
      <c r="D462" s="79" t="s">
        <v>1108</v>
      </c>
      <c r="E462" s="83"/>
      <c r="F462" s="79" t="s">
        <v>21</v>
      </c>
      <c r="G462" s="79">
        <v>14.0</v>
      </c>
      <c r="H462" s="79" t="s">
        <v>22</v>
      </c>
      <c r="I462" s="80">
        <v>1.0</v>
      </c>
      <c r="J462" s="81"/>
      <c r="K462" s="82">
        <v>3103.4</v>
      </c>
      <c r="L462" s="82">
        <v>3103.4</v>
      </c>
      <c r="M462" s="80">
        <v>0.0</v>
      </c>
      <c r="N462" s="82">
        <v>3103.4</v>
      </c>
      <c r="O462" s="83"/>
    </row>
    <row r="463">
      <c r="A463" s="80">
        <v>20.15</v>
      </c>
      <c r="B463" s="79" t="s">
        <v>59</v>
      </c>
      <c r="C463" s="79" t="s">
        <v>29</v>
      </c>
      <c r="D463" s="79" t="s">
        <v>60</v>
      </c>
      <c r="E463" s="83"/>
      <c r="F463" s="79" t="s">
        <v>21</v>
      </c>
      <c r="G463" s="79">
        <v>2.0</v>
      </c>
      <c r="H463" s="79" t="s">
        <v>29</v>
      </c>
      <c r="I463" s="80">
        <v>1.0</v>
      </c>
      <c r="J463" s="81"/>
      <c r="K463" s="80">
        <v>0.0</v>
      </c>
      <c r="L463" s="80">
        <v>0.0</v>
      </c>
      <c r="M463" s="80">
        <v>0.0</v>
      </c>
      <c r="N463" s="80">
        <v>0.0</v>
      </c>
      <c r="O463" s="83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5" t="s">
        <v>63</v>
      </c>
      <c r="N464" s="86">
        <v>36714.46</v>
      </c>
      <c r="O464" s="87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5" t="s">
        <v>233</v>
      </c>
      <c r="N465" s="86">
        <v>509037.11</v>
      </c>
      <c r="O465" s="8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25"/>
    <col customWidth="1" min="4" max="4" width="47.0"/>
  </cols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</row>
    <row r="2">
      <c r="A2" s="39">
        <v>1.0</v>
      </c>
      <c r="B2" s="39" t="s">
        <v>1211</v>
      </c>
      <c r="C2" s="40" t="s">
        <v>18</v>
      </c>
      <c r="D2" s="40" t="s">
        <v>1212</v>
      </c>
      <c r="E2" s="40" t="s">
        <v>20</v>
      </c>
      <c r="F2" s="41" t="s">
        <v>21</v>
      </c>
      <c r="G2" s="41">
        <v>14.0</v>
      </c>
      <c r="H2" s="41" t="s">
        <v>22</v>
      </c>
      <c r="I2" s="42">
        <v>1.0</v>
      </c>
      <c r="J2" s="43"/>
      <c r="K2" s="44">
        <v>46027.74</v>
      </c>
      <c r="L2" s="44">
        <v>46027.74</v>
      </c>
      <c r="M2" s="42">
        <v>0.0</v>
      </c>
      <c r="N2" s="44">
        <v>46027.74</v>
      </c>
      <c r="O2" s="46"/>
    </row>
    <row r="3">
      <c r="A3" s="42" t="s">
        <v>23</v>
      </c>
      <c r="B3" s="41" t="s">
        <v>1213</v>
      </c>
      <c r="C3" s="40" t="s">
        <v>18</v>
      </c>
      <c r="D3" s="40" t="s">
        <v>1214</v>
      </c>
      <c r="E3" s="46"/>
      <c r="F3" s="41">
        <v>36.0</v>
      </c>
      <c r="G3" s="41" t="s">
        <v>21</v>
      </c>
      <c r="H3" s="41" t="s">
        <v>22</v>
      </c>
      <c r="I3" s="42">
        <v>1.0</v>
      </c>
      <c r="J3" s="43"/>
      <c r="K3" s="44">
        <v>14284.89</v>
      </c>
      <c r="L3" s="44">
        <v>14284.89</v>
      </c>
      <c r="M3" s="42">
        <v>0.0</v>
      </c>
      <c r="N3" s="44">
        <v>14284.89</v>
      </c>
      <c r="O3" s="40" t="s">
        <v>26</v>
      </c>
    </row>
    <row r="4">
      <c r="A4" s="42">
        <v>1.1</v>
      </c>
      <c r="B4" s="41" t="s">
        <v>1215</v>
      </c>
      <c r="C4" s="40" t="s">
        <v>29</v>
      </c>
      <c r="D4" s="40" t="s">
        <v>1216</v>
      </c>
      <c r="E4" s="46"/>
      <c r="F4" s="41" t="s">
        <v>21</v>
      </c>
      <c r="G4" s="41">
        <v>14.0</v>
      </c>
      <c r="H4" s="41" t="s">
        <v>22</v>
      </c>
      <c r="I4" s="42">
        <v>1.0</v>
      </c>
      <c r="J4" s="43"/>
      <c r="K4" s="42">
        <v>0.0</v>
      </c>
      <c r="L4" s="42">
        <v>0.0</v>
      </c>
      <c r="M4" s="42">
        <v>0.0</v>
      </c>
      <c r="N4" s="42">
        <v>0.0</v>
      </c>
      <c r="O4" s="46"/>
    </row>
    <row r="5">
      <c r="A5" s="42" t="s">
        <v>606</v>
      </c>
      <c r="B5" s="41" t="s">
        <v>1217</v>
      </c>
      <c r="C5" s="40" t="s">
        <v>18</v>
      </c>
      <c r="D5" s="40" t="s">
        <v>1218</v>
      </c>
      <c r="E5" s="46"/>
      <c r="F5" s="41">
        <v>36.0</v>
      </c>
      <c r="G5" s="41" t="s">
        <v>21</v>
      </c>
      <c r="H5" s="41" t="s">
        <v>22</v>
      </c>
      <c r="I5" s="42">
        <v>1.0</v>
      </c>
      <c r="J5" s="43"/>
      <c r="K5" s="44">
        <v>2937.0</v>
      </c>
      <c r="L5" s="44">
        <v>2937.0</v>
      </c>
      <c r="M5" s="42">
        <v>0.0</v>
      </c>
      <c r="N5" s="44">
        <v>2937.0</v>
      </c>
      <c r="O5" s="40" t="s">
        <v>26</v>
      </c>
    </row>
    <row r="6">
      <c r="A6" s="42" t="s">
        <v>30</v>
      </c>
      <c r="B6" s="41" t="s">
        <v>1219</v>
      </c>
      <c r="C6" s="40" t="s">
        <v>18</v>
      </c>
      <c r="D6" s="40" t="s">
        <v>1220</v>
      </c>
      <c r="E6" s="46"/>
      <c r="F6" s="41">
        <v>36.0</v>
      </c>
      <c r="G6" s="41" t="s">
        <v>21</v>
      </c>
      <c r="H6" s="41" t="s">
        <v>22</v>
      </c>
      <c r="I6" s="42">
        <v>1.0</v>
      </c>
      <c r="J6" s="43"/>
      <c r="K6" s="44">
        <v>14241.7</v>
      </c>
      <c r="L6" s="44">
        <v>14241.7</v>
      </c>
      <c r="M6" s="42">
        <v>0.0</v>
      </c>
      <c r="N6" s="44">
        <v>14241.7</v>
      </c>
      <c r="O6" s="46"/>
    </row>
    <row r="7">
      <c r="A7" s="42">
        <v>1.2</v>
      </c>
      <c r="B7" s="41" t="s">
        <v>872</v>
      </c>
      <c r="C7" s="40" t="s">
        <v>18</v>
      </c>
      <c r="D7" s="40" t="s">
        <v>873</v>
      </c>
      <c r="E7" s="46"/>
      <c r="F7" s="41" t="s">
        <v>21</v>
      </c>
      <c r="G7" s="41">
        <v>14.0</v>
      </c>
      <c r="H7" s="41" t="s">
        <v>22</v>
      </c>
      <c r="I7" s="42">
        <v>2.0</v>
      </c>
      <c r="J7" s="43"/>
      <c r="K7" s="42">
        <v>0.0</v>
      </c>
      <c r="L7" s="42">
        <v>0.0</v>
      </c>
      <c r="M7" s="42">
        <v>0.0</v>
      </c>
      <c r="N7" s="42">
        <v>0.0</v>
      </c>
      <c r="O7" s="46"/>
    </row>
    <row r="8">
      <c r="A8" s="42">
        <v>1.3</v>
      </c>
      <c r="B8" s="41" t="s">
        <v>1221</v>
      </c>
      <c r="C8" s="40" t="s">
        <v>18</v>
      </c>
      <c r="D8" s="40" t="s">
        <v>1222</v>
      </c>
      <c r="E8" s="46"/>
      <c r="F8" s="41" t="s">
        <v>21</v>
      </c>
      <c r="G8" s="41">
        <v>14.0</v>
      </c>
      <c r="H8" s="41" t="s">
        <v>29</v>
      </c>
      <c r="I8" s="42">
        <v>1.0</v>
      </c>
      <c r="J8" s="43"/>
      <c r="K8" s="42">
        <v>0.0</v>
      </c>
      <c r="L8" s="42">
        <v>0.0</v>
      </c>
      <c r="M8" s="42">
        <v>0.0</v>
      </c>
      <c r="N8" s="42">
        <v>0.0</v>
      </c>
      <c r="O8" s="46"/>
    </row>
    <row r="9">
      <c r="A9" s="42">
        <v>1.4</v>
      </c>
      <c r="B9" s="41" t="s">
        <v>1223</v>
      </c>
      <c r="C9" s="40" t="s">
        <v>18</v>
      </c>
      <c r="D9" s="40" t="s">
        <v>1224</v>
      </c>
      <c r="E9" s="46"/>
      <c r="F9" s="41" t="s">
        <v>21</v>
      </c>
      <c r="G9" s="41">
        <v>14.0</v>
      </c>
      <c r="H9" s="41" t="s">
        <v>22</v>
      </c>
      <c r="I9" s="42">
        <v>1.0</v>
      </c>
      <c r="J9" s="43"/>
      <c r="K9" s="44">
        <v>3651.05</v>
      </c>
      <c r="L9" s="44">
        <v>3651.05</v>
      </c>
      <c r="M9" s="42">
        <v>0.0</v>
      </c>
      <c r="N9" s="44">
        <v>3651.05</v>
      </c>
      <c r="O9" s="46"/>
    </row>
    <row r="10">
      <c r="A10" s="42">
        <v>1.5</v>
      </c>
      <c r="B10" s="41" t="s">
        <v>1225</v>
      </c>
      <c r="C10" s="40" t="s">
        <v>18</v>
      </c>
      <c r="D10" s="40" t="s">
        <v>1226</v>
      </c>
      <c r="E10" s="46"/>
      <c r="F10" s="41" t="s">
        <v>21</v>
      </c>
      <c r="G10" s="41">
        <v>14.0</v>
      </c>
      <c r="H10" s="41" t="s">
        <v>29</v>
      </c>
      <c r="I10" s="42">
        <v>5.0</v>
      </c>
      <c r="J10" s="43"/>
      <c r="K10" s="42">
        <v>0.0</v>
      </c>
      <c r="L10" s="42">
        <v>0.0</v>
      </c>
      <c r="M10" s="42">
        <v>0.0</v>
      </c>
      <c r="N10" s="42">
        <v>0.0</v>
      </c>
      <c r="O10" s="46"/>
    </row>
    <row r="11">
      <c r="A11" s="42">
        <v>1.6</v>
      </c>
      <c r="B11" s="41" t="s">
        <v>1227</v>
      </c>
      <c r="C11" s="40" t="s">
        <v>29</v>
      </c>
      <c r="D11" s="40" t="s">
        <v>1228</v>
      </c>
      <c r="E11" s="46"/>
      <c r="F11" s="41" t="s">
        <v>21</v>
      </c>
      <c r="G11" s="41">
        <v>14.0</v>
      </c>
      <c r="H11" s="41" t="s">
        <v>29</v>
      </c>
      <c r="I11" s="42">
        <v>1.0</v>
      </c>
      <c r="J11" s="43"/>
      <c r="K11" s="42">
        <v>0.0</v>
      </c>
      <c r="L11" s="42">
        <v>0.0</v>
      </c>
      <c r="M11" s="42">
        <v>0.0</v>
      </c>
      <c r="N11" s="42">
        <v>0.0</v>
      </c>
      <c r="O11" s="46"/>
    </row>
    <row r="12">
      <c r="A12" s="42">
        <v>1.7</v>
      </c>
      <c r="B12" s="41" t="s">
        <v>1229</v>
      </c>
      <c r="C12" s="40" t="s">
        <v>18</v>
      </c>
      <c r="D12" s="40" t="s">
        <v>1030</v>
      </c>
      <c r="E12" s="46"/>
      <c r="F12" s="41" t="s">
        <v>21</v>
      </c>
      <c r="G12" s="41">
        <v>14.0</v>
      </c>
      <c r="H12" s="41" t="s">
        <v>29</v>
      </c>
      <c r="I12" s="42">
        <v>1.0</v>
      </c>
      <c r="J12" s="43"/>
      <c r="K12" s="42">
        <v>0.0</v>
      </c>
      <c r="L12" s="42">
        <v>0.0</v>
      </c>
      <c r="M12" s="42">
        <v>0.0</v>
      </c>
      <c r="N12" s="42">
        <v>0.0</v>
      </c>
      <c r="O12" s="46"/>
    </row>
    <row r="13">
      <c r="A13" s="42">
        <v>1.8</v>
      </c>
      <c r="B13" s="41" t="s">
        <v>1230</v>
      </c>
      <c r="C13" s="40" t="s">
        <v>18</v>
      </c>
      <c r="D13" s="40" t="s">
        <v>1231</v>
      </c>
      <c r="E13" s="46"/>
      <c r="F13" s="41" t="s">
        <v>21</v>
      </c>
      <c r="G13" s="41">
        <v>14.0</v>
      </c>
      <c r="H13" s="41" t="s">
        <v>22</v>
      </c>
      <c r="I13" s="42">
        <v>1.0</v>
      </c>
      <c r="J13" s="43"/>
      <c r="K13" s="44">
        <v>4137.94</v>
      </c>
      <c r="L13" s="44">
        <v>4137.94</v>
      </c>
      <c r="M13" s="42">
        <v>0.0</v>
      </c>
      <c r="N13" s="44">
        <v>4137.94</v>
      </c>
      <c r="O13" s="46"/>
    </row>
    <row r="14">
      <c r="A14" s="42">
        <v>1.9</v>
      </c>
      <c r="B14" s="41" t="s">
        <v>1232</v>
      </c>
      <c r="C14" s="40" t="s">
        <v>18</v>
      </c>
      <c r="D14" s="40" t="s">
        <v>1233</v>
      </c>
      <c r="E14" s="46"/>
      <c r="F14" s="41" t="s">
        <v>21</v>
      </c>
      <c r="G14" s="41">
        <v>14.0</v>
      </c>
      <c r="H14" s="41" t="s">
        <v>22</v>
      </c>
      <c r="I14" s="42">
        <v>1.0</v>
      </c>
      <c r="J14" s="43"/>
      <c r="K14" s="42">
        <v>0.0</v>
      </c>
      <c r="L14" s="42">
        <v>0.0</v>
      </c>
      <c r="M14" s="42">
        <v>0.0</v>
      </c>
      <c r="N14" s="42">
        <v>0.0</v>
      </c>
      <c r="O14" s="46"/>
    </row>
    <row r="15">
      <c r="A15" s="42">
        <v>1.1</v>
      </c>
      <c r="B15" s="41" t="s">
        <v>59</v>
      </c>
      <c r="C15" s="40" t="s">
        <v>29</v>
      </c>
      <c r="D15" s="40" t="s">
        <v>60</v>
      </c>
      <c r="E15" s="46"/>
      <c r="F15" s="41" t="s">
        <v>21</v>
      </c>
      <c r="G15" s="41">
        <v>2.0</v>
      </c>
      <c r="H15" s="41" t="s">
        <v>29</v>
      </c>
      <c r="I15" s="42">
        <v>1.0</v>
      </c>
      <c r="J15" s="43"/>
      <c r="K15" s="42">
        <v>0.0</v>
      </c>
      <c r="L15" s="42">
        <v>0.0</v>
      </c>
      <c r="M15" s="42">
        <v>0.0</v>
      </c>
      <c r="N15" s="42">
        <v>0.0</v>
      </c>
      <c r="O15" s="46"/>
    </row>
    <row r="16">
      <c r="A16" s="48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50" t="s">
        <v>63</v>
      </c>
      <c r="N16" s="51">
        <v>85280.32</v>
      </c>
      <c r="O16" s="52"/>
    </row>
    <row r="17">
      <c r="A17" s="39">
        <v>2.0</v>
      </c>
      <c r="B17" s="39" t="s">
        <v>1234</v>
      </c>
      <c r="C17" s="40" t="s">
        <v>18</v>
      </c>
      <c r="D17" s="40" t="s">
        <v>1235</v>
      </c>
      <c r="E17" s="40" t="s">
        <v>20</v>
      </c>
      <c r="F17" s="41" t="s">
        <v>21</v>
      </c>
      <c r="G17" s="41">
        <v>14.0</v>
      </c>
      <c r="H17" s="41" t="s">
        <v>22</v>
      </c>
      <c r="I17" s="42">
        <v>1.0</v>
      </c>
      <c r="J17" s="43"/>
      <c r="K17" s="44">
        <v>42482.9</v>
      </c>
      <c r="L17" s="44">
        <v>42482.9</v>
      </c>
      <c r="M17" s="42">
        <v>0.0</v>
      </c>
      <c r="N17" s="44">
        <v>42482.9</v>
      </c>
      <c r="O17" s="46"/>
    </row>
    <row r="18">
      <c r="A18" s="42" t="s">
        <v>66</v>
      </c>
      <c r="B18" s="41" t="s">
        <v>1236</v>
      </c>
      <c r="C18" s="40" t="s">
        <v>18</v>
      </c>
      <c r="D18" s="40" t="s">
        <v>1237</v>
      </c>
      <c r="E18" s="46"/>
      <c r="F18" s="41">
        <v>36.0</v>
      </c>
      <c r="G18" s="41" t="s">
        <v>21</v>
      </c>
      <c r="H18" s="41" t="s">
        <v>22</v>
      </c>
      <c r="I18" s="42">
        <v>1.0</v>
      </c>
      <c r="J18" s="43"/>
      <c r="K18" s="44">
        <v>13187.64</v>
      </c>
      <c r="L18" s="44">
        <v>13187.64</v>
      </c>
      <c r="M18" s="42">
        <v>0.0</v>
      </c>
      <c r="N18" s="44">
        <v>13187.64</v>
      </c>
      <c r="O18" s="40" t="s">
        <v>26</v>
      </c>
    </row>
    <row r="19">
      <c r="A19" s="42">
        <v>2.1</v>
      </c>
      <c r="B19" s="41" t="s">
        <v>1238</v>
      </c>
      <c r="C19" s="40" t="s">
        <v>29</v>
      </c>
      <c r="D19" s="40" t="s">
        <v>1216</v>
      </c>
      <c r="E19" s="46"/>
      <c r="F19" s="41" t="s">
        <v>21</v>
      </c>
      <c r="G19" s="41">
        <v>14.0</v>
      </c>
      <c r="H19" s="41" t="s">
        <v>22</v>
      </c>
      <c r="I19" s="42">
        <v>1.0</v>
      </c>
      <c r="J19" s="43"/>
      <c r="K19" s="42">
        <v>0.0</v>
      </c>
      <c r="L19" s="42">
        <v>0.0</v>
      </c>
      <c r="M19" s="42">
        <v>0.0</v>
      </c>
      <c r="N19" s="42">
        <v>0.0</v>
      </c>
      <c r="O19" s="46"/>
    </row>
    <row r="20">
      <c r="A20" s="42" t="s">
        <v>886</v>
      </c>
      <c r="B20" s="41" t="s">
        <v>1239</v>
      </c>
      <c r="C20" s="40" t="s">
        <v>18</v>
      </c>
      <c r="D20" s="40" t="s">
        <v>1218</v>
      </c>
      <c r="E20" s="46"/>
      <c r="F20" s="41">
        <v>36.0</v>
      </c>
      <c r="G20" s="41" t="s">
        <v>21</v>
      </c>
      <c r="H20" s="41" t="s">
        <v>22</v>
      </c>
      <c r="I20" s="42">
        <v>1.0</v>
      </c>
      <c r="J20" s="43"/>
      <c r="K20" s="44">
        <v>2937.0</v>
      </c>
      <c r="L20" s="44">
        <v>2937.0</v>
      </c>
      <c r="M20" s="42">
        <v>0.0</v>
      </c>
      <c r="N20" s="44">
        <v>2937.0</v>
      </c>
      <c r="O20" s="40" t="s">
        <v>26</v>
      </c>
    </row>
    <row r="21">
      <c r="A21" s="42" t="s">
        <v>71</v>
      </c>
      <c r="B21" s="41" t="s">
        <v>1219</v>
      </c>
      <c r="C21" s="40" t="s">
        <v>18</v>
      </c>
      <c r="D21" s="40" t="s">
        <v>1220</v>
      </c>
      <c r="E21" s="46"/>
      <c r="F21" s="41">
        <v>36.0</v>
      </c>
      <c r="G21" s="41" t="s">
        <v>21</v>
      </c>
      <c r="H21" s="41" t="s">
        <v>22</v>
      </c>
      <c r="I21" s="42">
        <v>1.0</v>
      </c>
      <c r="J21" s="43"/>
      <c r="K21" s="44">
        <v>14241.7</v>
      </c>
      <c r="L21" s="44">
        <v>14241.7</v>
      </c>
      <c r="M21" s="42">
        <v>0.0</v>
      </c>
      <c r="N21" s="44">
        <v>14241.7</v>
      </c>
      <c r="O21" s="46"/>
    </row>
    <row r="22">
      <c r="A22" s="42">
        <v>2.2</v>
      </c>
      <c r="B22" s="41" t="s">
        <v>612</v>
      </c>
      <c r="C22" s="40" t="s">
        <v>18</v>
      </c>
      <c r="D22" s="40" t="s">
        <v>613</v>
      </c>
      <c r="E22" s="46"/>
      <c r="F22" s="41" t="s">
        <v>21</v>
      </c>
      <c r="G22" s="41">
        <v>7.0</v>
      </c>
      <c r="H22" s="41" t="s">
        <v>22</v>
      </c>
      <c r="I22" s="42">
        <v>1.0</v>
      </c>
      <c r="J22" s="43"/>
      <c r="K22" s="42">
        <v>0.0</v>
      </c>
      <c r="L22" s="42">
        <v>0.0</v>
      </c>
      <c r="M22" s="42">
        <v>0.0</v>
      </c>
      <c r="N22" s="42">
        <v>0.0</v>
      </c>
      <c r="O22" s="46"/>
    </row>
    <row r="23">
      <c r="A23" s="42">
        <v>2.3</v>
      </c>
      <c r="B23" s="41" t="s">
        <v>1240</v>
      </c>
      <c r="C23" s="40" t="s">
        <v>18</v>
      </c>
      <c r="D23" s="40" t="s">
        <v>1241</v>
      </c>
      <c r="E23" s="46"/>
      <c r="F23" s="41" t="s">
        <v>21</v>
      </c>
      <c r="G23" s="41">
        <v>14.0</v>
      </c>
      <c r="H23" s="41" t="s">
        <v>29</v>
      </c>
      <c r="I23" s="42">
        <v>1.0</v>
      </c>
      <c r="J23" s="43"/>
      <c r="K23" s="42">
        <v>0.0</v>
      </c>
      <c r="L23" s="42">
        <v>0.0</v>
      </c>
      <c r="M23" s="42">
        <v>0.0</v>
      </c>
      <c r="N23" s="42">
        <v>0.0</v>
      </c>
      <c r="O23" s="46"/>
    </row>
    <row r="24">
      <c r="A24" s="42">
        <v>2.4</v>
      </c>
      <c r="B24" s="41" t="s">
        <v>1242</v>
      </c>
      <c r="C24" s="40" t="s">
        <v>18</v>
      </c>
      <c r="D24" s="40" t="s">
        <v>1042</v>
      </c>
      <c r="E24" s="46"/>
      <c r="F24" s="41" t="s">
        <v>21</v>
      </c>
      <c r="G24" s="41">
        <v>14.0</v>
      </c>
      <c r="H24" s="41" t="s">
        <v>22</v>
      </c>
      <c r="I24" s="42">
        <v>1.0</v>
      </c>
      <c r="J24" s="43"/>
      <c r="K24" s="42">
        <v>0.0</v>
      </c>
      <c r="L24" s="42">
        <v>0.0</v>
      </c>
      <c r="M24" s="42">
        <v>0.0</v>
      </c>
      <c r="N24" s="42">
        <v>0.0</v>
      </c>
      <c r="O24" s="46"/>
    </row>
    <row r="25">
      <c r="A25" s="42">
        <v>2.5</v>
      </c>
      <c r="B25" s="41" t="s">
        <v>1243</v>
      </c>
      <c r="C25" s="40" t="s">
        <v>18</v>
      </c>
      <c r="D25" s="40" t="s">
        <v>1244</v>
      </c>
      <c r="E25" s="46"/>
      <c r="F25" s="41" t="s">
        <v>21</v>
      </c>
      <c r="G25" s="41">
        <v>14.0</v>
      </c>
      <c r="H25" s="41" t="s">
        <v>29</v>
      </c>
      <c r="I25" s="42">
        <v>1.0</v>
      </c>
      <c r="J25" s="43"/>
      <c r="K25" s="42">
        <v>0.0</v>
      </c>
      <c r="L25" s="42">
        <v>0.0</v>
      </c>
      <c r="M25" s="42">
        <v>0.0</v>
      </c>
      <c r="N25" s="42">
        <v>0.0</v>
      </c>
      <c r="O25" s="46"/>
    </row>
    <row r="26">
      <c r="A26" s="42">
        <v>2.6</v>
      </c>
      <c r="B26" s="41" t="s">
        <v>1245</v>
      </c>
      <c r="C26" s="40" t="s">
        <v>18</v>
      </c>
      <c r="D26" s="40" t="s">
        <v>1246</v>
      </c>
      <c r="E26" s="46"/>
      <c r="F26" s="41" t="s">
        <v>21</v>
      </c>
      <c r="G26" s="41">
        <v>14.0</v>
      </c>
      <c r="H26" s="41" t="s">
        <v>29</v>
      </c>
      <c r="I26" s="42">
        <v>2.0</v>
      </c>
      <c r="J26" s="43"/>
      <c r="K26" s="42">
        <v>0.0</v>
      </c>
      <c r="L26" s="42">
        <v>0.0</v>
      </c>
      <c r="M26" s="42">
        <v>0.0</v>
      </c>
      <c r="N26" s="42">
        <v>0.0</v>
      </c>
      <c r="O26" s="46"/>
    </row>
    <row r="27">
      <c r="A27" s="42">
        <v>2.7</v>
      </c>
      <c r="B27" s="41" t="s">
        <v>1227</v>
      </c>
      <c r="C27" s="40" t="s">
        <v>29</v>
      </c>
      <c r="D27" s="40" t="s">
        <v>1228</v>
      </c>
      <c r="E27" s="46"/>
      <c r="F27" s="41" t="s">
        <v>21</v>
      </c>
      <c r="G27" s="41">
        <v>14.0</v>
      </c>
      <c r="H27" s="41" t="s">
        <v>29</v>
      </c>
      <c r="I27" s="42">
        <v>1.0</v>
      </c>
      <c r="J27" s="43"/>
      <c r="K27" s="42">
        <v>0.0</v>
      </c>
      <c r="L27" s="42">
        <v>0.0</v>
      </c>
      <c r="M27" s="42">
        <v>0.0</v>
      </c>
      <c r="N27" s="42">
        <v>0.0</v>
      </c>
      <c r="O27" s="46"/>
    </row>
    <row r="28">
      <c r="A28" s="42">
        <v>2.8</v>
      </c>
      <c r="B28" s="41" t="s">
        <v>1229</v>
      </c>
      <c r="C28" s="40" t="s">
        <v>18</v>
      </c>
      <c r="D28" s="40" t="s">
        <v>1030</v>
      </c>
      <c r="E28" s="46"/>
      <c r="F28" s="41" t="s">
        <v>21</v>
      </c>
      <c r="G28" s="41">
        <v>14.0</v>
      </c>
      <c r="H28" s="41" t="s">
        <v>29</v>
      </c>
      <c r="I28" s="42">
        <v>1.0</v>
      </c>
      <c r="J28" s="43"/>
      <c r="K28" s="42">
        <v>0.0</v>
      </c>
      <c r="L28" s="42">
        <v>0.0</v>
      </c>
      <c r="M28" s="42">
        <v>0.0</v>
      </c>
      <c r="N28" s="42">
        <v>0.0</v>
      </c>
      <c r="O28" s="46"/>
    </row>
    <row r="29">
      <c r="A29" s="42">
        <v>2.9</v>
      </c>
      <c r="B29" s="41" t="s">
        <v>1230</v>
      </c>
      <c r="C29" s="40" t="s">
        <v>18</v>
      </c>
      <c r="D29" s="40" t="s">
        <v>1231</v>
      </c>
      <c r="E29" s="46"/>
      <c r="F29" s="41" t="s">
        <v>21</v>
      </c>
      <c r="G29" s="41">
        <v>14.0</v>
      </c>
      <c r="H29" s="41" t="s">
        <v>22</v>
      </c>
      <c r="I29" s="42">
        <v>1.0</v>
      </c>
      <c r="J29" s="43"/>
      <c r="K29" s="44">
        <v>4137.94</v>
      </c>
      <c r="L29" s="44">
        <v>4137.94</v>
      </c>
      <c r="M29" s="42">
        <v>0.0</v>
      </c>
      <c r="N29" s="44">
        <v>4137.94</v>
      </c>
      <c r="O29" s="46"/>
    </row>
    <row r="30">
      <c r="A30" s="42">
        <v>2.1</v>
      </c>
      <c r="B30" s="41" t="s">
        <v>1232</v>
      </c>
      <c r="C30" s="40" t="s">
        <v>18</v>
      </c>
      <c r="D30" s="40" t="s">
        <v>1233</v>
      </c>
      <c r="E30" s="46"/>
      <c r="F30" s="41" t="s">
        <v>21</v>
      </c>
      <c r="G30" s="41">
        <v>14.0</v>
      </c>
      <c r="H30" s="41" t="s">
        <v>22</v>
      </c>
      <c r="I30" s="42">
        <v>1.0</v>
      </c>
      <c r="J30" s="43"/>
      <c r="K30" s="42">
        <v>0.0</v>
      </c>
      <c r="L30" s="42">
        <v>0.0</v>
      </c>
      <c r="M30" s="42">
        <v>0.0</v>
      </c>
      <c r="N30" s="42">
        <v>0.0</v>
      </c>
      <c r="O30" s="46"/>
    </row>
    <row r="31">
      <c r="A31" s="42">
        <v>2.11</v>
      </c>
      <c r="B31" s="41" t="s">
        <v>59</v>
      </c>
      <c r="C31" s="40" t="s">
        <v>29</v>
      </c>
      <c r="D31" s="40" t="s">
        <v>60</v>
      </c>
      <c r="E31" s="46"/>
      <c r="F31" s="41" t="s">
        <v>21</v>
      </c>
      <c r="G31" s="41">
        <v>2.0</v>
      </c>
      <c r="H31" s="41" t="s">
        <v>29</v>
      </c>
      <c r="I31" s="42">
        <v>1.0</v>
      </c>
      <c r="J31" s="43"/>
      <c r="K31" s="42">
        <v>0.0</v>
      </c>
      <c r="L31" s="42">
        <v>0.0</v>
      </c>
      <c r="M31" s="42">
        <v>0.0</v>
      </c>
      <c r="N31" s="42">
        <v>0.0</v>
      </c>
      <c r="O31" s="46"/>
    </row>
    <row r="32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50" t="s">
        <v>63</v>
      </c>
      <c r="N32" s="51">
        <v>76987.18</v>
      </c>
      <c r="O32" s="52"/>
    </row>
    <row r="33">
      <c r="A33" s="39">
        <v>3.0</v>
      </c>
      <c r="B33" s="39" t="s">
        <v>1247</v>
      </c>
      <c r="C33" s="40" t="s">
        <v>18</v>
      </c>
      <c r="D33" s="40" t="s">
        <v>1248</v>
      </c>
      <c r="E33" s="40" t="s">
        <v>20</v>
      </c>
      <c r="F33" s="41" t="s">
        <v>21</v>
      </c>
      <c r="G33" s="41">
        <v>14.0</v>
      </c>
      <c r="H33" s="41" t="s">
        <v>22</v>
      </c>
      <c r="I33" s="42">
        <v>1.0</v>
      </c>
      <c r="J33" s="43"/>
      <c r="K33" s="44">
        <v>33393.23</v>
      </c>
      <c r="L33" s="44">
        <v>33393.23</v>
      </c>
      <c r="M33" s="42">
        <v>0.0</v>
      </c>
      <c r="N33" s="44">
        <v>33393.23</v>
      </c>
      <c r="O33" s="46"/>
    </row>
    <row r="34">
      <c r="A34" s="42" t="s">
        <v>83</v>
      </c>
      <c r="B34" s="41" t="s">
        <v>1249</v>
      </c>
      <c r="C34" s="40" t="s">
        <v>18</v>
      </c>
      <c r="D34" s="40" t="s">
        <v>1250</v>
      </c>
      <c r="E34" s="46"/>
      <c r="F34" s="41">
        <v>36.0</v>
      </c>
      <c r="G34" s="41" t="s">
        <v>21</v>
      </c>
      <c r="H34" s="41" t="s">
        <v>22</v>
      </c>
      <c r="I34" s="42">
        <v>1.0</v>
      </c>
      <c r="J34" s="43"/>
      <c r="K34" s="44">
        <v>10366.14</v>
      </c>
      <c r="L34" s="44">
        <v>10366.14</v>
      </c>
      <c r="M34" s="42">
        <v>0.0</v>
      </c>
      <c r="N34" s="44">
        <v>10366.14</v>
      </c>
      <c r="O34" s="40" t="s">
        <v>26</v>
      </c>
    </row>
    <row r="35">
      <c r="A35" s="42">
        <v>3.1</v>
      </c>
      <c r="B35" s="41" t="s">
        <v>1251</v>
      </c>
      <c r="C35" s="40" t="s">
        <v>29</v>
      </c>
      <c r="D35" s="40" t="s">
        <v>1216</v>
      </c>
      <c r="E35" s="46"/>
      <c r="F35" s="41" t="s">
        <v>21</v>
      </c>
      <c r="G35" s="41">
        <v>14.0</v>
      </c>
      <c r="H35" s="41" t="s">
        <v>22</v>
      </c>
      <c r="I35" s="42">
        <v>1.0</v>
      </c>
      <c r="J35" s="43"/>
      <c r="K35" s="42">
        <v>0.0</v>
      </c>
      <c r="L35" s="42">
        <v>0.0</v>
      </c>
      <c r="M35" s="42">
        <v>0.0</v>
      </c>
      <c r="N35" s="42">
        <v>0.0</v>
      </c>
      <c r="O35" s="46"/>
    </row>
    <row r="36">
      <c r="A36" s="42" t="s">
        <v>893</v>
      </c>
      <c r="B36" s="41" t="s">
        <v>1252</v>
      </c>
      <c r="C36" s="40" t="s">
        <v>18</v>
      </c>
      <c r="D36" s="40" t="s">
        <v>1218</v>
      </c>
      <c r="E36" s="46"/>
      <c r="F36" s="41">
        <v>36.0</v>
      </c>
      <c r="G36" s="41" t="s">
        <v>21</v>
      </c>
      <c r="H36" s="41" t="s">
        <v>22</v>
      </c>
      <c r="I36" s="42">
        <v>1.0</v>
      </c>
      <c r="J36" s="43"/>
      <c r="K36" s="44">
        <v>2937.0</v>
      </c>
      <c r="L36" s="44">
        <v>2937.0</v>
      </c>
      <c r="M36" s="42">
        <v>0.0</v>
      </c>
      <c r="N36" s="44">
        <v>2937.0</v>
      </c>
      <c r="O36" s="40" t="s">
        <v>26</v>
      </c>
    </row>
    <row r="37">
      <c r="A37" s="42" t="s">
        <v>88</v>
      </c>
      <c r="B37" s="41" t="s">
        <v>1219</v>
      </c>
      <c r="C37" s="40" t="s">
        <v>18</v>
      </c>
      <c r="D37" s="40" t="s">
        <v>1220</v>
      </c>
      <c r="E37" s="46"/>
      <c r="F37" s="41">
        <v>36.0</v>
      </c>
      <c r="G37" s="41" t="s">
        <v>21</v>
      </c>
      <c r="H37" s="41" t="s">
        <v>22</v>
      </c>
      <c r="I37" s="42">
        <v>1.0</v>
      </c>
      <c r="J37" s="43"/>
      <c r="K37" s="44">
        <v>14241.7</v>
      </c>
      <c r="L37" s="44">
        <v>14241.7</v>
      </c>
      <c r="M37" s="42">
        <v>0.0</v>
      </c>
      <c r="N37" s="44">
        <v>14241.7</v>
      </c>
      <c r="O37" s="46"/>
    </row>
    <row r="38">
      <c r="A38" s="42">
        <v>3.2</v>
      </c>
      <c r="B38" s="41" t="s">
        <v>612</v>
      </c>
      <c r="C38" s="40" t="s">
        <v>18</v>
      </c>
      <c r="D38" s="40" t="s">
        <v>613</v>
      </c>
      <c r="E38" s="46"/>
      <c r="F38" s="41" t="s">
        <v>21</v>
      </c>
      <c r="G38" s="41">
        <v>7.0</v>
      </c>
      <c r="H38" s="41" t="s">
        <v>22</v>
      </c>
      <c r="I38" s="42">
        <v>1.0</v>
      </c>
      <c r="J38" s="43"/>
      <c r="K38" s="42">
        <v>0.0</v>
      </c>
      <c r="L38" s="42">
        <v>0.0</v>
      </c>
      <c r="M38" s="42">
        <v>0.0</v>
      </c>
      <c r="N38" s="42">
        <v>0.0</v>
      </c>
      <c r="O38" s="46"/>
    </row>
    <row r="39">
      <c r="A39" s="42">
        <v>3.3</v>
      </c>
      <c r="B39" s="41" t="s">
        <v>1240</v>
      </c>
      <c r="C39" s="40" t="s">
        <v>18</v>
      </c>
      <c r="D39" s="40" t="s">
        <v>1241</v>
      </c>
      <c r="E39" s="46"/>
      <c r="F39" s="41" t="s">
        <v>21</v>
      </c>
      <c r="G39" s="41">
        <v>14.0</v>
      </c>
      <c r="H39" s="41" t="s">
        <v>29</v>
      </c>
      <c r="I39" s="42">
        <v>1.0</v>
      </c>
      <c r="J39" s="43"/>
      <c r="K39" s="42">
        <v>0.0</v>
      </c>
      <c r="L39" s="42">
        <v>0.0</v>
      </c>
      <c r="M39" s="42">
        <v>0.0</v>
      </c>
      <c r="N39" s="42">
        <v>0.0</v>
      </c>
      <c r="O39" s="46"/>
    </row>
    <row r="40">
      <c r="A40" s="42">
        <v>3.4</v>
      </c>
      <c r="B40" s="41" t="s">
        <v>1242</v>
      </c>
      <c r="C40" s="40" t="s">
        <v>18</v>
      </c>
      <c r="D40" s="40" t="s">
        <v>1042</v>
      </c>
      <c r="E40" s="46"/>
      <c r="F40" s="41" t="s">
        <v>21</v>
      </c>
      <c r="G40" s="41">
        <v>14.0</v>
      </c>
      <c r="H40" s="41" t="s">
        <v>22</v>
      </c>
      <c r="I40" s="42">
        <v>1.0</v>
      </c>
      <c r="J40" s="43"/>
      <c r="K40" s="42">
        <v>0.0</v>
      </c>
      <c r="L40" s="42">
        <v>0.0</v>
      </c>
      <c r="M40" s="42">
        <v>0.0</v>
      </c>
      <c r="N40" s="42">
        <v>0.0</v>
      </c>
      <c r="O40" s="46"/>
    </row>
    <row r="41">
      <c r="A41" s="42">
        <v>3.5</v>
      </c>
      <c r="B41" s="41" t="s">
        <v>1243</v>
      </c>
      <c r="C41" s="40" t="s">
        <v>18</v>
      </c>
      <c r="D41" s="40" t="s">
        <v>1244</v>
      </c>
      <c r="E41" s="46"/>
      <c r="F41" s="41" t="s">
        <v>21</v>
      </c>
      <c r="G41" s="41">
        <v>14.0</v>
      </c>
      <c r="H41" s="41" t="s">
        <v>29</v>
      </c>
      <c r="I41" s="42">
        <v>1.0</v>
      </c>
      <c r="J41" s="43"/>
      <c r="K41" s="42">
        <v>0.0</v>
      </c>
      <c r="L41" s="42">
        <v>0.0</v>
      </c>
      <c r="M41" s="42">
        <v>0.0</v>
      </c>
      <c r="N41" s="42">
        <v>0.0</v>
      </c>
      <c r="O41" s="46"/>
    </row>
    <row r="42">
      <c r="A42" s="42">
        <v>3.6</v>
      </c>
      <c r="B42" s="41" t="s">
        <v>1245</v>
      </c>
      <c r="C42" s="40" t="s">
        <v>18</v>
      </c>
      <c r="D42" s="40" t="s">
        <v>1246</v>
      </c>
      <c r="E42" s="46"/>
      <c r="F42" s="41" t="s">
        <v>21</v>
      </c>
      <c r="G42" s="41">
        <v>14.0</v>
      </c>
      <c r="H42" s="41" t="s">
        <v>29</v>
      </c>
      <c r="I42" s="42">
        <v>2.0</v>
      </c>
      <c r="J42" s="43"/>
      <c r="K42" s="42">
        <v>0.0</v>
      </c>
      <c r="L42" s="42">
        <v>0.0</v>
      </c>
      <c r="M42" s="42">
        <v>0.0</v>
      </c>
      <c r="N42" s="42">
        <v>0.0</v>
      </c>
      <c r="O42" s="46"/>
    </row>
    <row r="43">
      <c r="A43" s="42">
        <v>3.7</v>
      </c>
      <c r="B43" s="41" t="s">
        <v>1227</v>
      </c>
      <c r="C43" s="40" t="s">
        <v>29</v>
      </c>
      <c r="D43" s="40" t="s">
        <v>1228</v>
      </c>
      <c r="E43" s="46"/>
      <c r="F43" s="41" t="s">
        <v>21</v>
      </c>
      <c r="G43" s="41">
        <v>14.0</v>
      </c>
      <c r="H43" s="41" t="s">
        <v>29</v>
      </c>
      <c r="I43" s="42">
        <v>1.0</v>
      </c>
      <c r="J43" s="43"/>
      <c r="K43" s="42">
        <v>0.0</v>
      </c>
      <c r="L43" s="42">
        <v>0.0</v>
      </c>
      <c r="M43" s="42">
        <v>0.0</v>
      </c>
      <c r="N43" s="42">
        <v>0.0</v>
      </c>
      <c r="O43" s="46"/>
    </row>
    <row r="44">
      <c r="A44" s="42">
        <v>3.8</v>
      </c>
      <c r="B44" s="41" t="s">
        <v>1229</v>
      </c>
      <c r="C44" s="40" t="s">
        <v>18</v>
      </c>
      <c r="D44" s="40" t="s">
        <v>1030</v>
      </c>
      <c r="E44" s="46"/>
      <c r="F44" s="41" t="s">
        <v>21</v>
      </c>
      <c r="G44" s="41">
        <v>14.0</v>
      </c>
      <c r="H44" s="41" t="s">
        <v>29</v>
      </c>
      <c r="I44" s="42">
        <v>1.0</v>
      </c>
      <c r="J44" s="43"/>
      <c r="K44" s="42">
        <v>0.0</v>
      </c>
      <c r="L44" s="42">
        <v>0.0</v>
      </c>
      <c r="M44" s="42">
        <v>0.0</v>
      </c>
      <c r="N44" s="42">
        <v>0.0</v>
      </c>
      <c r="O44" s="46"/>
    </row>
    <row r="45">
      <c r="A45" s="42">
        <v>3.9</v>
      </c>
      <c r="B45" s="41" t="s">
        <v>1230</v>
      </c>
      <c r="C45" s="40" t="s">
        <v>18</v>
      </c>
      <c r="D45" s="40" t="s">
        <v>1231</v>
      </c>
      <c r="E45" s="46"/>
      <c r="F45" s="41" t="s">
        <v>21</v>
      </c>
      <c r="G45" s="41">
        <v>14.0</v>
      </c>
      <c r="H45" s="41" t="s">
        <v>22</v>
      </c>
      <c r="I45" s="42">
        <v>1.0</v>
      </c>
      <c r="J45" s="43"/>
      <c r="K45" s="44">
        <v>4137.94</v>
      </c>
      <c r="L45" s="44">
        <v>4137.94</v>
      </c>
      <c r="M45" s="42">
        <v>0.0</v>
      </c>
      <c r="N45" s="44">
        <v>4137.94</v>
      </c>
      <c r="O45" s="46"/>
    </row>
    <row r="46">
      <c r="A46" s="42">
        <v>3.1</v>
      </c>
      <c r="B46" s="41" t="s">
        <v>1232</v>
      </c>
      <c r="C46" s="40" t="s">
        <v>18</v>
      </c>
      <c r="D46" s="40" t="s">
        <v>1233</v>
      </c>
      <c r="E46" s="46"/>
      <c r="F46" s="41" t="s">
        <v>21</v>
      </c>
      <c r="G46" s="41">
        <v>14.0</v>
      </c>
      <c r="H46" s="41" t="s">
        <v>22</v>
      </c>
      <c r="I46" s="42">
        <v>1.0</v>
      </c>
      <c r="J46" s="43"/>
      <c r="K46" s="42">
        <v>0.0</v>
      </c>
      <c r="L46" s="42">
        <v>0.0</v>
      </c>
      <c r="M46" s="42">
        <v>0.0</v>
      </c>
      <c r="N46" s="42">
        <v>0.0</v>
      </c>
      <c r="O46" s="46"/>
    </row>
    <row r="47">
      <c r="A47" s="42">
        <v>3.11</v>
      </c>
      <c r="B47" s="41" t="s">
        <v>59</v>
      </c>
      <c r="C47" s="40" t="s">
        <v>29</v>
      </c>
      <c r="D47" s="40" t="s">
        <v>60</v>
      </c>
      <c r="E47" s="46"/>
      <c r="F47" s="41" t="s">
        <v>21</v>
      </c>
      <c r="G47" s="41">
        <v>2.0</v>
      </c>
      <c r="H47" s="41" t="s">
        <v>29</v>
      </c>
      <c r="I47" s="42">
        <v>1.0</v>
      </c>
      <c r="J47" s="43"/>
      <c r="K47" s="42">
        <v>0.0</v>
      </c>
      <c r="L47" s="42">
        <v>0.0</v>
      </c>
      <c r="M47" s="42">
        <v>0.0</v>
      </c>
      <c r="N47" s="42">
        <v>0.0</v>
      </c>
      <c r="O47" s="46"/>
    </row>
    <row r="48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50" t="s">
        <v>63</v>
      </c>
      <c r="N48" s="51">
        <v>65076.01</v>
      </c>
      <c r="O48" s="52"/>
    </row>
    <row r="49">
      <c r="A49" s="39">
        <v>4.0</v>
      </c>
      <c r="B49" s="39" t="s">
        <v>1253</v>
      </c>
      <c r="C49" s="40" t="s">
        <v>18</v>
      </c>
      <c r="D49" s="40" t="s">
        <v>1254</v>
      </c>
      <c r="E49" s="40" t="s">
        <v>20</v>
      </c>
      <c r="F49" s="41" t="s">
        <v>21</v>
      </c>
      <c r="G49" s="41">
        <v>14.0</v>
      </c>
      <c r="H49" s="41" t="s">
        <v>22</v>
      </c>
      <c r="I49" s="42">
        <v>1.0</v>
      </c>
      <c r="J49" s="43"/>
      <c r="K49" s="44">
        <v>30689.77</v>
      </c>
      <c r="L49" s="44">
        <v>30689.77</v>
      </c>
      <c r="M49" s="42">
        <v>0.0</v>
      </c>
      <c r="N49" s="44">
        <v>30689.77</v>
      </c>
      <c r="O49" s="46"/>
    </row>
    <row r="50">
      <c r="A50" s="42" t="s">
        <v>100</v>
      </c>
      <c r="B50" s="41" t="s">
        <v>1255</v>
      </c>
      <c r="C50" s="40" t="s">
        <v>18</v>
      </c>
      <c r="D50" s="40" t="s">
        <v>1256</v>
      </c>
      <c r="E50" s="46"/>
      <c r="F50" s="41">
        <v>36.0</v>
      </c>
      <c r="G50" s="41" t="s">
        <v>21</v>
      </c>
      <c r="H50" s="41" t="s">
        <v>22</v>
      </c>
      <c r="I50" s="42">
        <v>1.0</v>
      </c>
      <c r="J50" s="43"/>
      <c r="K50" s="44">
        <v>9524.64</v>
      </c>
      <c r="L50" s="44">
        <v>9524.64</v>
      </c>
      <c r="M50" s="42">
        <v>0.0</v>
      </c>
      <c r="N50" s="44">
        <v>9524.64</v>
      </c>
      <c r="O50" s="40" t="s">
        <v>26</v>
      </c>
    </row>
    <row r="51">
      <c r="A51" s="42">
        <v>4.1</v>
      </c>
      <c r="B51" s="41" t="s">
        <v>1257</v>
      </c>
      <c r="C51" s="40" t="s">
        <v>29</v>
      </c>
      <c r="D51" s="40" t="s">
        <v>1216</v>
      </c>
      <c r="E51" s="46"/>
      <c r="F51" s="41" t="s">
        <v>21</v>
      </c>
      <c r="G51" s="41">
        <v>14.0</v>
      </c>
      <c r="H51" s="41" t="s">
        <v>22</v>
      </c>
      <c r="I51" s="42">
        <v>1.0</v>
      </c>
      <c r="J51" s="43"/>
      <c r="K51" s="42">
        <v>0.0</v>
      </c>
      <c r="L51" s="42">
        <v>0.0</v>
      </c>
      <c r="M51" s="42">
        <v>0.0</v>
      </c>
      <c r="N51" s="42">
        <v>0.0</v>
      </c>
      <c r="O51" s="46"/>
    </row>
    <row r="52">
      <c r="A52" s="42" t="s">
        <v>903</v>
      </c>
      <c r="B52" s="41" t="s">
        <v>1258</v>
      </c>
      <c r="C52" s="40" t="s">
        <v>18</v>
      </c>
      <c r="D52" s="40" t="s">
        <v>1259</v>
      </c>
      <c r="E52" s="46"/>
      <c r="F52" s="41">
        <v>36.0</v>
      </c>
      <c r="G52" s="41" t="s">
        <v>21</v>
      </c>
      <c r="H52" s="41" t="s">
        <v>22</v>
      </c>
      <c r="I52" s="42">
        <v>1.0</v>
      </c>
      <c r="J52" s="43"/>
      <c r="K52" s="44">
        <v>1724.25</v>
      </c>
      <c r="L52" s="44">
        <v>1724.25</v>
      </c>
      <c r="M52" s="42">
        <v>0.0</v>
      </c>
      <c r="N52" s="44">
        <v>1724.25</v>
      </c>
      <c r="O52" s="40" t="s">
        <v>26</v>
      </c>
    </row>
    <row r="53">
      <c r="A53" s="42" t="s">
        <v>105</v>
      </c>
      <c r="B53" s="41" t="s">
        <v>1260</v>
      </c>
      <c r="C53" s="40" t="s">
        <v>18</v>
      </c>
      <c r="D53" s="40" t="s">
        <v>1220</v>
      </c>
      <c r="E53" s="46"/>
      <c r="F53" s="41">
        <v>36.0</v>
      </c>
      <c r="G53" s="41" t="s">
        <v>21</v>
      </c>
      <c r="H53" s="41" t="s">
        <v>22</v>
      </c>
      <c r="I53" s="42">
        <v>1.0</v>
      </c>
      <c r="J53" s="43"/>
      <c r="K53" s="44">
        <v>8356.7</v>
      </c>
      <c r="L53" s="44">
        <v>8356.7</v>
      </c>
      <c r="M53" s="42">
        <v>0.0</v>
      </c>
      <c r="N53" s="44">
        <v>8356.7</v>
      </c>
      <c r="O53" s="46"/>
    </row>
    <row r="54">
      <c r="A54" s="42">
        <v>4.2</v>
      </c>
      <c r="B54" s="41" t="s">
        <v>612</v>
      </c>
      <c r="C54" s="40" t="s">
        <v>18</v>
      </c>
      <c r="D54" s="40" t="s">
        <v>613</v>
      </c>
      <c r="E54" s="46"/>
      <c r="F54" s="41" t="s">
        <v>21</v>
      </c>
      <c r="G54" s="41">
        <v>7.0</v>
      </c>
      <c r="H54" s="41" t="s">
        <v>22</v>
      </c>
      <c r="I54" s="42">
        <v>1.0</v>
      </c>
      <c r="J54" s="43"/>
      <c r="K54" s="42">
        <v>0.0</v>
      </c>
      <c r="L54" s="42">
        <v>0.0</v>
      </c>
      <c r="M54" s="42">
        <v>0.0</v>
      </c>
      <c r="N54" s="42">
        <v>0.0</v>
      </c>
      <c r="O54" s="46"/>
    </row>
    <row r="55">
      <c r="A55" s="42">
        <v>4.3</v>
      </c>
      <c r="B55" s="41" t="s">
        <v>1240</v>
      </c>
      <c r="C55" s="40" t="s">
        <v>18</v>
      </c>
      <c r="D55" s="40" t="s">
        <v>1241</v>
      </c>
      <c r="E55" s="46"/>
      <c r="F55" s="41" t="s">
        <v>21</v>
      </c>
      <c r="G55" s="41">
        <v>14.0</v>
      </c>
      <c r="H55" s="41" t="s">
        <v>29</v>
      </c>
      <c r="I55" s="42">
        <v>1.0</v>
      </c>
      <c r="J55" s="43"/>
      <c r="K55" s="42">
        <v>0.0</v>
      </c>
      <c r="L55" s="42">
        <v>0.0</v>
      </c>
      <c r="M55" s="42">
        <v>0.0</v>
      </c>
      <c r="N55" s="42">
        <v>0.0</v>
      </c>
      <c r="O55" s="46"/>
    </row>
    <row r="56">
      <c r="A56" s="42">
        <v>4.4</v>
      </c>
      <c r="B56" s="41" t="s">
        <v>1242</v>
      </c>
      <c r="C56" s="40" t="s">
        <v>18</v>
      </c>
      <c r="D56" s="40" t="s">
        <v>1042</v>
      </c>
      <c r="E56" s="46"/>
      <c r="F56" s="41" t="s">
        <v>21</v>
      </c>
      <c r="G56" s="41">
        <v>14.0</v>
      </c>
      <c r="H56" s="41" t="s">
        <v>22</v>
      </c>
      <c r="I56" s="42">
        <v>1.0</v>
      </c>
      <c r="J56" s="43"/>
      <c r="K56" s="42">
        <v>0.0</v>
      </c>
      <c r="L56" s="42">
        <v>0.0</v>
      </c>
      <c r="M56" s="42">
        <v>0.0</v>
      </c>
      <c r="N56" s="42">
        <v>0.0</v>
      </c>
      <c r="O56" s="46"/>
    </row>
    <row r="57">
      <c r="A57" s="42">
        <v>4.5</v>
      </c>
      <c r="B57" s="41" t="s">
        <v>1243</v>
      </c>
      <c r="C57" s="40" t="s">
        <v>18</v>
      </c>
      <c r="D57" s="40" t="s">
        <v>1244</v>
      </c>
      <c r="E57" s="46"/>
      <c r="F57" s="41" t="s">
        <v>21</v>
      </c>
      <c r="G57" s="41">
        <v>14.0</v>
      </c>
      <c r="H57" s="41" t="s">
        <v>29</v>
      </c>
      <c r="I57" s="42">
        <v>1.0</v>
      </c>
      <c r="J57" s="43"/>
      <c r="K57" s="42">
        <v>0.0</v>
      </c>
      <c r="L57" s="42">
        <v>0.0</v>
      </c>
      <c r="M57" s="42">
        <v>0.0</v>
      </c>
      <c r="N57" s="42">
        <v>0.0</v>
      </c>
      <c r="O57" s="46"/>
    </row>
    <row r="58">
      <c r="A58" s="42">
        <v>4.6</v>
      </c>
      <c r="B58" s="41" t="s">
        <v>1245</v>
      </c>
      <c r="C58" s="40" t="s">
        <v>18</v>
      </c>
      <c r="D58" s="40" t="s">
        <v>1246</v>
      </c>
      <c r="E58" s="46"/>
      <c r="F58" s="41" t="s">
        <v>21</v>
      </c>
      <c r="G58" s="41">
        <v>14.0</v>
      </c>
      <c r="H58" s="41" t="s">
        <v>29</v>
      </c>
      <c r="I58" s="42">
        <v>2.0</v>
      </c>
      <c r="J58" s="43"/>
      <c r="K58" s="42">
        <v>0.0</v>
      </c>
      <c r="L58" s="42">
        <v>0.0</v>
      </c>
      <c r="M58" s="42">
        <v>0.0</v>
      </c>
      <c r="N58" s="42">
        <v>0.0</v>
      </c>
      <c r="O58" s="46"/>
    </row>
    <row r="59">
      <c r="A59" s="42">
        <v>4.7</v>
      </c>
      <c r="B59" s="41" t="s">
        <v>1227</v>
      </c>
      <c r="C59" s="40" t="s">
        <v>29</v>
      </c>
      <c r="D59" s="40" t="s">
        <v>1228</v>
      </c>
      <c r="E59" s="46"/>
      <c r="F59" s="41" t="s">
        <v>21</v>
      </c>
      <c r="G59" s="41">
        <v>14.0</v>
      </c>
      <c r="H59" s="41" t="s">
        <v>29</v>
      </c>
      <c r="I59" s="42">
        <v>1.0</v>
      </c>
      <c r="J59" s="43"/>
      <c r="K59" s="42">
        <v>0.0</v>
      </c>
      <c r="L59" s="42">
        <v>0.0</v>
      </c>
      <c r="M59" s="42">
        <v>0.0</v>
      </c>
      <c r="N59" s="42">
        <v>0.0</v>
      </c>
      <c r="O59" s="46"/>
    </row>
    <row r="60">
      <c r="A60" s="42">
        <v>4.8</v>
      </c>
      <c r="B60" s="41" t="s">
        <v>1229</v>
      </c>
      <c r="C60" s="40" t="s">
        <v>18</v>
      </c>
      <c r="D60" s="40" t="s">
        <v>1030</v>
      </c>
      <c r="E60" s="46"/>
      <c r="F60" s="41" t="s">
        <v>21</v>
      </c>
      <c r="G60" s="41">
        <v>14.0</v>
      </c>
      <c r="H60" s="41" t="s">
        <v>29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</row>
    <row r="61">
      <c r="A61" s="42">
        <v>4.9</v>
      </c>
      <c r="B61" s="41" t="s">
        <v>1230</v>
      </c>
      <c r="C61" s="40" t="s">
        <v>18</v>
      </c>
      <c r="D61" s="40" t="s">
        <v>1231</v>
      </c>
      <c r="E61" s="46"/>
      <c r="F61" s="41" t="s">
        <v>21</v>
      </c>
      <c r="G61" s="41">
        <v>14.0</v>
      </c>
      <c r="H61" s="41" t="s">
        <v>22</v>
      </c>
      <c r="I61" s="42">
        <v>1.0</v>
      </c>
      <c r="J61" s="43"/>
      <c r="K61" s="44">
        <v>4137.94</v>
      </c>
      <c r="L61" s="44">
        <v>4137.94</v>
      </c>
      <c r="M61" s="42">
        <v>0.0</v>
      </c>
      <c r="N61" s="44">
        <v>4137.94</v>
      </c>
      <c r="O61" s="46"/>
    </row>
    <row r="62">
      <c r="A62" s="42">
        <v>4.1</v>
      </c>
      <c r="B62" s="41" t="s">
        <v>1232</v>
      </c>
      <c r="C62" s="40" t="s">
        <v>18</v>
      </c>
      <c r="D62" s="40" t="s">
        <v>1233</v>
      </c>
      <c r="E62" s="46"/>
      <c r="F62" s="41" t="s">
        <v>21</v>
      </c>
      <c r="G62" s="41">
        <v>14.0</v>
      </c>
      <c r="H62" s="41" t="s">
        <v>22</v>
      </c>
      <c r="I62" s="42">
        <v>1.0</v>
      </c>
      <c r="J62" s="43"/>
      <c r="K62" s="42">
        <v>0.0</v>
      </c>
      <c r="L62" s="42">
        <v>0.0</v>
      </c>
      <c r="M62" s="42">
        <v>0.0</v>
      </c>
      <c r="N62" s="42">
        <v>0.0</v>
      </c>
      <c r="O62" s="46"/>
    </row>
    <row r="63">
      <c r="A63" s="42">
        <v>4.11</v>
      </c>
      <c r="B63" s="41" t="s">
        <v>59</v>
      </c>
      <c r="C63" s="40" t="s">
        <v>29</v>
      </c>
      <c r="D63" s="40" t="s">
        <v>60</v>
      </c>
      <c r="E63" s="46"/>
      <c r="F63" s="41" t="s">
        <v>21</v>
      </c>
      <c r="G63" s="41">
        <v>2.0</v>
      </c>
      <c r="H63" s="41" t="s">
        <v>29</v>
      </c>
      <c r="I63" s="42">
        <v>1.0</v>
      </c>
      <c r="J63" s="43"/>
      <c r="K63" s="42">
        <v>0.0</v>
      </c>
      <c r="L63" s="42">
        <v>0.0</v>
      </c>
      <c r="M63" s="42">
        <v>0.0</v>
      </c>
      <c r="N63" s="42">
        <v>0.0</v>
      </c>
      <c r="O63" s="46"/>
    </row>
    <row r="64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50" t="s">
        <v>63</v>
      </c>
      <c r="N64" s="51">
        <v>54433.3</v>
      </c>
      <c r="O64" s="52"/>
    </row>
    <row r="65">
      <c r="A65" s="39">
        <v>5.0</v>
      </c>
      <c r="B65" s="39" t="s">
        <v>1261</v>
      </c>
      <c r="C65" s="40" t="s">
        <v>18</v>
      </c>
      <c r="D65" s="40" t="s">
        <v>1262</v>
      </c>
      <c r="E65" s="40" t="s">
        <v>20</v>
      </c>
      <c r="F65" s="41" t="s">
        <v>21</v>
      </c>
      <c r="G65" s="41">
        <v>14.0</v>
      </c>
      <c r="H65" s="41" t="s">
        <v>22</v>
      </c>
      <c r="I65" s="42">
        <v>1.0</v>
      </c>
      <c r="J65" s="43"/>
      <c r="K65" s="44">
        <v>108089.33</v>
      </c>
      <c r="L65" s="44">
        <v>108089.33</v>
      </c>
      <c r="M65" s="42">
        <v>0.0</v>
      </c>
      <c r="N65" s="44">
        <v>108089.33</v>
      </c>
      <c r="O65" s="46"/>
    </row>
    <row r="66">
      <c r="A66" s="42" t="s">
        <v>117</v>
      </c>
      <c r="B66" s="41" t="s">
        <v>1263</v>
      </c>
      <c r="C66" s="40" t="s">
        <v>18</v>
      </c>
      <c r="D66" s="40" t="s">
        <v>1264</v>
      </c>
      <c r="E66" s="46"/>
      <c r="F66" s="41">
        <v>36.0</v>
      </c>
      <c r="G66" s="41" t="s">
        <v>21</v>
      </c>
      <c r="H66" s="41" t="s">
        <v>22</v>
      </c>
      <c r="I66" s="42">
        <v>1.0</v>
      </c>
      <c r="J66" s="43"/>
      <c r="K66" s="44">
        <v>33548.64</v>
      </c>
      <c r="L66" s="44">
        <v>33548.64</v>
      </c>
      <c r="M66" s="42">
        <v>0.0</v>
      </c>
      <c r="N66" s="44">
        <v>33548.64</v>
      </c>
      <c r="O66" s="40" t="s">
        <v>26</v>
      </c>
    </row>
    <row r="67">
      <c r="A67" s="42">
        <v>5.1</v>
      </c>
      <c r="B67" s="41" t="s">
        <v>1265</v>
      </c>
      <c r="C67" s="40" t="s">
        <v>29</v>
      </c>
      <c r="D67" s="40" t="s">
        <v>1266</v>
      </c>
      <c r="E67" s="46"/>
      <c r="F67" s="41" t="s">
        <v>21</v>
      </c>
      <c r="G67" s="41">
        <v>14.0</v>
      </c>
      <c r="H67" s="41" t="s">
        <v>22</v>
      </c>
      <c r="I67" s="42">
        <v>1.0</v>
      </c>
      <c r="J67" s="43"/>
      <c r="K67" s="42">
        <v>0.0</v>
      </c>
      <c r="L67" s="42">
        <v>0.0</v>
      </c>
      <c r="M67" s="42">
        <v>0.0</v>
      </c>
      <c r="N67" s="42">
        <v>0.0</v>
      </c>
      <c r="O67" s="46"/>
    </row>
    <row r="68">
      <c r="A68" s="42" t="s">
        <v>910</v>
      </c>
      <c r="B68" s="41" t="s">
        <v>1267</v>
      </c>
      <c r="C68" s="40" t="s">
        <v>18</v>
      </c>
      <c r="D68" s="40" t="s">
        <v>1268</v>
      </c>
      <c r="E68" s="46"/>
      <c r="F68" s="41">
        <v>36.0</v>
      </c>
      <c r="G68" s="41" t="s">
        <v>21</v>
      </c>
      <c r="H68" s="41" t="s">
        <v>22</v>
      </c>
      <c r="I68" s="42">
        <v>1.0</v>
      </c>
      <c r="J68" s="43"/>
      <c r="K68" s="44">
        <v>2937.0</v>
      </c>
      <c r="L68" s="44">
        <v>2937.0</v>
      </c>
      <c r="M68" s="42">
        <v>0.0</v>
      </c>
      <c r="N68" s="44">
        <v>2937.0</v>
      </c>
      <c r="O68" s="40" t="s">
        <v>26</v>
      </c>
    </row>
    <row r="69">
      <c r="A69" s="42" t="s">
        <v>121</v>
      </c>
      <c r="B69" s="41" t="s">
        <v>1269</v>
      </c>
      <c r="C69" s="40" t="s">
        <v>18</v>
      </c>
      <c r="D69" s="40" t="s">
        <v>1270</v>
      </c>
      <c r="E69" s="46"/>
      <c r="F69" s="41">
        <v>36.0</v>
      </c>
      <c r="G69" s="41" t="s">
        <v>21</v>
      </c>
      <c r="H69" s="41" t="s">
        <v>22</v>
      </c>
      <c r="I69" s="42">
        <v>1.0</v>
      </c>
      <c r="J69" s="43"/>
      <c r="K69" s="44">
        <v>14245.0</v>
      </c>
      <c r="L69" s="44">
        <v>14245.0</v>
      </c>
      <c r="M69" s="42">
        <v>0.0</v>
      </c>
      <c r="N69" s="44">
        <v>14245.0</v>
      </c>
      <c r="O69" s="46"/>
    </row>
    <row r="70">
      <c r="A70" s="42">
        <v>5.2</v>
      </c>
      <c r="B70" s="41" t="s">
        <v>1271</v>
      </c>
      <c r="C70" s="40" t="s">
        <v>18</v>
      </c>
      <c r="D70" s="40" t="s">
        <v>1272</v>
      </c>
      <c r="E70" s="46"/>
      <c r="F70" s="41" t="s">
        <v>21</v>
      </c>
      <c r="G70" s="41">
        <v>14.0</v>
      </c>
      <c r="H70" s="41" t="s">
        <v>22</v>
      </c>
      <c r="I70" s="42">
        <v>1.0</v>
      </c>
      <c r="J70" s="43"/>
      <c r="K70" s="42">
        <v>0.0</v>
      </c>
      <c r="L70" s="42">
        <v>0.0</v>
      </c>
      <c r="M70" s="42">
        <v>0.0</v>
      </c>
      <c r="N70" s="42">
        <v>0.0</v>
      </c>
      <c r="O70" s="46"/>
    </row>
    <row r="71">
      <c r="A71" s="42">
        <v>5.3</v>
      </c>
      <c r="B71" s="41" t="s">
        <v>1273</v>
      </c>
      <c r="C71" s="40" t="s">
        <v>18</v>
      </c>
      <c r="D71" s="40" t="s">
        <v>1272</v>
      </c>
      <c r="E71" s="46"/>
      <c r="F71" s="41" t="s">
        <v>21</v>
      </c>
      <c r="G71" s="41">
        <v>14.0</v>
      </c>
      <c r="H71" s="41" t="s">
        <v>22</v>
      </c>
      <c r="I71" s="42">
        <v>1.0</v>
      </c>
      <c r="J71" s="43"/>
      <c r="K71" s="44">
        <v>3639.68</v>
      </c>
      <c r="L71" s="44">
        <v>3639.68</v>
      </c>
      <c r="M71" s="42">
        <v>0.0</v>
      </c>
      <c r="N71" s="44">
        <v>3639.68</v>
      </c>
      <c r="O71" s="46"/>
    </row>
    <row r="72">
      <c r="A72" s="42">
        <v>5.4</v>
      </c>
      <c r="B72" s="41" t="s">
        <v>1274</v>
      </c>
      <c r="C72" s="40" t="s">
        <v>18</v>
      </c>
      <c r="D72" s="40" t="s">
        <v>1275</v>
      </c>
      <c r="E72" s="46"/>
      <c r="F72" s="41" t="s">
        <v>21</v>
      </c>
      <c r="G72" s="41">
        <v>21.0</v>
      </c>
      <c r="H72" s="41" t="s">
        <v>22</v>
      </c>
      <c r="I72" s="42">
        <v>2.0</v>
      </c>
      <c r="J72" s="43"/>
      <c r="K72" s="42">
        <v>0.0</v>
      </c>
      <c r="L72" s="42">
        <v>0.0</v>
      </c>
      <c r="M72" s="42">
        <v>0.0</v>
      </c>
      <c r="N72" s="42">
        <v>0.0</v>
      </c>
      <c r="O72" s="46"/>
    </row>
    <row r="73">
      <c r="A73" s="42">
        <v>5.5</v>
      </c>
      <c r="B73" s="41" t="s">
        <v>1276</v>
      </c>
      <c r="C73" s="40" t="s">
        <v>29</v>
      </c>
      <c r="D73" s="40" t="s">
        <v>1277</v>
      </c>
      <c r="E73" s="46"/>
      <c r="F73" s="41" t="s">
        <v>21</v>
      </c>
      <c r="G73" s="41">
        <v>14.0</v>
      </c>
      <c r="H73" s="41" t="s">
        <v>22</v>
      </c>
      <c r="I73" s="42">
        <v>1.0</v>
      </c>
      <c r="J73" s="43"/>
      <c r="K73" s="42">
        <v>0.0</v>
      </c>
      <c r="L73" s="42">
        <v>0.0</v>
      </c>
      <c r="M73" s="42">
        <v>0.0</v>
      </c>
      <c r="N73" s="42">
        <v>0.0</v>
      </c>
      <c r="O73" s="46"/>
    </row>
    <row r="74">
      <c r="A74" s="42">
        <v>5.6</v>
      </c>
      <c r="B74" s="41" t="s">
        <v>1229</v>
      </c>
      <c r="C74" s="40" t="s">
        <v>18</v>
      </c>
      <c r="D74" s="40" t="s">
        <v>1030</v>
      </c>
      <c r="E74" s="46"/>
      <c r="F74" s="41" t="s">
        <v>21</v>
      </c>
      <c r="G74" s="41">
        <v>14.0</v>
      </c>
      <c r="H74" s="41" t="s">
        <v>29</v>
      </c>
      <c r="I74" s="42">
        <v>1.0</v>
      </c>
      <c r="J74" s="43"/>
      <c r="K74" s="42">
        <v>0.0</v>
      </c>
      <c r="L74" s="42">
        <v>0.0</v>
      </c>
      <c r="M74" s="42">
        <v>0.0</v>
      </c>
      <c r="N74" s="42">
        <v>0.0</v>
      </c>
      <c r="O74" s="46"/>
    </row>
    <row r="75">
      <c r="A75" s="42">
        <v>5.7</v>
      </c>
      <c r="B75" s="41" t="s">
        <v>1278</v>
      </c>
      <c r="C75" s="40" t="s">
        <v>18</v>
      </c>
      <c r="D75" s="40" t="s">
        <v>1279</v>
      </c>
      <c r="E75" s="46"/>
      <c r="F75" s="41" t="s">
        <v>21</v>
      </c>
      <c r="G75" s="41">
        <v>14.0</v>
      </c>
      <c r="H75" s="41" t="s">
        <v>22</v>
      </c>
      <c r="I75" s="42">
        <v>1.0</v>
      </c>
      <c r="J75" s="43"/>
      <c r="K75" s="44">
        <v>3761.77</v>
      </c>
      <c r="L75" s="44">
        <v>3761.77</v>
      </c>
      <c r="M75" s="42">
        <v>0.0</v>
      </c>
      <c r="N75" s="44">
        <v>3761.77</v>
      </c>
      <c r="O75" s="46"/>
    </row>
    <row r="76">
      <c r="A76" s="42">
        <v>5.8</v>
      </c>
      <c r="B76" s="41" t="s">
        <v>1280</v>
      </c>
      <c r="C76" s="40" t="s">
        <v>18</v>
      </c>
      <c r="D76" s="40" t="s">
        <v>1281</v>
      </c>
      <c r="E76" s="46"/>
      <c r="F76" s="41" t="s">
        <v>21</v>
      </c>
      <c r="G76" s="41">
        <v>14.0</v>
      </c>
      <c r="H76" s="41" t="s">
        <v>22</v>
      </c>
      <c r="I76" s="42">
        <v>6.0</v>
      </c>
      <c r="J76" s="43"/>
      <c r="K76" s="42">
        <v>0.0</v>
      </c>
      <c r="L76" s="42">
        <v>0.0</v>
      </c>
      <c r="M76" s="42">
        <v>0.0</v>
      </c>
      <c r="N76" s="42">
        <v>0.0</v>
      </c>
      <c r="O76" s="46"/>
    </row>
    <row r="77">
      <c r="A77" s="42">
        <v>5.9</v>
      </c>
      <c r="B77" s="41" t="s">
        <v>1282</v>
      </c>
      <c r="C77" s="40" t="s">
        <v>18</v>
      </c>
      <c r="D77" s="40" t="s">
        <v>1233</v>
      </c>
      <c r="E77" s="46"/>
      <c r="F77" s="41" t="s">
        <v>21</v>
      </c>
      <c r="G77" s="41">
        <v>14.0</v>
      </c>
      <c r="H77" s="41" t="s">
        <v>22</v>
      </c>
      <c r="I77" s="42">
        <v>1.0</v>
      </c>
      <c r="J77" s="43"/>
      <c r="K77" s="42">
        <v>0.0</v>
      </c>
      <c r="L77" s="42">
        <v>0.0</v>
      </c>
      <c r="M77" s="42">
        <v>0.0</v>
      </c>
      <c r="N77" s="42">
        <v>0.0</v>
      </c>
      <c r="O77" s="46"/>
    </row>
    <row r="78">
      <c r="A78" s="42">
        <v>5.1</v>
      </c>
      <c r="B78" s="41" t="s">
        <v>59</v>
      </c>
      <c r="C78" s="40" t="s">
        <v>29</v>
      </c>
      <c r="D78" s="40" t="s">
        <v>60</v>
      </c>
      <c r="E78" s="46"/>
      <c r="F78" s="41" t="s">
        <v>21</v>
      </c>
      <c r="G78" s="41">
        <v>2.0</v>
      </c>
      <c r="H78" s="41" t="s">
        <v>29</v>
      </c>
      <c r="I78" s="42">
        <v>1.0</v>
      </c>
      <c r="J78" s="43"/>
      <c r="K78" s="42">
        <v>0.0</v>
      </c>
      <c r="L78" s="42">
        <v>0.0</v>
      </c>
      <c r="M78" s="42">
        <v>0.0</v>
      </c>
      <c r="N78" s="42">
        <v>0.0</v>
      </c>
      <c r="O78" s="46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50" t="s">
        <v>63</v>
      </c>
      <c r="N79" s="51">
        <v>166221.42</v>
      </c>
      <c r="O79" s="52"/>
    </row>
    <row r="80">
      <c r="A80" s="39">
        <v>6.0</v>
      </c>
      <c r="B80" s="39" t="s">
        <v>1283</v>
      </c>
      <c r="C80" s="40" t="s">
        <v>18</v>
      </c>
      <c r="D80" s="40" t="s">
        <v>1284</v>
      </c>
      <c r="E80" s="40" t="s">
        <v>20</v>
      </c>
      <c r="F80" s="41" t="s">
        <v>21</v>
      </c>
      <c r="G80" s="41">
        <v>14.0</v>
      </c>
      <c r="H80" s="41" t="s">
        <v>22</v>
      </c>
      <c r="I80" s="42">
        <v>1.0</v>
      </c>
      <c r="J80" s="43"/>
      <c r="K80" s="44">
        <v>78792.07</v>
      </c>
      <c r="L80" s="44">
        <v>78792.07</v>
      </c>
      <c r="M80" s="42">
        <v>0.0</v>
      </c>
      <c r="N80" s="44">
        <v>78792.07</v>
      </c>
      <c r="O80" s="46"/>
    </row>
    <row r="81">
      <c r="A81" s="42" t="s">
        <v>136</v>
      </c>
      <c r="B81" s="41" t="s">
        <v>1285</v>
      </c>
      <c r="C81" s="40" t="s">
        <v>18</v>
      </c>
      <c r="D81" s="40" t="s">
        <v>1286</v>
      </c>
      <c r="E81" s="46"/>
      <c r="F81" s="41">
        <v>36.0</v>
      </c>
      <c r="G81" s="41" t="s">
        <v>21</v>
      </c>
      <c r="H81" s="41" t="s">
        <v>22</v>
      </c>
      <c r="I81" s="42">
        <v>1.0</v>
      </c>
      <c r="J81" s="43"/>
      <c r="K81" s="44">
        <v>24457.14</v>
      </c>
      <c r="L81" s="44">
        <v>24457.14</v>
      </c>
      <c r="M81" s="42">
        <v>0.0</v>
      </c>
      <c r="N81" s="44">
        <v>24457.14</v>
      </c>
      <c r="O81" s="40" t="s">
        <v>26</v>
      </c>
    </row>
    <row r="82">
      <c r="A82" s="42">
        <v>6.1</v>
      </c>
      <c r="B82" s="41" t="s">
        <v>1287</v>
      </c>
      <c r="C82" s="40" t="s">
        <v>29</v>
      </c>
      <c r="D82" s="40" t="s">
        <v>1266</v>
      </c>
      <c r="E82" s="46"/>
      <c r="F82" s="41" t="s">
        <v>21</v>
      </c>
      <c r="G82" s="41">
        <v>14.0</v>
      </c>
      <c r="H82" s="41" t="s">
        <v>22</v>
      </c>
      <c r="I82" s="42">
        <v>1.0</v>
      </c>
      <c r="J82" s="43"/>
      <c r="K82" s="42">
        <v>0.0</v>
      </c>
      <c r="L82" s="42">
        <v>0.0</v>
      </c>
      <c r="M82" s="42">
        <v>0.0</v>
      </c>
      <c r="N82" s="42">
        <v>0.0</v>
      </c>
      <c r="O82" s="46"/>
    </row>
    <row r="83">
      <c r="A83" s="42" t="s">
        <v>923</v>
      </c>
      <c r="B83" s="41" t="s">
        <v>1288</v>
      </c>
      <c r="C83" s="40" t="s">
        <v>18</v>
      </c>
      <c r="D83" s="40" t="s">
        <v>1289</v>
      </c>
      <c r="E83" s="46"/>
      <c r="F83" s="41">
        <v>36.0</v>
      </c>
      <c r="G83" s="41" t="s">
        <v>21</v>
      </c>
      <c r="H83" s="41" t="s">
        <v>22</v>
      </c>
      <c r="I83" s="42">
        <v>1.0</v>
      </c>
      <c r="J83" s="43"/>
      <c r="K83" s="44">
        <v>2937.0</v>
      </c>
      <c r="L83" s="44">
        <v>2937.0</v>
      </c>
      <c r="M83" s="42">
        <v>0.0</v>
      </c>
      <c r="N83" s="44">
        <v>2937.0</v>
      </c>
      <c r="O83" s="40" t="s">
        <v>26</v>
      </c>
    </row>
    <row r="84">
      <c r="A84" s="42" t="s">
        <v>924</v>
      </c>
      <c r="B84" s="41" t="s">
        <v>1269</v>
      </c>
      <c r="C84" s="40" t="s">
        <v>18</v>
      </c>
      <c r="D84" s="40" t="s">
        <v>1270</v>
      </c>
      <c r="E84" s="46"/>
      <c r="F84" s="41">
        <v>36.0</v>
      </c>
      <c r="G84" s="41" t="s">
        <v>21</v>
      </c>
      <c r="H84" s="41" t="s">
        <v>22</v>
      </c>
      <c r="I84" s="42">
        <v>1.0</v>
      </c>
      <c r="J84" s="43"/>
      <c r="K84" s="44">
        <v>14245.0</v>
      </c>
      <c r="L84" s="44">
        <v>14245.0</v>
      </c>
      <c r="M84" s="42">
        <v>0.0</v>
      </c>
      <c r="N84" s="44">
        <v>14245.0</v>
      </c>
      <c r="O84" s="46"/>
    </row>
    <row r="85">
      <c r="A85" s="42">
        <v>6.2</v>
      </c>
      <c r="B85" s="41" t="s">
        <v>1271</v>
      </c>
      <c r="C85" s="40" t="s">
        <v>18</v>
      </c>
      <c r="D85" s="40" t="s">
        <v>1272</v>
      </c>
      <c r="E85" s="46"/>
      <c r="F85" s="41" t="s">
        <v>21</v>
      </c>
      <c r="G85" s="41">
        <v>14.0</v>
      </c>
      <c r="H85" s="41" t="s">
        <v>22</v>
      </c>
      <c r="I85" s="42">
        <v>1.0</v>
      </c>
      <c r="J85" s="43"/>
      <c r="K85" s="42">
        <v>0.0</v>
      </c>
      <c r="L85" s="42">
        <v>0.0</v>
      </c>
      <c r="M85" s="42">
        <v>0.0</v>
      </c>
      <c r="N85" s="42">
        <v>0.0</v>
      </c>
      <c r="O85" s="46"/>
    </row>
    <row r="86">
      <c r="A86" s="42">
        <v>6.3</v>
      </c>
      <c r="B86" s="41" t="s">
        <v>1273</v>
      </c>
      <c r="C86" s="40" t="s">
        <v>18</v>
      </c>
      <c r="D86" s="40" t="s">
        <v>1272</v>
      </c>
      <c r="E86" s="46"/>
      <c r="F86" s="41" t="s">
        <v>21</v>
      </c>
      <c r="G86" s="41">
        <v>14.0</v>
      </c>
      <c r="H86" s="41" t="s">
        <v>22</v>
      </c>
      <c r="I86" s="42">
        <v>1.0</v>
      </c>
      <c r="J86" s="43"/>
      <c r="K86" s="44">
        <v>3639.68</v>
      </c>
      <c r="L86" s="44">
        <v>3639.68</v>
      </c>
      <c r="M86" s="42">
        <v>0.0</v>
      </c>
      <c r="N86" s="44">
        <v>3639.68</v>
      </c>
      <c r="O86" s="46"/>
    </row>
    <row r="87">
      <c r="A87" s="42">
        <v>6.4</v>
      </c>
      <c r="B87" s="41" t="s">
        <v>1274</v>
      </c>
      <c r="C87" s="40" t="s">
        <v>18</v>
      </c>
      <c r="D87" s="40" t="s">
        <v>1275</v>
      </c>
      <c r="E87" s="46"/>
      <c r="F87" s="41" t="s">
        <v>21</v>
      </c>
      <c r="G87" s="41">
        <v>21.0</v>
      </c>
      <c r="H87" s="41" t="s">
        <v>22</v>
      </c>
      <c r="I87" s="42">
        <v>2.0</v>
      </c>
      <c r="J87" s="43"/>
      <c r="K87" s="42">
        <v>0.0</v>
      </c>
      <c r="L87" s="42">
        <v>0.0</v>
      </c>
      <c r="M87" s="42">
        <v>0.0</v>
      </c>
      <c r="N87" s="42">
        <v>0.0</v>
      </c>
      <c r="O87" s="46"/>
    </row>
    <row r="88">
      <c r="A88" s="42">
        <v>6.5</v>
      </c>
      <c r="B88" s="41" t="s">
        <v>1276</v>
      </c>
      <c r="C88" s="40" t="s">
        <v>29</v>
      </c>
      <c r="D88" s="40" t="s">
        <v>1277</v>
      </c>
      <c r="E88" s="46"/>
      <c r="F88" s="41" t="s">
        <v>21</v>
      </c>
      <c r="G88" s="41">
        <v>14.0</v>
      </c>
      <c r="H88" s="41" t="s">
        <v>22</v>
      </c>
      <c r="I88" s="42">
        <v>1.0</v>
      </c>
      <c r="J88" s="43"/>
      <c r="K88" s="42">
        <v>0.0</v>
      </c>
      <c r="L88" s="42">
        <v>0.0</v>
      </c>
      <c r="M88" s="42">
        <v>0.0</v>
      </c>
      <c r="N88" s="42">
        <v>0.0</v>
      </c>
      <c r="O88" s="46"/>
    </row>
    <row r="89">
      <c r="A89" s="42">
        <v>6.6</v>
      </c>
      <c r="B89" s="41" t="s">
        <v>1229</v>
      </c>
      <c r="C89" s="40" t="s">
        <v>18</v>
      </c>
      <c r="D89" s="40" t="s">
        <v>1030</v>
      </c>
      <c r="E89" s="46"/>
      <c r="F89" s="41" t="s">
        <v>21</v>
      </c>
      <c r="G89" s="41">
        <v>14.0</v>
      </c>
      <c r="H89" s="41" t="s">
        <v>29</v>
      </c>
      <c r="I89" s="42">
        <v>1.0</v>
      </c>
      <c r="J89" s="43"/>
      <c r="K89" s="42">
        <v>0.0</v>
      </c>
      <c r="L89" s="42">
        <v>0.0</v>
      </c>
      <c r="M89" s="42">
        <v>0.0</v>
      </c>
      <c r="N89" s="42">
        <v>0.0</v>
      </c>
      <c r="O89" s="46"/>
    </row>
    <row r="90">
      <c r="A90" s="42">
        <v>6.7</v>
      </c>
      <c r="B90" s="41" t="s">
        <v>1278</v>
      </c>
      <c r="C90" s="40" t="s">
        <v>18</v>
      </c>
      <c r="D90" s="40" t="s">
        <v>1279</v>
      </c>
      <c r="E90" s="46"/>
      <c r="F90" s="41" t="s">
        <v>21</v>
      </c>
      <c r="G90" s="41">
        <v>14.0</v>
      </c>
      <c r="H90" s="41" t="s">
        <v>22</v>
      </c>
      <c r="I90" s="42">
        <v>1.0</v>
      </c>
      <c r="J90" s="43"/>
      <c r="K90" s="44">
        <v>3761.77</v>
      </c>
      <c r="L90" s="44">
        <v>3761.77</v>
      </c>
      <c r="M90" s="42">
        <v>0.0</v>
      </c>
      <c r="N90" s="44">
        <v>3761.77</v>
      </c>
      <c r="O90" s="46"/>
    </row>
    <row r="91">
      <c r="A91" s="42">
        <v>6.8</v>
      </c>
      <c r="B91" s="41" t="s">
        <v>1280</v>
      </c>
      <c r="C91" s="40" t="s">
        <v>18</v>
      </c>
      <c r="D91" s="40" t="s">
        <v>1281</v>
      </c>
      <c r="E91" s="46"/>
      <c r="F91" s="41" t="s">
        <v>21</v>
      </c>
      <c r="G91" s="41">
        <v>14.0</v>
      </c>
      <c r="H91" s="41" t="s">
        <v>22</v>
      </c>
      <c r="I91" s="42">
        <v>6.0</v>
      </c>
      <c r="J91" s="43"/>
      <c r="K91" s="42">
        <v>0.0</v>
      </c>
      <c r="L91" s="42">
        <v>0.0</v>
      </c>
      <c r="M91" s="42">
        <v>0.0</v>
      </c>
      <c r="N91" s="42">
        <v>0.0</v>
      </c>
      <c r="O91" s="46"/>
    </row>
    <row r="92">
      <c r="A92" s="42">
        <v>6.9</v>
      </c>
      <c r="B92" s="41" t="s">
        <v>1290</v>
      </c>
      <c r="C92" s="40" t="s">
        <v>18</v>
      </c>
      <c r="D92" s="40" t="s">
        <v>1291</v>
      </c>
      <c r="E92" s="46"/>
      <c r="F92" s="41" t="s">
        <v>21</v>
      </c>
      <c r="G92" s="41">
        <v>14.0</v>
      </c>
      <c r="H92" s="41" t="s">
        <v>29</v>
      </c>
      <c r="I92" s="42">
        <v>1.0</v>
      </c>
      <c r="J92" s="43"/>
      <c r="K92" s="42">
        <v>0.0</v>
      </c>
      <c r="L92" s="42">
        <v>0.0</v>
      </c>
      <c r="M92" s="42">
        <v>0.0</v>
      </c>
      <c r="N92" s="42">
        <v>0.0</v>
      </c>
      <c r="O92" s="46"/>
    </row>
    <row r="93">
      <c r="A93" s="42">
        <v>6.1</v>
      </c>
      <c r="B93" s="41" t="s">
        <v>1282</v>
      </c>
      <c r="C93" s="40" t="s">
        <v>18</v>
      </c>
      <c r="D93" s="40" t="s">
        <v>1233</v>
      </c>
      <c r="E93" s="46"/>
      <c r="F93" s="41" t="s">
        <v>21</v>
      </c>
      <c r="G93" s="41">
        <v>14.0</v>
      </c>
      <c r="H93" s="41" t="s">
        <v>22</v>
      </c>
      <c r="I93" s="42">
        <v>1.0</v>
      </c>
      <c r="J93" s="43"/>
      <c r="K93" s="42">
        <v>0.0</v>
      </c>
      <c r="L93" s="42">
        <v>0.0</v>
      </c>
      <c r="M93" s="42">
        <v>0.0</v>
      </c>
      <c r="N93" s="42">
        <v>0.0</v>
      </c>
      <c r="O93" s="46"/>
    </row>
    <row r="94">
      <c r="A94" s="42">
        <v>6.11</v>
      </c>
      <c r="B94" s="41" t="s">
        <v>59</v>
      </c>
      <c r="C94" s="40" t="s">
        <v>29</v>
      </c>
      <c r="D94" s="40" t="s">
        <v>60</v>
      </c>
      <c r="E94" s="46"/>
      <c r="F94" s="41" t="s">
        <v>21</v>
      </c>
      <c r="G94" s="41">
        <v>2.0</v>
      </c>
      <c r="H94" s="41" t="s">
        <v>29</v>
      </c>
      <c r="I94" s="42">
        <v>1.0</v>
      </c>
      <c r="J94" s="43"/>
      <c r="K94" s="42">
        <v>0.0</v>
      </c>
      <c r="L94" s="42">
        <v>0.0</v>
      </c>
      <c r="M94" s="42">
        <v>0.0</v>
      </c>
      <c r="N94" s="42">
        <v>0.0</v>
      </c>
      <c r="O94" s="46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50" t="s">
        <v>63</v>
      </c>
      <c r="N95" s="51">
        <v>127832.66</v>
      </c>
      <c r="O95" s="52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50" t="s">
        <v>233</v>
      </c>
      <c r="N96" s="51">
        <v>575830.89</v>
      </c>
      <c r="O96" s="5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5"/>
    <col customWidth="1" min="4" max="4" width="44.88"/>
  </cols>
  <sheetData>
    <row r="1">
      <c r="A1" s="35" t="s">
        <v>2</v>
      </c>
      <c r="B1" s="35" t="s">
        <v>3</v>
      </c>
      <c r="C1" s="35" t="s">
        <v>4</v>
      </c>
      <c r="D1" s="35" t="s">
        <v>5</v>
      </c>
      <c r="E1" s="35" t="s">
        <v>6</v>
      </c>
      <c r="F1" s="35" t="s">
        <v>7</v>
      </c>
      <c r="G1" s="35" t="s">
        <v>8</v>
      </c>
      <c r="H1" s="35" t="s">
        <v>9</v>
      </c>
      <c r="I1" s="35" t="s">
        <v>10</v>
      </c>
      <c r="J1" s="35" t="s">
        <v>11</v>
      </c>
      <c r="K1" s="35" t="s">
        <v>12</v>
      </c>
      <c r="L1" s="35" t="s">
        <v>13</v>
      </c>
      <c r="M1" s="35" t="s">
        <v>14</v>
      </c>
      <c r="N1" s="35" t="s">
        <v>15</v>
      </c>
      <c r="O1" s="35" t="s">
        <v>16</v>
      </c>
    </row>
    <row r="2">
      <c r="A2" s="39">
        <v>1.0</v>
      </c>
      <c r="B2" s="39" t="s">
        <v>1292</v>
      </c>
      <c r="C2" s="40" t="s">
        <v>18</v>
      </c>
      <c r="D2" s="40" t="s">
        <v>1293</v>
      </c>
      <c r="E2" s="40" t="s">
        <v>20</v>
      </c>
      <c r="F2" s="41" t="s">
        <v>21</v>
      </c>
      <c r="G2" s="41">
        <v>28.0</v>
      </c>
      <c r="H2" s="41" t="s">
        <v>22</v>
      </c>
      <c r="I2" s="42">
        <v>1.0</v>
      </c>
      <c r="J2" s="43"/>
      <c r="K2" s="44">
        <v>2217.1</v>
      </c>
      <c r="L2" s="44">
        <v>2217.1</v>
      </c>
      <c r="M2" s="42">
        <v>0.0</v>
      </c>
      <c r="N2" s="44">
        <v>2217.1</v>
      </c>
      <c r="O2" s="46"/>
    </row>
    <row r="3">
      <c r="A3" s="42" t="s">
        <v>23</v>
      </c>
      <c r="B3" s="41" t="s">
        <v>1294</v>
      </c>
      <c r="C3" s="40" t="s">
        <v>18</v>
      </c>
      <c r="D3" s="40" t="s">
        <v>1295</v>
      </c>
      <c r="E3" s="46"/>
      <c r="F3" s="41">
        <v>36.0</v>
      </c>
      <c r="G3" s="41" t="s">
        <v>21</v>
      </c>
      <c r="H3" s="41" t="s">
        <v>22</v>
      </c>
      <c r="I3" s="42">
        <v>1.0</v>
      </c>
      <c r="J3" s="43"/>
      <c r="K3" s="44">
        <v>1155.0</v>
      </c>
      <c r="L3" s="44">
        <v>1155.0</v>
      </c>
      <c r="M3" s="42">
        <v>0.0</v>
      </c>
      <c r="N3" s="44">
        <v>1155.0</v>
      </c>
      <c r="O3" s="40" t="s">
        <v>26</v>
      </c>
    </row>
    <row r="4">
      <c r="A4" s="42">
        <v>1.1</v>
      </c>
      <c r="B4" s="41" t="s">
        <v>271</v>
      </c>
      <c r="C4" s="40" t="s">
        <v>18</v>
      </c>
      <c r="D4" s="40" t="s">
        <v>272</v>
      </c>
      <c r="E4" s="46"/>
      <c r="F4" s="41" t="s">
        <v>21</v>
      </c>
      <c r="G4" s="41">
        <v>21.0</v>
      </c>
      <c r="H4" s="41" t="s">
        <v>29</v>
      </c>
      <c r="I4" s="42">
        <v>1.0</v>
      </c>
      <c r="J4" s="43"/>
      <c r="K4" s="42">
        <v>0.0</v>
      </c>
      <c r="L4" s="42">
        <v>0.0</v>
      </c>
      <c r="M4" s="42">
        <v>0.0</v>
      </c>
      <c r="N4" s="42">
        <v>0.0</v>
      </c>
      <c r="O4" s="46"/>
    </row>
    <row r="5">
      <c r="A5" s="42">
        <v>1.2</v>
      </c>
      <c r="B5" s="41" t="s">
        <v>355</v>
      </c>
      <c r="C5" s="40" t="s">
        <v>18</v>
      </c>
      <c r="D5" s="40" t="s">
        <v>356</v>
      </c>
      <c r="E5" s="46"/>
      <c r="F5" s="41" t="s">
        <v>21</v>
      </c>
      <c r="G5" s="41">
        <v>21.0</v>
      </c>
      <c r="H5" s="41" t="s">
        <v>29</v>
      </c>
      <c r="I5" s="42">
        <v>1.0</v>
      </c>
      <c r="J5" s="43"/>
      <c r="K5" s="42">
        <v>0.0</v>
      </c>
      <c r="L5" s="42">
        <v>0.0</v>
      </c>
      <c r="M5" s="42">
        <v>0.0</v>
      </c>
      <c r="N5" s="42">
        <v>0.0</v>
      </c>
      <c r="O5" s="46"/>
    </row>
    <row r="6">
      <c r="A6" s="42">
        <v>1.3</v>
      </c>
      <c r="B6" s="41" t="s">
        <v>59</v>
      </c>
      <c r="C6" s="40" t="s">
        <v>29</v>
      </c>
      <c r="D6" s="40" t="s">
        <v>60</v>
      </c>
      <c r="E6" s="46"/>
      <c r="F6" s="41" t="s">
        <v>21</v>
      </c>
      <c r="G6" s="41">
        <v>3.0</v>
      </c>
      <c r="H6" s="41" t="s">
        <v>29</v>
      </c>
      <c r="I6" s="42">
        <v>1.0</v>
      </c>
      <c r="J6" s="43"/>
      <c r="K6" s="42">
        <v>0.0</v>
      </c>
      <c r="L6" s="42">
        <v>0.0</v>
      </c>
      <c r="M6" s="42">
        <v>0.0</v>
      </c>
      <c r="N6" s="42">
        <v>0.0</v>
      </c>
      <c r="O6" s="46"/>
    </row>
    <row r="7">
      <c r="A7" s="42">
        <v>1.4</v>
      </c>
      <c r="B7" s="41" t="s">
        <v>1296</v>
      </c>
      <c r="C7" s="40" t="s">
        <v>18</v>
      </c>
      <c r="D7" s="40" t="s">
        <v>1297</v>
      </c>
      <c r="E7" s="46"/>
      <c r="F7" s="41" t="s">
        <v>21</v>
      </c>
      <c r="G7" s="41">
        <v>3.0</v>
      </c>
      <c r="H7" s="41" t="s">
        <v>29</v>
      </c>
      <c r="I7" s="42">
        <v>1.0</v>
      </c>
      <c r="J7" s="43"/>
      <c r="K7" s="42">
        <v>0.0</v>
      </c>
      <c r="L7" s="42">
        <v>0.0</v>
      </c>
      <c r="M7" s="42">
        <v>0.0</v>
      </c>
      <c r="N7" s="42">
        <v>0.0</v>
      </c>
      <c r="O7" s="46"/>
    </row>
    <row r="8">
      <c r="A8" s="42" t="s">
        <v>48</v>
      </c>
      <c r="B8" s="41" t="s">
        <v>1298</v>
      </c>
      <c r="C8" s="40" t="s">
        <v>18</v>
      </c>
      <c r="D8" s="40" t="s">
        <v>1299</v>
      </c>
      <c r="E8" s="46"/>
      <c r="F8" s="41" t="s">
        <v>21</v>
      </c>
      <c r="G8" s="41">
        <v>3.0</v>
      </c>
      <c r="H8" s="41" t="s">
        <v>22</v>
      </c>
      <c r="I8" s="42">
        <v>1.0</v>
      </c>
      <c r="J8" s="42">
        <v>1.0</v>
      </c>
      <c r="K8" s="42">
        <v>0.0</v>
      </c>
      <c r="L8" s="42">
        <v>0.0</v>
      </c>
      <c r="M8" s="42">
        <v>0.0</v>
      </c>
      <c r="N8" s="42">
        <v>0.0</v>
      </c>
      <c r="O8" s="46"/>
    </row>
    <row r="9">
      <c r="A9" s="42" t="s">
        <v>1300</v>
      </c>
      <c r="B9" s="41" t="s">
        <v>511</v>
      </c>
      <c r="C9" s="40" t="s">
        <v>29</v>
      </c>
      <c r="D9" s="40" t="s">
        <v>431</v>
      </c>
      <c r="E9" s="46"/>
      <c r="F9" s="41" t="s">
        <v>21</v>
      </c>
      <c r="G9" s="41">
        <v>3.0</v>
      </c>
      <c r="H9" s="41" t="s">
        <v>22</v>
      </c>
      <c r="I9" s="42">
        <v>1.0</v>
      </c>
      <c r="J9" s="42">
        <v>1.0</v>
      </c>
      <c r="K9" s="42">
        <v>0.0</v>
      </c>
      <c r="L9" s="42">
        <v>0.0</v>
      </c>
      <c r="M9" s="42">
        <v>0.0</v>
      </c>
      <c r="N9" s="42">
        <v>0.0</v>
      </c>
      <c r="O9" s="46"/>
    </row>
    <row r="10">
      <c r="A10" s="42" t="s">
        <v>1301</v>
      </c>
      <c r="B10" s="41" t="s">
        <v>509</v>
      </c>
      <c r="C10" s="40" t="s">
        <v>29</v>
      </c>
      <c r="D10" s="40" t="s">
        <v>510</v>
      </c>
      <c r="E10" s="46"/>
      <c r="F10" s="41" t="s">
        <v>21</v>
      </c>
      <c r="G10" s="41">
        <v>3.0</v>
      </c>
      <c r="H10" s="41" t="s">
        <v>22</v>
      </c>
      <c r="I10" s="42">
        <v>1.0</v>
      </c>
      <c r="J10" s="42">
        <v>1.0</v>
      </c>
      <c r="K10" s="42">
        <v>0.0</v>
      </c>
      <c r="L10" s="42">
        <v>0.0</v>
      </c>
      <c r="M10" s="42">
        <v>0.0</v>
      </c>
      <c r="N10" s="42">
        <v>0.0</v>
      </c>
      <c r="O10" s="46"/>
    </row>
    <row r="11">
      <c r="A11" s="42" t="s">
        <v>1302</v>
      </c>
      <c r="B11" s="41" t="s">
        <v>1303</v>
      </c>
      <c r="C11" s="40" t="s">
        <v>18</v>
      </c>
      <c r="D11" s="40" t="s">
        <v>1304</v>
      </c>
      <c r="E11" s="46"/>
      <c r="F11" s="41" t="s">
        <v>21</v>
      </c>
      <c r="G11" s="41">
        <v>3.0</v>
      </c>
      <c r="H11" s="41" t="s">
        <v>22</v>
      </c>
      <c r="I11" s="42">
        <v>1.0</v>
      </c>
      <c r="J11" s="42">
        <v>1.0</v>
      </c>
      <c r="K11" s="42">
        <v>0.0</v>
      </c>
      <c r="L11" s="42">
        <v>0.0</v>
      </c>
      <c r="M11" s="42">
        <v>0.0</v>
      </c>
      <c r="N11" s="42">
        <v>0.0</v>
      </c>
      <c r="O11" s="46"/>
    </row>
    <row r="12">
      <c r="A12" s="42" t="s">
        <v>1305</v>
      </c>
      <c r="B12" s="41" t="s">
        <v>1306</v>
      </c>
      <c r="C12" s="40" t="s">
        <v>29</v>
      </c>
      <c r="D12" s="40" t="s">
        <v>1307</v>
      </c>
      <c r="E12" s="46"/>
      <c r="F12" s="41" t="s">
        <v>21</v>
      </c>
      <c r="G12" s="41">
        <v>3.0</v>
      </c>
      <c r="H12" s="41" t="s">
        <v>22</v>
      </c>
      <c r="I12" s="42">
        <v>1.0</v>
      </c>
      <c r="J12" s="43"/>
      <c r="K12" s="42">
        <v>0.0</v>
      </c>
      <c r="L12" s="42">
        <v>0.0</v>
      </c>
      <c r="M12" s="42">
        <v>0.0</v>
      </c>
      <c r="N12" s="42">
        <v>0.0</v>
      </c>
      <c r="O12" s="46"/>
    </row>
    <row r="13">
      <c r="A13" s="42" t="s">
        <v>1308</v>
      </c>
      <c r="B13" s="41" t="s">
        <v>1309</v>
      </c>
      <c r="C13" s="40" t="s">
        <v>29</v>
      </c>
      <c r="D13" s="40" t="s">
        <v>278</v>
      </c>
      <c r="E13" s="46"/>
      <c r="F13" s="41" t="s">
        <v>21</v>
      </c>
      <c r="G13" s="41">
        <v>3.0</v>
      </c>
      <c r="H13" s="41" t="s">
        <v>22</v>
      </c>
      <c r="I13" s="42">
        <v>1.0</v>
      </c>
      <c r="J13" s="42">
        <v>1.0</v>
      </c>
      <c r="K13" s="42">
        <v>0.0</v>
      </c>
      <c r="L13" s="42">
        <v>0.0</v>
      </c>
      <c r="M13" s="42">
        <v>0.0</v>
      </c>
      <c r="N13" s="42">
        <v>0.0</v>
      </c>
      <c r="O13" s="46"/>
    </row>
    <row r="14">
      <c r="A14" s="42" t="s">
        <v>1310</v>
      </c>
      <c r="B14" s="41" t="s">
        <v>1311</v>
      </c>
      <c r="C14" s="40" t="s">
        <v>29</v>
      </c>
      <c r="D14" s="40" t="s">
        <v>1312</v>
      </c>
      <c r="E14" s="46"/>
      <c r="F14" s="41" t="s">
        <v>21</v>
      </c>
      <c r="G14" s="41" t="s">
        <v>21</v>
      </c>
      <c r="H14" s="41" t="s">
        <v>22</v>
      </c>
      <c r="I14" s="42">
        <v>1.0</v>
      </c>
      <c r="J14" s="42">
        <v>1.0</v>
      </c>
      <c r="K14" s="42">
        <v>350.0</v>
      </c>
      <c r="L14" s="44">
        <v>12600.0</v>
      </c>
      <c r="M14" s="42">
        <v>0.0</v>
      </c>
      <c r="N14" s="44">
        <v>12600.0</v>
      </c>
      <c r="O14" s="46"/>
    </row>
    <row r="15">
      <c r="A15" s="42" t="s">
        <v>1313</v>
      </c>
      <c r="B15" s="41" t="s">
        <v>1314</v>
      </c>
      <c r="C15" s="40" t="s">
        <v>29</v>
      </c>
      <c r="D15" s="40" t="s">
        <v>1315</v>
      </c>
      <c r="E15" s="46"/>
      <c r="F15" s="41" t="s">
        <v>21</v>
      </c>
      <c r="G15" s="41">
        <v>3.0</v>
      </c>
      <c r="H15" s="41" t="s">
        <v>22</v>
      </c>
      <c r="I15" s="42">
        <v>1.0</v>
      </c>
      <c r="J15" s="42">
        <v>1.0</v>
      </c>
      <c r="K15" s="42">
        <v>0.0</v>
      </c>
      <c r="L15" s="42">
        <v>0.0</v>
      </c>
      <c r="M15" s="42">
        <v>0.0</v>
      </c>
      <c r="N15" s="42">
        <v>0.0</v>
      </c>
      <c r="O15" s="46"/>
    </row>
    <row r="16">
      <c r="A16" s="42" t="s">
        <v>1316</v>
      </c>
      <c r="B16" s="41" t="s">
        <v>1317</v>
      </c>
      <c r="C16" s="40" t="s">
        <v>29</v>
      </c>
      <c r="D16" s="40" t="s">
        <v>1318</v>
      </c>
      <c r="E16" s="46"/>
      <c r="F16" s="41" t="s">
        <v>21</v>
      </c>
      <c r="G16" s="41">
        <v>3.0</v>
      </c>
      <c r="H16" s="41" t="s">
        <v>22</v>
      </c>
      <c r="I16" s="42">
        <v>1.0</v>
      </c>
      <c r="J16" s="43"/>
      <c r="K16" s="42">
        <v>0.0</v>
      </c>
      <c r="L16" s="42">
        <v>0.0</v>
      </c>
      <c r="M16" s="42">
        <v>0.0</v>
      </c>
      <c r="N16" s="42">
        <v>0.0</v>
      </c>
      <c r="O16" s="46"/>
    </row>
    <row r="17">
      <c r="A17" s="42">
        <v>1.5</v>
      </c>
      <c r="B17" s="41" t="s">
        <v>1319</v>
      </c>
      <c r="C17" s="40" t="s">
        <v>29</v>
      </c>
      <c r="D17" s="40" t="s">
        <v>1320</v>
      </c>
      <c r="E17" s="46"/>
      <c r="F17" s="41" t="s">
        <v>21</v>
      </c>
      <c r="G17" s="41">
        <v>28.0</v>
      </c>
      <c r="H17" s="41" t="s">
        <v>29</v>
      </c>
      <c r="I17" s="42">
        <v>1.0</v>
      </c>
      <c r="J17" s="43"/>
      <c r="K17" s="42">
        <v>0.0</v>
      </c>
      <c r="L17" s="42">
        <v>0.0</v>
      </c>
      <c r="M17" s="42">
        <v>0.0</v>
      </c>
      <c r="N17" s="42">
        <v>0.0</v>
      </c>
      <c r="O17" s="46"/>
    </row>
    <row r="18">
      <c r="A18" s="42">
        <v>1.6</v>
      </c>
      <c r="B18" s="41" t="s">
        <v>1321</v>
      </c>
      <c r="C18" s="40" t="s">
        <v>18</v>
      </c>
      <c r="D18" s="40" t="s">
        <v>1322</v>
      </c>
      <c r="E18" s="46"/>
      <c r="F18" s="41" t="s">
        <v>21</v>
      </c>
      <c r="G18" s="41">
        <v>28.0</v>
      </c>
      <c r="H18" s="41" t="s">
        <v>22</v>
      </c>
      <c r="I18" s="42">
        <v>1.0</v>
      </c>
      <c r="J18" s="43"/>
      <c r="K18" s="42">
        <v>0.0</v>
      </c>
      <c r="L18" s="42">
        <v>0.0</v>
      </c>
      <c r="M18" s="42">
        <v>0.0</v>
      </c>
      <c r="N18" s="42">
        <v>0.0</v>
      </c>
      <c r="O18" s="46"/>
    </row>
    <row r="19">
      <c r="A19" s="42">
        <v>1.7</v>
      </c>
      <c r="B19" s="41" t="s">
        <v>277</v>
      </c>
      <c r="C19" s="40" t="s">
        <v>18</v>
      </c>
      <c r="D19" s="40" t="s">
        <v>278</v>
      </c>
      <c r="E19" s="46"/>
      <c r="F19" s="41" t="s">
        <v>21</v>
      </c>
      <c r="G19" s="41">
        <v>14.0</v>
      </c>
      <c r="H19" s="41" t="s">
        <v>29</v>
      </c>
      <c r="I19" s="42">
        <v>1.0</v>
      </c>
      <c r="J19" s="43"/>
      <c r="K19" s="42">
        <v>0.0</v>
      </c>
      <c r="L19" s="42">
        <v>0.0</v>
      </c>
      <c r="M19" s="42">
        <v>0.0</v>
      </c>
      <c r="N19" s="42">
        <v>0.0</v>
      </c>
      <c r="O19" s="46"/>
    </row>
    <row r="20">
      <c r="A20" s="42">
        <v>1.8</v>
      </c>
      <c r="B20" s="41" t="s">
        <v>1323</v>
      </c>
      <c r="C20" s="40" t="s">
        <v>18</v>
      </c>
      <c r="D20" s="40" t="s">
        <v>1324</v>
      </c>
      <c r="E20" s="46"/>
      <c r="F20" s="41" t="s">
        <v>21</v>
      </c>
      <c r="G20" s="41">
        <v>28.0</v>
      </c>
      <c r="H20" s="41" t="s">
        <v>22</v>
      </c>
      <c r="I20" s="42">
        <v>1.0</v>
      </c>
      <c r="J20" s="43"/>
      <c r="K20" s="44">
        <v>1574.9</v>
      </c>
      <c r="L20" s="44">
        <v>1574.9</v>
      </c>
      <c r="M20" s="42">
        <v>0.0</v>
      </c>
      <c r="N20" s="44">
        <v>1574.9</v>
      </c>
      <c r="O20" s="46"/>
    </row>
    <row r="21">
      <c r="A21" s="42">
        <v>1.9</v>
      </c>
      <c r="B21" s="41" t="s">
        <v>285</v>
      </c>
      <c r="C21" s="40" t="s">
        <v>18</v>
      </c>
      <c r="D21" s="40" t="s">
        <v>286</v>
      </c>
      <c r="E21" s="46"/>
      <c r="F21" s="41" t="s">
        <v>21</v>
      </c>
      <c r="G21" s="41">
        <v>14.0</v>
      </c>
      <c r="H21" s="41" t="s">
        <v>22</v>
      </c>
      <c r="I21" s="42">
        <v>1.0</v>
      </c>
      <c r="J21" s="43"/>
      <c r="K21" s="42">
        <v>0.0</v>
      </c>
      <c r="L21" s="42">
        <v>0.0</v>
      </c>
      <c r="M21" s="42">
        <v>0.0</v>
      </c>
      <c r="N21" s="42">
        <v>0.0</v>
      </c>
      <c r="O21" s="46"/>
    </row>
    <row r="22">
      <c r="A22" s="42">
        <v>1.1</v>
      </c>
      <c r="B22" s="41" t="s">
        <v>1325</v>
      </c>
      <c r="C22" s="40" t="s">
        <v>18</v>
      </c>
      <c r="D22" s="40" t="s">
        <v>1326</v>
      </c>
      <c r="E22" s="46"/>
      <c r="F22" s="41" t="s">
        <v>21</v>
      </c>
      <c r="G22" s="41">
        <v>28.0</v>
      </c>
      <c r="H22" s="41" t="s">
        <v>22</v>
      </c>
      <c r="I22" s="42">
        <v>1.0</v>
      </c>
      <c r="J22" s="43"/>
      <c r="K22" s="44">
        <v>2508.59</v>
      </c>
      <c r="L22" s="44">
        <v>2508.59</v>
      </c>
      <c r="M22" s="42">
        <v>0.0</v>
      </c>
      <c r="N22" s="44">
        <v>2508.59</v>
      </c>
      <c r="O22" s="46"/>
    </row>
    <row r="23">
      <c r="A23" s="42">
        <v>1.11</v>
      </c>
      <c r="B23" s="41" t="s">
        <v>303</v>
      </c>
      <c r="C23" s="40" t="s">
        <v>18</v>
      </c>
      <c r="D23" s="40" t="s">
        <v>304</v>
      </c>
      <c r="E23" s="46"/>
      <c r="F23" s="41" t="s">
        <v>21</v>
      </c>
      <c r="G23" s="41">
        <v>28.0</v>
      </c>
      <c r="H23" s="41" t="s">
        <v>29</v>
      </c>
      <c r="I23" s="42">
        <v>1.0</v>
      </c>
      <c r="J23" s="43"/>
      <c r="K23" s="42">
        <v>0.0</v>
      </c>
      <c r="L23" s="42">
        <v>0.0</v>
      </c>
      <c r="M23" s="42">
        <v>0.0</v>
      </c>
      <c r="N23" s="42">
        <v>0.0</v>
      </c>
      <c r="O23" s="46"/>
    </row>
    <row r="24">
      <c r="A24" s="42">
        <v>1.12</v>
      </c>
      <c r="B24" s="41" t="s">
        <v>359</v>
      </c>
      <c r="C24" s="40" t="s">
        <v>18</v>
      </c>
      <c r="D24" s="40" t="s">
        <v>360</v>
      </c>
      <c r="E24" s="46"/>
      <c r="F24" s="41" t="s">
        <v>21</v>
      </c>
      <c r="G24" s="41">
        <v>21.0</v>
      </c>
      <c r="H24" s="41" t="s">
        <v>29</v>
      </c>
      <c r="I24" s="42">
        <v>1.0</v>
      </c>
      <c r="J24" s="43"/>
      <c r="K24" s="42">
        <v>0.0</v>
      </c>
      <c r="L24" s="42">
        <v>0.0</v>
      </c>
      <c r="M24" s="42">
        <v>0.0</v>
      </c>
      <c r="N24" s="42">
        <v>0.0</v>
      </c>
      <c r="O24" s="46"/>
    </row>
    <row r="25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50" t="s">
        <v>63</v>
      </c>
      <c r="N25" s="51">
        <v>20055.59</v>
      </c>
      <c r="O25" s="52"/>
    </row>
    <row r="26">
      <c r="A26" s="39">
        <v>2.0</v>
      </c>
      <c r="B26" s="39" t="s">
        <v>1327</v>
      </c>
      <c r="C26" s="40" t="s">
        <v>18</v>
      </c>
      <c r="D26" s="40" t="s">
        <v>1328</v>
      </c>
      <c r="E26" s="40" t="s">
        <v>20</v>
      </c>
      <c r="F26" s="41" t="s">
        <v>21</v>
      </c>
      <c r="G26" s="41">
        <v>28.0</v>
      </c>
      <c r="H26" s="41" t="s">
        <v>22</v>
      </c>
      <c r="I26" s="42">
        <v>1.0</v>
      </c>
      <c r="J26" s="43"/>
      <c r="K26" s="44">
        <v>4989.95</v>
      </c>
      <c r="L26" s="44">
        <v>4989.95</v>
      </c>
      <c r="M26" s="42">
        <v>0.0</v>
      </c>
      <c r="N26" s="44">
        <v>4989.95</v>
      </c>
      <c r="O26" s="46"/>
    </row>
    <row r="27">
      <c r="A27" s="42" t="s">
        <v>66</v>
      </c>
      <c r="B27" s="41" t="s">
        <v>1329</v>
      </c>
      <c r="C27" s="40" t="s">
        <v>18</v>
      </c>
      <c r="D27" s="40" t="s">
        <v>1330</v>
      </c>
      <c r="E27" s="46"/>
      <c r="F27" s="41">
        <v>36.0</v>
      </c>
      <c r="G27" s="41" t="s">
        <v>21</v>
      </c>
      <c r="H27" s="41" t="s">
        <v>22</v>
      </c>
      <c r="I27" s="42">
        <v>1.0</v>
      </c>
      <c r="J27" s="43"/>
      <c r="K27" s="44">
        <v>2479.14</v>
      </c>
      <c r="L27" s="44">
        <v>2479.14</v>
      </c>
      <c r="M27" s="42">
        <v>0.0</v>
      </c>
      <c r="N27" s="44">
        <v>2479.14</v>
      </c>
      <c r="O27" s="40" t="s">
        <v>26</v>
      </c>
    </row>
    <row r="28">
      <c r="A28" s="42">
        <v>2.1</v>
      </c>
      <c r="B28" s="41" t="s">
        <v>1325</v>
      </c>
      <c r="C28" s="40" t="s">
        <v>18</v>
      </c>
      <c r="D28" s="40" t="s">
        <v>1326</v>
      </c>
      <c r="E28" s="46"/>
      <c r="F28" s="41" t="s">
        <v>21</v>
      </c>
      <c r="G28" s="41">
        <v>28.0</v>
      </c>
      <c r="H28" s="41" t="s">
        <v>22</v>
      </c>
      <c r="I28" s="42">
        <v>1.0</v>
      </c>
      <c r="J28" s="43"/>
      <c r="K28" s="44">
        <v>2508.59</v>
      </c>
      <c r="L28" s="44">
        <v>2508.59</v>
      </c>
      <c r="M28" s="42">
        <v>0.0</v>
      </c>
      <c r="N28" s="44">
        <v>2508.59</v>
      </c>
      <c r="O28" s="46"/>
    </row>
    <row r="29">
      <c r="A29" s="42">
        <v>2.2</v>
      </c>
      <c r="B29" s="41" t="s">
        <v>1331</v>
      </c>
      <c r="C29" s="40" t="s">
        <v>18</v>
      </c>
      <c r="D29" s="40" t="s">
        <v>1332</v>
      </c>
      <c r="E29" s="46"/>
      <c r="F29" s="41" t="s">
        <v>21</v>
      </c>
      <c r="G29" s="41">
        <v>28.0</v>
      </c>
      <c r="H29" s="41" t="s">
        <v>29</v>
      </c>
      <c r="I29" s="42">
        <v>1.0</v>
      </c>
      <c r="J29" s="43"/>
      <c r="K29" s="42">
        <v>0.0</v>
      </c>
      <c r="L29" s="42">
        <v>0.0</v>
      </c>
      <c r="M29" s="42">
        <v>0.0</v>
      </c>
      <c r="N29" s="42">
        <v>0.0</v>
      </c>
      <c r="O29" s="46"/>
    </row>
    <row r="30">
      <c r="A30" s="42">
        <v>2.3</v>
      </c>
      <c r="B30" s="41" t="s">
        <v>271</v>
      </c>
      <c r="C30" s="40" t="s">
        <v>18</v>
      </c>
      <c r="D30" s="40" t="s">
        <v>272</v>
      </c>
      <c r="E30" s="46"/>
      <c r="F30" s="41" t="s">
        <v>21</v>
      </c>
      <c r="G30" s="41">
        <v>21.0</v>
      </c>
      <c r="H30" s="41" t="s">
        <v>29</v>
      </c>
      <c r="I30" s="42">
        <v>1.0</v>
      </c>
      <c r="J30" s="43"/>
      <c r="K30" s="42">
        <v>0.0</v>
      </c>
      <c r="L30" s="42">
        <v>0.0</v>
      </c>
      <c r="M30" s="42">
        <v>0.0</v>
      </c>
      <c r="N30" s="42">
        <v>0.0</v>
      </c>
      <c r="O30" s="46"/>
    </row>
    <row r="31">
      <c r="A31" s="42">
        <v>2.4</v>
      </c>
      <c r="B31" s="41" t="s">
        <v>355</v>
      </c>
      <c r="C31" s="40" t="s">
        <v>18</v>
      </c>
      <c r="D31" s="40" t="s">
        <v>356</v>
      </c>
      <c r="E31" s="46"/>
      <c r="F31" s="41" t="s">
        <v>21</v>
      </c>
      <c r="G31" s="41">
        <v>21.0</v>
      </c>
      <c r="H31" s="41" t="s">
        <v>29</v>
      </c>
      <c r="I31" s="42">
        <v>1.0</v>
      </c>
      <c r="J31" s="43"/>
      <c r="K31" s="42">
        <v>0.0</v>
      </c>
      <c r="L31" s="42">
        <v>0.0</v>
      </c>
      <c r="M31" s="42">
        <v>0.0</v>
      </c>
      <c r="N31" s="42">
        <v>0.0</v>
      </c>
      <c r="O31" s="46"/>
    </row>
    <row r="32">
      <c r="A32" s="42">
        <v>2.5</v>
      </c>
      <c r="B32" s="41" t="s">
        <v>59</v>
      </c>
      <c r="C32" s="40" t="s">
        <v>29</v>
      </c>
      <c r="D32" s="40" t="s">
        <v>60</v>
      </c>
      <c r="E32" s="46"/>
      <c r="F32" s="41" t="s">
        <v>21</v>
      </c>
      <c r="G32" s="41">
        <v>3.0</v>
      </c>
      <c r="H32" s="41" t="s">
        <v>29</v>
      </c>
      <c r="I32" s="42">
        <v>1.0</v>
      </c>
      <c r="J32" s="43"/>
      <c r="K32" s="42">
        <v>0.0</v>
      </c>
      <c r="L32" s="42">
        <v>0.0</v>
      </c>
      <c r="M32" s="42">
        <v>0.0</v>
      </c>
      <c r="N32" s="42">
        <v>0.0</v>
      </c>
      <c r="O32" s="46"/>
    </row>
    <row r="33">
      <c r="A33" s="42">
        <v>2.6</v>
      </c>
      <c r="B33" s="41" t="s">
        <v>359</v>
      </c>
      <c r="C33" s="40" t="s">
        <v>18</v>
      </c>
      <c r="D33" s="40" t="s">
        <v>360</v>
      </c>
      <c r="E33" s="46"/>
      <c r="F33" s="41" t="s">
        <v>21</v>
      </c>
      <c r="G33" s="41">
        <v>21.0</v>
      </c>
      <c r="H33" s="41" t="s">
        <v>29</v>
      </c>
      <c r="I33" s="42">
        <v>1.0</v>
      </c>
      <c r="J33" s="43"/>
      <c r="K33" s="42">
        <v>0.0</v>
      </c>
      <c r="L33" s="42">
        <v>0.0</v>
      </c>
      <c r="M33" s="42">
        <v>0.0</v>
      </c>
      <c r="N33" s="42">
        <v>0.0</v>
      </c>
      <c r="O33" s="46"/>
    </row>
    <row r="34">
      <c r="A34" s="42">
        <v>2.7</v>
      </c>
      <c r="B34" s="41" t="s">
        <v>320</v>
      </c>
      <c r="C34" s="40" t="s">
        <v>18</v>
      </c>
      <c r="D34" s="40" t="s">
        <v>321</v>
      </c>
      <c r="E34" s="46"/>
      <c r="F34" s="41" t="s">
        <v>21</v>
      </c>
      <c r="G34" s="41">
        <v>28.0</v>
      </c>
      <c r="H34" s="41" t="s">
        <v>29</v>
      </c>
      <c r="I34" s="42">
        <v>1.0</v>
      </c>
      <c r="J34" s="43"/>
      <c r="K34" s="42">
        <v>0.0</v>
      </c>
      <c r="L34" s="42">
        <v>0.0</v>
      </c>
      <c r="M34" s="42">
        <v>0.0</v>
      </c>
      <c r="N34" s="42">
        <v>0.0</v>
      </c>
      <c r="O34" s="46"/>
    </row>
    <row r="35">
      <c r="A35" s="42">
        <v>2.8</v>
      </c>
      <c r="B35" s="41" t="s">
        <v>1296</v>
      </c>
      <c r="C35" s="40" t="s">
        <v>18</v>
      </c>
      <c r="D35" s="40" t="s">
        <v>1297</v>
      </c>
      <c r="E35" s="46"/>
      <c r="F35" s="41" t="s">
        <v>21</v>
      </c>
      <c r="G35" s="41">
        <v>3.0</v>
      </c>
      <c r="H35" s="41" t="s">
        <v>29</v>
      </c>
      <c r="I35" s="42">
        <v>1.0</v>
      </c>
      <c r="J35" s="43"/>
      <c r="K35" s="42">
        <v>0.0</v>
      </c>
      <c r="L35" s="42">
        <v>0.0</v>
      </c>
      <c r="M35" s="42">
        <v>0.0</v>
      </c>
      <c r="N35" s="42">
        <v>0.0</v>
      </c>
      <c r="O35" s="46"/>
    </row>
    <row r="36">
      <c r="A36" s="42" t="s">
        <v>1333</v>
      </c>
      <c r="B36" s="41" t="s">
        <v>1311</v>
      </c>
      <c r="C36" s="40" t="s">
        <v>29</v>
      </c>
      <c r="D36" s="40" t="s">
        <v>1312</v>
      </c>
      <c r="E36" s="46"/>
      <c r="F36" s="41" t="s">
        <v>21</v>
      </c>
      <c r="G36" s="41" t="s">
        <v>21</v>
      </c>
      <c r="H36" s="41" t="s">
        <v>22</v>
      </c>
      <c r="I36" s="42">
        <v>1.0</v>
      </c>
      <c r="J36" s="42">
        <v>1.0</v>
      </c>
      <c r="K36" s="42">
        <v>350.0</v>
      </c>
      <c r="L36" s="44">
        <v>12600.0</v>
      </c>
      <c r="M36" s="42">
        <v>0.0</v>
      </c>
      <c r="N36" s="44">
        <v>12600.0</v>
      </c>
      <c r="O36" s="46"/>
    </row>
    <row r="37">
      <c r="A37" s="42" t="s">
        <v>1334</v>
      </c>
      <c r="B37" s="41" t="s">
        <v>1335</v>
      </c>
      <c r="C37" s="40" t="s">
        <v>18</v>
      </c>
      <c r="D37" s="40" t="s">
        <v>1336</v>
      </c>
      <c r="E37" s="46"/>
      <c r="F37" s="41" t="s">
        <v>21</v>
      </c>
      <c r="G37" s="41">
        <v>3.0</v>
      </c>
      <c r="H37" s="41" t="s">
        <v>22</v>
      </c>
      <c r="I37" s="42">
        <v>1.0</v>
      </c>
      <c r="J37" s="42">
        <v>1.0</v>
      </c>
      <c r="K37" s="42">
        <v>72.19</v>
      </c>
      <c r="L37" s="44">
        <v>2598.84</v>
      </c>
      <c r="M37" s="42">
        <v>0.0</v>
      </c>
      <c r="N37" s="44">
        <v>2598.84</v>
      </c>
      <c r="O37" s="46"/>
    </row>
    <row r="38">
      <c r="A38" s="42" t="s">
        <v>1337</v>
      </c>
      <c r="B38" s="41" t="s">
        <v>1314</v>
      </c>
      <c r="C38" s="40" t="s">
        <v>29</v>
      </c>
      <c r="D38" s="40" t="s">
        <v>1315</v>
      </c>
      <c r="E38" s="46"/>
      <c r="F38" s="41" t="s">
        <v>21</v>
      </c>
      <c r="G38" s="41">
        <v>3.0</v>
      </c>
      <c r="H38" s="41" t="s">
        <v>22</v>
      </c>
      <c r="I38" s="42">
        <v>1.0</v>
      </c>
      <c r="J38" s="42">
        <v>1.0</v>
      </c>
      <c r="K38" s="42">
        <v>0.0</v>
      </c>
      <c r="L38" s="42">
        <v>0.0</v>
      </c>
      <c r="M38" s="42">
        <v>0.0</v>
      </c>
      <c r="N38" s="42">
        <v>0.0</v>
      </c>
      <c r="O38" s="46"/>
    </row>
    <row r="39">
      <c r="A39" s="42" t="s">
        <v>1338</v>
      </c>
      <c r="B39" s="41" t="s">
        <v>1317</v>
      </c>
      <c r="C39" s="40" t="s">
        <v>29</v>
      </c>
      <c r="D39" s="40" t="s">
        <v>1318</v>
      </c>
      <c r="E39" s="46"/>
      <c r="F39" s="41" t="s">
        <v>21</v>
      </c>
      <c r="G39" s="41">
        <v>3.0</v>
      </c>
      <c r="H39" s="41" t="s">
        <v>22</v>
      </c>
      <c r="I39" s="42">
        <v>1.0</v>
      </c>
      <c r="J39" s="43"/>
      <c r="K39" s="42">
        <v>0.0</v>
      </c>
      <c r="L39" s="42">
        <v>0.0</v>
      </c>
      <c r="M39" s="42">
        <v>0.0</v>
      </c>
      <c r="N39" s="42">
        <v>0.0</v>
      </c>
      <c r="O39" s="46"/>
    </row>
    <row r="40">
      <c r="A40" s="42" t="s">
        <v>1339</v>
      </c>
      <c r="B40" s="41" t="s">
        <v>511</v>
      </c>
      <c r="C40" s="40" t="s">
        <v>29</v>
      </c>
      <c r="D40" s="40" t="s">
        <v>431</v>
      </c>
      <c r="E40" s="46"/>
      <c r="F40" s="41" t="s">
        <v>21</v>
      </c>
      <c r="G40" s="41">
        <v>3.0</v>
      </c>
      <c r="H40" s="41" t="s">
        <v>22</v>
      </c>
      <c r="I40" s="42">
        <v>1.0</v>
      </c>
      <c r="J40" s="42">
        <v>1.0</v>
      </c>
      <c r="K40" s="42">
        <v>0.0</v>
      </c>
      <c r="L40" s="42">
        <v>0.0</v>
      </c>
      <c r="M40" s="42">
        <v>0.0</v>
      </c>
      <c r="N40" s="42">
        <v>0.0</v>
      </c>
      <c r="O40" s="46"/>
    </row>
    <row r="41">
      <c r="A41" s="42" t="s">
        <v>1340</v>
      </c>
      <c r="B41" s="41" t="s">
        <v>509</v>
      </c>
      <c r="C41" s="40" t="s">
        <v>29</v>
      </c>
      <c r="D41" s="40" t="s">
        <v>510</v>
      </c>
      <c r="E41" s="46"/>
      <c r="F41" s="41" t="s">
        <v>21</v>
      </c>
      <c r="G41" s="41">
        <v>3.0</v>
      </c>
      <c r="H41" s="41" t="s">
        <v>22</v>
      </c>
      <c r="I41" s="42">
        <v>1.0</v>
      </c>
      <c r="J41" s="42">
        <v>1.0</v>
      </c>
      <c r="K41" s="42">
        <v>0.0</v>
      </c>
      <c r="L41" s="42">
        <v>0.0</v>
      </c>
      <c r="M41" s="42">
        <v>0.0</v>
      </c>
      <c r="N41" s="42">
        <v>0.0</v>
      </c>
      <c r="O41" s="46"/>
    </row>
    <row r="42">
      <c r="A42" s="42" t="s">
        <v>1341</v>
      </c>
      <c r="B42" s="41" t="s">
        <v>1303</v>
      </c>
      <c r="C42" s="40" t="s">
        <v>18</v>
      </c>
      <c r="D42" s="40" t="s">
        <v>1304</v>
      </c>
      <c r="E42" s="46"/>
      <c r="F42" s="41" t="s">
        <v>21</v>
      </c>
      <c r="G42" s="41">
        <v>3.0</v>
      </c>
      <c r="H42" s="41" t="s">
        <v>22</v>
      </c>
      <c r="I42" s="42">
        <v>1.0</v>
      </c>
      <c r="J42" s="42">
        <v>1.0</v>
      </c>
      <c r="K42" s="42">
        <v>0.0</v>
      </c>
      <c r="L42" s="42">
        <v>0.0</v>
      </c>
      <c r="M42" s="42">
        <v>0.0</v>
      </c>
      <c r="N42" s="42">
        <v>0.0</v>
      </c>
      <c r="O42" s="46"/>
    </row>
    <row r="43">
      <c r="A43" s="42" t="s">
        <v>1342</v>
      </c>
      <c r="B43" s="41" t="s">
        <v>1343</v>
      </c>
      <c r="C43" s="40" t="s">
        <v>29</v>
      </c>
      <c r="D43" s="40" t="s">
        <v>1344</v>
      </c>
      <c r="E43" s="46"/>
      <c r="F43" s="41" t="s">
        <v>21</v>
      </c>
      <c r="G43" s="41">
        <v>3.0</v>
      </c>
      <c r="H43" s="41" t="s">
        <v>22</v>
      </c>
      <c r="I43" s="42">
        <v>1.0</v>
      </c>
      <c r="J43" s="43"/>
      <c r="K43" s="42">
        <v>0.0</v>
      </c>
      <c r="L43" s="42">
        <v>0.0</v>
      </c>
      <c r="M43" s="42">
        <v>0.0</v>
      </c>
      <c r="N43" s="42">
        <v>0.0</v>
      </c>
      <c r="O43" s="46"/>
    </row>
    <row r="44">
      <c r="A44" s="42" t="s">
        <v>1345</v>
      </c>
      <c r="B44" s="41" t="s">
        <v>1309</v>
      </c>
      <c r="C44" s="40" t="s">
        <v>29</v>
      </c>
      <c r="D44" s="40" t="s">
        <v>278</v>
      </c>
      <c r="E44" s="46"/>
      <c r="F44" s="41" t="s">
        <v>21</v>
      </c>
      <c r="G44" s="41">
        <v>3.0</v>
      </c>
      <c r="H44" s="41" t="s">
        <v>22</v>
      </c>
      <c r="I44" s="42">
        <v>1.0</v>
      </c>
      <c r="J44" s="42">
        <v>1.0</v>
      </c>
      <c r="K44" s="42">
        <v>0.0</v>
      </c>
      <c r="L44" s="42">
        <v>0.0</v>
      </c>
      <c r="M44" s="42">
        <v>0.0</v>
      </c>
      <c r="N44" s="42">
        <v>0.0</v>
      </c>
      <c r="O44" s="46"/>
    </row>
    <row r="45">
      <c r="A45" s="42">
        <v>2.9</v>
      </c>
      <c r="B45" s="41" t="s">
        <v>1319</v>
      </c>
      <c r="C45" s="40" t="s">
        <v>29</v>
      </c>
      <c r="D45" s="40" t="s">
        <v>1320</v>
      </c>
      <c r="E45" s="46"/>
      <c r="F45" s="41" t="s">
        <v>21</v>
      </c>
      <c r="G45" s="41">
        <v>28.0</v>
      </c>
      <c r="H45" s="41" t="s">
        <v>29</v>
      </c>
      <c r="I45" s="42">
        <v>1.0</v>
      </c>
      <c r="J45" s="43"/>
      <c r="K45" s="42">
        <v>0.0</v>
      </c>
      <c r="L45" s="42">
        <v>0.0</v>
      </c>
      <c r="M45" s="42">
        <v>0.0</v>
      </c>
      <c r="N45" s="42">
        <v>0.0</v>
      </c>
      <c r="O45" s="46"/>
    </row>
    <row r="46">
      <c r="A46" s="42">
        <v>2.1</v>
      </c>
      <c r="B46" s="41" t="s">
        <v>285</v>
      </c>
      <c r="C46" s="40" t="s">
        <v>18</v>
      </c>
      <c r="D46" s="40" t="s">
        <v>286</v>
      </c>
      <c r="E46" s="46"/>
      <c r="F46" s="41" t="s">
        <v>21</v>
      </c>
      <c r="G46" s="41">
        <v>14.0</v>
      </c>
      <c r="H46" s="41" t="s">
        <v>22</v>
      </c>
      <c r="I46" s="42">
        <v>1.0</v>
      </c>
      <c r="J46" s="43"/>
      <c r="K46" s="42">
        <v>0.0</v>
      </c>
      <c r="L46" s="42">
        <v>0.0</v>
      </c>
      <c r="M46" s="42">
        <v>0.0</v>
      </c>
      <c r="N46" s="42">
        <v>0.0</v>
      </c>
      <c r="O46" s="46"/>
    </row>
    <row r="47">
      <c r="A47" s="42">
        <v>2.11</v>
      </c>
      <c r="B47" s="41" t="s">
        <v>1321</v>
      </c>
      <c r="C47" s="40" t="s">
        <v>18</v>
      </c>
      <c r="D47" s="40" t="s">
        <v>1322</v>
      </c>
      <c r="E47" s="46"/>
      <c r="F47" s="41" t="s">
        <v>21</v>
      </c>
      <c r="G47" s="41">
        <v>28.0</v>
      </c>
      <c r="H47" s="41" t="s">
        <v>22</v>
      </c>
      <c r="I47" s="42">
        <v>1.0</v>
      </c>
      <c r="J47" s="43"/>
      <c r="K47" s="42">
        <v>0.0</v>
      </c>
      <c r="L47" s="42">
        <v>0.0</v>
      </c>
      <c r="M47" s="42">
        <v>0.0</v>
      </c>
      <c r="N47" s="42">
        <v>0.0</v>
      </c>
      <c r="O47" s="46"/>
    </row>
    <row r="48">
      <c r="A48" s="42">
        <v>2.12</v>
      </c>
      <c r="B48" s="41" t="s">
        <v>277</v>
      </c>
      <c r="C48" s="40" t="s">
        <v>18</v>
      </c>
      <c r="D48" s="40" t="s">
        <v>278</v>
      </c>
      <c r="E48" s="46"/>
      <c r="F48" s="41" t="s">
        <v>21</v>
      </c>
      <c r="G48" s="41">
        <v>14.0</v>
      </c>
      <c r="H48" s="41" t="s">
        <v>29</v>
      </c>
      <c r="I48" s="42">
        <v>1.0</v>
      </c>
      <c r="J48" s="43"/>
      <c r="K48" s="42">
        <v>0.0</v>
      </c>
      <c r="L48" s="42">
        <v>0.0</v>
      </c>
      <c r="M48" s="42">
        <v>0.0</v>
      </c>
      <c r="N48" s="42">
        <v>0.0</v>
      </c>
      <c r="O48" s="46"/>
    </row>
    <row r="49">
      <c r="A49" s="42">
        <v>2.13</v>
      </c>
      <c r="B49" s="41" t="s">
        <v>1323</v>
      </c>
      <c r="C49" s="40" t="s">
        <v>18</v>
      </c>
      <c r="D49" s="40" t="s">
        <v>1324</v>
      </c>
      <c r="E49" s="46"/>
      <c r="F49" s="41" t="s">
        <v>21</v>
      </c>
      <c r="G49" s="41">
        <v>28.0</v>
      </c>
      <c r="H49" s="41" t="s">
        <v>22</v>
      </c>
      <c r="I49" s="42">
        <v>1.0</v>
      </c>
      <c r="J49" s="43"/>
      <c r="K49" s="44">
        <v>1574.9</v>
      </c>
      <c r="L49" s="44">
        <v>1574.9</v>
      </c>
      <c r="M49" s="42">
        <v>0.0</v>
      </c>
      <c r="N49" s="44">
        <v>1574.9</v>
      </c>
      <c r="O49" s="46"/>
    </row>
    <row r="50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50" t="s">
        <v>63</v>
      </c>
      <c r="N50" s="51">
        <v>26751.42</v>
      </c>
      <c r="O50" s="52"/>
    </row>
    <row r="51">
      <c r="A51" s="39">
        <v>3.0</v>
      </c>
      <c r="B51" s="39" t="s">
        <v>1346</v>
      </c>
      <c r="C51" s="40" t="s">
        <v>18</v>
      </c>
      <c r="D51" s="40" t="s">
        <v>1347</v>
      </c>
      <c r="E51" s="40" t="s">
        <v>20</v>
      </c>
      <c r="F51" s="41" t="s">
        <v>21</v>
      </c>
      <c r="G51" s="41">
        <v>28.0</v>
      </c>
      <c r="H51" s="41" t="s">
        <v>22</v>
      </c>
      <c r="I51" s="42">
        <v>1.0</v>
      </c>
      <c r="J51" s="43"/>
      <c r="K51" s="44">
        <v>26330.88</v>
      </c>
      <c r="L51" s="44">
        <v>26330.88</v>
      </c>
      <c r="M51" s="42">
        <v>0.0</v>
      </c>
      <c r="N51" s="44">
        <v>26330.88</v>
      </c>
      <c r="O51" s="46"/>
    </row>
    <row r="52">
      <c r="A52" s="42" t="s">
        <v>83</v>
      </c>
      <c r="B52" s="41" t="s">
        <v>1348</v>
      </c>
      <c r="C52" s="40" t="s">
        <v>18</v>
      </c>
      <c r="D52" s="40" t="s">
        <v>1349</v>
      </c>
      <c r="E52" s="46"/>
      <c r="F52" s="41">
        <v>36.0</v>
      </c>
      <c r="G52" s="41" t="s">
        <v>21</v>
      </c>
      <c r="H52" s="41" t="s">
        <v>22</v>
      </c>
      <c r="I52" s="42">
        <v>1.0</v>
      </c>
      <c r="J52" s="43"/>
      <c r="K52" s="44">
        <v>11958.39</v>
      </c>
      <c r="L52" s="44">
        <v>11958.39</v>
      </c>
      <c r="M52" s="42">
        <v>0.0</v>
      </c>
      <c r="N52" s="44">
        <v>11958.39</v>
      </c>
      <c r="O52" s="40" t="s">
        <v>26</v>
      </c>
    </row>
    <row r="53">
      <c r="A53" s="42">
        <v>3.1</v>
      </c>
      <c r="B53" s="41" t="s">
        <v>1331</v>
      </c>
      <c r="C53" s="40" t="s">
        <v>18</v>
      </c>
      <c r="D53" s="40" t="s">
        <v>1332</v>
      </c>
      <c r="E53" s="46"/>
      <c r="F53" s="41" t="s">
        <v>21</v>
      </c>
      <c r="G53" s="41">
        <v>28.0</v>
      </c>
      <c r="H53" s="41" t="s">
        <v>29</v>
      </c>
      <c r="I53" s="42">
        <v>1.0</v>
      </c>
      <c r="J53" s="43"/>
      <c r="K53" s="42">
        <v>0.0</v>
      </c>
      <c r="L53" s="42">
        <v>0.0</v>
      </c>
      <c r="M53" s="42">
        <v>0.0</v>
      </c>
      <c r="N53" s="42">
        <v>0.0</v>
      </c>
      <c r="O53" s="46"/>
    </row>
    <row r="54">
      <c r="A54" s="42">
        <v>3.2</v>
      </c>
      <c r="B54" s="41" t="s">
        <v>378</v>
      </c>
      <c r="C54" s="40" t="s">
        <v>18</v>
      </c>
      <c r="D54" s="40" t="s">
        <v>379</v>
      </c>
      <c r="E54" s="46"/>
      <c r="F54" s="41" t="s">
        <v>21</v>
      </c>
      <c r="G54" s="41">
        <v>21.0</v>
      </c>
      <c r="H54" s="41" t="s">
        <v>22</v>
      </c>
      <c r="I54" s="42">
        <v>1.0</v>
      </c>
      <c r="J54" s="43"/>
      <c r="K54" s="42">
        <v>0.0</v>
      </c>
      <c r="L54" s="42">
        <v>0.0</v>
      </c>
      <c r="M54" s="42">
        <v>0.0</v>
      </c>
      <c r="N54" s="42">
        <v>0.0</v>
      </c>
      <c r="O54" s="46"/>
    </row>
    <row r="55">
      <c r="A55" s="42">
        <v>3.3</v>
      </c>
      <c r="B55" s="41" t="s">
        <v>1350</v>
      </c>
      <c r="C55" s="40" t="s">
        <v>18</v>
      </c>
      <c r="D55" s="40" t="s">
        <v>1351</v>
      </c>
      <c r="E55" s="46"/>
      <c r="F55" s="41" t="s">
        <v>21</v>
      </c>
      <c r="G55" s="41">
        <v>28.0</v>
      </c>
      <c r="H55" s="41" t="s">
        <v>29</v>
      </c>
      <c r="I55" s="42">
        <v>1.0</v>
      </c>
      <c r="J55" s="43"/>
      <c r="K55" s="42">
        <v>0.0</v>
      </c>
      <c r="L55" s="42">
        <v>0.0</v>
      </c>
      <c r="M55" s="42">
        <v>0.0</v>
      </c>
      <c r="N55" s="42">
        <v>0.0</v>
      </c>
      <c r="O55" s="46"/>
    </row>
    <row r="56">
      <c r="A56" s="42">
        <v>3.4</v>
      </c>
      <c r="B56" s="41" t="s">
        <v>299</v>
      </c>
      <c r="C56" s="40" t="s">
        <v>18</v>
      </c>
      <c r="D56" s="40" t="s">
        <v>300</v>
      </c>
      <c r="E56" s="46"/>
      <c r="F56" s="41" t="s">
        <v>21</v>
      </c>
      <c r="G56" s="41">
        <v>21.0</v>
      </c>
      <c r="H56" s="41" t="s">
        <v>29</v>
      </c>
      <c r="I56" s="42">
        <v>2.0</v>
      </c>
      <c r="J56" s="43"/>
      <c r="K56" s="42">
        <v>0.0</v>
      </c>
      <c r="L56" s="42">
        <v>0.0</v>
      </c>
      <c r="M56" s="42">
        <v>0.0</v>
      </c>
      <c r="N56" s="42">
        <v>0.0</v>
      </c>
      <c r="O56" s="46"/>
    </row>
    <row r="57">
      <c r="A57" s="42">
        <v>3.5</v>
      </c>
      <c r="B57" s="41" t="s">
        <v>301</v>
      </c>
      <c r="C57" s="40" t="s">
        <v>18</v>
      </c>
      <c r="D57" s="40" t="s">
        <v>302</v>
      </c>
      <c r="E57" s="46"/>
      <c r="F57" s="41" t="s">
        <v>21</v>
      </c>
      <c r="G57" s="41">
        <v>21.0</v>
      </c>
      <c r="H57" s="41" t="s">
        <v>29</v>
      </c>
      <c r="I57" s="42">
        <v>2.0</v>
      </c>
      <c r="J57" s="43"/>
      <c r="K57" s="42">
        <v>0.0</v>
      </c>
      <c r="L57" s="42">
        <v>0.0</v>
      </c>
      <c r="M57" s="42">
        <v>0.0</v>
      </c>
      <c r="N57" s="42">
        <v>0.0</v>
      </c>
      <c r="O57" s="46"/>
    </row>
    <row r="58">
      <c r="A58" s="42">
        <v>3.6</v>
      </c>
      <c r="B58" s="41" t="s">
        <v>273</v>
      </c>
      <c r="C58" s="40" t="s">
        <v>18</v>
      </c>
      <c r="D58" s="40" t="s">
        <v>274</v>
      </c>
      <c r="E58" s="46"/>
      <c r="F58" s="41" t="s">
        <v>21</v>
      </c>
      <c r="G58" s="41">
        <v>21.0</v>
      </c>
      <c r="H58" s="41" t="s">
        <v>29</v>
      </c>
      <c r="I58" s="42">
        <v>1.0</v>
      </c>
      <c r="J58" s="43"/>
      <c r="K58" s="42">
        <v>0.0</v>
      </c>
      <c r="L58" s="42">
        <v>0.0</v>
      </c>
      <c r="M58" s="42">
        <v>0.0</v>
      </c>
      <c r="N58" s="42">
        <v>0.0</v>
      </c>
      <c r="O58" s="46"/>
    </row>
    <row r="59">
      <c r="A59" s="42">
        <v>3.7</v>
      </c>
      <c r="B59" s="41" t="s">
        <v>1352</v>
      </c>
      <c r="C59" s="40" t="s">
        <v>18</v>
      </c>
      <c r="D59" s="40" t="s">
        <v>1353</v>
      </c>
      <c r="E59" s="46"/>
      <c r="F59" s="41" t="s">
        <v>21</v>
      </c>
      <c r="G59" s="41">
        <v>28.0</v>
      </c>
      <c r="H59" s="41" t="s">
        <v>29</v>
      </c>
      <c r="I59" s="42">
        <v>1.0</v>
      </c>
      <c r="J59" s="43"/>
      <c r="K59" s="42">
        <v>0.0</v>
      </c>
      <c r="L59" s="42">
        <v>0.0</v>
      </c>
      <c r="M59" s="42">
        <v>0.0</v>
      </c>
      <c r="N59" s="42">
        <v>0.0</v>
      </c>
      <c r="O59" s="46"/>
    </row>
    <row r="60">
      <c r="A60" s="42">
        <v>3.8</v>
      </c>
      <c r="B60" s="41" t="s">
        <v>59</v>
      </c>
      <c r="C60" s="40" t="s">
        <v>29</v>
      </c>
      <c r="D60" s="40" t="s">
        <v>60</v>
      </c>
      <c r="E60" s="46"/>
      <c r="F60" s="41" t="s">
        <v>21</v>
      </c>
      <c r="G60" s="41">
        <v>3.0</v>
      </c>
      <c r="H60" s="41" t="s">
        <v>29</v>
      </c>
      <c r="I60" s="42">
        <v>1.0</v>
      </c>
      <c r="J60" s="43"/>
      <c r="K60" s="42">
        <v>0.0</v>
      </c>
      <c r="L60" s="42">
        <v>0.0</v>
      </c>
      <c r="M60" s="42">
        <v>0.0</v>
      </c>
      <c r="N60" s="42">
        <v>0.0</v>
      </c>
      <c r="O60" s="46"/>
    </row>
    <row r="61">
      <c r="A61" s="42">
        <v>3.9</v>
      </c>
      <c r="B61" s="41" t="s">
        <v>320</v>
      </c>
      <c r="C61" s="40" t="s">
        <v>18</v>
      </c>
      <c r="D61" s="40" t="s">
        <v>321</v>
      </c>
      <c r="E61" s="46"/>
      <c r="F61" s="41" t="s">
        <v>21</v>
      </c>
      <c r="G61" s="41">
        <v>28.0</v>
      </c>
      <c r="H61" s="41" t="s">
        <v>29</v>
      </c>
      <c r="I61" s="42">
        <v>1.0</v>
      </c>
      <c r="J61" s="43"/>
      <c r="K61" s="42">
        <v>0.0</v>
      </c>
      <c r="L61" s="42">
        <v>0.0</v>
      </c>
      <c r="M61" s="42">
        <v>0.0</v>
      </c>
      <c r="N61" s="42">
        <v>0.0</v>
      </c>
      <c r="O61" s="46"/>
    </row>
    <row r="62">
      <c r="A62" s="42">
        <v>3.1</v>
      </c>
      <c r="B62" s="41" t="s">
        <v>1354</v>
      </c>
      <c r="C62" s="40" t="s">
        <v>18</v>
      </c>
      <c r="D62" s="40" t="s">
        <v>1355</v>
      </c>
      <c r="E62" s="46"/>
      <c r="F62" s="41" t="s">
        <v>21</v>
      </c>
      <c r="G62" s="41">
        <v>3.0</v>
      </c>
      <c r="H62" s="41" t="s">
        <v>29</v>
      </c>
      <c r="I62" s="42">
        <v>1.0</v>
      </c>
      <c r="J62" s="43"/>
      <c r="K62" s="42">
        <v>0.0</v>
      </c>
      <c r="L62" s="42">
        <v>0.0</v>
      </c>
      <c r="M62" s="42">
        <v>0.0</v>
      </c>
      <c r="N62" s="42">
        <v>0.0</v>
      </c>
      <c r="O62" s="46"/>
    </row>
    <row r="63">
      <c r="A63" s="42" t="s">
        <v>1356</v>
      </c>
      <c r="B63" s="41" t="s">
        <v>511</v>
      </c>
      <c r="C63" s="40" t="s">
        <v>29</v>
      </c>
      <c r="D63" s="40" t="s">
        <v>431</v>
      </c>
      <c r="E63" s="46"/>
      <c r="F63" s="41" t="s">
        <v>21</v>
      </c>
      <c r="G63" s="41">
        <v>3.0</v>
      </c>
      <c r="H63" s="41" t="s">
        <v>22</v>
      </c>
      <c r="I63" s="42">
        <v>1.0</v>
      </c>
      <c r="J63" s="42">
        <v>1.0</v>
      </c>
      <c r="K63" s="42">
        <v>0.0</v>
      </c>
      <c r="L63" s="42">
        <v>0.0</v>
      </c>
      <c r="M63" s="42">
        <v>0.0</v>
      </c>
      <c r="N63" s="42">
        <v>0.0</v>
      </c>
      <c r="O63" s="46"/>
    </row>
    <row r="64">
      <c r="A64" s="42" t="s">
        <v>1357</v>
      </c>
      <c r="B64" s="41" t="s">
        <v>509</v>
      </c>
      <c r="C64" s="40" t="s">
        <v>29</v>
      </c>
      <c r="D64" s="40" t="s">
        <v>510</v>
      </c>
      <c r="E64" s="46"/>
      <c r="F64" s="41" t="s">
        <v>21</v>
      </c>
      <c r="G64" s="41">
        <v>3.0</v>
      </c>
      <c r="H64" s="41" t="s">
        <v>22</v>
      </c>
      <c r="I64" s="42">
        <v>1.0</v>
      </c>
      <c r="J64" s="42">
        <v>1.0</v>
      </c>
      <c r="K64" s="42">
        <v>0.0</v>
      </c>
      <c r="L64" s="42">
        <v>0.0</v>
      </c>
      <c r="M64" s="42">
        <v>0.0</v>
      </c>
      <c r="N64" s="42">
        <v>0.0</v>
      </c>
      <c r="O64" s="46"/>
    </row>
    <row r="65">
      <c r="A65" s="42" t="s">
        <v>1358</v>
      </c>
      <c r="B65" s="41" t="s">
        <v>1303</v>
      </c>
      <c r="C65" s="40" t="s">
        <v>18</v>
      </c>
      <c r="D65" s="40" t="s">
        <v>1304</v>
      </c>
      <c r="E65" s="46"/>
      <c r="F65" s="41" t="s">
        <v>21</v>
      </c>
      <c r="G65" s="41">
        <v>3.0</v>
      </c>
      <c r="H65" s="41" t="s">
        <v>22</v>
      </c>
      <c r="I65" s="42">
        <v>1.0</v>
      </c>
      <c r="J65" s="42">
        <v>1.0</v>
      </c>
      <c r="K65" s="42">
        <v>0.0</v>
      </c>
      <c r="L65" s="42">
        <v>0.0</v>
      </c>
      <c r="M65" s="42">
        <v>0.0</v>
      </c>
      <c r="N65" s="42">
        <v>0.0</v>
      </c>
      <c r="O65" s="46"/>
    </row>
    <row r="66">
      <c r="A66" s="42" t="s">
        <v>1359</v>
      </c>
      <c r="B66" s="41" t="s">
        <v>1360</v>
      </c>
      <c r="C66" s="40" t="s">
        <v>29</v>
      </c>
      <c r="D66" s="40" t="s">
        <v>1361</v>
      </c>
      <c r="E66" s="46"/>
      <c r="F66" s="41" t="s">
        <v>21</v>
      </c>
      <c r="G66" s="41">
        <v>3.0</v>
      </c>
      <c r="H66" s="41" t="s">
        <v>22</v>
      </c>
      <c r="I66" s="42">
        <v>1.0</v>
      </c>
      <c r="J66" s="43"/>
      <c r="K66" s="42">
        <v>0.0</v>
      </c>
      <c r="L66" s="42">
        <v>0.0</v>
      </c>
      <c r="M66" s="42">
        <v>0.0</v>
      </c>
      <c r="N66" s="42">
        <v>0.0</v>
      </c>
      <c r="O66" s="46"/>
    </row>
    <row r="67">
      <c r="A67" s="42" t="s">
        <v>1362</v>
      </c>
      <c r="B67" s="41" t="s">
        <v>1309</v>
      </c>
      <c r="C67" s="40" t="s">
        <v>29</v>
      </c>
      <c r="D67" s="40" t="s">
        <v>278</v>
      </c>
      <c r="E67" s="46"/>
      <c r="F67" s="41" t="s">
        <v>21</v>
      </c>
      <c r="G67" s="41">
        <v>3.0</v>
      </c>
      <c r="H67" s="41" t="s">
        <v>22</v>
      </c>
      <c r="I67" s="42">
        <v>1.0</v>
      </c>
      <c r="J67" s="42">
        <v>1.0</v>
      </c>
      <c r="K67" s="42">
        <v>0.0</v>
      </c>
      <c r="L67" s="42">
        <v>0.0</v>
      </c>
      <c r="M67" s="42">
        <v>0.0</v>
      </c>
      <c r="N67" s="42">
        <v>0.0</v>
      </c>
      <c r="O67" s="46"/>
    </row>
    <row r="68">
      <c r="A68" s="42" t="s">
        <v>1363</v>
      </c>
      <c r="B68" s="41" t="s">
        <v>1364</v>
      </c>
      <c r="C68" s="40" t="s">
        <v>29</v>
      </c>
      <c r="D68" s="40" t="s">
        <v>1365</v>
      </c>
      <c r="E68" s="46"/>
      <c r="F68" s="41" t="s">
        <v>21</v>
      </c>
      <c r="G68" s="41" t="s">
        <v>21</v>
      </c>
      <c r="H68" s="41" t="s">
        <v>22</v>
      </c>
      <c r="I68" s="42">
        <v>1.0</v>
      </c>
      <c r="J68" s="42">
        <v>1.0</v>
      </c>
      <c r="K68" s="44">
        <v>1062.5</v>
      </c>
      <c r="L68" s="44">
        <v>38250.0</v>
      </c>
      <c r="M68" s="42">
        <v>0.0</v>
      </c>
      <c r="N68" s="44">
        <v>38250.0</v>
      </c>
      <c r="O68" s="46"/>
    </row>
    <row r="69">
      <c r="A69" s="42" t="s">
        <v>1366</v>
      </c>
      <c r="B69" s="41" t="s">
        <v>1367</v>
      </c>
      <c r="C69" s="40" t="s">
        <v>18</v>
      </c>
      <c r="D69" s="40" t="s">
        <v>1368</v>
      </c>
      <c r="E69" s="46"/>
      <c r="F69" s="41" t="s">
        <v>21</v>
      </c>
      <c r="G69" s="41">
        <v>3.0</v>
      </c>
      <c r="H69" s="41" t="s">
        <v>22</v>
      </c>
      <c r="I69" s="42">
        <v>1.0</v>
      </c>
      <c r="J69" s="42">
        <v>1.0</v>
      </c>
      <c r="K69" s="42">
        <v>219.15</v>
      </c>
      <c r="L69" s="44">
        <v>7889.4</v>
      </c>
      <c r="M69" s="42">
        <v>0.0</v>
      </c>
      <c r="N69" s="44">
        <v>7889.4</v>
      </c>
      <c r="O69" s="46"/>
    </row>
    <row r="70">
      <c r="A70" s="42" t="s">
        <v>1369</v>
      </c>
      <c r="B70" s="41" t="s">
        <v>1370</v>
      </c>
      <c r="C70" s="40" t="s">
        <v>29</v>
      </c>
      <c r="D70" s="40" t="s">
        <v>1371</v>
      </c>
      <c r="E70" s="46"/>
      <c r="F70" s="41" t="s">
        <v>21</v>
      </c>
      <c r="G70" s="41">
        <v>3.0</v>
      </c>
      <c r="H70" s="41" t="s">
        <v>22</v>
      </c>
      <c r="I70" s="42">
        <v>1.0</v>
      </c>
      <c r="J70" s="42">
        <v>1.0</v>
      </c>
      <c r="K70" s="42">
        <v>0.0</v>
      </c>
      <c r="L70" s="42">
        <v>0.0</v>
      </c>
      <c r="M70" s="42">
        <v>0.0</v>
      </c>
      <c r="N70" s="42">
        <v>0.0</v>
      </c>
      <c r="O70" s="46"/>
    </row>
    <row r="71">
      <c r="A71" s="42" t="s">
        <v>1372</v>
      </c>
      <c r="B71" s="41" t="s">
        <v>1373</v>
      </c>
      <c r="C71" s="40" t="s">
        <v>29</v>
      </c>
      <c r="D71" s="40" t="s">
        <v>1374</v>
      </c>
      <c r="E71" s="46"/>
      <c r="F71" s="41" t="s">
        <v>21</v>
      </c>
      <c r="G71" s="41">
        <v>3.0</v>
      </c>
      <c r="H71" s="41" t="s">
        <v>22</v>
      </c>
      <c r="I71" s="42">
        <v>1.0</v>
      </c>
      <c r="J71" s="43"/>
      <c r="K71" s="42">
        <v>0.0</v>
      </c>
      <c r="L71" s="42">
        <v>0.0</v>
      </c>
      <c r="M71" s="42">
        <v>0.0</v>
      </c>
      <c r="N71" s="42">
        <v>0.0</v>
      </c>
      <c r="O71" s="46"/>
    </row>
    <row r="72">
      <c r="A72" s="42">
        <v>3.11</v>
      </c>
      <c r="B72" s="41" t="s">
        <v>1319</v>
      </c>
      <c r="C72" s="40" t="s">
        <v>29</v>
      </c>
      <c r="D72" s="40" t="s">
        <v>1320</v>
      </c>
      <c r="E72" s="46"/>
      <c r="F72" s="41" t="s">
        <v>21</v>
      </c>
      <c r="G72" s="41">
        <v>28.0</v>
      </c>
      <c r="H72" s="41" t="s">
        <v>29</v>
      </c>
      <c r="I72" s="42">
        <v>1.0</v>
      </c>
      <c r="J72" s="43"/>
      <c r="K72" s="42">
        <v>0.0</v>
      </c>
      <c r="L72" s="42">
        <v>0.0</v>
      </c>
      <c r="M72" s="42">
        <v>0.0</v>
      </c>
      <c r="N72" s="42">
        <v>0.0</v>
      </c>
      <c r="O72" s="46"/>
    </row>
    <row r="73">
      <c r="A73" s="42">
        <v>3.12</v>
      </c>
      <c r="B73" s="41" t="s">
        <v>277</v>
      </c>
      <c r="C73" s="40" t="s">
        <v>18</v>
      </c>
      <c r="D73" s="40" t="s">
        <v>278</v>
      </c>
      <c r="E73" s="46"/>
      <c r="F73" s="41" t="s">
        <v>21</v>
      </c>
      <c r="G73" s="41">
        <v>14.0</v>
      </c>
      <c r="H73" s="41" t="s">
        <v>29</v>
      </c>
      <c r="I73" s="42">
        <v>1.0</v>
      </c>
      <c r="J73" s="43"/>
      <c r="K73" s="42">
        <v>0.0</v>
      </c>
      <c r="L73" s="42">
        <v>0.0</v>
      </c>
      <c r="M73" s="42">
        <v>0.0</v>
      </c>
      <c r="N73" s="42">
        <v>0.0</v>
      </c>
      <c r="O73" s="46"/>
    </row>
    <row r="74">
      <c r="A74" s="42">
        <v>3.13</v>
      </c>
      <c r="B74" s="41" t="s">
        <v>1321</v>
      </c>
      <c r="C74" s="40" t="s">
        <v>18</v>
      </c>
      <c r="D74" s="40" t="s">
        <v>1322</v>
      </c>
      <c r="E74" s="46"/>
      <c r="F74" s="41" t="s">
        <v>21</v>
      </c>
      <c r="G74" s="41">
        <v>28.0</v>
      </c>
      <c r="H74" s="41" t="s">
        <v>22</v>
      </c>
      <c r="I74" s="42">
        <v>1.0</v>
      </c>
      <c r="J74" s="43"/>
      <c r="K74" s="42">
        <v>0.0</v>
      </c>
      <c r="L74" s="42">
        <v>0.0</v>
      </c>
      <c r="M74" s="42">
        <v>0.0</v>
      </c>
      <c r="N74" s="42">
        <v>0.0</v>
      </c>
      <c r="O74" s="46"/>
    </row>
    <row r="75">
      <c r="A75" s="42">
        <v>3.14</v>
      </c>
      <c r="B75" s="41" t="s">
        <v>1375</v>
      </c>
      <c r="C75" s="40" t="s">
        <v>18</v>
      </c>
      <c r="D75" s="40" t="s">
        <v>1376</v>
      </c>
      <c r="E75" s="46"/>
      <c r="F75" s="41" t="s">
        <v>21</v>
      </c>
      <c r="G75" s="41">
        <v>28.0</v>
      </c>
      <c r="H75" s="41" t="s">
        <v>22</v>
      </c>
      <c r="I75" s="42">
        <v>1.0</v>
      </c>
      <c r="J75" s="43"/>
      <c r="K75" s="44">
        <v>3135.74</v>
      </c>
      <c r="L75" s="44">
        <v>3135.74</v>
      </c>
      <c r="M75" s="42">
        <v>0.0</v>
      </c>
      <c r="N75" s="44">
        <v>3135.74</v>
      </c>
      <c r="O75" s="46"/>
    </row>
    <row r="76">
      <c r="A76" s="42">
        <v>3.15</v>
      </c>
      <c r="B76" s="41" t="s">
        <v>1377</v>
      </c>
      <c r="C76" s="40" t="s">
        <v>18</v>
      </c>
      <c r="D76" s="40" t="s">
        <v>1378</v>
      </c>
      <c r="E76" s="46"/>
      <c r="F76" s="41" t="s">
        <v>21</v>
      </c>
      <c r="G76" s="41">
        <v>28.0</v>
      </c>
      <c r="H76" s="41" t="s">
        <v>29</v>
      </c>
      <c r="I76" s="42">
        <v>2.0</v>
      </c>
      <c r="J76" s="43"/>
      <c r="K76" s="42">
        <v>0.0</v>
      </c>
      <c r="L76" s="42">
        <v>0.0</v>
      </c>
      <c r="M76" s="42">
        <v>0.0</v>
      </c>
      <c r="N76" s="42">
        <v>0.0</v>
      </c>
      <c r="O76" s="46"/>
    </row>
    <row r="77">
      <c r="A77" s="42">
        <v>3.16</v>
      </c>
      <c r="B77" s="41" t="s">
        <v>1379</v>
      </c>
      <c r="C77" s="40" t="s">
        <v>18</v>
      </c>
      <c r="D77" s="40" t="s">
        <v>1380</v>
      </c>
      <c r="E77" s="46"/>
      <c r="F77" s="41" t="s">
        <v>21</v>
      </c>
      <c r="G77" s="41">
        <v>28.0</v>
      </c>
      <c r="H77" s="41" t="s">
        <v>22</v>
      </c>
      <c r="I77" s="42">
        <v>2.0</v>
      </c>
      <c r="J77" s="43"/>
      <c r="K77" s="42">
        <v>0.0</v>
      </c>
      <c r="L77" s="42">
        <v>0.0</v>
      </c>
      <c r="M77" s="42">
        <v>0.0</v>
      </c>
      <c r="N77" s="42">
        <v>0.0</v>
      </c>
      <c r="O77" s="46"/>
    </row>
    <row r="78">
      <c r="A78" s="42">
        <v>3.17</v>
      </c>
      <c r="B78" s="41" t="s">
        <v>285</v>
      </c>
      <c r="C78" s="40" t="s">
        <v>18</v>
      </c>
      <c r="D78" s="40" t="s">
        <v>286</v>
      </c>
      <c r="E78" s="46"/>
      <c r="F78" s="41" t="s">
        <v>21</v>
      </c>
      <c r="G78" s="41">
        <v>14.0</v>
      </c>
      <c r="H78" s="41" t="s">
        <v>22</v>
      </c>
      <c r="I78" s="42">
        <v>2.0</v>
      </c>
      <c r="J78" s="43"/>
      <c r="K78" s="42">
        <v>0.0</v>
      </c>
      <c r="L78" s="42">
        <v>0.0</v>
      </c>
      <c r="M78" s="42">
        <v>0.0</v>
      </c>
      <c r="N78" s="42">
        <v>0.0</v>
      </c>
      <c r="O78" s="46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50" t="s">
        <v>63</v>
      </c>
      <c r="N79" s="51">
        <v>87564.41</v>
      </c>
      <c r="O79" s="52"/>
    </row>
    <row r="80">
      <c r="A80" s="39">
        <v>4.0</v>
      </c>
      <c r="B80" s="39" t="s">
        <v>1381</v>
      </c>
      <c r="C80" s="40" t="s">
        <v>18</v>
      </c>
      <c r="D80" s="40" t="s">
        <v>1382</v>
      </c>
      <c r="E80" s="40" t="s">
        <v>20</v>
      </c>
      <c r="F80" s="41" t="s">
        <v>21</v>
      </c>
      <c r="G80" s="41">
        <v>28.0</v>
      </c>
      <c r="H80" s="41" t="s">
        <v>22</v>
      </c>
      <c r="I80" s="42">
        <v>1.0</v>
      </c>
      <c r="J80" s="43"/>
      <c r="K80" s="44">
        <v>20787.54</v>
      </c>
      <c r="L80" s="44">
        <v>20787.54</v>
      </c>
      <c r="M80" s="42">
        <v>0.0</v>
      </c>
      <c r="N80" s="44">
        <v>20787.54</v>
      </c>
      <c r="O80" s="46"/>
    </row>
    <row r="81">
      <c r="A81" s="42" t="s">
        <v>100</v>
      </c>
      <c r="B81" s="41" t="s">
        <v>1383</v>
      </c>
      <c r="C81" s="40" t="s">
        <v>18</v>
      </c>
      <c r="D81" s="40" t="s">
        <v>1384</v>
      </c>
      <c r="E81" s="46"/>
      <c r="F81" s="41">
        <v>36.0</v>
      </c>
      <c r="G81" s="41" t="s">
        <v>21</v>
      </c>
      <c r="H81" s="41" t="s">
        <v>22</v>
      </c>
      <c r="I81" s="42">
        <v>1.0</v>
      </c>
      <c r="J81" s="43"/>
      <c r="K81" s="44">
        <v>9594.75</v>
      </c>
      <c r="L81" s="44">
        <v>9594.75</v>
      </c>
      <c r="M81" s="42">
        <v>0.0</v>
      </c>
      <c r="N81" s="44">
        <v>9594.75</v>
      </c>
      <c r="O81" s="40" t="s">
        <v>26</v>
      </c>
    </row>
    <row r="82">
      <c r="A82" s="42">
        <v>4.1</v>
      </c>
      <c r="B82" s="41" t="s">
        <v>1375</v>
      </c>
      <c r="C82" s="40" t="s">
        <v>18</v>
      </c>
      <c r="D82" s="40" t="s">
        <v>1376</v>
      </c>
      <c r="E82" s="46"/>
      <c r="F82" s="41" t="s">
        <v>21</v>
      </c>
      <c r="G82" s="41">
        <v>28.0</v>
      </c>
      <c r="H82" s="41" t="s">
        <v>22</v>
      </c>
      <c r="I82" s="42">
        <v>1.0</v>
      </c>
      <c r="J82" s="43"/>
      <c r="K82" s="44">
        <v>3135.74</v>
      </c>
      <c r="L82" s="44">
        <v>3135.74</v>
      </c>
      <c r="M82" s="42">
        <v>0.0</v>
      </c>
      <c r="N82" s="44">
        <v>3135.74</v>
      </c>
      <c r="O82" s="46"/>
    </row>
    <row r="83">
      <c r="A83" s="42">
        <v>4.2</v>
      </c>
      <c r="B83" s="41" t="s">
        <v>1331</v>
      </c>
      <c r="C83" s="40" t="s">
        <v>18</v>
      </c>
      <c r="D83" s="40" t="s">
        <v>1332</v>
      </c>
      <c r="E83" s="46"/>
      <c r="F83" s="41" t="s">
        <v>21</v>
      </c>
      <c r="G83" s="41">
        <v>28.0</v>
      </c>
      <c r="H83" s="41" t="s">
        <v>29</v>
      </c>
      <c r="I83" s="42">
        <v>1.0</v>
      </c>
      <c r="J83" s="43"/>
      <c r="K83" s="42">
        <v>0.0</v>
      </c>
      <c r="L83" s="42">
        <v>0.0</v>
      </c>
      <c r="M83" s="42">
        <v>0.0</v>
      </c>
      <c r="N83" s="42">
        <v>0.0</v>
      </c>
      <c r="O83" s="46"/>
    </row>
    <row r="84">
      <c r="A84" s="42">
        <v>4.3</v>
      </c>
      <c r="B84" s="41" t="s">
        <v>271</v>
      </c>
      <c r="C84" s="40" t="s">
        <v>18</v>
      </c>
      <c r="D84" s="40" t="s">
        <v>272</v>
      </c>
      <c r="E84" s="46"/>
      <c r="F84" s="41" t="s">
        <v>21</v>
      </c>
      <c r="G84" s="41">
        <v>21.0</v>
      </c>
      <c r="H84" s="41" t="s">
        <v>29</v>
      </c>
      <c r="I84" s="42">
        <v>1.0</v>
      </c>
      <c r="J84" s="43"/>
      <c r="K84" s="42">
        <v>0.0</v>
      </c>
      <c r="L84" s="42">
        <v>0.0</v>
      </c>
      <c r="M84" s="42">
        <v>0.0</v>
      </c>
      <c r="N84" s="42">
        <v>0.0</v>
      </c>
      <c r="O84" s="46"/>
    </row>
    <row r="85">
      <c r="A85" s="42">
        <v>4.4</v>
      </c>
      <c r="B85" s="41" t="s">
        <v>297</v>
      </c>
      <c r="C85" s="40" t="s">
        <v>18</v>
      </c>
      <c r="D85" s="40" t="s">
        <v>298</v>
      </c>
      <c r="E85" s="46"/>
      <c r="F85" s="41" t="s">
        <v>21</v>
      </c>
      <c r="G85" s="41">
        <v>21.0</v>
      </c>
      <c r="H85" s="41" t="s">
        <v>29</v>
      </c>
      <c r="I85" s="42">
        <v>1.0</v>
      </c>
      <c r="J85" s="43"/>
      <c r="K85" s="42">
        <v>0.0</v>
      </c>
      <c r="L85" s="42">
        <v>0.0</v>
      </c>
      <c r="M85" s="42">
        <v>0.0</v>
      </c>
      <c r="N85" s="42">
        <v>0.0</v>
      </c>
      <c r="O85" s="46"/>
    </row>
    <row r="86">
      <c r="A86" s="42">
        <v>4.5</v>
      </c>
      <c r="B86" s="41" t="s">
        <v>299</v>
      </c>
      <c r="C86" s="40" t="s">
        <v>18</v>
      </c>
      <c r="D86" s="40" t="s">
        <v>300</v>
      </c>
      <c r="E86" s="46"/>
      <c r="F86" s="41" t="s">
        <v>21</v>
      </c>
      <c r="G86" s="41">
        <v>21.0</v>
      </c>
      <c r="H86" s="41" t="s">
        <v>29</v>
      </c>
      <c r="I86" s="42">
        <v>1.0</v>
      </c>
      <c r="J86" s="43"/>
      <c r="K86" s="42">
        <v>0.0</v>
      </c>
      <c r="L86" s="42">
        <v>0.0</v>
      </c>
      <c r="M86" s="42">
        <v>0.0</v>
      </c>
      <c r="N86" s="42">
        <v>0.0</v>
      </c>
      <c r="O86" s="46"/>
    </row>
    <row r="87">
      <c r="A87" s="42">
        <v>4.6</v>
      </c>
      <c r="B87" s="41" t="s">
        <v>301</v>
      </c>
      <c r="C87" s="40" t="s">
        <v>18</v>
      </c>
      <c r="D87" s="40" t="s">
        <v>302</v>
      </c>
      <c r="E87" s="46"/>
      <c r="F87" s="41" t="s">
        <v>21</v>
      </c>
      <c r="G87" s="41">
        <v>21.0</v>
      </c>
      <c r="H87" s="41" t="s">
        <v>29</v>
      </c>
      <c r="I87" s="42">
        <v>1.0</v>
      </c>
      <c r="J87" s="43"/>
      <c r="K87" s="42">
        <v>0.0</v>
      </c>
      <c r="L87" s="42">
        <v>0.0</v>
      </c>
      <c r="M87" s="42">
        <v>0.0</v>
      </c>
      <c r="N87" s="42">
        <v>0.0</v>
      </c>
      <c r="O87" s="46"/>
    </row>
    <row r="88">
      <c r="A88" s="42">
        <v>4.7</v>
      </c>
      <c r="B88" s="41" t="s">
        <v>273</v>
      </c>
      <c r="C88" s="40" t="s">
        <v>18</v>
      </c>
      <c r="D88" s="40" t="s">
        <v>274</v>
      </c>
      <c r="E88" s="46"/>
      <c r="F88" s="41" t="s">
        <v>21</v>
      </c>
      <c r="G88" s="41">
        <v>21.0</v>
      </c>
      <c r="H88" s="41" t="s">
        <v>29</v>
      </c>
      <c r="I88" s="42">
        <v>1.0</v>
      </c>
      <c r="J88" s="43"/>
      <c r="K88" s="42">
        <v>0.0</v>
      </c>
      <c r="L88" s="42">
        <v>0.0</v>
      </c>
      <c r="M88" s="42">
        <v>0.0</v>
      </c>
      <c r="N88" s="42">
        <v>0.0</v>
      </c>
      <c r="O88" s="46"/>
    </row>
    <row r="89">
      <c r="A89" s="42">
        <v>4.8</v>
      </c>
      <c r="B89" s="41" t="s">
        <v>59</v>
      </c>
      <c r="C89" s="40" t="s">
        <v>29</v>
      </c>
      <c r="D89" s="40" t="s">
        <v>60</v>
      </c>
      <c r="E89" s="46"/>
      <c r="F89" s="41" t="s">
        <v>21</v>
      </c>
      <c r="G89" s="41">
        <v>3.0</v>
      </c>
      <c r="H89" s="41" t="s">
        <v>29</v>
      </c>
      <c r="I89" s="42">
        <v>1.0</v>
      </c>
      <c r="J89" s="43"/>
      <c r="K89" s="42">
        <v>0.0</v>
      </c>
      <c r="L89" s="42">
        <v>0.0</v>
      </c>
      <c r="M89" s="42">
        <v>0.0</v>
      </c>
      <c r="N89" s="42">
        <v>0.0</v>
      </c>
      <c r="O89" s="46"/>
    </row>
    <row r="90">
      <c r="A90" s="42">
        <v>4.9</v>
      </c>
      <c r="B90" s="41" t="s">
        <v>320</v>
      </c>
      <c r="C90" s="40" t="s">
        <v>18</v>
      </c>
      <c r="D90" s="40" t="s">
        <v>321</v>
      </c>
      <c r="E90" s="46"/>
      <c r="F90" s="41" t="s">
        <v>21</v>
      </c>
      <c r="G90" s="41">
        <v>28.0</v>
      </c>
      <c r="H90" s="41" t="s">
        <v>29</v>
      </c>
      <c r="I90" s="42">
        <v>1.0</v>
      </c>
      <c r="J90" s="43"/>
      <c r="K90" s="42">
        <v>0.0</v>
      </c>
      <c r="L90" s="42">
        <v>0.0</v>
      </c>
      <c r="M90" s="42">
        <v>0.0</v>
      </c>
      <c r="N90" s="42">
        <v>0.0</v>
      </c>
      <c r="O90" s="46"/>
    </row>
    <row r="91">
      <c r="A91" s="42">
        <v>4.1</v>
      </c>
      <c r="B91" s="41" t="s">
        <v>1354</v>
      </c>
      <c r="C91" s="40" t="s">
        <v>18</v>
      </c>
      <c r="D91" s="40" t="s">
        <v>1355</v>
      </c>
      <c r="E91" s="46"/>
      <c r="F91" s="41" t="s">
        <v>21</v>
      </c>
      <c r="G91" s="41">
        <v>3.0</v>
      </c>
      <c r="H91" s="41" t="s">
        <v>29</v>
      </c>
      <c r="I91" s="42">
        <v>1.0</v>
      </c>
      <c r="J91" s="43"/>
      <c r="K91" s="42">
        <v>0.0</v>
      </c>
      <c r="L91" s="42">
        <v>0.0</v>
      </c>
      <c r="M91" s="42">
        <v>0.0</v>
      </c>
      <c r="N91" s="42">
        <v>0.0</v>
      </c>
      <c r="O91" s="46"/>
    </row>
    <row r="92">
      <c r="A92" s="42" t="s">
        <v>1385</v>
      </c>
      <c r="B92" s="41" t="s">
        <v>1298</v>
      </c>
      <c r="C92" s="40" t="s">
        <v>18</v>
      </c>
      <c r="D92" s="40" t="s">
        <v>1299</v>
      </c>
      <c r="E92" s="46"/>
      <c r="F92" s="41" t="s">
        <v>21</v>
      </c>
      <c r="G92" s="41">
        <v>3.0</v>
      </c>
      <c r="H92" s="41" t="s">
        <v>22</v>
      </c>
      <c r="I92" s="42">
        <v>1.0</v>
      </c>
      <c r="J92" s="42">
        <v>1.0</v>
      </c>
      <c r="K92" s="42">
        <v>0.0</v>
      </c>
      <c r="L92" s="42">
        <v>0.0</v>
      </c>
      <c r="M92" s="42">
        <v>0.0</v>
      </c>
      <c r="N92" s="42">
        <v>0.0</v>
      </c>
      <c r="O92" s="46"/>
    </row>
    <row r="93">
      <c r="A93" s="42" t="s">
        <v>1386</v>
      </c>
      <c r="B93" s="41" t="s">
        <v>511</v>
      </c>
      <c r="C93" s="40" t="s">
        <v>29</v>
      </c>
      <c r="D93" s="40" t="s">
        <v>431</v>
      </c>
      <c r="E93" s="46"/>
      <c r="F93" s="41" t="s">
        <v>21</v>
      </c>
      <c r="G93" s="41">
        <v>3.0</v>
      </c>
      <c r="H93" s="41" t="s">
        <v>22</v>
      </c>
      <c r="I93" s="42">
        <v>1.0</v>
      </c>
      <c r="J93" s="42">
        <v>1.0</v>
      </c>
      <c r="K93" s="42">
        <v>0.0</v>
      </c>
      <c r="L93" s="42">
        <v>0.0</v>
      </c>
      <c r="M93" s="42">
        <v>0.0</v>
      </c>
      <c r="N93" s="42">
        <v>0.0</v>
      </c>
      <c r="O93" s="46"/>
    </row>
    <row r="94">
      <c r="A94" s="42" t="s">
        <v>1387</v>
      </c>
      <c r="B94" s="41" t="s">
        <v>509</v>
      </c>
      <c r="C94" s="40" t="s">
        <v>29</v>
      </c>
      <c r="D94" s="40" t="s">
        <v>510</v>
      </c>
      <c r="E94" s="46"/>
      <c r="F94" s="41" t="s">
        <v>21</v>
      </c>
      <c r="G94" s="41">
        <v>3.0</v>
      </c>
      <c r="H94" s="41" t="s">
        <v>22</v>
      </c>
      <c r="I94" s="42">
        <v>1.0</v>
      </c>
      <c r="J94" s="42">
        <v>1.0</v>
      </c>
      <c r="K94" s="42">
        <v>0.0</v>
      </c>
      <c r="L94" s="42">
        <v>0.0</v>
      </c>
      <c r="M94" s="42">
        <v>0.0</v>
      </c>
      <c r="N94" s="42">
        <v>0.0</v>
      </c>
      <c r="O94" s="46"/>
    </row>
    <row r="95">
      <c r="A95" s="42" t="s">
        <v>1388</v>
      </c>
      <c r="B95" s="41" t="s">
        <v>1303</v>
      </c>
      <c r="C95" s="40" t="s">
        <v>18</v>
      </c>
      <c r="D95" s="40" t="s">
        <v>1304</v>
      </c>
      <c r="E95" s="46"/>
      <c r="F95" s="41" t="s">
        <v>21</v>
      </c>
      <c r="G95" s="41">
        <v>3.0</v>
      </c>
      <c r="H95" s="41" t="s">
        <v>22</v>
      </c>
      <c r="I95" s="42">
        <v>1.0</v>
      </c>
      <c r="J95" s="42">
        <v>1.0</v>
      </c>
      <c r="K95" s="42">
        <v>0.0</v>
      </c>
      <c r="L95" s="42">
        <v>0.0</v>
      </c>
      <c r="M95" s="42">
        <v>0.0</v>
      </c>
      <c r="N95" s="42">
        <v>0.0</v>
      </c>
      <c r="O95" s="46"/>
    </row>
    <row r="96">
      <c r="A96" s="42" t="s">
        <v>1389</v>
      </c>
      <c r="B96" s="41" t="s">
        <v>1390</v>
      </c>
      <c r="C96" s="40" t="s">
        <v>29</v>
      </c>
      <c r="D96" s="40" t="s">
        <v>1391</v>
      </c>
      <c r="E96" s="46"/>
      <c r="F96" s="41" t="s">
        <v>21</v>
      </c>
      <c r="G96" s="41">
        <v>3.0</v>
      </c>
      <c r="H96" s="41" t="s">
        <v>22</v>
      </c>
      <c r="I96" s="42">
        <v>1.0</v>
      </c>
      <c r="J96" s="43"/>
      <c r="K96" s="42">
        <v>0.0</v>
      </c>
      <c r="L96" s="42">
        <v>0.0</v>
      </c>
      <c r="M96" s="42">
        <v>0.0</v>
      </c>
      <c r="N96" s="42">
        <v>0.0</v>
      </c>
      <c r="O96" s="46"/>
    </row>
    <row r="97">
      <c r="A97" s="42" t="s">
        <v>1392</v>
      </c>
      <c r="B97" s="41" t="s">
        <v>1309</v>
      </c>
      <c r="C97" s="40" t="s">
        <v>29</v>
      </c>
      <c r="D97" s="40" t="s">
        <v>278</v>
      </c>
      <c r="E97" s="46"/>
      <c r="F97" s="41" t="s">
        <v>21</v>
      </c>
      <c r="G97" s="41">
        <v>3.0</v>
      </c>
      <c r="H97" s="41" t="s">
        <v>22</v>
      </c>
      <c r="I97" s="42">
        <v>1.0</v>
      </c>
      <c r="J97" s="42">
        <v>1.0</v>
      </c>
      <c r="K97" s="42">
        <v>0.0</v>
      </c>
      <c r="L97" s="42">
        <v>0.0</v>
      </c>
      <c r="M97" s="42">
        <v>0.0</v>
      </c>
      <c r="N97" s="42">
        <v>0.0</v>
      </c>
      <c r="O97" s="46"/>
    </row>
    <row r="98">
      <c r="A98" s="42" t="s">
        <v>1393</v>
      </c>
      <c r="B98" s="41" t="s">
        <v>1364</v>
      </c>
      <c r="C98" s="40" t="s">
        <v>29</v>
      </c>
      <c r="D98" s="40" t="s">
        <v>1365</v>
      </c>
      <c r="E98" s="46"/>
      <c r="F98" s="41" t="s">
        <v>21</v>
      </c>
      <c r="G98" s="41" t="s">
        <v>21</v>
      </c>
      <c r="H98" s="41" t="s">
        <v>22</v>
      </c>
      <c r="I98" s="42">
        <v>1.0</v>
      </c>
      <c r="J98" s="42">
        <v>1.0</v>
      </c>
      <c r="K98" s="44">
        <v>1062.5</v>
      </c>
      <c r="L98" s="44">
        <v>38250.0</v>
      </c>
      <c r="M98" s="42">
        <v>0.0</v>
      </c>
      <c r="N98" s="44">
        <v>38250.0</v>
      </c>
      <c r="O98" s="46"/>
    </row>
    <row r="99">
      <c r="A99" s="42" t="s">
        <v>1394</v>
      </c>
      <c r="B99" s="41" t="s">
        <v>1370</v>
      </c>
      <c r="C99" s="40" t="s">
        <v>29</v>
      </c>
      <c r="D99" s="40" t="s">
        <v>1371</v>
      </c>
      <c r="E99" s="46"/>
      <c r="F99" s="41" t="s">
        <v>21</v>
      </c>
      <c r="G99" s="41">
        <v>3.0</v>
      </c>
      <c r="H99" s="41" t="s">
        <v>22</v>
      </c>
      <c r="I99" s="42">
        <v>1.0</v>
      </c>
      <c r="J99" s="42">
        <v>1.0</v>
      </c>
      <c r="K99" s="42">
        <v>0.0</v>
      </c>
      <c r="L99" s="42">
        <v>0.0</v>
      </c>
      <c r="M99" s="42">
        <v>0.0</v>
      </c>
      <c r="N99" s="42">
        <v>0.0</v>
      </c>
      <c r="O99" s="46"/>
    </row>
    <row r="100">
      <c r="A100" s="42" t="s">
        <v>1395</v>
      </c>
      <c r="B100" s="41" t="s">
        <v>1373</v>
      </c>
      <c r="C100" s="40" t="s">
        <v>29</v>
      </c>
      <c r="D100" s="40" t="s">
        <v>1374</v>
      </c>
      <c r="E100" s="46"/>
      <c r="F100" s="41" t="s">
        <v>21</v>
      </c>
      <c r="G100" s="41">
        <v>3.0</v>
      </c>
      <c r="H100" s="41" t="s">
        <v>22</v>
      </c>
      <c r="I100" s="42">
        <v>1.0</v>
      </c>
      <c r="J100" s="43"/>
      <c r="K100" s="42">
        <v>0.0</v>
      </c>
      <c r="L100" s="42">
        <v>0.0</v>
      </c>
      <c r="M100" s="42">
        <v>0.0</v>
      </c>
      <c r="N100" s="42">
        <v>0.0</v>
      </c>
      <c r="O100" s="46"/>
    </row>
    <row r="101">
      <c r="A101" s="42">
        <v>4.11</v>
      </c>
      <c r="B101" s="41" t="s">
        <v>1319</v>
      </c>
      <c r="C101" s="40" t="s">
        <v>29</v>
      </c>
      <c r="D101" s="40" t="s">
        <v>1320</v>
      </c>
      <c r="E101" s="46"/>
      <c r="F101" s="41" t="s">
        <v>21</v>
      </c>
      <c r="G101" s="41">
        <v>28.0</v>
      </c>
      <c r="H101" s="41" t="s">
        <v>29</v>
      </c>
      <c r="I101" s="42">
        <v>1.0</v>
      </c>
      <c r="J101" s="43"/>
      <c r="K101" s="42">
        <v>0.0</v>
      </c>
      <c r="L101" s="42">
        <v>0.0</v>
      </c>
      <c r="M101" s="42">
        <v>0.0</v>
      </c>
      <c r="N101" s="42">
        <v>0.0</v>
      </c>
      <c r="O101" s="46"/>
    </row>
    <row r="102">
      <c r="A102" s="42">
        <v>4.12</v>
      </c>
      <c r="B102" s="41" t="s">
        <v>1321</v>
      </c>
      <c r="C102" s="40" t="s">
        <v>18</v>
      </c>
      <c r="D102" s="40" t="s">
        <v>1322</v>
      </c>
      <c r="E102" s="46"/>
      <c r="F102" s="41" t="s">
        <v>21</v>
      </c>
      <c r="G102" s="41">
        <v>28.0</v>
      </c>
      <c r="H102" s="41" t="s">
        <v>22</v>
      </c>
      <c r="I102" s="42">
        <v>1.0</v>
      </c>
      <c r="J102" s="43"/>
      <c r="K102" s="42">
        <v>0.0</v>
      </c>
      <c r="L102" s="42">
        <v>0.0</v>
      </c>
      <c r="M102" s="42">
        <v>0.0</v>
      </c>
      <c r="N102" s="42">
        <v>0.0</v>
      </c>
      <c r="O102" s="46"/>
    </row>
    <row r="103">
      <c r="A103" s="42">
        <v>4.13</v>
      </c>
      <c r="B103" s="41" t="s">
        <v>277</v>
      </c>
      <c r="C103" s="40" t="s">
        <v>18</v>
      </c>
      <c r="D103" s="40" t="s">
        <v>278</v>
      </c>
      <c r="E103" s="46"/>
      <c r="F103" s="41" t="s">
        <v>21</v>
      </c>
      <c r="G103" s="41">
        <v>14.0</v>
      </c>
      <c r="H103" s="41" t="s">
        <v>29</v>
      </c>
      <c r="I103" s="42">
        <v>1.0</v>
      </c>
      <c r="J103" s="43"/>
      <c r="K103" s="42">
        <v>0.0</v>
      </c>
      <c r="L103" s="42">
        <v>0.0</v>
      </c>
      <c r="M103" s="42">
        <v>0.0</v>
      </c>
      <c r="N103" s="42">
        <v>0.0</v>
      </c>
      <c r="O103" s="46"/>
    </row>
    <row r="104">
      <c r="A104" s="42">
        <v>4.14</v>
      </c>
      <c r="B104" s="41" t="s">
        <v>1396</v>
      </c>
      <c r="C104" s="40" t="s">
        <v>18</v>
      </c>
      <c r="D104" s="40" t="s">
        <v>1397</v>
      </c>
      <c r="E104" s="46"/>
      <c r="F104" s="41" t="s">
        <v>21</v>
      </c>
      <c r="G104" s="41">
        <v>28.0</v>
      </c>
      <c r="H104" s="41" t="s">
        <v>22</v>
      </c>
      <c r="I104" s="42">
        <v>2.0</v>
      </c>
      <c r="J104" s="43"/>
      <c r="K104" s="42">
        <v>0.0</v>
      </c>
      <c r="L104" s="42">
        <v>0.0</v>
      </c>
      <c r="M104" s="42">
        <v>0.0</v>
      </c>
      <c r="N104" s="42">
        <v>0.0</v>
      </c>
      <c r="O104" s="46"/>
    </row>
    <row r="105">
      <c r="A105" s="42">
        <v>4.15</v>
      </c>
      <c r="B105" s="41" t="s">
        <v>285</v>
      </c>
      <c r="C105" s="40" t="s">
        <v>18</v>
      </c>
      <c r="D105" s="40" t="s">
        <v>286</v>
      </c>
      <c r="E105" s="46"/>
      <c r="F105" s="41" t="s">
        <v>21</v>
      </c>
      <c r="G105" s="41">
        <v>14.0</v>
      </c>
      <c r="H105" s="41" t="s">
        <v>22</v>
      </c>
      <c r="I105" s="42">
        <v>2.0</v>
      </c>
      <c r="J105" s="43"/>
      <c r="K105" s="42">
        <v>0.0</v>
      </c>
      <c r="L105" s="42">
        <v>0.0</v>
      </c>
      <c r="M105" s="42">
        <v>0.0</v>
      </c>
      <c r="N105" s="42">
        <v>0.0</v>
      </c>
      <c r="O105" s="46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50" t="s">
        <v>63</v>
      </c>
      <c r="N106" s="51">
        <v>71768.03</v>
      </c>
      <c r="O106" s="52"/>
    </row>
    <row r="107">
      <c r="A107" s="39">
        <v>5.0</v>
      </c>
      <c r="B107" s="39" t="s">
        <v>1398</v>
      </c>
      <c r="C107" s="40" t="s">
        <v>18</v>
      </c>
      <c r="D107" s="40" t="s">
        <v>1399</v>
      </c>
      <c r="E107" s="40" t="s">
        <v>20</v>
      </c>
      <c r="F107" s="41" t="s">
        <v>21</v>
      </c>
      <c r="G107" s="41">
        <v>28.0</v>
      </c>
      <c r="H107" s="41" t="s">
        <v>22</v>
      </c>
      <c r="I107" s="42">
        <v>1.0</v>
      </c>
      <c r="J107" s="43"/>
      <c r="K107" s="44">
        <v>20787.54</v>
      </c>
      <c r="L107" s="44">
        <v>20787.54</v>
      </c>
      <c r="M107" s="42">
        <v>0.0</v>
      </c>
      <c r="N107" s="44">
        <v>20787.54</v>
      </c>
      <c r="O107" s="46"/>
    </row>
    <row r="108">
      <c r="A108" s="42" t="s">
        <v>117</v>
      </c>
      <c r="B108" s="41" t="s">
        <v>1400</v>
      </c>
      <c r="C108" s="40" t="s">
        <v>18</v>
      </c>
      <c r="D108" s="40" t="s">
        <v>1401</v>
      </c>
      <c r="E108" s="46"/>
      <c r="F108" s="41">
        <v>36.0</v>
      </c>
      <c r="G108" s="41" t="s">
        <v>21</v>
      </c>
      <c r="H108" s="41" t="s">
        <v>22</v>
      </c>
      <c r="I108" s="42">
        <v>1.0</v>
      </c>
      <c r="J108" s="43"/>
      <c r="K108" s="44">
        <v>9821.64</v>
      </c>
      <c r="L108" s="44">
        <v>9821.64</v>
      </c>
      <c r="M108" s="42">
        <v>0.0</v>
      </c>
      <c r="N108" s="44">
        <v>9821.64</v>
      </c>
      <c r="O108" s="40" t="s">
        <v>26</v>
      </c>
    </row>
    <row r="109">
      <c r="A109" s="42">
        <v>5.1</v>
      </c>
      <c r="B109" s="41" t="s">
        <v>1375</v>
      </c>
      <c r="C109" s="40" t="s">
        <v>18</v>
      </c>
      <c r="D109" s="40" t="s">
        <v>1376</v>
      </c>
      <c r="E109" s="46"/>
      <c r="F109" s="41" t="s">
        <v>21</v>
      </c>
      <c r="G109" s="41">
        <v>28.0</v>
      </c>
      <c r="H109" s="41" t="s">
        <v>22</v>
      </c>
      <c r="I109" s="42">
        <v>1.0</v>
      </c>
      <c r="J109" s="43"/>
      <c r="K109" s="44">
        <v>3135.74</v>
      </c>
      <c r="L109" s="44">
        <v>3135.74</v>
      </c>
      <c r="M109" s="42">
        <v>0.0</v>
      </c>
      <c r="N109" s="44">
        <v>3135.74</v>
      </c>
      <c r="O109" s="46"/>
    </row>
    <row r="110">
      <c r="A110" s="42">
        <v>5.2</v>
      </c>
      <c r="B110" s="41" t="s">
        <v>1331</v>
      </c>
      <c r="C110" s="40" t="s">
        <v>18</v>
      </c>
      <c r="D110" s="40" t="s">
        <v>1332</v>
      </c>
      <c r="E110" s="46"/>
      <c r="F110" s="41" t="s">
        <v>21</v>
      </c>
      <c r="G110" s="41">
        <v>28.0</v>
      </c>
      <c r="H110" s="41" t="s">
        <v>29</v>
      </c>
      <c r="I110" s="42">
        <v>1.0</v>
      </c>
      <c r="J110" s="43"/>
      <c r="K110" s="42">
        <v>0.0</v>
      </c>
      <c r="L110" s="42">
        <v>0.0</v>
      </c>
      <c r="M110" s="42">
        <v>0.0</v>
      </c>
      <c r="N110" s="42">
        <v>0.0</v>
      </c>
      <c r="O110" s="46"/>
    </row>
    <row r="111">
      <c r="A111" s="42">
        <v>5.3</v>
      </c>
      <c r="B111" s="41" t="s">
        <v>378</v>
      </c>
      <c r="C111" s="40" t="s">
        <v>18</v>
      </c>
      <c r="D111" s="40" t="s">
        <v>379</v>
      </c>
      <c r="E111" s="46"/>
      <c r="F111" s="41" t="s">
        <v>21</v>
      </c>
      <c r="G111" s="41">
        <v>21.0</v>
      </c>
      <c r="H111" s="41" t="s">
        <v>22</v>
      </c>
      <c r="I111" s="42">
        <v>1.0</v>
      </c>
      <c r="J111" s="43"/>
      <c r="K111" s="42">
        <v>0.0</v>
      </c>
      <c r="L111" s="42">
        <v>0.0</v>
      </c>
      <c r="M111" s="42">
        <v>0.0</v>
      </c>
      <c r="N111" s="42">
        <v>0.0</v>
      </c>
      <c r="O111" s="46"/>
    </row>
    <row r="112">
      <c r="A112" s="42">
        <v>5.4</v>
      </c>
      <c r="B112" s="41" t="s">
        <v>1350</v>
      </c>
      <c r="C112" s="40" t="s">
        <v>18</v>
      </c>
      <c r="D112" s="40" t="s">
        <v>1351</v>
      </c>
      <c r="E112" s="46"/>
      <c r="F112" s="41" t="s">
        <v>21</v>
      </c>
      <c r="G112" s="41">
        <v>28.0</v>
      </c>
      <c r="H112" s="41" t="s">
        <v>29</v>
      </c>
      <c r="I112" s="42">
        <v>1.0</v>
      </c>
      <c r="J112" s="43"/>
      <c r="K112" s="42">
        <v>0.0</v>
      </c>
      <c r="L112" s="42">
        <v>0.0</v>
      </c>
      <c r="M112" s="42">
        <v>0.0</v>
      </c>
      <c r="N112" s="42">
        <v>0.0</v>
      </c>
      <c r="O112" s="46"/>
    </row>
    <row r="113">
      <c r="A113" s="42">
        <v>5.5</v>
      </c>
      <c r="B113" s="41" t="s">
        <v>299</v>
      </c>
      <c r="C113" s="40" t="s">
        <v>18</v>
      </c>
      <c r="D113" s="40" t="s">
        <v>300</v>
      </c>
      <c r="E113" s="46"/>
      <c r="F113" s="41" t="s">
        <v>21</v>
      </c>
      <c r="G113" s="41">
        <v>21.0</v>
      </c>
      <c r="H113" s="41" t="s">
        <v>29</v>
      </c>
      <c r="I113" s="42">
        <v>2.0</v>
      </c>
      <c r="J113" s="43"/>
      <c r="K113" s="42">
        <v>0.0</v>
      </c>
      <c r="L113" s="42">
        <v>0.0</v>
      </c>
      <c r="M113" s="42">
        <v>0.0</v>
      </c>
      <c r="N113" s="42">
        <v>0.0</v>
      </c>
      <c r="O113" s="46"/>
    </row>
    <row r="114">
      <c r="A114" s="42">
        <v>5.6</v>
      </c>
      <c r="B114" s="41" t="s">
        <v>301</v>
      </c>
      <c r="C114" s="40" t="s">
        <v>18</v>
      </c>
      <c r="D114" s="40" t="s">
        <v>302</v>
      </c>
      <c r="E114" s="46"/>
      <c r="F114" s="41" t="s">
        <v>21</v>
      </c>
      <c r="G114" s="41">
        <v>21.0</v>
      </c>
      <c r="H114" s="41" t="s">
        <v>29</v>
      </c>
      <c r="I114" s="42">
        <v>2.0</v>
      </c>
      <c r="J114" s="43"/>
      <c r="K114" s="42">
        <v>0.0</v>
      </c>
      <c r="L114" s="42">
        <v>0.0</v>
      </c>
      <c r="M114" s="42">
        <v>0.0</v>
      </c>
      <c r="N114" s="42">
        <v>0.0</v>
      </c>
      <c r="O114" s="46"/>
    </row>
    <row r="115">
      <c r="A115" s="42">
        <v>5.7</v>
      </c>
      <c r="B115" s="41" t="s">
        <v>273</v>
      </c>
      <c r="C115" s="40" t="s">
        <v>18</v>
      </c>
      <c r="D115" s="40" t="s">
        <v>274</v>
      </c>
      <c r="E115" s="46"/>
      <c r="F115" s="41" t="s">
        <v>21</v>
      </c>
      <c r="G115" s="41">
        <v>21.0</v>
      </c>
      <c r="H115" s="41" t="s">
        <v>29</v>
      </c>
      <c r="I115" s="42">
        <v>1.0</v>
      </c>
      <c r="J115" s="43"/>
      <c r="K115" s="42">
        <v>0.0</v>
      </c>
      <c r="L115" s="42">
        <v>0.0</v>
      </c>
      <c r="M115" s="42">
        <v>0.0</v>
      </c>
      <c r="N115" s="42">
        <v>0.0</v>
      </c>
      <c r="O115" s="46"/>
    </row>
    <row r="116">
      <c r="A116" s="42">
        <v>5.8</v>
      </c>
      <c r="B116" s="41" t="s">
        <v>1352</v>
      </c>
      <c r="C116" s="40" t="s">
        <v>18</v>
      </c>
      <c r="D116" s="40" t="s">
        <v>1353</v>
      </c>
      <c r="E116" s="46"/>
      <c r="F116" s="41" t="s">
        <v>21</v>
      </c>
      <c r="G116" s="41">
        <v>28.0</v>
      </c>
      <c r="H116" s="41" t="s">
        <v>29</v>
      </c>
      <c r="I116" s="42">
        <v>1.0</v>
      </c>
      <c r="J116" s="43"/>
      <c r="K116" s="42">
        <v>0.0</v>
      </c>
      <c r="L116" s="42">
        <v>0.0</v>
      </c>
      <c r="M116" s="42">
        <v>0.0</v>
      </c>
      <c r="N116" s="42">
        <v>0.0</v>
      </c>
      <c r="O116" s="46"/>
    </row>
    <row r="117">
      <c r="A117" s="42">
        <v>5.9</v>
      </c>
      <c r="B117" s="41" t="s">
        <v>59</v>
      </c>
      <c r="C117" s="40" t="s">
        <v>29</v>
      </c>
      <c r="D117" s="40" t="s">
        <v>60</v>
      </c>
      <c r="E117" s="46"/>
      <c r="F117" s="41" t="s">
        <v>21</v>
      </c>
      <c r="G117" s="41">
        <v>3.0</v>
      </c>
      <c r="H117" s="41" t="s">
        <v>29</v>
      </c>
      <c r="I117" s="42">
        <v>1.0</v>
      </c>
      <c r="J117" s="43"/>
      <c r="K117" s="42">
        <v>0.0</v>
      </c>
      <c r="L117" s="42">
        <v>0.0</v>
      </c>
      <c r="M117" s="42">
        <v>0.0</v>
      </c>
      <c r="N117" s="42">
        <v>0.0</v>
      </c>
      <c r="O117" s="46"/>
    </row>
    <row r="118">
      <c r="A118" s="42">
        <v>5.1</v>
      </c>
      <c r="B118" s="41" t="s">
        <v>1377</v>
      </c>
      <c r="C118" s="40" t="s">
        <v>18</v>
      </c>
      <c r="D118" s="40" t="s">
        <v>1378</v>
      </c>
      <c r="E118" s="46"/>
      <c r="F118" s="41" t="s">
        <v>21</v>
      </c>
      <c r="G118" s="41">
        <v>28.0</v>
      </c>
      <c r="H118" s="41" t="s">
        <v>29</v>
      </c>
      <c r="I118" s="42">
        <v>2.0</v>
      </c>
      <c r="J118" s="43"/>
      <c r="K118" s="42">
        <v>0.0</v>
      </c>
      <c r="L118" s="42">
        <v>0.0</v>
      </c>
      <c r="M118" s="42">
        <v>0.0</v>
      </c>
      <c r="N118" s="42">
        <v>0.0</v>
      </c>
      <c r="O118" s="46"/>
    </row>
    <row r="119">
      <c r="A119" s="42">
        <v>5.11</v>
      </c>
      <c r="B119" s="41" t="s">
        <v>320</v>
      </c>
      <c r="C119" s="40" t="s">
        <v>18</v>
      </c>
      <c r="D119" s="40" t="s">
        <v>321</v>
      </c>
      <c r="E119" s="46"/>
      <c r="F119" s="41" t="s">
        <v>21</v>
      </c>
      <c r="G119" s="41">
        <v>28.0</v>
      </c>
      <c r="H119" s="41" t="s">
        <v>29</v>
      </c>
      <c r="I119" s="42">
        <v>1.0</v>
      </c>
      <c r="J119" s="43"/>
      <c r="K119" s="42">
        <v>0.0</v>
      </c>
      <c r="L119" s="42">
        <v>0.0</v>
      </c>
      <c r="M119" s="42">
        <v>0.0</v>
      </c>
      <c r="N119" s="42">
        <v>0.0</v>
      </c>
      <c r="O119" s="46"/>
    </row>
    <row r="120">
      <c r="A120" s="42">
        <v>5.12</v>
      </c>
      <c r="B120" s="41" t="s">
        <v>1354</v>
      </c>
      <c r="C120" s="40" t="s">
        <v>18</v>
      </c>
      <c r="D120" s="40" t="s">
        <v>1355</v>
      </c>
      <c r="E120" s="46"/>
      <c r="F120" s="41" t="s">
        <v>21</v>
      </c>
      <c r="G120" s="41">
        <v>3.0</v>
      </c>
      <c r="H120" s="41" t="s">
        <v>29</v>
      </c>
      <c r="I120" s="42">
        <v>1.0</v>
      </c>
      <c r="J120" s="43"/>
      <c r="K120" s="42">
        <v>0.0</v>
      </c>
      <c r="L120" s="42">
        <v>0.0</v>
      </c>
      <c r="M120" s="42">
        <v>0.0</v>
      </c>
      <c r="N120" s="42">
        <v>0.0</v>
      </c>
      <c r="O120" s="46"/>
    </row>
    <row r="121">
      <c r="A121" s="42" t="s">
        <v>1402</v>
      </c>
      <c r="B121" s="41" t="s">
        <v>1311</v>
      </c>
      <c r="C121" s="40" t="s">
        <v>29</v>
      </c>
      <c r="D121" s="40" t="s">
        <v>1312</v>
      </c>
      <c r="E121" s="46"/>
      <c r="F121" s="41" t="s">
        <v>21</v>
      </c>
      <c r="G121" s="41" t="s">
        <v>21</v>
      </c>
      <c r="H121" s="41" t="s">
        <v>22</v>
      </c>
      <c r="I121" s="42">
        <v>1.0</v>
      </c>
      <c r="J121" s="42">
        <v>1.0</v>
      </c>
      <c r="K121" s="42">
        <v>350.0</v>
      </c>
      <c r="L121" s="44">
        <v>12600.0</v>
      </c>
      <c r="M121" s="42">
        <v>0.0</v>
      </c>
      <c r="N121" s="44">
        <v>12600.0</v>
      </c>
      <c r="O121" s="46"/>
    </row>
    <row r="122">
      <c r="A122" s="42" t="s">
        <v>1403</v>
      </c>
      <c r="B122" s="41" t="s">
        <v>1298</v>
      </c>
      <c r="C122" s="40" t="s">
        <v>18</v>
      </c>
      <c r="D122" s="40" t="s">
        <v>1299</v>
      </c>
      <c r="E122" s="46"/>
      <c r="F122" s="41" t="s">
        <v>21</v>
      </c>
      <c r="G122" s="41">
        <v>3.0</v>
      </c>
      <c r="H122" s="41" t="s">
        <v>22</v>
      </c>
      <c r="I122" s="42">
        <v>1.0</v>
      </c>
      <c r="J122" s="42">
        <v>1.0</v>
      </c>
      <c r="K122" s="42">
        <v>0.0</v>
      </c>
      <c r="L122" s="42">
        <v>0.0</v>
      </c>
      <c r="M122" s="42">
        <v>0.0</v>
      </c>
      <c r="N122" s="42">
        <v>0.0</v>
      </c>
      <c r="O122" s="46"/>
    </row>
    <row r="123">
      <c r="A123" s="42" t="s">
        <v>1404</v>
      </c>
      <c r="B123" s="41" t="s">
        <v>1314</v>
      </c>
      <c r="C123" s="40" t="s">
        <v>29</v>
      </c>
      <c r="D123" s="40" t="s">
        <v>1315</v>
      </c>
      <c r="E123" s="46"/>
      <c r="F123" s="41" t="s">
        <v>21</v>
      </c>
      <c r="G123" s="41">
        <v>3.0</v>
      </c>
      <c r="H123" s="41" t="s">
        <v>22</v>
      </c>
      <c r="I123" s="42">
        <v>1.0</v>
      </c>
      <c r="J123" s="42">
        <v>1.0</v>
      </c>
      <c r="K123" s="42">
        <v>0.0</v>
      </c>
      <c r="L123" s="42">
        <v>0.0</v>
      </c>
      <c r="M123" s="42">
        <v>0.0</v>
      </c>
      <c r="N123" s="42">
        <v>0.0</v>
      </c>
      <c r="O123" s="46"/>
    </row>
    <row r="124">
      <c r="A124" s="42" t="s">
        <v>1405</v>
      </c>
      <c r="B124" s="41" t="s">
        <v>1317</v>
      </c>
      <c r="C124" s="40" t="s">
        <v>29</v>
      </c>
      <c r="D124" s="40" t="s">
        <v>1318</v>
      </c>
      <c r="E124" s="46"/>
      <c r="F124" s="41" t="s">
        <v>21</v>
      </c>
      <c r="G124" s="41">
        <v>3.0</v>
      </c>
      <c r="H124" s="41" t="s">
        <v>22</v>
      </c>
      <c r="I124" s="42">
        <v>1.0</v>
      </c>
      <c r="J124" s="43"/>
      <c r="K124" s="42">
        <v>0.0</v>
      </c>
      <c r="L124" s="42">
        <v>0.0</v>
      </c>
      <c r="M124" s="42">
        <v>0.0</v>
      </c>
      <c r="N124" s="42">
        <v>0.0</v>
      </c>
      <c r="O124" s="46"/>
    </row>
    <row r="125">
      <c r="A125" s="42" t="s">
        <v>1406</v>
      </c>
      <c r="B125" s="41" t="s">
        <v>511</v>
      </c>
      <c r="C125" s="40" t="s">
        <v>29</v>
      </c>
      <c r="D125" s="40" t="s">
        <v>431</v>
      </c>
      <c r="E125" s="46"/>
      <c r="F125" s="41" t="s">
        <v>21</v>
      </c>
      <c r="G125" s="41">
        <v>3.0</v>
      </c>
      <c r="H125" s="41" t="s">
        <v>22</v>
      </c>
      <c r="I125" s="42">
        <v>1.0</v>
      </c>
      <c r="J125" s="42">
        <v>1.0</v>
      </c>
      <c r="K125" s="42">
        <v>0.0</v>
      </c>
      <c r="L125" s="42">
        <v>0.0</v>
      </c>
      <c r="M125" s="42">
        <v>0.0</v>
      </c>
      <c r="N125" s="42">
        <v>0.0</v>
      </c>
      <c r="O125" s="46"/>
    </row>
    <row r="126">
      <c r="A126" s="42" t="s">
        <v>1407</v>
      </c>
      <c r="B126" s="41" t="s">
        <v>509</v>
      </c>
      <c r="C126" s="40" t="s">
        <v>29</v>
      </c>
      <c r="D126" s="40" t="s">
        <v>510</v>
      </c>
      <c r="E126" s="46"/>
      <c r="F126" s="41" t="s">
        <v>21</v>
      </c>
      <c r="G126" s="41">
        <v>3.0</v>
      </c>
      <c r="H126" s="41" t="s">
        <v>22</v>
      </c>
      <c r="I126" s="42">
        <v>1.0</v>
      </c>
      <c r="J126" s="42">
        <v>1.0</v>
      </c>
      <c r="K126" s="42">
        <v>0.0</v>
      </c>
      <c r="L126" s="42">
        <v>0.0</v>
      </c>
      <c r="M126" s="42">
        <v>0.0</v>
      </c>
      <c r="N126" s="42">
        <v>0.0</v>
      </c>
      <c r="O126" s="46"/>
    </row>
    <row r="127">
      <c r="A127" s="42" t="s">
        <v>1408</v>
      </c>
      <c r="B127" s="41" t="s">
        <v>1303</v>
      </c>
      <c r="C127" s="40" t="s">
        <v>18</v>
      </c>
      <c r="D127" s="40" t="s">
        <v>1304</v>
      </c>
      <c r="E127" s="46"/>
      <c r="F127" s="41" t="s">
        <v>21</v>
      </c>
      <c r="G127" s="41">
        <v>3.0</v>
      </c>
      <c r="H127" s="41" t="s">
        <v>22</v>
      </c>
      <c r="I127" s="42">
        <v>1.0</v>
      </c>
      <c r="J127" s="42">
        <v>1.0</v>
      </c>
      <c r="K127" s="42">
        <v>0.0</v>
      </c>
      <c r="L127" s="42">
        <v>0.0</v>
      </c>
      <c r="M127" s="42">
        <v>0.0</v>
      </c>
      <c r="N127" s="42">
        <v>0.0</v>
      </c>
      <c r="O127" s="46"/>
    </row>
    <row r="128">
      <c r="A128" s="42" t="s">
        <v>1409</v>
      </c>
      <c r="B128" s="41" t="s">
        <v>1410</v>
      </c>
      <c r="C128" s="40" t="s">
        <v>29</v>
      </c>
      <c r="D128" s="40" t="s">
        <v>1411</v>
      </c>
      <c r="E128" s="46"/>
      <c r="F128" s="41" t="s">
        <v>21</v>
      </c>
      <c r="G128" s="41">
        <v>3.0</v>
      </c>
      <c r="H128" s="41" t="s">
        <v>22</v>
      </c>
      <c r="I128" s="42">
        <v>1.0</v>
      </c>
      <c r="J128" s="43"/>
      <c r="K128" s="42">
        <v>0.0</v>
      </c>
      <c r="L128" s="42">
        <v>0.0</v>
      </c>
      <c r="M128" s="42">
        <v>0.0</v>
      </c>
      <c r="N128" s="42">
        <v>0.0</v>
      </c>
      <c r="O128" s="46"/>
    </row>
    <row r="129">
      <c r="A129" s="42" t="s">
        <v>1412</v>
      </c>
      <c r="B129" s="41" t="s">
        <v>1309</v>
      </c>
      <c r="C129" s="40" t="s">
        <v>29</v>
      </c>
      <c r="D129" s="40" t="s">
        <v>278</v>
      </c>
      <c r="E129" s="46"/>
      <c r="F129" s="41" t="s">
        <v>21</v>
      </c>
      <c r="G129" s="41">
        <v>3.0</v>
      </c>
      <c r="H129" s="41" t="s">
        <v>22</v>
      </c>
      <c r="I129" s="42">
        <v>1.0</v>
      </c>
      <c r="J129" s="42">
        <v>1.0</v>
      </c>
      <c r="K129" s="42">
        <v>0.0</v>
      </c>
      <c r="L129" s="42">
        <v>0.0</v>
      </c>
      <c r="M129" s="42">
        <v>0.0</v>
      </c>
      <c r="N129" s="42">
        <v>0.0</v>
      </c>
      <c r="O129" s="46"/>
    </row>
    <row r="130">
      <c r="A130" s="42">
        <v>5.13</v>
      </c>
      <c r="B130" s="41" t="s">
        <v>1319</v>
      </c>
      <c r="C130" s="40" t="s">
        <v>29</v>
      </c>
      <c r="D130" s="40" t="s">
        <v>1320</v>
      </c>
      <c r="E130" s="46"/>
      <c r="F130" s="41" t="s">
        <v>21</v>
      </c>
      <c r="G130" s="41">
        <v>28.0</v>
      </c>
      <c r="H130" s="41" t="s">
        <v>29</v>
      </c>
      <c r="I130" s="42">
        <v>1.0</v>
      </c>
      <c r="J130" s="43"/>
      <c r="K130" s="42">
        <v>0.0</v>
      </c>
      <c r="L130" s="42">
        <v>0.0</v>
      </c>
      <c r="M130" s="42">
        <v>0.0</v>
      </c>
      <c r="N130" s="42">
        <v>0.0</v>
      </c>
      <c r="O130" s="46"/>
    </row>
    <row r="131">
      <c r="A131" s="42">
        <v>5.14</v>
      </c>
      <c r="B131" s="41" t="s">
        <v>1321</v>
      </c>
      <c r="C131" s="40" t="s">
        <v>18</v>
      </c>
      <c r="D131" s="40" t="s">
        <v>1322</v>
      </c>
      <c r="E131" s="46"/>
      <c r="F131" s="41" t="s">
        <v>21</v>
      </c>
      <c r="G131" s="41">
        <v>28.0</v>
      </c>
      <c r="H131" s="41" t="s">
        <v>22</v>
      </c>
      <c r="I131" s="42">
        <v>1.0</v>
      </c>
      <c r="J131" s="43"/>
      <c r="K131" s="42">
        <v>0.0</v>
      </c>
      <c r="L131" s="42">
        <v>0.0</v>
      </c>
      <c r="M131" s="42">
        <v>0.0</v>
      </c>
      <c r="N131" s="42">
        <v>0.0</v>
      </c>
      <c r="O131" s="46"/>
    </row>
    <row r="132">
      <c r="A132" s="42">
        <v>5.15</v>
      </c>
      <c r="B132" s="41" t="s">
        <v>277</v>
      </c>
      <c r="C132" s="40" t="s">
        <v>18</v>
      </c>
      <c r="D132" s="40" t="s">
        <v>278</v>
      </c>
      <c r="E132" s="46"/>
      <c r="F132" s="41" t="s">
        <v>21</v>
      </c>
      <c r="G132" s="41">
        <v>14.0</v>
      </c>
      <c r="H132" s="41" t="s">
        <v>29</v>
      </c>
      <c r="I132" s="42">
        <v>1.0</v>
      </c>
      <c r="J132" s="43"/>
      <c r="K132" s="42">
        <v>0.0</v>
      </c>
      <c r="L132" s="42">
        <v>0.0</v>
      </c>
      <c r="M132" s="42">
        <v>0.0</v>
      </c>
      <c r="N132" s="42">
        <v>0.0</v>
      </c>
      <c r="O132" s="46"/>
    </row>
    <row r="133">
      <c r="A133" s="42">
        <v>5.16</v>
      </c>
      <c r="B133" s="41" t="s">
        <v>1379</v>
      </c>
      <c r="C133" s="40" t="s">
        <v>18</v>
      </c>
      <c r="D133" s="40" t="s">
        <v>1380</v>
      </c>
      <c r="E133" s="46"/>
      <c r="F133" s="41" t="s">
        <v>21</v>
      </c>
      <c r="G133" s="41">
        <v>28.0</v>
      </c>
      <c r="H133" s="41" t="s">
        <v>22</v>
      </c>
      <c r="I133" s="42">
        <v>2.0</v>
      </c>
      <c r="J133" s="43"/>
      <c r="K133" s="42">
        <v>0.0</v>
      </c>
      <c r="L133" s="42">
        <v>0.0</v>
      </c>
      <c r="M133" s="42">
        <v>0.0</v>
      </c>
      <c r="N133" s="42">
        <v>0.0</v>
      </c>
      <c r="O133" s="46"/>
    </row>
    <row r="134">
      <c r="A134" s="42">
        <v>5.17</v>
      </c>
      <c r="B134" s="41" t="s">
        <v>285</v>
      </c>
      <c r="C134" s="40" t="s">
        <v>18</v>
      </c>
      <c r="D134" s="40" t="s">
        <v>286</v>
      </c>
      <c r="E134" s="46"/>
      <c r="F134" s="41" t="s">
        <v>21</v>
      </c>
      <c r="G134" s="41">
        <v>14.0</v>
      </c>
      <c r="H134" s="41" t="s">
        <v>22</v>
      </c>
      <c r="I134" s="42">
        <v>2.0</v>
      </c>
      <c r="J134" s="43"/>
      <c r="K134" s="42">
        <v>0.0</v>
      </c>
      <c r="L134" s="42">
        <v>0.0</v>
      </c>
      <c r="M134" s="42">
        <v>0.0</v>
      </c>
      <c r="N134" s="42">
        <v>0.0</v>
      </c>
      <c r="O134" s="46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50" t="s">
        <v>63</v>
      </c>
      <c r="N135" s="51">
        <v>46344.92</v>
      </c>
      <c r="O135" s="52"/>
    </row>
    <row r="136">
      <c r="A136" s="39">
        <v>6.0</v>
      </c>
      <c r="B136" s="39" t="s">
        <v>1413</v>
      </c>
      <c r="C136" s="40" t="s">
        <v>18</v>
      </c>
      <c r="D136" s="40" t="s">
        <v>1414</v>
      </c>
      <c r="E136" s="40" t="s">
        <v>20</v>
      </c>
      <c r="F136" s="41" t="s">
        <v>21</v>
      </c>
      <c r="G136" s="41">
        <v>28.0</v>
      </c>
      <c r="H136" s="41" t="s">
        <v>22</v>
      </c>
      <c r="I136" s="42">
        <v>1.0</v>
      </c>
      <c r="J136" s="43"/>
      <c r="K136" s="44">
        <v>15244.2</v>
      </c>
      <c r="L136" s="44">
        <v>15244.2</v>
      </c>
      <c r="M136" s="42">
        <v>0.0</v>
      </c>
      <c r="N136" s="44">
        <v>15244.2</v>
      </c>
      <c r="O136" s="46"/>
    </row>
    <row r="137">
      <c r="A137" s="42" t="s">
        <v>136</v>
      </c>
      <c r="B137" s="41" t="s">
        <v>1415</v>
      </c>
      <c r="C137" s="40" t="s">
        <v>18</v>
      </c>
      <c r="D137" s="40" t="s">
        <v>1416</v>
      </c>
      <c r="E137" s="46"/>
      <c r="F137" s="41">
        <v>36.0</v>
      </c>
      <c r="G137" s="41" t="s">
        <v>21</v>
      </c>
      <c r="H137" s="41" t="s">
        <v>22</v>
      </c>
      <c r="I137" s="42">
        <v>1.0</v>
      </c>
      <c r="J137" s="43"/>
      <c r="K137" s="44">
        <v>5985.39</v>
      </c>
      <c r="L137" s="44">
        <v>5985.39</v>
      </c>
      <c r="M137" s="42">
        <v>0.0</v>
      </c>
      <c r="N137" s="44">
        <v>5985.39</v>
      </c>
      <c r="O137" s="40" t="s">
        <v>26</v>
      </c>
    </row>
    <row r="138">
      <c r="A138" s="42">
        <v>6.1</v>
      </c>
      <c r="B138" s="41" t="s">
        <v>1375</v>
      </c>
      <c r="C138" s="40" t="s">
        <v>18</v>
      </c>
      <c r="D138" s="40" t="s">
        <v>1376</v>
      </c>
      <c r="E138" s="46"/>
      <c r="F138" s="41" t="s">
        <v>21</v>
      </c>
      <c r="G138" s="41">
        <v>28.0</v>
      </c>
      <c r="H138" s="41" t="s">
        <v>22</v>
      </c>
      <c r="I138" s="42">
        <v>1.0</v>
      </c>
      <c r="J138" s="43"/>
      <c r="K138" s="44">
        <v>3135.74</v>
      </c>
      <c r="L138" s="44">
        <v>3135.74</v>
      </c>
      <c r="M138" s="42">
        <v>0.0</v>
      </c>
      <c r="N138" s="44">
        <v>3135.74</v>
      </c>
      <c r="O138" s="46"/>
    </row>
    <row r="139">
      <c r="A139" s="42">
        <v>6.2</v>
      </c>
      <c r="B139" s="41" t="s">
        <v>1331</v>
      </c>
      <c r="C139" s="40" t="s">
        <v>18</v>
      </c>
      <c r="D139" s="40" t="s">
        <v>1332</v>
      </c>
      <c r="E139" s="46"/>
      <c r="F139" s="41" t="s">
        <v>21</v>
      </c>
      <c r="G139" s="41">
        <v>28.0</v>
      </c>
      <c r="H139" s="41" t="s">
        <v>29</v>
      </c>
      <c r="I139" s="42">
        <v>1.0</v>
      </c>
      <c r="J139" s="43"/>
      <c r="K139" s="42">
        <v>0.0</v>
      </c>
      <c r="L139" s="42">
        <v>0.0</v>
      </c>
      <c r="M139" s="42">
        <v>0.0</v>
      </c>
      <c r="N139" s="42">
        <v>0.0</v>
      </c>
      <c r="O139" s="46"/>
    </row>
    <row r="140">
      <c r="A140" s="42">
        <v>6.3</v>
      </c>
      <c r="B140" s="41" t="s">
        <v>271</v>
      </c>
      <c r="C140" s="40" t="s">
        <v>18</v>
      </c>
      <c r="D140" s="40" t="s">
        <v>272</v>
      </c>
      <c r="E140" s="46"/>
      <c r="F140" s="41" t="s">
        <v>21</v>
      </c>
      <c r="G140" s="41">
        <v>21.0</v>
      </c>
      <c r="H140" s="41" t="s">
        <v>29</v>
      </c>
      <c r="I140" s="42">
        <v>1.0</v>
      </c>
      <c r="J140" s="43"/>
      <c r="K140" s="42">
        <v>0.0</v>
      </c>
      <c r="L140" s="42">
        <v>0.0</v>
      </c>
      <c r="M140" s="42">
        <v>0.0</v>
      </c>
      <c r="N140" s="42">
        <v>0.0</v>
      </c>
      <c r="O140" s="46"/>
    </row>
    <row r="141">
      <c r="A141" s="42">
        <v>6.4</v>
      </c>
      <c r="B141" s="41" t="s">
        <v>297</v>
      </c>
      <c r="C141" s="40" t="s">
        <v>18</v>
      </c>
      <c r="D141" s="40" t="s">
        <v>298</v>
      </c>
      <c r="E141" s="46"/>
      <c r="F141" s="41" t="s">
        <v>21</v>
      </c>
      <c r="G141" s="41">
        <v>21.0</v>
      </c>
      <c r="H141" s="41" t="s">
        <v>29</v>
      </c>
      <c r="I141" s="42">
        <v>1.0</v>
      </c>
      <c r="J141" s="43"/>
      <c r="K141" s="42">
        <v>0.0</v>
      </c>
      <c r="L141" s="42">
        <v>0.0</v>
      </c>
      <c r="M141" s="42">
        <v>0.0</v>
      </c>
      <c r="N141" s="42">
        <v>0.0</v>
      </c>
      <c r="O141" s="46"/>
    </row>
    <row r="142">
      <c r="A142" s="42">
        <v>6.5</v>
      </c>
      <c r="B142" s="41" t="s">
        <v>299</v>
      </c>
      <c r="C142" s="40" t="s">
        <v>18</v>
      </c>
      <c r="D142" s="40" t="s">
        <v>300</v>
      </c>
      <c r="E142" s="46"/>
      <c r="F142" s="41" t="s">
        <v>21</v>
      </c>
      <c r="G142" s="41">
        <v>21.0</v>
      </c>
      <c r="H142" s="41" t="s">
        <v>29</v>
      </c>
      <c r="I142" s="42">
        <v>1.0</v>
      </c>
      <c r="J142" s="43"/>
      <c r="K142" s="42">
        <v>0.0</v>
      </c>
      <c r="L142" s="42">
        <v>0.0</v>
      </c>
      <c r="M142" s="42">
        <v>0.0</v>
      </c>
      <c r="N142" s="42">
        <v>0.0</v>
      </c>
      <c r="O142" s="46"/>
    </row>
    <row r="143">
      <c r="A143" s="42">
        <v>6.6</v>
      </c>
      <c r="B143" s="41" t="s">
        <v>301</v>
      </c>
      <c r="C143" s="40" t="s">
        <v>18</v>
      </c>
      <c r="D143" s="40" t="s">
        <v>302</v>
      </c>
      <c r="E143" s="46"/>
      <c r="F143" s="41" t="s">
        <v>21</v>
      </c>
      <c r="G143" s="41">
        <v>21.0</v>
      </c>
      <c r="H143" s="41" t="s">
        <v>29</v>
      </c>
      <c r="I143" s="42">
        <v>1.0</v>
      </c>
      <c r="J143" s="43"/>
      <c r="K143" s="42">
        <v>0.0</v>
      </c>
      <c r="L143" s="42">
        <v>0.0</v>
      </c>
      <c r="M143" s="42">
        <v>0.0</v>
      </c>
      <c r="N143" s="42">
        <v>0.0</v>
      </c>
      <c r="O143" s="46"/>
    </row>
    <row r="144">
      <c r="A144" s="42">
        <v>6.7</v>
      </c>
      <c r="B144" s="41" t="s">
        <v>273</v>
      </c>
      <c r="C144" s="40" t="s">
        <v>18</v>
      </c>
      <c r="D144" s="40" t="s">
        <v>274</v>
      </c>
      <c r="E144" s="46"/>
      <c r="F144" s="41" t="s">
        <v>21</v>
      </c>
      <c r="G144" s="41">
        <v>21.0</v>
      </c>
      <c r="H144" s="41" t="s">
        <v>29</v>
      </c>
      <c r="I144" s="42">
        <v>1.0</v>
      </c>
      <c r="J144" s="43"/>
      <c r="K144" s="42">
        <v>0.0</v>
      </c>
      <c r="L144" s="42">
        <v>0.0</v>
      </c>
      <c r="M144" s="42">
        <v>0.0</v>
      </c>
      <c r="N144" s="42">
        <v>0.0</v>
      </c>
      <c r="O144" s="46"/>
    </row>
    <row r="145">
      <c r="A145" s="42">
        <v>6.8</v>
      </c>
      <c r="B145" s="41" t="s">
        <v>59</v>
      </c>
      <c r="C145" s="40" t="s">
        <v>29</v>
      </c>
      <c r="D145" s="40" t="s">
        <v>60</v>
      </c>
      <c r="E145" s="46"/>
      <c r="F145" s="41" t="s">
        <v>21</v>
      </c>
      <c r="G145" s="41">
        <v>3.0</v>
      </c>
      <c r="H145" s="41" t="s">
        <v>29</v>
      </c>
      <c r="I145" s="42">
        <v>1.0</v>
      </c>
      <c r="J145" s="43"/>
      <c r="K145" s="42">
        <v>0.0</v>
      </c>
      <c r="L145" s="42">
        <v>0.0</v>
      </c>
      <c r="M145" s="42">
        <v>0.0</v>
      </c>
      <c r="N145" s="42">
        <v>0.0</v>
      </c>
      <c r="O145" s="46"/>
    </row>
    <row r="146">
      <c r="A146" s="42">
        <v>6.9</v>
      </c>
      <c r="B146" s="41" t="s">
        <v>320</v>
      </c>
      <c r="C146" s="40" t="s">
        <v>18</v>
      </c>
      <c r="D146" s="40" t="s">
        <v>321</v>
      </c>
      <c r="E146" s="46"/>
      <c r="F146" s="41" t="s">
        <v>21</v>
      </c>
      <c r="G146" s="41">
        <v>28.0</v>
      </c>
      <c r="H146" s="41" t="s">
        <v>29</v>
      </c>
      <c r="I146" s="42">
        <v>1.0</v>
      </c>
      <c r="J146" s="43"/>
      <c r="K146" s="42">
        <v>0.0</v>
      </c>
      <c r="L146" s="42">
        <v>0.0</v>
      </c>
      <c r="M146" s="42">
        <v>0.0</v>
      </c>
      <c r="N146" s="42">
        <v>0.0</v>
      </c>
      <c r="O146" s="46"/>
    </row>
    <row r="147">
      <c r="A147" s="42">
        <v>6.1</v>
      </c>
      <c r="B147" s="41" t="s">
        <v>1354</v>
      </c>
      <c r="C147" s="40" t="s">
        <v>18</v>
      </c>
      <c r="D147" s="40" t="s">
        <v>1355</v>
      </c>
      <c r="E147" s="46"/>
      <c r="F147" s="41" t="s">
        <v>21</v>
      </c>
      <c r="G147" s="41">
        <v>3.0</v>
      </c>
      <c r="H147" s="41" t="s">
        <v>29</v>
      </c>
      <c r="I147" s="42">
        <v>1.0</v>
      </c>
      <c r="J147" s="43"/>
      <c r="K147" s="42">
        <v>0.0</v>
      </c>
      <c r="L147" s="42">
        <v>0.0</v>
      </c>
      <c r="M147" s="42">
        <v>0.0</v>
      </c>
      <c r="N147" s="42">
        <v>0.0</v>
      </c>
      <c r="O147" s="46"/>
    </row>
    <row r="148">
      <c r="A148" s="42" t="s">
        <v>1417</v>
      </c>
      <c r="B148" s="41" t="s">
        <v>1311</v>
      </c>
      <c r="C148" s="40" t="s">
        <v>29</v>
      </c>
      <c r="D148" s="40" t="s">
        <v>1312</v>
      </c>
      <c r="E148" s="46"/>
      <c r="F148" s="41" t="s">
        <v>21</v>
      </c>
      <c r="G148" s="41" t="s">
        <v>21</v>
      </c>
      <c r="H148" s="41" t="s">
        <v>22</v>
      </c>
      <c r="I148" s="42">
        <v>1.0</v>
      </c>
      <c r="J148" s="42">
        <v>1.0</v>
      </c>
      <c r="K148" s="42">
        <v>350.0</v>
      </c>
      <c r="L148" s="44">
        <v>12600.0</v>
      </c>
      <c r="M148" s="42">
        <v>0.0</v>
      </c>
      <c r="N148" s="44">
        <v>12600.0</v>
      </c>
      <c r="O148" s="46"/>
    </row>
    <row r="149">
      <c r="A149" s="42" t="s">
        <v>1418</v>
      </c>
      <c r="B149" s="41" t="s">
        <v>1298</v>
      </c>
      <c r="C149" s="40" t="s">
        <v>18</v>
      </c>
      <c r="D149" s="40" t="s">
        <v>1299</v>
      </c>
      <c r="E149" s="46"/>
      <c r="F149" s="41" t="s">
        <v>21</v>
      </c>
      <c r="G149" s="41">
        <v>3.0</v>
      </c>
      <c r="H149" s="41" t="s">
        <v>22</v>
      </c>
      <c r="I149" s="42">
        <v>1.0</v>
      </c>
      <c r="J149" s="42">
        <v>1.0</v>
      </c>
      <c r="K149" s="42">
        <v>0.0</v>
      </c>
      <c r="L149" s="42">
        <v>0.0</v>
      </c>
      <c r="M149" s="42">
        <v>0.0</v>
      </c>
      <c r="N149" s="42">
        <v>0.0</v>
      </c>
      <c r="O149" s="46"/>
    </row>
    <row r="150">
      <c r="A150" s="42" t="s">
        <v>1419</v>
      </c>
      <c r="B150" s="41" t="s">
        <v>1314</v>
      </c>
      <c r="C150" s="40" t="s">
        <v>29</v>
      </c>
      <c r="D150" s="40" t="s">
        <v>1315</v>
      </c>
      <c r="E150" s="46"/>
      <c r="F150" s="41" t="s">
        <v>21</v>
      </c>
      <c r="G150" s="41">
        <v>3.0</v>
      </c>
      <c r="H150" s="41" t="s">
        <v>22</v>
      </c>
      <c r="I150" s="42">
        <v>1.0</v>
      </c>
      <c r="J150" s="42">
        <v>1.0</v>
      </c>
      <c r="K150" s="42">
        <v>0.0</v>
      </c>
      <c r="L150" s="42">
        <v>0.0</v>
      </c>
      <c r="M150" s="42">
        <v>0.0</v>
      </c>
      <c r="N150" s="42">
        <v>0.0</v>
      </c>
      <c r="O150" s="46"/>
    </row>
    <row r="151">
      <c r="A151" s="42" t="s">
        <v>1420</v>
      </c>
      <c r="B151" s="41" t="s">
        <v>1317</v>
      </c>
      <c r="C151" s="40" t="s">
        <v>29</v>
      </c>
      <c r="D151" s="40" t="s">
        <v>1318</v>
      </c>
      <c r="E151" s="46"/>
      <c r="F151" s="41" t="s">
        <v>21</v>
      </c>
      <c r="G151" s="41">
        <v>3.0</v>
      </c>
      <c r="H151" s="41" t="s">
        <v>22</v>
      </c>
      <c r="I151" s="42">
        <v>1.0</v>
      </c>
      <c r="J151" s="43"/>
      <c r="K151" s="42">
        <v>0.0</v>
      </c>
      <c r="L151" s="42">
        <v>0.0</v>
      </c>
      <c r="M151" s="42">
        <v>0.0</v>
      </c>
      <c r="N151" s="42">
        <v>0.0</v>
      </c>
      <c r="O151" s="46"/>
    </row>
    <row r="152">
      <c r="A152" s="42" t="s">
        <v>1421</v>
      </c>
      <c r="B152" s="41" t="s">
        <v>511</v>
      </c>
      <c r="C152" s="40" t="s">
        <v>29</v>
      </c>
      <c r="D152" s="40" t="s">
        <v>431</v>
      </c>
      <c r="E152" s="46"/>
      <c r="F152" s="41" t="s">
        <v>21</v>
      </c>
      <c r="G152" s="41">
        <v>3.0</v>
      </c>
      <c r="H152" s="41" t="s">
        <v>22</v>
      </c>
      <c r="I152" s="42">
        <v>1.0</v>
      </c>
      <c r="J152" s="42">
        <v>1.0</v>
      </c>
      <c r="K152" s="42">
        <v>0.0</v>
      </c>
      <c r="L152" s="42">
        <v>0.0</v>
      </c>
      <c r="M152" s="42">
        <v>0.0</v>
      </c>
      <c r="N152" s="42">
        <v>0.0</v>
      </c>
      <c r="O152" s="46"/>
    </row>
    <row r="153">
      <c r="A153" s="42" t="s">
        <v>1422</v>
      </c>
      <c r="B153" s="41" t="s">
        <v>509</v>
      </c>
      <c r="C153" s="40" t="s">
        <v>29</v>
      </c>
      <c r="D153" s="40" t="s">
        <v>510</v>
      </c>
      <c r="E153" s="46"/>
      <c r="F153" s="41" t="s">
        <v>21</v>
      </c>
      <c r="G153" s="41">
        <v>3.0</v>
      </c>
      <c r="H153" s="41" t="s">
        <v>22</v>
      </c>
      <c r="I153" s="42">
        <v>1.0</v>
      </c>
      <c r="J153" s="42">
        <v>1.0</v>
      </c>
      <c r="K153" s="42">
        <v>0.0</v>
      </c>
      <c r="L153" s="42">
        <v>0.0</v>
      </c>
      <c r="M153" s="42">
        <v>0.0</v>
      </c>
      <c r="N153" s="42">
        <v>0.0</v>
      </c>
      <c r="O153" s="46"/>
    </row>
    <row r="154">
      <c r="A154" s="42" t="s">
        <v>1423</v>
      </c>
      <c r="B154" s="41" t="s">
        <v>1303</v>
      </c>
      <c r="C154" s="40" t="s">
        <v>18</v>
      </c>
      <c r="D154" s="40" t="s">
        <v>1304</v>
      </c>
      <c r="E154" s="46"/>
      <c r="F154" s="41" t="s">
        <v>21</v>
      </c>
      <c r="G154" s="41">
        <v>3.0</v>
      </c>
      <c r="H154" s="41" t="s">
        <v>22</v>
      </c>
      <c r="I154" s="42">
        <v>1.0</v>
      </c>
      <c r="J154" s="42">
        <v>1.0</v>
      </c>
      <c r="K154" s="42">
        <v>0.0</v>
      </c>
      <c r="L154" s="42">
        <v>0.0</v>
      </c>
      <c r="M154" s="42">
        <v>0.0</v>
      </c>
      <c r="N154" s="42">
        <v>0.0</v>
      </c>
      <c r="O154" s="46"/>
    </row>
    <row r="155">
      <c r="A155" s="42" t="s">
        <v>1424</v>
      </c>
      <c r="B155" s="41" t="s">
        <v>1425</v>
      </c>
      <c r="C155" s="40" t="s">
        <v>29</v>
      </c>
      <c r="D155" s="40" t="s">
        <v>1426</v>
      </c>
      <c r="E155" s="46"/>
      <c r="F155" s="41" t="s">
        <v>21</v>
      </c>
      <c r="G155" s="41">
        <v>3.0</v>
      </c>
      <c r="H155" s="41" t="s">
        <v>22</v>
      </c>
      <c r="I155" s="42">
        <v>1.0</v>
      </c>
      <c r="J155" s="43"/>
      <c r="K155" s="42">
        <v>0.0</v>
      </c>
      <c r="L155" s="42">
        <v>0.0</v>
      </c>
      <c r="M155" s="42">
        <v>0.0</v>
      </c>
      <c r="N155" s="42">
        <v>0.0</v>
      </c>
      <c r="O155" s="46"/>
    </row>
    <row r="156">
      <c r="A156" s="42" t="s">
        <v>1427</v>
      </c>
      <c r="B156" s="41" t="s">
        <v>1309</v>
      </c>
      <c r="C156" s="40" t="s">
        <v>29</v>
      </c>
      <c r="D156" s="40" t="s">
        <v>278</v>
      </c>
      <c r="E156" s="46"/>
      <c r="F156" s="41" t="s">
        <v>21</v>
      </c>
      <c r="G156" s="41">
        <v>3.0</v>
      </c>
      <c r="H156" s="41" t="s">
        <v>22</v>
      </c>
      <c r="I156" s="42">
        <v>1.0</v>
      </c>
      <c r="J156" s="42">
        <v>1.0</v>
      </c>
      <c r="K156" s="42">
        <v>0.0</v>
      </c>
      <c r="L156" s="42">
        <v>0.0</v>
      </c>
      <c r="M156" s="42">
        <v>0.0</v>
      </c>
      <c r="N156" s="42">
        <v>0.0</v>
      </c>
      <c r="O156" s="46"/>
    </row>
    <row r="157">
      <c r="A157" s="42">
        <v>6.11</v>
      </c>
      <c r="B157" s="41" t="s">
        <v>1319</v>
      </c>
      <c r="C157" s="40" t="s">
        <v>29</v>
      </c>
      <c r="D157" s="40" t="s">
        <v>1320</v>
      </c>
      <c r="E157" s="46"/>
      <c r="F157" s="41" t="s">
        <v>21</v>
      </c>
      <c r="G157" s="41">
        <v>28.0</v>
      </c>
      <c r="H157" s="41" t="s">
        <v>29</v>
      </c>
      <c r="I157" s="42">
        <v>1.0</v>
      </c>
      <c r="J157" s="43"/>
      <c r="K157" s="42">
        <v>0.0</v>
      </c>
      <c r="L157" s="42">
        <v>0.0</v>
      </c>
      <c r="M157" s="42">
        <v>0.0</v>
      </c>
      <c r="N157" s="42">
        <v>0.0</v>
      </c>
      <c r="O157" s="46"/>
    </row>
    <row r="158">
      <c r="A158" s="42">
        <v>6.12</v>
      </c>
      <c r="B158" s="41" t="s">
        <v>1321</v>
      </c>
      <c r="C158" s="40" t="s">
        <v>18</v>
      </c>
      <c r="D158" s="40" t="s">
        <v>1322</v>
      </c>
      <c r="E158" s="46"/>
      <c r="F158" s="41" t="s">
        <v>21</v>
      </c>
      <c r="G158" s="41">
        <v>28.0</v>
      </c>
      <c r="H158" s="41" t="s">
        <v>22</v>
      </c>
      <c r="I158" s="42">
        <v>1.0</v>
      </c>
      <c r="J158" s="43"/>
      <c r="K158" s="42">
        <v>0.0</v>
      </c>
      <c r="L158" s="42">
        <v>0.0</v>
      </c>
      <c r="M158" s="42">
        <v>0.0</v>
      </c>
      <c r="N158" s="42">
        <v>0.0</v>
      </c>
      <c r="O158" s="46"/>
    </row>
    <row r="159">
      <c r="A159" s="42">
        <v>6.13</v>
      </c>
      <c r="B159" s="41" t="s">
        <v>277</v>
      </c>
      <c r="C159" s="40" t="s">
        <v>18</v>
      </c>
      <c r="D159" s="40" t="s">
        <v>278</v>
      </c>
      <c r="E159" s="46"/>
      <c r="F159" s="41" t="s">
        <v>21</v>
      </c>
      <c r="G159" s="41">
        <v>14.0</v>
      </c>
      <c r="H159" s="41" t="s">
        <v>29</v>
      </c>
      <c r="I159" s="42">
        <v>1.0</v>
      </c>
      <c r="J159" s="43"/>
      <c r="K159" s="42">
        <v>0.0</v>
      </c>
      <c r="L159" s="42">
        <v>0.0</v>
      </c>
      <c r="M159" s="42">
        <v>0.0</v>
      </c>
      <c r="N159" s="42">
        <v>0.0</v>
      </c>
      <c r="O159" s="46"/>
    </row>
    <row r="160">
      <c r="A160" s="42">
        <v>6.14</v>
      </c>
      <c r="B160" s="41" t="s">
        <v>1396</v>
      </c>
      <c r="C160" s="40" t="s">
        <v>18</v>
      </c>
      <c r="D160" s="40" t="s">
        <v>1397</v>
      </c>
      <c r="E160" s="46"/>
      <c r="F160" s="41" t="s">
        <v>21</v>
      </c>
      <c r="G160" s="41">
        <v>28.0</v>
      </c>
      <c r="H160" s="41" t="s">
        <v>22</v>
      </c>
      <c r="I160" s="42">
        <v>2.0</v>
      </c>
      <c r="J160" s="43"/>
      <c r="K160" s="42">
        <v>0.0</v>
      </c>
      <c r="L160" s="42">
        <v>0.0</v>
      </c>
      <c r="M160" s="42">
        <v>0.0</v>
      </c>
      <c r="N160" s="42">
        <v>0.0</v>
      </c>
      <c r="O160" s="46"/>
    </row>
    <row r="161">
      <c r="A161" s="42">
        <v>6.15</v>
      </c>
      <c r="B161" s="41" t="s">
        <v>285</v>
      </c>
      <c r="C161" s="40" t="s">
        <v>18</v>
      </c>
      <c r="D161" s="40" t="s">
        <v>286</v>
      </c>
      <c r="E161" s="46"/>
      <c r="F161" s="41" t="s">
        <v>21</v>
      </c>
      <c r="G161" s="41">
        <v>14.0</v>
      </c>
      <c r="H161" s="41" t="s">
        <v>22</v>
      </c>
      <c r="I161" s="42">
        <v>2.0</v>
      </c>
      <c r="J161" s="43"/>
      <c r="K161" s="42">
        <v>0.0</v>
      </c>
      <c r="L161" s="42">
        <v>0.0</v>
      </c>
      <c r="M161" s="42">
        <v>0.0</v>
      </c>
      <c r="N161" s="42">
        <v>0.0</v>
      </c>
      <c r="O161" s="46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50" t="s">
        <v>63</v>
      </c>
      <c r="N162" s="51">
        <v>36965.33</v>
      </c>
      <c r="O162" s="52"/>
    </row>
    <row r="163">
      <c r="A163" s="39">
        <v>7.0</v>
      </c>
      <c r="B163" s="39" t="s">
        <v>1428</v>
      </c>
      <c r="C163" s="40" t="s">
        <v>18</v>
      </c>
      <c r="D163" s="40" t="s">
        <v>1429</v>
      </c>
      <c r="E163" s="40" t="s">
        <v>20</v>
      </c>
      <c r="F163" s="41" t="s">
        <v>21</v>
      </c>
      <c r="G163" s="41">
        <v>42.0</v>
      </c>
      <c r="H163" s="41" t="s">
        <v>22</v>
      </c>
      <c r="I163" s="42">
        <v>1.0</v>
      </c>
      <c r="J163" s="43"/>
      <c r="K163" s="44">
        <v>294357.69</v>
      </c>
      <c r="L163" s="44">
        <v>294357.69</v>
      </c>
      <c r="M163" s="42">
        <v>0.0</v>
      </c>
      <c r="N163" s="44">
        <v>294357.69</v>
      </c>
      <c r="O163" s="46"/>
    </row>
    <row r="164">
      <c r="A164" s="42" t="s">
        <v>141</v>
      </c>
      <c r="B164" s="41" t="s">
        <v>1430</v>
      </c>
      <c r="C164" s="40" t="s">
        <v>18</v>
      </c>
      <c r="D164" s="40" t="s">
        <v>1431</v>
      </c>
      <c r="E164" s="46"/>
      <c r="F164" s="41">
        <v>36.0</v>
      </c>
      <c r="G164" s="41" t="s">
        <v>21</v>
      </c>
      <c r="H164" s="41" t="s">
        <v>22</v>
      </c>
      <c r="I164" s="42">
        <v>1.0</v>
      </c>
      <c r="J164" s="43"/>
      <c r="K164" s="44">
        <v>99709.5</v>
      </c>
      <c r="L164" s="44">
        <v>99709.5</v>
      </c>
      <c r="M164" s="42">
        <v>0.0</v>
      </c>
      <c r="N164" s="44">
        <v>99709.5</v>
      </c>
      <c r="O164" s="40" t="s">
        <v>26</v>
      </c>
    </row>
    <row r="165">
      <c r="A165" s="42">
        <v>7.1</v>
      </c>
      <c r="B165" s="41" t="s">
        <v>1432</v>
      </c>
      <c r="C165" s="40" t="s">
        <v>18</v>
      </c>
      <c r="D165" s="40" t="s">
        <v>1433</v>
      </c>
      <c r="E165" s="46"/>
      <c r="F165" s="41" t="s">
        <v>21</v>
      </c>
      <c r="G165" s="41">
        <v>42.0</v>
      </c>
      <c r="H165" s="41" t="s">
        <v>22</v>
      </c>
      <c r="I165" s="42">
        <v>1.0</v>
      </c>
      <c r="J165" s="43"/>
      <c r="K165" s="42">
        <v>0.0</v>
      </c>
      <c r="L165" s="42">
        <v>0.0</v>
      </c>
      <c r="M165" s="42">
        <v>0.0</v>
      </c>
      <c r="N165" s="42">
        <v>0.0</v>
      </c>
      <c r="O165" s="46"/>
    </row>
    <row r="166">
      <c r="A166" s="42">
        <v>7.2</v>
      </c>
      <c r="B166" s="41" t="s">
        <v>1434</v>
      </c>
      <c r="C166" s="40" t="s">
        <v>18</v>
      </c>
      <c r="D166" s="40" t="s">
        <v>1435</v>
      </c>
      <c r="E166" s="46"/>
      <c r="F166" s="41" t="s">
        <v>21</v>
      </c>
      <c r="G166" s="41">
        <v>42.0</v>
      </c>
      <c r="H166" s="41" t="s">
        <v>29</v>
      </c>
      <c r="I166" s="42">
        <v>1.0</v>
      </c>
      <c r="J166" s="43"/>
      <c r="K166" s="42">
        <v>0.0</v>
      </c>
      <c r="L166" s="42">
        <v>0.0</v>
      </c>
      <c r="M166" s="42">
        <v>0.0</v>
      </c>
      <c r="N166" s="42">
        <v>0.0</v>
      </c>
      <c r="O166" s="46"/>
    </row>
    <row r="167">
      <c r="A167" s="42">
        <v>7.3</v>
      </c>
      <c r="B167" s="41" t="s">
        <v>1436</v>
      </c>
      <c r="C167" s="40" t="s">
        <v>18</v>
      </c>
      <c r="D167" s="40" t="s">
        <v>1437</v>
      </c>
      <c r="E167" s="46"/>
      <c r="F167" s="41" t="s">
        <v>21</v>
      </c>
      <c r="G167" s="41">
        <v>42.0</v>
      </c>
      <c r="H167" s="41" t="s">
        <v>29</v>
      </c>
      <c r="I167" s="42">
        <v>1.0</v>
      </c>
      <c r="J167" s="43"/>
      <c r="K167" s="42">
        <v>0.0</v>
      </c>
      <c r="L167" s="42">
        <v>0.0</v>
      </c>
      <c r="M167" s="42">
        <v>0.0</v>
      </c>
      <c r="N167" s="42">
        <v>0.0</v>
      </c>
      <c r="O167" s="46"/>
    </row>
    <row r="168">
      <c r="A168" s="42">
        <v>7.4</v>
      </c>
      <c r="B168" s="41" t="s">
        <v>59</v>
      </c>
      <c r="C168" s="40" t="s">
        <v>29</v>
      </c>
      <c r="D168" s="40" t="s">
        <v>60</v>
      </c>
      <c r="E168" s="46"/>
      <c r="F168" s="41" t="s">
        <v>21</v>
      </c>
      <c r="G168" s="41">
        <v>3.0</v>
      </c>
      <c r="H168" s="41" t="s">
        <v>29</v>
      </c>
      <c r="I168" s="42">
        <v>1.0</v>
      </c>
      <c r="J168" s="43"/>
      <c r="K168" s="42">
        <v>0.0</v>
      </c>
      <c r="L168" s="42">
        <v>0.0</v>
      </c>
      <c r="M168" s="42">
        <v>0.0</v>
      </c>
      <c r="N168" s="42">
        <v>0.0</v>
      </c>
      <c r="O168" s="46"/>
    </row>
    <row r="169">
      <c r="A169" s="42">
        <v>7.5</v>
      </c>
      <c r="B169" s="41" t="s">
        <v>1319</v>
      </c>
      <c r="C169" s="40" t="s">
        <v>29</v>
      </c>
      <c r="D169" s="40" t="s">
        <v>1320</v>
      </c>
      <c r="E169" s="46"/>
      <c r="F169" s="41" t="s">
        <v>21</v>
      </c>
      <c r="G169" s="41">
        <v>28.0</v>
      </c>
      <c r="H169" s="41" t="s">
        <v>29</v>
      </c>
      <c r="I169" s="42">
        <v>1.0</v>
      </c>
      <c r="J169" s="43"/>
      <c r="K169" s="42">
        <v>0.0</v>
      </c>
      <c r="L169" s="42">
        <v>0.0</v>
      </c>
      <c r="M169" s="42">
        <v>0.0</v>
      </c>
      <c r="N169" s="42">
        <v>0.0</v>
      </c>
      <c r="O169" s="46"/>
    </row>
    <row r="170">
      <c r="A170" s="42">
        <v>7.6</v>
      </c>
      <c r="B170" s="41" t="s">
        <v>1438</v>
      </c>
      <c r="C170" s="40" t="s">
        <v>18</v>
      </c>
      <c r="D170" s="40" t="s">
        <v>1439</v>
      </c>
      <c r="E170" s="46"/>
      <c r="F170" s="41" t="s">
        <v>21</v>
      </c>
      <c r="G170" s="41">
        <v>42.0</v>
      </c>
      <c r="H170" s="41" t="s">
        <v>29</v>
      </c>
      <c r="I170" s="42">
        <v>1.0</v>
      </c>
      <c r="J170" s="43"/>
      <c r="K170" s="42">
        <v>0.0</v>
      </c>
      <c r="L170" s="42">
        <v>0.0</v>
      </c>
      <c r="M170" s="42">
        <v>0.0</v>
      </c>
      <c r="N170" s="42">
        <v>0.0</v>
      </c>
      <c r="O170" s="46"/>
    </row>
    <row r="171">
      <c r="A171" s="42">
        <v>7.7</v>
      </c>
      <c r="B171" s="41" t="s">
        <v>320</v>
      </c>
      <c r="C171" s="40" t="s">
        <v>18</v>
      </c>
      <c r="D171" s="40" t="s">
        <v>321</v>
      </c>
      <c r="E171" s="46"/>
      <c r="F171" s="41" t="s">
        <v>21</v>
      </c>
      <c r="G171" s="41">
        <v>28.0</v>
      </c>
      <c r="H171" s="41" t="s">
        <v>29</v>
      </c>
      <c r="I171" s="42">
        <v>1.0</v>
      </c>
      <c r="J171" s="43"/>
      <c r="K171" s="42">
        <v>0.0</v>
      </c>
      <c r="L171" s="42">
        <v>0.0</v>
      </c>
      <c r="M171" s="42">
        <v>0.0</v>
      </c>
      <c r="N171" s="42">
        <v>0.0</v>
      </c>
      <c r="O171" s="46"/>
    </row>
    <row r="172">
      <c r="A172" s="42">
        <v>7.8</v>
      </c>
      <c r="B172" s="41" t="s">
        <v>1440</v>
      </c>
      <c r="C172" s="40" t="s">
        <v>18</v>
      </c>
      <c r="D172" s="40" t="s">
        <v>1441</v>
      </c>
      <c r="E172" s="46"/>
      <c r="F172" s="41" t="s">
        <v>21</v>
      </c>
      <c r="G172" s="41">
        <v>3.0</v>
      </c>
      <c r="H172" s="41" t="s">
        <v>29</v>
      </c>
      <c r="I172" s="42">
        <v>1.0</v>
      </c>
      <c r="J172" s="43"/>
      <c r="K172" s="42">
        <v>0.0</v>
      </c>
      <c r="L172" s="42">
        <v>0.0</v>
      </c>
      <c r="M172" s="42">
        <v>0.0</v>
      </c>
      <c r="N172" s="42">
        <v>0.0</v>
      </c>
      <c r="O172" s="46"/>
    </row>
    <row r="173">
      <c r="A173" s="42" t="s">
        <v>1442</v>
      </c>
      <c r="B173" s="41" t="s">
        <v>1298</v>
      </c>
      <c r="C173" s="40" t="s">
        <v>18</v>
      </c>
      <c r="D173" s="40" t="s">
        <v>1299</v>
      </c>
      <c r="E173" s="46"/>
      <c r="F173" s="41" t="s">
        <v>21</v>
      </c>
      <c r="G173" s="41">
        <v>3.0</v>
      </c>
      <c r="H173" s="41" t="s">
        <v>22</v>
      </c>
      <c r="I173" s="42">
        <v>1.0</v>
      </c>
      <c r="J173" s="42">
        <v>1.0</v>
      </c>
      <c r="K173" s="42">
        <v>0.0</v>
      </c>
      <c r="L173" s="42">
        <v>0.0</v>
      </c>
      <c r="M173" s="42">
        <v>0.0</v>
      </c>
      <c r="N173" s="42">
        <v>0.0</v>
      </c>
      <c r="O173" s="46"/>
    </row>
    <row r="174">
      <c r="A174" s="42" t="s">
        <v>1443</v>
      </c>
      <c r="B174" s="41" t="s">
        <v>509</v>
      </c>
      <c r="C174" s="40" t="s">
        <v>29</v>
      </c>
      <c r="D174" s="40" t="s">
        <v>510</v>
      </c>
      <c r="E174" s="46"/>
      <c r="F174" s="41" t="s">
        <v>21</v>
      </c>
      <c r="G174" s="41">
        <v>3.0</v>
      </c>
      <c r="H174" s="41" t="s">
        <v>22</v>
      </c>
      <c r="I174" s="42">
        <v>1.0</v>
      </c>
      <c r="J174" s="42">
        <v>1.0</v>
      </c>
      <c r="K174" s="42">
        <v>0.0</v>
      </c>
      <c r="L174" s="42">
        <v>0.0</v>
      </c>
      <c r="M174" s="42">
        <v>0.0</v>
      </c>
      <c r="N174" s="42">
        <v>0.0</v>
      </c>
      <c r="O174" s="46"/>
    </row>
    <row r="175">
      <c r="A175" s="42" t="s">
        <v>1444</v>
      </c>
      <c r="B175" s="41" t="s">
        <v>1303</v>
      </c>
      <c r="C175" s="40" t="s">
        <v>18</v>
      </c>
      <c r="D175" s="40" t="s">
        <v>1304</v>
      </c>
      <c r="E175" s="46"/>
      <c r="F175" s="41" t="s">
        <v>21</v>
      </c>
      <c r="G175" s="41">
        <v>3.0</v>
      </c>
      <c r="H175" s="41" t="s">
        <v>22</v>
      </c>
      <c r="I175" s="42">
        <v>1.0</v>
      </c>
      <c r="J175" s="42">
        <v>1.0</v>
      </c>
      <c r="K175" s="42">
        <v>0.0</v>
      </c>
      <c r="L175" s="42">
        <v>0.0</v>
      </c>
      <c r="M175" s="42">
        <v>0.0</v>
      </c>
      <c r="N175" s="42">
        <v>0.0</v>
      </c>
      <c r="O175" s="46"/>
    </row>
    <row r="176">
      <c r="A176" s="42" t="s">
        <v>1445</v>
      </c>
      <c r="B176" s="41" t="s">
        <v>511</v>
      </c>
      <c r="C176" s="40" t="s">
        <v>29</v>
      </c>
      <c r="D176" s="40" t="s">
        <v>431</v>
      </c>
      <c r="E176" s="46"/>
      <c r="F176" s="41" t="s">
        <v>21</v>
      </c>
      <c r="G176" s="41">
        <v>3.0</v>
      </c>
      <c r="H176" s="41" t="s">
        <v>22</v>
      </c>
      <c r="I176" s="42">
        <v>1.0</v>
      </c>
      <c r="J176" s="42">
        <v>1.0</v>
      </c>
      <c r="K176" s="42">
        <v>0.0</v>
      </c>
      <c r="L176" s="42">
        <v>0.0</v>
      </c>
      <c r="M176" s="42">
        <v>0.0</v>
      </c>
      <c r="N176" s="42">
        <v>0.0</v>
      </c>
      <c r="O176" s="46"/>
    </row>
    <row r="177">
      <c r="A177" s="42" t="s">
        <v>1446</v>
      </c>
      <c r="B177" s="41" t="s">
        <v>1447</v>
      </c>
      <c r="C177" s="40" t="s">
        <v>29</v>
      </c>
      <c r="D177" s="40" t="s">
        <v>1448</v>
      </c>
      <c r="E177" s="46"/>
      <c r="F177" s="41" t="s">
        <v>21</v>
      </c>
      <c r="G177" s="41">
        <v>3.0</v>
      </c>
      <c r="H177" s="41" t="s">
        <v>22</v>
      </c>
      <c r="I177" s="42">
        <v>1.0</v>
      </c>
      <c r="J177" s="43"/>
      <c r="K177" s="42">
        <v>0.0</v>
      </c>
      <c r="L177" s="42">
        <v>0.0</v>
      </c>
      <c r="M177" s="42">
        <v>0.0</v>
      </c>
      <c r="N177" s="42">
        <v>0.0</v>
      </c>
      <c r="O177" s="46"/>
    </row>
    <row r="178">
      <c r="A178" s="42" t="s">
        <v>1449</v>
      </c>
      <c r="B178" s="41" t="s">
        <v>1309</v>
      </c>
      <c r="C178" s="40" t="s">
        <v>29</v>
      </c>
      <c r="D178" s="40" t="s">
        <v>278</v>
      </c>
      <c r="E178" s="46"/>
      <c r="F178" s="41" t="s">
        <v>21</v>
      </c>
      <c r="G178" s="41">
        <v>3.0</v>
      </c>
      <c r="H178" s="41" t="s">
        <v>22</v>
      </c>
      <c r="I178" s="42">
        <v>1.0</v>
      </c>
      <c r="J178" s="42">
        <v>1.0</v>
      </c>
      <c r="K178" s="42">
        <v>0.0</v>
      </c>
      <c r="L178" s="42">
        <v>0.0</v>
      </c>
      <c r="M178" s="42">
        <v>0.0</v>
      </c>
      <c r="N178" s="42">
        <v>0.0</v>
      </c>
      <c r="O178" s="46"/>
    </row>
    <row r="179">
      <c r="A179" s="42" t="s">
        <v>1450</v>
      </c>
      <c r="B179" s="41" t="s">
        <v>1451</v>
      </c>
      <c r="C179" s="40" t="s">
        <v>29</v>
      </c>
      <c r="D179" s="40" t="s">
        <v>1452</v>
      </c>
      <c r="E179" s="46"/>
      <c r="F179" s="41" t="s">
        <v>21</v>
      </c>
      <c r="G179" s="41" t="s">
        <v>21</v>
      </c>
      <c r="H179" s="41" t="s">
        <v>22</v>
      </c>
      <c r="I179" s="42">
        <v>1.0</v>
      </c>
      <c r="J179" s="42">
        <v>1.0</v>
      </c>
      <c r="K179" s="44">
        <v>3888.89</v>
      </c>
      <c r="L179" s="44">
        <v>140000.04</v>
      </c>
      <c r="M179" s="42">
        <v>0.0</v>
      </c>
      <c r="N179" s="44">
        <v>140000.04</v>
      </c>
      <c r="O179" s="46"/>
    </row>
    <row r="180">
      <c r="A180" s="42" t="s">
        <v>1453</v>
      </c>
      <c r="B180" s="41" t="s">
        <v>1454</v>
      </c>
      <c r="C180" s="40" t="s">
        <v>29</v>
      </c>
      <c r="D180" s="40" t="s">
        <v>1455</v>
      </c>
      <c r="E180" s="46"/>
      <c r="F180" s="41" t="s">
        <v>21</v>
      </c>
      <c r="G180" s="41">
        <v>3.0</v>
      </c>
      <c r="H180" s="41" t="s">
        <v>22</v>
      </c>
      <c r="I180" s="42">
        <v>1.0</v>
      </c>
      <c r="J180" s="42">
        <v>1.0</v>
      </c>
      <c r="K180" s="42">
        <v>0.0</v>
      </c>
      <c r="L180" s="42">
        <v>0.0</v>
      </c>
      <c r="M180" s="42">
        <v>0.0</v>
      </c>
      <c r="N180" s="42">
        <v>0.0</v>
      </c>
      <c r="O180" s="46"/>
    </row>
    <row r="181">
      <c r="A181" s="42" t="s">
        <v>1456</v>
      </c>
      <c r="B181" s="41" t="s">
        <v>1457</v>
      </c>
      <c r="C181" s="40" t="s">
        <v>29</v>
      </c>
      <c r="D181" s="40" t="s">
        <v>1458</v>
      </c>
      <c r="E181" s="46"/>
      <c r="F181" s="41" t="s">
        <v>21</v>
      </c>
      <c r="G181" s="41">
        <v>3.0</v>
      </c>
      <c r="H181" s="41" t="s">
        <v>22</v>
      </c>
      <c r="I181" s="42">
        <v>1.0</v>
      </c>
      <c r="J181" s="43"/>
      <c r="K181" s="42">
        <v>0.0</v>
      </c>
      <c r="L181" s="42">
        <v>0.0</v>
      </c>
      <c r="M181" s="42">
        <v>0.0</v>
      </c>
      <c r="N181" s="42">
        <v>0.0</v>
      </c>
      <c r="O181" s="46"/>
    </row>
    <row r="182">
      <c r="A182" s="42">
        <v>7.9</v>
      </c>
      <c r="B182" s="41" t="s">
        <v>1459</v>
      </c>
      <c r="C182" s="40" t="s">
        <v>18</v>
      </c>
      <c r="D182" s="40" t="s">
        <v>1460</v>
      </c>
      <c r="E182" s="46"/>
      <c r="F182" s="41" t="s">
        <v>21</v>
      </c>
      <c r="G182" s="41">
        <v>42.0</v>
      </c>
      <c r="H182" s="41" t="s">
        <v>22</v>
      </c>
      <c r="I182" s="42">
        <v>1.0</v>
      </c>
      <c r="J182" s="43"/>
      <c r="K182" s="42">
        <v>0.0</v>
      </c>
      <c r="L182" s="42">
        <v>0.0</v>
      </c>
      <c r="M182" s="42">
        <v>0.0</v>
      </c>
      <c r="N182" s="42">
        <v>0.0</v>
      </c>
      <c r="O182" s="46"/>
    </row>
    <row r="183">
      <c r="A183" s="42">
        <v>7.1</v>
      </c>
      <c r="B183" s="41" t="s">
        <v>277</v>
      </c>
      <c r="C183" s="40" t="s">
        <v>18</v>
      </c>
      <c r="D183" s="40" t="s">
        <v>278</v>
      </c>
      <c r="E183" s="46"/>
      <c r="F183" s="41" t="s">
        <v>21</v>
      </c>
      <c r="G183" s="41">
        <v>14.0</v>
      </c>
      <c r="H183" s="41" t="s">
        <v>22</v>
      </c>
      <c r="I183" s="42">
        <v>1.0</v>
      </c>
      <c r="J183" s="43"/>
      <c r="K183" s="42">
        <v>0.0</v>
      </c>
      <c r="L183" s="42">
        <v>0.0</v>
      </c>
      <c r="M183" s="42">
        <v>0.0</v>
      </c>
      <c r="N183" s="42">
        <v>0.0</v>
      </c>
      <c r="O183" s="46"/>
    </row>
    <row r="184">
      <c r="A184" s="42">
        <v>7.11</v>
      </c>
      <c r="B184" s="41" t="s">
        <v>1461</v>
      </c>
      <c r="C184" s="40" t="s">
        <v>18</v>
      </c>
      <c r="D184" s="40" t="s">
        <v>1462</v>
      </c>
      <c r="E184" s="46"/>
      <c r="F184" s="41" t="s">
        <v>21</v>
      </c>
      <c r="G184" s="41">
        <v>42.0</v>
      </c>
      <c r="H184" s="41" t="s">
        <v>29</v>
      </c>
      <c r="I184" s="42">
        <v>3.0</v>
      </c>
      <c r="J184" s="43"/>
      <c r="K184" s="42">
        <v>0.0</v>
      </c>
      <c r="L184" s="42">
        <v>0.0</v>
      </c>
      <c r="M184" s="42">
        <v>0.0</v>
      </c>
      <c r="N184" s="42">
        <v>0.0</v>
      </c>
      <c r="O184" s="46"/>
    </row>
    <row r="185">
      <c r="A185" s="42">
        <v>7.12</v>
      </c>
      <c r="B185" s="41" t="s">
        <v>285</v>
      </c>
      <c r="C185" s="40" t="s">
        <v>18</v>
      </c>
      <c r="D185" s="40" t="s">
        <v>286</v>
      </c>
      <c r="E185" s="46"/>
      <c r="F185" s="41" t="s">
        <v>21</v>
      </c>
      <c r="G185" s="41">
        <v>14.0</v>
      </c>
      <c r="H185" s="41" t="s">
        <v>22</v>
      </c>
      <c r="I185" s="42">
        <v>3.0</v>
      </c>
      <c r="J185" s="43"/>
      <c r="K185" s="42">
        <v>0.0</v>
      </c>
      <c r="L185" s="42">
        <v>0.0</v>
      </c>
      <c r="M185" s="42">
        <v>0.0</v>
      </c>
      <c r="N185" s="42">
        <v>0.0</v>
      </c>
      <c r="O185" s="46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50" t="s">
        <v>63</v>
      </c>
      <c r="N186" s="51">
        <v>534067.23</v>
      </c>
      <c r="O186" s="52"/>
    </row>
    <row r="187">
      <c r="A187" s="39">
        <v>8.0</v>
      </c>
      <c r="B187" s="39" t="s">
        <v>1463</v>
      </c>
      <c r="C187" s="40" t="s">
        <v>18</v>
      </c>
      <c r="D187" s="40" t="s">
        <v>1464</v>
      </c>
      <c r="E187" s="40" t="s">
        <v>20</v>
      </c>
      <c r="F187" s="41" t="s">
        <v>21</v>
      </c>
      <c r="G187" s="41">
        <v>42.0</v>
      </c>
      <c r="H187" s="41" t="s">
        <v>22</v>
      </c>
      <c r="I187" s="42">
        <v>1.0</v>
      </c>
      <c r="J187" s="43"/>
      <c r="K187" s="44">
        <v>185314.0</v>
      </c>
      <c r="L187" s="44">
        <v>185314.0</v>
      </c>
      <c r="M187" s="42">
        <v>0.0</v>
      </c>
      <c r="N187" s="44">
        <v>185314.0</v>
      </c>
      <c r="O187" s="46"/>
    </row>
    <row r="188">
      <c r="A188" s="42" t="s">
        <v>146</v>
      </c>
      <c r="B188" s="41" t="s">
        <v>1465</v>
      </c>
      <c r="C188" s="40" t="s">
        <v>18</v>
      </c>
      <c r="D188" s="40" t="s">
        <v>1466</v>
      </c>
      <c r="E188" s="46"/>
      <c r="F188" s="41">
        <v>36.0</v>
      </c>
      <c r="G188" s="41" t="s">
        <v>21</v>
      </c>
      <c r="H188" s="41" t="s">
        <v>22</v>
      </c>
      <c r="I188" s="42">
        <v>1.0</v>
      </c>
      <c r="J188" s="43"/>
      <c r="K188" s="44">
        <v>60885.0</v>
      </c>
      <c r="L188" s="44">
        <v>60885.0</v>
      </c>
      <c r="M188" s="42">
        <v>0.0</v>
      </c>
      <c r="N188" s="44">
        <v>60885.0</v>
      </c>
      <c r="O188" s="40" t="s">
        <v>26</v>
      </c>
    </row>
    <row r="189">
      <c r="A189" s="42">
        <v>8.1</v>
      </c>
      <c r="B189" s="41" t="s">
        <v>1432</v>
      </c>
      <c r="C189" s="40" t="s">
        <v>18</v>
      </c>
      <c r="D189" s="40" t="s">
        <v>1433</v>
      </c>
      <c r="E189" s="46"/>
      <c r="F189" s="41" t="s">
        <v>21</v>
      </c>
      <c r="G189" s="41">
        <v>42.0</v>
      </c>
      <c r="H189" s="41" t="s">
        <v>22</v>
      </c>
      <c r="I189" s="42">
        <v>1.0</v>
      </c>
      <c r="J189" s="43"/>
      <c r="K189" s="42">
        <v>0.0</v>
      </c>
      <c r="L189" s="42">
        <v>0.0</v>
      </c>
      <c r="M189" s="42">
        <v>0.0</v>
      </c>
      <c r="N189" s="42">
        <v>0.0</v>
      </c>
      <c r="O189" s="46"/>
    </row>
    <row r="190">
      <c r="A190" s="42">
        <v>8.2</v>
      </c>
      <c r="B190" s="41" t="s">
        <v>318</v>
      </c>
      <c r="C190" s="40" t="s">
        <v>18</v>
      </c>
      <c r="D190" s="40" t="s">
        <v>319</v>
      </c>
      <c r="E190" s="46"/>
      <c r="F190" s="41" t="s">
        <v>21</v>
      </c>
      <c r="G190" s="41">
        <v>42.0</v>
      </c>
      <c r="H190" s="41" t="s">
        <v>29</v>
      </c>
      <c r="I190" s="42">
        <v>1.0</v>
      </c>
      <c r="J190" s="43"/>
      <c r="K190" s="42">
        <v>0.0</v>
      </c>
      <c r="L190" s="42">
        <v>0.0</v>
      </c>
      <c r="M190" s="42">
        <v>0.0</v>
      </c>
      <c r="N190" s="42">
        <v>0.0</v>
      </c>
      <c r="O190" s="46"/>
    </row>
    <row r="191">
      <c r="A191" s="42">
        <v>8.3</v>
      </c>
      <c r="B191" s="41" t="s">
        <v>1467</v>
      </c>
      <c r="C191" s="40" t="s">
        <v>18</v>
      </c>
      <c r="D191" s="40" t="s">
        <v>1468</v>
      </c>
      <c r="E191" s="46"/>
      <c r="F191" s="41" t="s">
        <v>21</v>
      </c>
      <c r="G191" s="41">
        <v>42.0</v>
      </c>
      <c r="H191" s="41" t="s">
        <v>22</v>
      </c>
      <c r="I191" s="42">
        <v>1.0</v>
      </c>
      <c r="J191" s="43"/>
      <c r="K191" s="42">
        <v>0.0</v>
      </c>
      <c r="L191" s="42">
        <v>0.0</v>
      </c>
      <c r="M191" s="42">
        <v>0.0</v>
      </c>
      <c r="N191" s="42">
        <v>0.0</v>
      </c>
      <c r="O191" s="46"/>
    </row>
    <row r="192">
      <c r="A192" s="42">
        <v>8.4</v>
      </c>
      <c r="B192" s="41" t="s">
        <v>1469</v>
      </c>
      <c r="C192" s="40" t="s">
        <v>18</v>
      </c>
      <c r="D192" s="40" t="s">
        <v>1470</v>
      </c>
      <c r="E192" s="46"/>
      <c r="F192" s="41" t="s">
        <v>21</v>
      </c>
      <c r="G192" s="41">
        <v>42.0</v>
      </c>
      <c r="H192" s="41" t="s">
        <v>22</v>
      </c>
      <c r="I192" s="42">
        <v>1.0</v>
      </c>
      <c r="J192" s="43"/>
      <c r="K192" s="42">
        <v>0.0</v>
      </c>
      <c r="L192" s="42">
        <v>0.0</v>
      </c>
      <c r="M192" s="42">
        <v>0.0</v>
      </c>
      <c r="N192" s="42">
        <v>0.0</v>
      </c>
      <c r="O192" s="46"/>
    </row>
    <row r="193">
      <c r="A193" s="42">
        <v>8.5</v>
      </c>
      <c r="B193" s="41" t="s">
        <v>59</v>
      </c>
      <c r="C193" s="40" t="s">
        <v>29</v>
      </c>
      <c r="D193" s="40" t="s">
        <v>60</v>
      </c>
      <c r="E193" s="46"/>
      <c r="F193" s="41" t="s">
        <v>21</v>
      </c>
      <c r="G193" s="41">
        <v>3.0</v>
      </c>
      <c r="H193" s="41" t="s">
        <v>29</v>
      </c>
      <c r="I193" s="42">
        <v>1.0</v>
      </c>
      <c r="J193" s="43"/>
      <c r="K193" s="42">
        <v>0.0</v>
      </c>
      <c r="L193" s="42">
        <v>0.0</v>
      </c>
      <c r="M193" s="42">
        <v>0.0</v>
      </c>
      <c r="N193" s="42">
        <v>0.0</v>
      </c>
      <c r="O193" s="46"/>
    </row>
    <row r="194">
      <c r="A194" s="42">
        <v>8.6</v>
      </c>
      <c r="B194" s="41" t="s">
        <v>1319</v>
      </c>
      <c r="C194" s="40" t="s">
        <v>29</v>
      </c>
      <c r="D194" s="40" t="s">
        <v>1320</v>
      </c>
      <c r="E194" s="46"/>
      <c r="F194" s="41" t="s">
        <v>21</v>
      </c>
      <c r="G194" s="41">
        <v>28.0</v>
      </c>
      <c r="H194" s="41" t="s">
        <v>29</v>
      </c>
      <c r="I194" s="42">
        <v>1.0</v>
      </c>
      <c r="J194" s="43"/>
      <c r="K194" s="42">
        <v>0.0</v>
      </c>
      <c r="L194" s="42">
        <v>0.0</v>
      </c>
      <c r="M194" s="42">
        <v>0.0</v>
      </c>
      <c r="N194" s="42">
        <v>0.0</v>
      </c>
      <c r="O194" s="46"/>
    </row>
    <row r="195">
      <c r="A195" s="42">
        <v>8.7</v>
      </c>
      <c r="B195" s="41" t="s">
        <v>320</v>
      </c>
      <c r="C195" s="40" t="s">
        <v>18</v>
      </c>
      <c r="D195" s="40" t="s">
        <v>321</v>
      </c>
      <c r="E195" s="46"/>
      <c r="F195" s="41" t="s">
        <v>21</v>
      </c>
      <c r="G195" s="41">
        <v>28.0</v>
      </c>
      <c r="H195" s="41" t="s">
        <v>29</v>
      </c>
      <c r="I195" s="42">
        <v>1.0</v>
      </c>
      <c r="J195" s="43"/>
      <c r="K195" s="42">
        <v>0.0</v>
      </c>
      <c r="L195" s="42">
        <v>0.0</v>
      </c>
      <c r="M195" s="42">
        <v>0.0</v>
      </c>
      <c r="N195" s="42">
        <v>0.0</v>
      </c>
      <c r="O195" s="46"/>
    </row>
    <row r="196">
      <c r="A196" s="42">
        <v>8.8</v>
      </c>
      <c r="B196" s="41" t="s">
        <v>1440</v>
      </c>
      <c r="C196" s="40" t="s">
        <v>18</v>
      </c>
      <c r="D196" s="40" t="s">
        <v>1441</v>
      </c>
      <c r="E196" s="46"/>
      <c r="F196" s="41" t="s">
        <v>21</v>
      </c>
      <c r="G196" s="41">
        <v>3.0</v>
      </c>
      <c r="H196" s="41" t="s">
        <v>29</v>
      </c>
      <c r="I196" s="42">
        <v>1.0</v>
      </c>
      <c r="J196" s="43"/>
      <c r="K196" s="42">
        <v>0.0</v>
      </c>
      <c r="L196" s="42">
        <v>0.0</v>
      </c>
      <c r="M196" s="42">
        <v>0.0</v>
      </c>
      <c r="N196" s="42">
        <v>0.0</v>
      </c>
      <c r="O196" s="46"/>
    </row>
    <row r="197">
      <c r="A197" s="42" t="s">
        <v>1471</v>
      </c>
      <c r="B197" s="41" t="s">
        <v>1364</v>
      </c>
      <c r="C197" s="40" t="s">
        <v>29</v>
      </c>
      <c r="D197" s="40" t="s">
        <v>1365</v>
      </c>
      <c r="E197" s="46"/>
      <c r="F197" s="41" t="s">
        <v>21</v>
      </c>
      <c r="G197" s="41" t="s">
        <v>21</v>
      </c>
      <c r="H197" s="41" t="s">
        <v>22</v>
      </c>
      <c r="I197" s="42">
        <v>1.0</v>
      </c>
      <c r="J197" s="42">
        <v>1.0</v>
      </c>
      <c r="K197" s="44">
        <v>1062.5</v>
      </c>
      <c r="L197" s="44">
        <v>38250.0</v>
      </c>
      <c r="M197" s="42">
        <v>0.0</v>
      </c>
      <c r="N197" s="44">
        <v>38250.0</v>
      </c>
      <c r="O197" s="46"/>
    </row>
    <row r="198">
      <c r="A198" s="42" t="s">
        <v>1472</v>
      </c>
      <c r="B198" s="41" t="s">
        <v>1298</v>
      </c>
      <c r="C198" s="40" t="s">
        <v>18</v>
      </c>
      <c r="D198" s="40" t="s">
        <v>1299</v>
      </c>
      <c r="E198" s="46"/>
      <c r="F198" s="41" t="s">
        <v>21</v>
      </c>
      <c r="G198" s="41">
        <v>3.0</v>
      </c>
      <c r="H198" s="41" t="s">
        <v>22</v>
      </c>
      <c r="I198" s="42">
        <v>1.0</v>
      </c>
      <c r="J198" s="42">
        <v>1.0</v>
      </c>
      <c r="K198" s="42">
        <v>0.0</v>
      </c>
      <c r="L198" s="42">
        <v>0.0</v>
      </c>
      <c r="M198" s="42">
        <v>0.0</v>
      </c>
      <c r="N198" s="42">
        <v>0.0</v>
      </c>
      <c r="O198" s="46"/>
    </row>
    <row r="199">
      <c r="A199" s="42" t="s">
        <v>1473</v>
      </c>
      <c r="B199" s="41" t="s">
        <v>1370</v>
      </c>
      <c r="C199" s="40" t="s">
        <v>29</v>
      </c>
      <c r="D199" s="40" t="s">
        <v>1371</v>
      </c>
      <c r="E199" s="46"/>
      <c r="F199" s="41" t="s">
        <v>21</v>
      </c>
      <c r="G199" s="41">
        <v>3.0</v>
      </c>
      <c r="H199" s="41" t="s">
        <v>22</v>
      </c>
      <c r="I199" s="42">
        <v>1.0</v>
      </c>
      <c r="J199" s="42">
        <v>1.0</v>
      </c>
      <c r="K199" s="42">
        <v>0.0</v>
      </c>
      <c r="L199" s="42">
        <v>0.0</v>
      </c>
      <c r="M199" s="42">
        <v>0.0</v>
      </c>
      <c r="N199" s="42">
        <v>0.0</v>
      </c>
      <c r="O199" s="46"/>
    </row>
    <row r="200">
      <c r="A200" s="42" t="s">
        <v>1474</v>
      </c>
      <c r="B200" s="41" t="s">
        <v>1373</v>
      </c>
      <c r="C200" s="40" t="s">
        <v>29</v>
      </c>
      <c r="D200" s="40" t="s">
        <v>1374</v>
      </c>
      <c r="E200" s="46"/>
      <c r="F200" s="41" t="s">
        <v>21</v>
      </c>
      <c r="G200" s="41">
        <v>3.0</v>
      </c>
      <c r="H200" s="41" t="s">
        <v>22</v>
      </c>
      <c r="I200" s="42">
        <v>1.0</v>
      </c>
      <c r="J200" s="43"/>
      <c r="K200" s="42">
        <v>0.0</v>
      </c>
      <c r="L200" s="42">
        <v>0.0</v>
      </c>
      <c r="M200" s="42">
        <v>0.0</v>
      </c>
      <c r="N200" s="42">
        <v>0.0</v>
      </c>
      <c r="O200" s="46"/>
    </row>
    <row r="201">
      <c r="A201" s="42" t="s">
        <v>1475</v>
      </c>
      <c r="B201" s="41" t="s">
        <v>509</v>
      </c>
      <c r="C201" s="40" t="s">
        <v>29</v>
      </c>
      <c r="D201" s="40" t="s">
        <v>510</v>
      </c>
      <c r="E201" s="46"/>
      <c r="F201" s="41" t="s">
        <v>21</v>
      </c>
      <c r="G201" s="41">
        <v>3.0</v>
      </c>
      <c r="H201" s="41" t="s">
        <v>22</v>
      </c>
      <c r="I201" s="42">
        <v>1.0</v>
      </c>
      <c r="J201" s="42">
        <v>1.0</v>
      </c>
      <c r="K201" s="42">
        <v>0.0</v>
      </c>
      <c r="L201" s="42">
        <v>0.0</v>
      </c>
      <c r="M201" s="42">
        <v>0.0</v>
      </c>
      <c r="N201" s="42">
        <v>0.0</v>
      </c>
      <c r="O201" s="46"/>
    </row>
    <row r="202">
      <c r="A202" s="42" t="s">
        <v>1476</v>
      </c>
      <c r="B202" s="41" t="s">
        <v>1303</v>
      </c>
      <c r="C202" s="40" t="s">
        <v>18</v>
      </c>
      <c r="D202" s="40" t="s">
        <v>1304</v>
      </c>
      <c r="E202" s="46"/>
      <c r="F202" s="41" t="s">
        <v>21</v>
      </c>
      <c r="G202" s="41">
        <v>3.0</v>
      </c>
      <c r="H202" s="41" t="s">
        <v>22</v>
      </c>
      <c r="I202" s="42">
        <v>1.0</v>
      </c>
      <c r="J202" s="42">
        <v>1.0</v>
      </c>
      <c r="K202" s="42">
        <v>0.0</v>
      </c>
      <c r="L202" s="42">
        <v>0.0</v>
      </c>
      <c r="M202" s="42">
        <v>0.0</v>
      </c>
      <c r="N202" s="42">
        <v>0.0</v>
      </c>
      <c r="O202" s="46"/>
    </row>
    <row r="203">
      <c r="A203" s="42" t="s">
        <v>1477</v>
      </c>
      <c r="B203" s="41" t="s">
        <v>511</v>
      </c>
      <c r="C203" s="40" t="s">
        <v>29</v>
      </c>
      <c r="D203" s="40" t="s">
        <v>431</v>
      </c>
      <c r="E203" s="46"/>
      <c r="F203" s="41" t="s">
        <v>21</v>
      </c>
      <c r="G203" s="41">
        <v>3.0</v>
      </c>
      <c r="H203" s="41" t="s">
        <v>22</v>
      </c>
      <c r="I203" s="42">
        <v>1.0</v>
      </c>
      <c r="J203" s="42">
        <v>1.0</v>
      </c>
      <c r="K203" s="42">
        <v>0.0</v>
      </c>
      <c r="L203" s="42">
        <v>0.0</v>
      </c>
      <c r="M203" s="42">
        <v>0.0</v>
      </c>
      <c r="N203" s="42">
        <v>0.0</v>
      </c>
      <c r="O203" s="46"/>
    </row>
    <row r="204">
      <c r="A204" s="42" t="s">
        <v>1478</v>
      </c>
      <c r="B204" s="41" t="s">
        <v>1479</v>
      </c>
      <c r="C204" s="40" t="s">
        <v>29</v>
      </c>
      <c r="D204" s="40" t="s">
        <v>1480</v>
      </c>
      <c r="E204" s="46"/>
      <c r="F204" s="41" t="s">
        <v>21</v>
      </c>
      <c r="G204" s="41">
        <v>3.0</v>
      </c>
      <c r="H204" s="41" t="s">
        <v>22</v>
      </c>
      <c r="I204" s="42">
        <v>1.0</v>
      </c>
      <c r="J204" s="43"/>
      <c r="K204" s="42">
        <v>0.0</v>
      </c>
      <c r="L204" s="42">
        <v>0.0</v>
      </c>
      <c r="M204" s="42">
        <v>0.0</v>
      </c>
      <c r="N204" s="42">
        <v>0.0</v>
      </c>
      <c r="O204" s="46"/>
    </row>
    <row r="205">
      <c r="A205" s="42" t="s">
        <v>1481</v>
      </c>
      <c r="B205" s="41" t="s">
        <v>1309</v>
      </c>
      <c r="C205" s="40" t="s">
        <v>29</v>
      </c>
      <c r="D205" s="40" t="s">
        <v>278</v>
      </c>
      <c r="E205" s="46"/>
      <c r="F205" s="41" t="s">
        <v>21</v>
      </c>
      <c r="G205" s="41">
        <v>3.0</v>
      </c>
      <c r="H205" s="41" t="s">
        <v>22</v>
      </c>
      <c r="I205" s="42">
        <v>1.0</v>
      </c>
      <c r="J205" s="42">
        <v>1.0</v>
      </c>
      <c r="K205" s="42">
        <v>0.0</v>
      </c>
      <c r="L205" s="42">
        <v>0.0</v>
      </c>
      <c r="M205" s="42">
        <v>0.0</v>
      </c>
      <c r="N205" s="42">
        <v>0.0</v>
      </c>
      <c r="O205" s="46"/>
    </row>
    <row r="206">
      <c r="A206" s="42">
        <v>8.9</v>
      </c>
      <c r="B206" s="41" t="s">
        <v>1459</v>
      </c>
      <c r="C206" s="40" t="s">
        <v>18</v>
      </c>
      <c r="D206" s="40" t="s">
        <v>1460</v>
      </c>
      <c r="E206" s="46"/>
      <c r="F206" s="41" t="s">
        <v>21</v>
      </c>
      <c r="G206" s="41">
        <v>42.0</v>
      </c>
      <c r="H206" s="41" t="s">
        <v>22</v>
      </c>
      <c r="I206" s="42">
        <v>1.0</v>
      </c>
      <c r="J206" s="43"/>
      <c r="K206" s="42">
        <v>0.0</v>
      </c>
      <c r="L206" s="42">
        <v>0.0</v>
      </c>
      <c r="M206" s="42">
        <v>0.0</v>
      </c>
      <c r="N206" s="42">
        <v>0.0</v>
      </c>
      <c r="O206" s="46"/>
    </row>
    <row r="207">
      <c r="A207" s="42">
        <v>8.1</v>
      </c>
      <c r="B207" s="41" t="s">
        <v>277</v>
      </c>
      <c r="C207" s="40" t="s">
        <v>18</v>
      </c>
      <c r="D207" s="40" t="s">
        <v>278</v>
      </c>
      <c r="E207" s="46"/>
      <c r="F207" s="41" t="s">
        <v>21</v>
      </c>
      <c r="G207" s="41">
        <v>14.0</v>
      </c>
      <c r="H207" s="41" t="s">
        <v>22</v>
      </c>
      <c r="I207" s="42">
        <v>1.0</v>
      </c>
      <c r="J207" s="43"/>
      <c r="K207" s="42">
        <v>0.0</v>
      </c>
      <c r="L207" s="42">
        <v>0.0</v>
      </c>
      <c r="M207" s="42">
        <v>0.0</v>
      </c>
      <c r="N207" s="42">
        <v>0.0</v>
      </c>
      <c r="O207" s="46"/>
    </row>
    <row r="208">
      <c r="A208" s="42">
        <v>8.11</v>
      </c>
      <c r="B208" s="41" t="s">
        <v>325</v>
      </c>
      <c r="C208" s="40" t="s">
        <v>18</v>
      </c>
      <c r="D208" s="40" t="s">
        <v>326</v>
      </c>
      <c r="E208" s="46"/>
      <c r="F208" s="41" t="s">
        <v>21</v>
      </c>
      <c r="G208" s="41">
        <v>42.0</v>
      </c>
      <c r="H208" s="41" t="s">
        <v>22</v>
      </c>
      <c r="I208" s="42">
        <v>2.0</v>
      </c>
      <c r="J208" s="43"/>
      <c r="K208" s="42">
        <v>0.0</v>
      </c>
      <c r="L208" s="42">
        <v>0.0</v>
      </c>
      <c r="M208" s="42">
        <v>0.0</v>
      </c>
      <c r="N208" s="42">
        <v>0.0</v>
      </c>
      <c r="O208" s="46"/>
    </row>
    <row r="209">
      <c r="A209" s="42">
        <v>8.12</v>
      </c>
      <c r="B209" s="41" t="s">
        <v>285</v>
      </c>
      <c r="C209" s="40" t="s">
        <v>18</v>
      </c>
      <c r="D209" s="40" t="s">
        <v>286</v>
      </c>
      <c r="E209" s="46"/>
      <c r="F209" s="41" t="s">
        <v>21</v>
      </c>
      <c r="G209" s="41">
        <v>14.0</v>
      </c>
      <c r="H209" s="41" t="s">
        <v>22</v>
      </c>
      <c r="I209" s="42">
        <v>2.0</v>
      </c>
      <c r="J209" s="43"/>
      <c r="K209" s="42">
        <v>0.0</v>
      </c>
      <c r="L209" s="42">
        <v>0.0</v>
      </c>
      <c r="M209" s="42">
        <v>0.0</v>
      </c>
      <c r="N209" s="42">
        <v>0.0</v>
      </c>
      <c r="O209" s="46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50" t="s">
        <v>63</v>
      </c>
      <c r="N210" s="51">
        <v>284449.0</v>
      </c>
      <c r="O210" s="52"/>
    </row>
    <row r="211">
      <c r="A211" s="39">
        <v>9.0</v>
      </c>
      <c r="B211" s="39" t="s">
        <v>1482</v>
      </c>
      <c r="C211" s="40" t="s">
        <v>18</v>
      </c>
      <c r="D211" s="40" t="s">
        <v>1483</v>
      </c>
      <c r="E211" s="40" t="s">
        <v>20</v>
      </c>
      <c r="F211" s="41" t="s">
        <v>21</v>
      </c>
      <c r="G211" s="41">
        <v>56.0</v>
      </c>
      <c r="H211" s="41" t="s">
        <v>22</v>
      </c>
      <c r="I211" s="42">
        <v>1.0</v>
      </c>
      <c r="J211" s="43"/>
      <c r="K211" s="44">
        <v>120110.41</v>
      </c>
      <c r="L211" s="44">
        <v>120110.41</v>
      </c>
      <c r="M211" s="42">
        <v>0.0</v>
      </c>
      <c r="N211" s="44">
        <v>120110.41</v>
      </c>
      <c r="O211" s="46"/>
    </row>
    <row r="212">
      <c r="A212" s="42" t="s">
        <v>151</v>
      </c>
      <c r="B212" s="41" t="s">
        <v>1484</v>
      </c>
      <c r="C212" s="40" t="s">
        <v>18</v>
      </c>
      <c r="D212" s="40" t="s">
        <v>1485</v>
      </c>
      <c r="E212" s="46"/>
      <c r="F212" s="41">
        <v>36.0</v>
      </c>
      <c r="G212" s="41" t="s">
        <v>21</v>
      </c>
      <c r="H212" s="41" t="s">
        <v>22</v>
      </c>
      <c r="I212" s="42">
        <v>1.0</v>
      </c>
      <c r="J212" s="43"/>
      <c r="K212" s="44">
        <v>40561.14</v>
      </c>
      <c r="L212" s="44">
        <v>40561.14</v>
      </c>
      <c r="M212" s="42">
        <v>0.0</v>
      </c>
      <c r="N212" s="44">
        <v>40561.14</v>
      </c>
      <c r="O212" s="40" t="s">
        <v>26</v>
      </c>
    </row>
    <row r="213">
      <c r="A213" s="42">
        <v>9.1</v>
      </c>
      <c r="B213" s="41" t="s">
        <v>1432</v>
      </c>
      <c r="C213" s="40" t="s">
        <v>18</v>
      </c>
      <c r="D213" s="40" t="s">
        <v>1433</v>
      </c>
      <c r="E213" s="46"/>
      <c r="F213" s="41" t="s">
        <v>21</v>
      </c>
      <c r="G213" s="41">
        <v>42.0</v>
      </c>
      <c r="H213" s="41" t="s">
        <v>22</v>
      </c>
      <c r="I213" s="42">
        <v>1.0</v>
      </c>
      <c r="J213" s="43"/>
      <c r="K213" s="42">
        <v>0.0</v>
      </c>
      <c r="L213" s="42">
        <v>0.0</v>
      </c>
      <c r="M213" s="42">
        <v>0.0</v>
      </c>
      <c r="N213" s="42">
        <v>0.0</v>
      </c>
      <c r="O213" s="46"/>
    </row>
    <row r="214">
      <c r="A214" s="42">
        <v>9.2</v>
      </c>
      <c r="B214" s="41" t="s">
        <v>318</v>
      </c>
      <c r="C214" s="40" t="s">
        <v>18</v>
      </c>
      <c r="D214" s="40" t="s">
        <v>319</v>
      </c>
      <c r="E214" s="46"/>
      <c r="F214" s="41" t="s">
        <v>21</v>
      </c>
      <c r="G214" s="41">
        <v>42.0</v>
      </c>
      <c r="H214" s="41" t="s">
        <v>29</v>
      </c>
      <c r="I214" s="42">
        <v>1.0</v>
      </c>
      <c r="J214" s="43"/>
      <c r="K214" s="42">
        <v>0.0</v>
      </c>
      <c r="L214" s="42">
        <v>0.0</v>
      </c>
      <c r="M214" s="42">
        <v>0.0</v>
      </c>
      <c r="N214" s="42">
        <v>0.0</v>
      </c>
      <c r="O214" s="46"/>
    </row>
    <row r="215">
      <c r="A215" s="42">
        <v>9.3</v>
      </c>
      <c r="B215" s="41" t="s">
        <v>1467</v>
      </c>
      <c r="C215" s="40" t="s">
        <v>18</v>
      </c>
      <c r="D215" s="40" t="s">
        <v>1468</v>
      </c>
      <c r="E215" s="46"/>
      <c r="F215" s="41" t="s">
        <v>21</v>
      </c>
      <c r="G215" s="41">
        <v>42.0</v>
      </c>
      <c r="H215" s="41" t="s">
        <v>22</v>
      </c>
      <c r="I215" s="42">
        <v>1.0</v>
      </c>
      <c r="J215" s="43"/>
      <c r="K215" s="42">
        <v>0.0</v>
      </c>
      <c r="L215" s="42">
        <v>0.0</v>
      </c>
      <c r="M215" s="42">
        <v>0.0</v>
      </c>
      <c r="N215" s="42">
        <v>0.0</v>
      </c>
      <c r="O215" s="46"/>
    </row>
    <row r="216">
      <c r="A216" s="42">
        <v>9.4</v>
      </c>
      <c r="B216" s="41" t="s">
        <v>1469</v>
      </c>
      <c r="C216" s="40" t="s">
        <v>18</v>
      </c>
      <c r="D216" s="40" t="s">
        <v>1470</v>
      </c>
      <c r="E216" s="46"/>
      <c r="F216" s="41" t="s">
        <v>21</v>
      </c>
      <c r="G216" s="41">
        <v>42.0</v>
      </c>
      <c r="H216" s="41" t="s">
        <v>22</v>
      </c>
      <c r="I216" s="42">
        <v>1.0</v>
      </c>
      <c r="J216" s="43"/>
      <c r="K216" s="42">
        <v>0.0</v>
      </c>
      <c r="L216" s="42">
        <v>0.0</v>
      </c>
      <c r="M216" s="42">
        <v>0.0</v>
      </c>
      <c r="N216" s="42">
        <v>0.0</v>
      </c>
      <c r="O216" s="46"/>
    </row>
    <row r="217">
      <c r="A217" s="42">
        <v>9.5</v>
      </c>
      <c r="B217" s="41" t="s">
        <v>59</v>
      </c>
      <c r="C217" s="40" t="s">
        <v>29</v>
      </c>
      <c r="D217" s="40" t="s">
        <v>60</v>
      </c>
      <c r="E217" s="46"/>
      <c r="F217" s="41" t="s">
        <v>21</v>
      </c>
      <c r="G217" s="41">
        <v>3.0</v>
      </c>
      <c r="H217" s="41" t="s">
        <v>29</v>
      </c>
      <c r="I217" s="42">
        <v>1.0</v>
      </c>
      <c r="J217" s="43"/>
      <c r="K217" s="42">
        <v>0.0</v>
      </c>
      <c r="L217" s="42">
        <v>0.0</v>
      </c>
      <c r="M217" s="42">
        <v>0.0</v>
      </c>
      <c r="N217" s="42">
        <v>0.0</v>
      </c>
      <c r="O217" s="46"/>
    </row>
    <row r="218">
      <c r="A218" s="42">
        <v>9.6</v>
      </c>
      <c r="B218" s="41" t="s">
        <v>1319</v>
      </c>
      <c r="C218" s="40" t="s">
        <v>29</v>
      </c>
      <c r="D218" s="40" t="s">
        <v>1320</v>
      </c>
      <c r="E218" s="46"/>
      <c r="F218" s="41" t="s">
        <v>21</v>
      </c>
      <c r="G218" s="41">
        <v>28.0</v>
      </c>
      <c r="H218" s="41" t="s">
        <v>29</v>
      </c>
      <c r="I218" s="42">
        <v>1.0</v>
      </c>
      <c r="J218" s="43"/>
      <c r="K218" s="42">
        <v>0.0</v>
      </c>
      <c r="L218" s="42">
        <v>0.0</v>
      </c>
      <c r="M218" s="42">
        <v>0.0</v>
      </c>
      <c r="N218" s="42">
        <v>0.0</v>
      </c>
      <c r="O218" s="46"/>
    </row>
    <row r="219">
      <c r="A219" s="42">
        <v>9.7</v>
      </c>
      <c r="B219" s="41" t="s">
        <v>320</v>
      </c>
      <c r="C219" s="40" t="s">
        <v>18</v>
      </c>
      <c r="D219" s="40" t="s">
        <v>321</v>
      </c>
      <c r="E219" s="46"/>
      <c r="F219" s="41" t="s">
        <v>21</v>
      </c>
      <c r="G219" s="41">
        <v>28.0</v>
      </c>
      <c r="H219" s="41" t="s">
        <v>29</v>
      </c>
      <c r="I219" s="42">
        <v>1.0</v>
      </c>
      <c r="J219" s="43"/>
      <c r="K219" s="42">
        <v>0.0</v>
      </c>
      <c r="L219" s="42">
        <v>0.0</v>
      </c>
      <c r="M219" s="42">
        <v>0.0</v>
      </c>
      <c r="N219" s="42">
        <v>0.0</v>
      </c>
      <c r="O219" s="46"/>
    </row>
    <row r="220">
      <c r="A220" s="42">
        <v>9.8</v>
      </c>
      <c r="B220" s="41" t="s">
        <v>1440</v>
      </c>
      <c r="C220" s="40" t="s">
        <v>18</v>
      </c>
      <c r="D220" s="40" t="s">
        <v>1441</v>
      </c>
      <c r="E220" s="46"/>
      <c r="F220" s="41" t="s">
        <v>21</v>
      </c>
      <c r="G220" s="41">
        <v>3.0</v>
      </c>
      <c r="H220" s="41" t="s">
        <v>29</v>
      </c>
      <c r="I220" s="42">
        <v>1.0</v>
      </c>
      <c r="J220" s="43"/>
      <c r="K220" s="42">
        <v>0.0</v>
      </c>
      <c r="L220" s="42">
        <v>0.0</v>
      </c>
      <c r="M220" s="42">
        <v>0.0</v>
      </c>
      <c r="N220" s="42">
        <v>0.0</v>
      </c>
      <c r="O220" s="46"/>
    </row>
    <row r="221">
      <c r="A221" s="42" t="s">
        <v>1486</v>
      </c>
      <c r="B221" s="41" t="s">
        <v>1364</v>
      </c>
      <c r="C221" s="40" t="s">
        <v>29</v>
      </c>
      <c r="D221" s="40" t="s">
        <v>1365</v>
      </c>
      <c r="E221" s="46"/>
      <c r="F221" s="41" t="s">
        <v>21</v>
      </c>
      <c r="G221" s="41" t="s">
        <v>21</v>
      </c>
      <c r="H221" s="41" t="s">
        <v>22</v>
      </c>
      <c r="I221" s="42">
        <v>1.0</v>
      </c>
      <c r="J221" s="42">
        <v>1.0</v>
      </c>
      <c r="K221" s="44">
        <v>1062.5</v>
      </c>
      <c r="L221" s="44">
        <v>38250.0</v>
      </c>
      <c r="M221" s="42">
        <v>0.0</v>
      </c>
      <c r="N221" s="44">
        <v>38250.0</v>
      </c>
      <c r="O221" s="46"/>
    </row>
    <row r="222">
      <c r="A222" s="42" t="s">
        <v>1487</v>
      </c>
      <c r="B222" s="41" t="s">
        <v>1298</v>
      </c>
      <c r="C222" s="40" t="s">
        <v>18</v>
      </c>
      <c r="D222" s="40" t="s">
        <v>1299</v>
      </c>
      <c r="E222" s="46"/>
      <c r="F222" s="41" t="s">
        <v>21</v>
      </c>
      <c r="G222" s="41">
        <v>3.0</v>
      </c>
      <c r="H222" s="41" t="s">
        <v>22</v>
      </c>
      <c r="I222" s="42">
        <v>1.0</v>
      </c>
      <c r="J222" s="42">
        <v>1.0</v>
      </c>
      <c r="K222" s="42">
        <v>0.0</v>
      </c>
      <c r="L222" s="42">
        <v>0.0</v>
      </c>
      <c r="M222" s="42">
        <v>0.0</v>
      </c>
      <c r="N222" s="42">
        <v>0.0</v>
      </c>
      <c r="O222" s="46"/>
    </row>
    <row r="223">
      <c r="A223" s="42" t="s">
        <v>1488</v>
      </c>
      <c r="B223" s="41" t="s">
        <v>1370</v>
      </c>
      <c r="C223" s="40" t="s">
        <v>29</v>
      </c>
      <c r="D223" s="40" t="s">
        <v>1371</v>
      </c>
      <c r="E223" s="46"/>
      <c r="F223" s="41" t="s">
        <v>21</v>
      </c>
      <c r="G223" s="41">
        <v>3.0</v>
      </c>
      <c r="H223" s="41" t="s">
        <v>22</v>
      </c>
      <c r="I223" s="42">
        <v>1.0</v>
      </c>
      <c r="J223" s="42">
        <v>1.0</v>
      </c>
      <c r="K223" s="42">
        <v>0.0</v>
      </c>
      <c r="L223" s="42">
        <v>0.0</v>
      </c>
      <c r="M223" s="42">
        <v>0.0</v>
      </c>
      <c r="N223" s="42">
        <v>0.0</v>
      </c>
      <c r="O223" s="46"/>
    </row>
    <row r="224">
      <c r="A224" s="42" t="s">
        <v>1489</v>
      </c>
      <c r="B224" s="41" t="s">
        <v>1373</v>
      </c>
      <c r="C224" s="40" t="s">
        <v>29</v>
      </c>
      <c r="D224" s="40" t="s">
        <v>1374</v>
      </c>
      <c r="E224" s="46"/>
      <c r="F224" s="41" t="s">
        <v>21</v>
      </c>
      <c r="G224" s="41">
        <v>3.0</v>
      </c>
      <c r="H224" s="41" t="s">
        <v>22</v>
      </c>
      <c r="I224" s="42">
        <v>1.0</v>
      </c>
      <c r="J224" s="43"/>
      <c r="K224" s="42">
        <v>0.0</v>
      </c>
      <c r="L224" s="42">
        <v>0.0</v>
      </c>
      <c r="M224" s="42">
        <v>0.0</v>
      </c>
      <c r="N224" s="42">
        <v>0.0</v>
      </c>
      <c r="O224" s="46"/>
    </row>
    <row r="225">
      <c r="A225" s="42" t="s">
        <v>1490</v>
      </c>
      <c r="B225" s="41" t="s">
        <v>509</v>
      </c>
      <c r="C225" s="40" t="s">
        <v>29</v>
      </c>
      <c r="D225" s="40" t="s">
        <v>510</v>
      </c>
      <c r="E225" s="46"/>
      <c r="F225" s="41" t="s">
        <v>21</v>
      </c>
      <c r="G225" s="41">
        <v>3.0</v>
      </c>
      <c r="H225" s="41" t="s">
        <v>22</v>
      </c>
      <c r="I225" s="42">
        <v>1.0</v>
      </c>
      <c r="J225" s="42">
        <v>1.0</v>
      </c>
      <c r="K225" s="42">
        <v>0.0</v>
      </c>
      <c r="L225" s="42">
        <v>0.0</v>
      </c>
      <c r="M225" s="42">
        <v>0.0</v>
      </c>
      <c r="N225" s="42">
        <v>0.0</v>
      </c>
      <c r="O225" s="46"/>
    </row>
    <row r="226">
      <c r="A226" s="42" t="s">
        <v>1491</v>
      </c>
      <c r="B226" s="41" t="s">
        <v>1303</v>
      </c>
      <c r="C226" s="40" t="s">
        <v>18</v>
      </c>
      <c r="D226" s="40" t="s">
        <v>1304</v>
      </c>
      <c r="E226" s="46"/>
      <c r="F226" s="41" t="s">
        <v>21</v>
      </c>
      <c r="G226" s="41">
        <v>3.0</v>
      </c>
      <c r="H226" s="41" t="s">
        <v>22</v>
      </c>
      <c r="I226" s="42">
        <v>1.0</v>
      </c>
      <c r="J226" s="42">
        <v>1.0</v>
      </c>
      <c r="K226" s="42">
        <v>0.0</v>
      </c>
      <c r="L226" s="42">
        <v>0.0</v>
      </c>
      <c r="M226" s="42">
        <v>0.0</v>
      </c>
      <c r="N226" s="42">
        <v>0.0</v>
      </c>
      <c r="O226" s="46"/>
    </row>
    <row r="227">
      <c r="A227" s="42" t="s">
        <v>1492</v>
      </c>
      <c r="B227" s="41" t="s">
        <v>511</v>
      </c>
      <c r="C227" s="40" t="s">
        <v>29</v>
      </c>
      <c r="D227" s="40" t="s">
        <v>431</v>
      </c>
      <c r="E227" s="46"/>
      <c r="F227" s="41" t="s">
        <v>21</v>
      </c>
      <c r="G227" s="41">
        <v>3.0</v>
      </c>
      <c r="H227" s="41" t="s">
        <v>22</v>
      </c>
      <c r="I227" s="42">
        <v>1.0</v>
      </c>
      <c r="J227" s="42">
        <v>1.0</v>
      </c>
      <c r="K227" s="42">
        <v>0.0</v>
      </c>
      <c r="L227" s="42">
        <v>0.0</v>
      </c>
      <c r="M227" s="42">
        <v>0.0</v>
      </c>
      <c r="N227" s="42">
        <v>0.0</v>
      </c>
      <c r="O227" s="46"/>
    </row>
    <row r="228">
      <c r="A228" s="42" t="s">
        <v>1493</v>
      </c>
      <c r="B228" s="41" t="s">
        <v>1494</v>
      </c>
      <c r="C228" s="40" t="s">
        <v>29</v>
      </c>
      <c r="D228" s="40" t="s">
        <v>1495</v>
      </c>
      <c r="E228" s="46"/>
      <c r="F228" s="41" t="s">
        <v>21</v>
      </c>
      <c r="G228" s="41">
        <v>3.0</v>
      </c>
      <c r="H228" s="41" t="s">
        <v>22</v>
      </c>
      <c r="I228" s="42">
        <v>1.0</v>
      </c>
      <c r="J228" s="43"/>
      <c r="K228" s="42">
        <v>0.0</v>
      </c>
      <c r="L228" s="42">
        <v>0.0</v>
      </c>
      <c r="M228" s="42">
        <v>0.0</v>
      </c>
      <c r="N228" s="42">
        <v>0.0</v>
      </c>
      <c r="O228" s="46"/>
    </row>
    <row r="229">
      <c r="A229" s="42" t="s">
        <v>1496</v>
      </c>
      <c r="B229" s="41" t="s">
        <v>1309</v>
      </c>
      <c r="C229" s="40" t="s">
        <v>29</v>
      </c>
      <c r="D229" s="40" t="s">
        <v>278</v>
      </c>
      <c r="E229" s="46"/>
      <c r="F229" s="41" t="s">
        <v>21</v>
      </c>
      <c r="G229" s="41">
        <v>3.0</v>
      </c>
      <c r="H229" s="41" t="s">
        <v>22</v>
      </c>
      <c r="I229" s="42">
        <v>1.0</v>
      </c>
      <c r="J229" s="42">
        <v>1.0</v>
      </c>
      <c r="K229" s="42">
        <v>0.0</v>
      </c>
      <c r="L229" s="42">
        <v>0.0</v>
      </c>
      <c r="M229" s="42">
        <v>0.0</v>
      </c>
      <c r="N229" s="42">
        <v>0.0</v>
      </c>
      <c r="O229" s="46"/>
    </row>
    <row r="230">
      <c r="A230" s="42">
        <v>9.9</v>
      </c>
      <c r="B230" s="41" t="s">
        <v>1459</v>
      </c>
      <c r="C230" s="40" t="s">
        <v>18</v>
      </c>
      <c r="D230" s="40" t="s">
        <v>1460</v>
      </c>
      <c r="E230" s="46"/>
      <c r="F230" s="41" t="s">
        <v>21</v>
      </c>
      <c r="G230" s="41">
        <v>42.0</v>
      </c>
      <c r="H230" s="41" t="s">
        <v>22</v>
      </c>
      <c r="I230" s="42">
        <v>1.0</v>
      </c>
      <c r="J230" s="43"/>
      <c r="K230" s="42">
        <v>0.0</v>
      </c>
      <c r="L230" s="42">
        <v>0.0</v>
      </c>
      <c r="M230" s="42">
        <v>0.0</v>
      </c>
      <c r="N230" s="42">
        <v>0.0</v>
      </c>
      <c r="O230" s="46"/>
    </row>
    <row r="231">
      <c r="A231" s="42">
        <v>9.1</v>
      </c>
      <c r="B231" s="41" t="s">
        <v>277</v>
      </c>
      <c r="C231" s="40" t="s">
        <v>18</v>
      </c>
      <c r="D231" s="40" t="s">
        <v>278</v>
      </c>
      <c r="E231" s="46"/>
      <c r="F231" s="41" t="s">
        <v>21</v>
      </c>
      <c r="G231" s="41">
        <v>14.0</v>
      </c>
      <c r="H231" s="41" t="s">
        <v>22</v>
      </c>
      <c r="I231" s="42">
        <v>1.0</v>
      </c>
      <c r="J231" s="43"/>
      <c r="K231" s="42">
        <v>0.0</v>
      </c>
      <c r="L231" s="42">
        <v>0.0</v>
      </c>
      <c r="M231" s="42">
        <v>0.0</v>
      </c>
      <c r="N231" s="42">
        <v>0.0</v>
      </c>
      <c r="O231" s="46"/>
    </row>
    <row r="232">
      <c r="A232" s="42">
        <v>9.11</v>
      </c>
      <c r="B232" s="41" t="s">
        <v>325</v>
      </c>
      <c r="C232" s="40" t="s">
        <v>18</v>
      </c>
      <c r="D232" s="40" t="s">
        <v>326</v>
      </c>
      <c r="E232" s="46"/>
      <c r="F232" s="41" t="s">
        <v>21</v>
      </c>
      <c r="G232" s="41">
        <v>42.0</v>
      </c>
      <c r="H232" s="41" t="s">
        <v>22</v>
      </c>
      <c r="I232" s="42">
        <v>2.0</v>
      </c>
      <c r="J232" s="43"/>
      <c r="K232" s="42">
        <v>0.0</v>
      </c>
      <c r="L232" s="42">
        <v>0.0</v>
      </c>
      <c r="M232" s="42">
        <v>0.0</v>
      </c>
      <c r="N232" s="42">
        <v>0.0</v>
      </c>
      <c r="O232" s="46"/>
    </row>
    <row r="233">
      <c r="A233" s="42">
        <v>9.12</v>
      </c>
      <c r="B233" s="41" t="s">
        <v>285</v>
      </c>
      <c r="C233" s="40" t="s">
        <v>18</v>
      </c>
      <c r="D233" s="40" t="s">
        <v>286</v>
      </c>
      <c r="E233" s="46"/>
      <c r="F233" s="41" t="s">
        <v>21</v>
      </c>
      <c r="G233" s="41">
        <v>14.0</v>
      </c>
      <c r="H233" s="41" t="s">
        <v>22</v>
      </c>
      <c r="I233" s="42">
        <v>2.0</v>
      </c>
      <c r="J233" s="43"/>
      <c r="K233" s="42">
        <v>0.0</v>
      </c>
      <c r="L233" s="42">
        <v>0.0</v>
      </c>
      <c r="M233" s="42">
        <v>0.0</v>
      </c>
      <c r="N233" s="42">
        <v>0.0</v>
      </c>
      <c r="O233" s="46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50" t="s">
        <v>63</v>
      </c>
      <c r="N234" s="51">
        <v>198921.55</v>
      </c>
      <c r="O234" s="52"/>
    </row>
    <row r="235">
      <c r="A235" s="39">
        <v>10.0</v>
      </c>
      <c r="B235" s="39" t="s">
        <v>1497</v>
      </c>
      <c r="C235" s="40" t="s">
        <v>18</v>
      </c>
      <c r="D235" s="40" t="s">
        <v>1498</v>
      </c>
      <c r="E235" s="40" t="s">
        <v>20</v>
      </c>
      <c r="F235" s="41" t="s">
        <v>21</v>
      </c>
      <c r="G235" s="41">
        <v>42.0</v>
      </c>
      <c r="H235" s="41" t="s">
        <v>22</v>
      </c>
      <c r="I235" s="42">
        <v>1.0</v>
      </c>
      <c r="J235" s="43"/>
      <c r="K235" s="44">
        <v>40951.45</v>
      </c>
      <c r="L235" s="44">
        <v>40951.45</v>
      </c>
      <c r="M235" s="42">
        <v>0.0</v>
      </c>
      <c r="N235" s="44">
        <v>40951.45</v>
      </c>
      <c r="O235" s="46"/>
    </row>
    <row r="236">
      <c r="A236" s="42" t="s">
        <v>156</v>
      </c>
      <c r="B236" s="41" t="s">
        <v>1499</v>
      </c>
      <c r="C236" s="40" t="s">
        <v>18</v>
      </c>
      <c r="D236" s="40" t="s">
        <v>1500</v>
      </c>
      <c r="E236" s="46"/>
      <c r="F236" s="41">
        <v>36.0</v>
      </c>
      <c r="G236" s="41" t="s">
        <v>21</v>
      </c>
      <c r="H236" s="41" t="s">
        <v>22</v>
      </c>
      <c r="I236" s="42">
        <v>1.0</v>
      </c>
      <c r="J236" s="43"/>
      <c r="K236" s="44">
        <v>13348.5</v>
      </c>
      <c r="L236" s="44">
        <v>13348.5</v>
      </c>
      <c r="M236" s="42">
        <v>0.0</v>
      </c>
      <c r="N236" s="44">
        <v>13348.5</v>
      </c>
      <c r="O236" s="40" t="s">
        <v>26</v>
      </c>
    </row>
    <row r="237">
      <c r="A237" s="42">
        <v>10.1</v>
      </c>
      <c r="B237" s="41" t="s">
        <v>1432</v>
      </c>
      <c r="C237" s="40" t="s">
        <v>18</v>
      </c>
      <c r="D237" s="40" t="s">
        <v>1433</v>
      </c>
      <c r="E237" s="46"/>
      <c r="F237" s="41" t="s">
        <v>21</v>
      </c>
      <c r="G237" s="41">
        <v>42.0</v>
      </c>
      <c r="H237" s="41" t="s">
        <v>22</v>
      </c>
      <c r="I237" s="42">
        <v>1.0</v>
      </c>
      <c r="J237" s="43"/>
      <c r="K237" s="42">
        <v>0.0</v>
      </c>
      <c r="L237" s="42">
        <v>0.0</v>
      </c>
      <c r="M237" s="42">
        <v>0.0</v>
      </c>
      <c r="N237" s="42">
        <v>0.0</v>
      </c>
      <c r="O237" s="46"/>
    </row>
    <row r="238">
      <c r="A238" s="42">
        <v>10.2</v>
      </c>
      <c r="B238" s="41" t="s">
        <v>271</v>
      </c>
      <c r="C238" s="40" t="s">
        <v>18</v>
      </c>
      <c r="D238" s="40" t="s">
        <v>272</v>
      </c>
      <c r="E238" s="46"/>
      <c r="F238" s="41" t="s">
        <v>21</v>
      </c>
      <c r="G238" s="41">
        <v>21.0</v>
      </c>
      <c r="H238" s="41" t="s">
        <v>29</v>
      </c>
      <c r="I238" s="42">
        <v>1.0</v>
      </c>
      <c r="J238" s="43"/>
      <c r="K238" s="42">
        <v>0.0</v>
      </c>
      <c r="L238" s="42">
        <v>0.0</v>
      </c>
      <c r="M238" s="42">
        <v>0.0</v>
      </c>
      <c r="N238" s="42">
        <v>0.0</v>
      </c>
      <c r="O238" s="46"/>
    </row>
    <row r="239">
      <c r="A239" s="42">
        <v>10.3</v>
      </c>
      <c r="B239" s="41" t="s">
        <v>1501</v>
      </c>
      <c r="C239" s="40" t="s">
        <v>18</v>
      </c>
      <c r="D239" s="40" t="s">
        <v>1502</v>
      </c>
      <c r="E239" s="46"/>
      <c r="F239" s="41" t="s">
        <v>21</v>
      </c>
      <c r="G239" s="41">
        <v>28.0</v>
      </c>
      <c r="H239" s="41" t="s">
        <v>22</v>
      </c>
      <c r="I239" s="42">
        <v>1.0</v>
      </c>
      <c r="J239" s="43"/>
      <c r="K239" s="42">
        <v>0.0</v>
      </c>
      <c r="L239" s="42">
        <v>0.0</v>
      </c>
      <c r="M239" s="42">
        <v>0.0</v>
      </c>
      <c r="N239" s="42">
        <v>0.0</v>
      </c>
      <c r="O239" s="46"/>
    </row>
    <row r="240">
      <c r="A240" s="42">
        <v>10.4</v>
      </c>
      <c r="B240" s="41" t="s">
        <v>1331</v>
      </c>
      <c r="C240" s="40" t="s">
        <v>18</v>
      </c>
      <c r="D240" s="40" t="s">
        <v>1332</v>
      </c>
      <c r="E240" s="46"/>
      <c r="F240" s="41" t="s">
        <v>21</v>
      </c>
      <c r="G240" s="41">
        <v>28.0</v>
      </c>
      <c r="H240" s="41" t="s">
        <v>22</v>
      </c>
      <c r="I240" s="42">
        <v>1.0</v>
      </c>
      <c r="J240" s="43"/>
      <c r="K240" s="42">
        <v>0.0</v>
      </c>
      <c r="L240" s="42">
        <v>0.0</v>
      </c>
      <c r="M240" s="42">
        <v>0.0</v>
      </c>
      <c r="N240" s="42">
        <v>0.0</v>
      </c>
      <c r="O240" s="46"/>
    </row>
    <row r="241">
      <c r="A241" s="42">
        <v>10.5</v>
      </c>
      <c r="B241" s="41" t="s">
        <v>1503</v>
      </c>
      <c r="C241" s="40" t="s">
        <v>18</v>
      </c>
      <c r="D241" s="40" t="s">
        <v>1504</v>
      </c>
      <c r="E241" s="46"/>
      <c r="F241" s="41" t="s">
        <v>21</v>
      </c>
      <c r="G241" s="41">
        <v>42.0</v>
      </c>
      <c r="H241" s="41" t="s">
        <v>22</v>
      </c>
      <c r="I241" s="42">
        <v>1.0</v>
      </c>
      <c r="J241" s="43"/>
      <c r="K241" s="42">
        <v>0.0</v>
      </c>
      <c r="L241" s="42">
        <v>0.0</v>
      </c>
      <c r="M241" s="42">
        <v>0.0</v>
      </c>
      <c r="N241" s="42">
        <v>0.0</v>
      </c>
      <c r="O241" s="46"/>
    </row>
    <row r="242">
      <c r="A242" s="42">
        <v>10.6</v>
      </c>
      <c r="B242" s="41" t="s">
        <v>59</v>
      </c>
      <c r="C242" s="40" t="s">
        <v>29</v>
      </c>
      <c r="D242" s="40" t="s">
        <v>60</v>
      </c>
      <c r="E242" s="46"/>
      <c r="F242" s="41" t="s">
        <v>21</v>
      </c>
      <c r="G242" s="41">
        <v>3.0</v>
      </c>
      <c r="H242" s="41" t="s">
        <v>29</v>
      </c>
      <c r="I242" s="42">
        <v>1.0</v>
      </c>
      <c r="J242" s="43"/>
      <c r="K242" s="42">
        <v>0.0</v>
      </c>
      <c r="L242" s="42">
        <v>0.0</v>
      </c>
      <c r="M242" s="42">
        <v>0.0</v>
      </c>
      <c r="N242" s="42">
        <v>0.0</v>
      </c>
      <c r="O242" s="46"/>
    </row>
    <row r="243">
      <c r="A243" s="42">
        <v>10.7</v>
      </c>
      <c r="B243" s="41" t="s">
        <v>1319</v>
      </c>
      <c r="C243" s="40" t="s">
        <v>29</v>
      </c>
      <c r="D243" s="40" t="s">
        <v>1320</v>
      </c>
      <c r="E243" s="46"/>
      <c r="F243" s="41" t="s">
        <v>21</v>
      </c>
      <c r="G243" s="41">
        <v>28.0</v>
      </c>
      <c r="H243" s="41" t="s">
        <v>29</v>
      </c>
      <c r="I243" s="42">
        <v>1.0</v>
      </c>
      <c r="J243" s="43"/>
      <c r="K243" s="42">
        <v>0.0</v>
      </c>
      <c r="L243" s="42">
        <v>0.0</v>
      </c>
      <c r="M243" s="42">
        <v>0.0</v>
      </c>
      <c r="N243" s="42">
        <v>0.0</v>
      </c>
      <c r="O243" s="46"/>
    </row>
    <row r="244">
      <c r="A244" s="42">
        <v>10.8</v>
      </c>
      <c r="B244" s="41" t="s">
        <v>320</v>
      </c>
      <c r="C244" s="40" t="s">
        <v>18</v>
      </c>
      <c r="D244" s="40" t="s">
        <v>321</v>
      </c>
      <c r="E244" s="46"/>
      <c r="F244" s="41" t="s">
        <v>21</v>
      </c>
      <c r="G244" s="41">
        <v>28.0</v>
      </c>
      <c r="H244" s="41" t="s">
        <v>29</v>
      </c>
      <c r="I244" s="42">
        <v>1.0</v>
      </c>
      <c r="J244" s="43"/>
      <c r="K244" s="42">
        <v>0.0</v>
      </c>
      <c r="L244" s="42">
        <v>0.0</v>
      </c>
      <c r="M244" s="42">
        <v>0.0</v>
      </c>
      <c r="N244" s="42">
        <v>0.0</v>
      </c>
      <c r="O244" s="46"/>
    </row>
    <row r="245">
      <c r="A245" s="42">
        <v>10.9</v>
      </c>
      <c r="B245" s="41" t="s">
        <v>1440</v>
      </c>
      <c r="C245" s="40" t="s">
        <v>18</v>
      </c>
      <c r="D245" s="40" t="s">
        <v>1441</v>
      </c>
      <c r="E245" s="46"/>
      <c r="F245" s="41" t="s">
        <v>21</v>
      </c>
      <c r="G245" s="41">
        <v>3.0</v>
      </c>
      <c r="H245" s="41" t="s">
        <v>29</v>
      </c>
      <c r="I245" s="42">
        <v>1.0</v>
      </c>
      <c r="J245" s="43"/>
      <c r="K245" s="42">
        <v>0.0</v>
      </c>
      <c r="L245" s="42">
        <v>0.0</v>
      </c>
      <c r="M245" s="42">
        <v>0.0</v>
      </c>
      <c r="N245" s="42">
        <v>0.0</v>
      </c>
      <c r="O245" s="46"/>
    </row>
    <row r="246">
      <c r="A246" s="42" t="s">
        <v>1505</v>
      </c>
      <c r="B246" s="41" t="s">
        <v>1298</v>
      </c>
      <c r="C246" s="40" t="s">
        <v>18</v>
      </c>
      <c r="D246" s="40" t="s">
        <v>1299</v>
      </c>
      <c r="E246" s="46"/>
      <c r="F246" s="41" t="s">
        <v>21</v>
      </c>
      <c r="G246" s="41">
        <v>3.0</v>
      </c>
      <c r="H246" s="41" t="s">
        <v>22</v>
      </c>
      <c r="I246" s="42">
        <v>1.0</v>
      </c>
      <c r="J246" s="42">
        <v>1.0</v>
      </c>
      <c r="K246" s="42">
        <v>0.0</v>
      </c>
      <c r="L246" s="42">
        <v>0.0</v>
      </c>
      <c r="M246" s="42">
        <v>0.0</v>
      </c>
      <c r="N246" s="42">
        <v>0.0</v>
      </c>
      <c r="O246" s="46"/>
    </row>
    <row r="247">
      <c r="A247" s="42" t="s">
        <v>1506</v>
      </c>
      <c r="B247" s="41" t="s">
        <v>509</v>
      </c>
      <c r="C247" s="40" t="s">
        <v>29</v>
      </c>
      <c r="D247" s="40" t="s">
        <v>510</v>
      </c>
      <c r="E247" s="46"/>
      <c r="F247" s="41" t="s">
        <v>21</v>
      </c>
      <c r="G247" s="41">
        <v>3.0</v>
      </c>
      <c r="H247" s="41" t="s">
        <v>22</v>
      </c>
      <c r="I247" s="42">
        <v>1.0</v>
      </c>
      <c r="J247" s="42">
        <v>1.0</v>
      </c>
      <c r="K247" s="42">
        <v>0.0</v>
      </c>
      <c r="L247" s="42">
        <v>0.0</v>
      </c>
      <c r="M247" s="42">
        <v>0.0</v>
      </c>
      <c r="N247" s="42">
        <v>0.0</v>
      </c>
      <c r="O247" s="46"/>
    </row>
    <row r="248">
      <c r="A248" s="42" t="s">
        <v>1507</v>
      </c>
      <c r="B248" s="41" t="s">
        <v>1303</v>
      </c>
      <c r="C248" s="40" t="s">
        <v>18</v>
      </c>
      <c r="D248" s="40" t="s">
        <v>1304</v>
      </c>
      <c r="E248" s="46"/>
      <c r="F248" s="41" t="s">
        <v>21</v>
      </c>
      <c r="G248" s="41">
        <v>3.0</v>
      </c>
      <c r="H248" s="41" t="s">
        <v>22</v>
      </c>
      <c r="I248" s="42">
        <v>1.0</v>
      </c>
      <c r="J248" s="42">
        <v>1.0</v>
      </c>
      <c r="K248" s="42">
        <v>0.0</v>
      </c>
      <c r="L248" s="42">
        <v>0.0</v>
      </c>
      <c r="M248" s="42">
        <v>0.0</v>
      </c>
      <c r="N248" s="42">
        <v>0.0</v>
      </c>
      <c r="O248" s="46"/>
    </row>
    <row r="249">
      <c r="A249" s="42" t="s">
        <v>1508</v>
      </c>
      <c r="B249" s="41" t="s">
        <v>511</v>
      </c>
      <c r="C249" s="40" t="s">
        <v>29</v>
      </c>
      <c r="D249" s="40" t="s">
        <v>431</v>
      </c>
      <c r="E249" s="46"/>
      <c r="F249" s="41" t="s">
        <v>21</v>
      </c>
      <c r="G249" s="41">
        <v>3.0</v>
      </c>
      <c r="H249" s="41" t="s">
        <v>22</v>
      </c>
      <c r="I249" s="42">
        <v>1.0</v>
      </c>
      <c r="J249" s="42">
        <v>1.0</v>
      </c>
      <c r="K249" s="42">
        <v>0.0</v>
      </c>
      <c r="L249" s="42">
        <v>0.0</v>
      </c>
      <c r="M249" s="42">
        <v>0.0</v>
      </c>
      <c r="N249" s="42">
        <v>0.0</v>
      </c>
      <c r="O249" s="46"/>
    </row>
    <row r="250">
      <c r="A250" s="42" t="s">
        <v>1509</v>
      </c>
      <c r="B250" s="41" t="s">
        <v>1510</v>
      </c>
      <c r="C250" s="40" t="s">
        <v>29</v>
      </c>
      <c r="D250" s="40" t="s">
        <v>1511</v>
      </c>
      <c r="E250" s="46"/>
      <c r="F250" s="41" t="s">
        <v>21</v>
      </c>
      <c r="G250" s="41">
        <v>3.0</v>
      </c>
      <c r="H250" s="41" t="s">
        <v>22</v>
      </c>
      <c r="I250" s="42">
        <v>1.0</v>
      </c>
      <c r="J250" s="43"/>
      <c r="K250" s="42">
        <v>0.0</v>
      </c>
      <c r="L250" s="42">
        <v>0.0</v>
      </c>
      <c r="M250" s="42">
        <v>0.0</v>
      </c>
      <c r="N250" s="42">
        <v>0.0</v>
      </c>
      <c r="O250" s="46"/>
    </row>
    <row r="251">
      <c r="A251" s="42" t="s">
        <v>1512</v>
      </c>
      <c r="B251" s="41" t="s">
        <v>1309</v>
      </c>
      <c r="C251" s="40" t="s">
        <v>29</v>
      </c>
      <c r="D251" s="40" t="s">
        <v>278</v>
      </c>
      <c r="E251" s="46"/>
      <c r="F251" s="41" t="s">
        <v>21</v>
      </c>
      <c r="G251" s="41">
        <v>3.0</v>
      </c>
      <c r="H251" s="41" t="s">
        <v>22</v>
      </c>
      <c r="I251" s="42">
        <v>1.0</v>
      </c>
      <c r="J251" s="42">
        <v>1.0</v>
      </c>
      <c r="K251" s="42">
        <v>0.0</v>
      </c>
      <c r="L251" s="42">
        <v>0.0</v>
      </c>
      <c r="M251" s="42">
        <v>0.0</v>
      </c>
      <c r="N251" s="42">
        <v>0.0</v>
      </c>
      <c r="O251" s="46"/>
    </row>
    <row r="252">
      <c r="A252" s="42" t="s">
        <v>1513</v>
      </c>
      <c r="B252" s="41" t="s">
        <v>1364</v>
      </c>
      <c r="C252" s="40" t="s">
        <v>29</v>
      </c>
      <c r="D252" s="40" t="s">
        <v>1365</v>
      </c>
      <c r="E252" s="46"/>
      <c r="F252" s="41" t="s">
        <v>21</v>
      </c>
      <c r="G252" s="41" t="s">
        <v>21</v>
      </c>
      <c r="H252" s="41" t="s">
        <v>22</v>
      </c>
      <c r="I252" s="42">
        <v>1.0</v>
      </c>
      <c r="J252" s="42">
        <v>1.0</v>
      </c>
      <c r="K252" s="44">
        <v>1062.5</v>
      </c>
      <c r="L252" s="44">
        <v>38250.0</v>
      </c>
      <c r="M252" s="42">
        <v>0.0</v>
      </c>
      <c r="N252" s="44">
        <v>38250.0</v>
      </c>
      <c r="O252" s="46"/>
    </row>
    <row r="253">
      <c r="A253" s="42" t="s">
        <v>1514</v>
      </c>
      <c r="B253" s="41" t="s">
        <v>1370</v>
      </c>
      <c r="C253" s="40" t="s">
        <v>29</v>
      </c>
      <c r="D253" s="40" t="s">
        <v>1371</v>
      </c>
      <c r="E253" s="46"/>
      <c r="F253" s="41" t="s">
        <v>21</v>
      </c>
      <c r="G253" s="41">
        <v>3.0</v>
      </c>
      <c r="H253" s="41" t="s">
        <v>22</v>
      </c>
      <c r="I253" s="42">
        <v>1.0</v>
      </c>
      <c r="J253" s="42">
        <v>1.0</v>
      </c>
      <c r="K253" s="42">
        <v>0.0</v>
      </c>
      <c r="L253" s="42">
        <v>0.0</v>
      </c>
      <c r="M253" s="42">
        <v>0.0</v>
      </c>
      <c r="N253" s="42">
        <v>0.0</v>
      </c>
      <c r="O253" s="46"/>
    </row>
    <row r="254">
      <c r="A254" s="42" t="s">
        <v>1515</v>
      </c>
      <c r="B254" s="41" t="s">
        <v>1373</v>
      </c>
      <c r="C254" s="40" t="s">
        <v>29</v>
      </c>
      <c r="D254" s="40" t="s">
        <v>1374</v>
      </c>
      <c r="E254" s="46"/>
      <c r="F254" s="41" t="s">
        <v>21</v>
      </c>
      <c r="G254" s="41">
        <v>3.0</v>
      </c>
      <c r="H254" s="41" t="s">
        <v>22</v>
      </c>
      <c r="I254" s="42">
        <v>1.0</v>
      </c>
      <c r="J254" s="43"/>
      <c r="K254" s="42">
        <v>0.0</v>
      </c>
      <c r="L254" s="42">
        <v>0.0</v>
      </c>
      <c r="M254" s="42">
        <v>0.0</v>
      </c>
      <c r="N254" s="42">
        <v>0.0</v>
      </c>
      <c r="O254" s="46"/>
    </row>
    <row r="255">
      <c r="A255" s="42">
        <v>10.1</v>
      </c>
      <c r="B255" s="41" t="s">
        <v>1516</v>
      </c>
      <c r="C255" s="40" t="s">
        <v>18</v>
      </c>
      <c r="D255" s="40" t="s">
        <v>1517</v>
      </c>
      <c r="E255" s="46"/>
      <c r="F255" s="41" t="s">
        <v>21</v>
      </c>
      <c r="G255" s="41">
        <v>42.0</v>
      </c>
      <c r="H255" s="41" t="s">
        <v>22</v>
      </c>
      <c r="I255" s="42">
        <v>1.0</v>
      </c>
      <c r="J255" s="43"/>
      <c r="K255" s="42">
        <v>0.0</v>
      </c>
      <c r="L255" s="42">
        <v>0.0</v>
      </c>
      <c r="M255" s="42">
        <v>0.0</v>
      </c>
      <c r="N255" s="42">
        <v>0.0</v>
      </c>
      <c r="O255" s="46"/>
    </row>
    <row r="256">
      <c r="A256" s="42">
        <v>10.11</v>
      </c>
      <c r="B256" s="41" t="s">
        <v>277</v>
      </c>
      <c r="C256" s="40" t="s">
        <v>18</v>
      </c>
      <c r="D256" s="40" t="s">
        <v>278</v>
      </c>
      <c r="E256" s="46"/>
      <c r="F256" s="41" t="s">
        <v>21</v>
      </c>
      <c r="G256" s="41">
        <v>14.0</v>
      </c>
      <c r="H256" s="41" t="s">
        <v>22</v>
      </c>
      <c r="I256" s="42">
        <v>1.0</v>
      </c>
      <c r="J256" s="43"/>
      <c r="K256" s="42">
        <v>0.0</v>
      </c>
      <c r="L256" s="42">
        <v>0.0</v>
      </c>
      <c r="M256" s="42">
        <v>0.0</v>
      </c>
      <c r="N256" s="42">
        <v>0.0</v>
      </c>
      <c r="O256" s="46"/>
    </row>
    <row r="257">
      <c r="A257" s="42">
        <v>10.12</v>
      </c>
      <c r="B257" s="41" t="s">
        <v>348</v>
      </c>
      <c r="C257" s="40" t="s">
        <v>18</v>
      </c>
      <c r="D257" s="40" t="s">
        <v>349</v>
      </c>
      <c r="E257" s="46"/>
      <c r="F257" s="41" t="s">
        <v>21</v>
      </c>
      <c r="G257" s="41">
        <v>21.0</v>
      </c>
      <c r="H257" s="41" t="s">
        <v>22</v>
      </c>
      <c r="I257" s="42">
        <v>2.0</v>
      </c>
      <c r="J257" s="43"/>
      <c r="K257" s="42">
        <v>0.0</v>
      </c>
      <c r="L257" s="42">
        <v>0.0</v>
      </c>
      <c r="M257" s="42">
        <v>0.0</v>
      </c>
      <c r="N257" s="42">
        <v>0.0</v>
      </c>
      <c r="O257" s="46"/>
    </row>
    <row r="258">
      <c r="A258" s="42">
        <v>10.13</v>
      </c>
      <c r="B258" s="41" t="s">
        <v>285</v>
      </c>
      <c r="C258" s="40" t="s">
        <v>18</v>
      </c>
      <c r="D258" s="40" t="s">
        <v>286</v>
      </c>
      <c r="E258" s="46"/>
      <c r="F258" s="41" t="s">
        <v>21</v>
      </c>
      <c r="G258" s="41">
        <v>14.0</v>
      </c>
      <c r="H258" s="41" t="s">
        <v>22</v>
      </c>
      <c r="I258" s="42">
        <v>2.0</v>
      </c>
      <c r="J258" s="43"/>
      <c r="K258" s="42">
        <v>0.0</v>
      </c>
      <c r="L258" s="42">
        <v>0.0</v>
      </c>
      <c r="M258" s="42">
        <v>0.0</v>
      </c>
      <c r="N258" s="42">
        <v>0.0</v>
      </c>
      <c r="O258" s="46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50" t="s">
        <v>63</v>
      </c>
      <c r="N259" s="51">
        <v>92549.95</v>
      </c>
      <c r="O259" s="52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50" t="s">
        <v>233</v>
      </c>
      <c r="N260" s="51">
        <v>1399437.43</v>
      </c>
      <c r="O260" s="5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</cols>
  <sheetData>
    <row r="1">
      <c r="A1" s="88" t="s">
        <v>2</v>
      </c>
      <c r="B1" s="88" t="s">
        <v>3</v>
      </c>
      <c r="C1" s="88" t="s">
        <v>4</v>
      </c>
      <c r="D1" s="88" t="s">
        <v>5</v>
      </c>
      <c r="E1" s="88" t="s">
        <v>6</v>
      </c>
      <c r="F1" s="88" t="s">
        <v>7</v>
      </c>
      <c r="G1" s="88" t="s">
        <v>8</v>
      </c>
      <c r="H1" s="88" t="s">
        <v>9</v>
      </c>
      <c r="I1" s="88" t="s">
        <v>10</v>
      </c>
      <c r="J1" s="88" t="s">
        <v>11</v>
      </c>
      <c r="K1" s="88" t="s">
        <v>12</v>
      </c>
      <c r="L1" s="88" t="s">
        <v>13</v>
      </c>
      <c r="M1" s="88" t="s">
        <v>14</v>
      </c>
      <c r="N1" s="88" t="s">
        <v>15</v>
      </c>
      <c r="O1" s="88" t="s">
        <v>16</v>
      </c>
    </row>
    <row r="2">
      <c r="A2" s="89">
        <v>1.0</v>
      </c>
      <c r="B2" s="89" t="s">
        <v>1518</v>
      </c>
      <c r="C2" s="90" t="s">
        <v>18</v>
      </c>
      <c r="D2" s="90" t="s">
        <v>1519</v>
      </c>
      <c r="E2" s="90" t="s">
        <v>20</v>
      </c>
      <c r="F2" s="90" t="s">
        <v>21</v>
      </c>
      <c r="G2" s="90">
        <v>17.0</v>
      </c>
      <c r="H2" s="90" t="s">
        <v>22</v>
      </c>
      <c r="I2" s="91">
        <v>1.0</v>
      </c>
      <c r="J2" s="15"/>
      <c r="K2" s="16">
        <v>36510.54</v>
      </c>
      <c r="L2" s="16">
        <v>36510.54</v>
      </c>
      <c r="M2" s="91">
        <v>0.0</v>
      </c>
      <c r="N2" s="16">
        <v>36510.54</v>
      </c>
      <c r="O2" s="15"/>
    </row>
    <row r="3">
      <c r="A3" s="91">
        <v>1.1</v>
      </c>
      <c r="B3" s="90" t="s">
        <v>1520</v>
      </c>
      <c r="C3" s="90" t="s">
        <v>18</v>
      </c>
      <c r="D3" s="90" t="s">
        <v>1521</v>
      </c>
      <c r="E3" s="15"/>
      <c r="F3" s="90" t="s">
        <v>21</v>
      </c>
      <c r="G3" s="90">
        <v>17.0</v>
      </c>
      <c r="H3" s="90" t="s">
        <v>29</v>
      </c>
      <c r="I3" s="91">
        <v>4.0</v>
      </c>
      <c r="J3" s="15"/>
      <c r="K3" s="91">
        <v>0.0</v>
      </c>
      <c r="L3" s="91">
        <v>0.0</v>
      </c>
      <c r="M3" s="91">
        <v>0.0</v>
      </c>
      <c r="N3" s="91">
        <v>0.0</v>
      </c>
      <c r="O3" s="15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92" t="s">
        <v>63</v>
      </c>
      <c r="N4" s="19">
        <v>36510.54</v>
      </c>
      <c r="O4" s="20"/>
    </row>
    <row r="5">
      <c r="A5" s="89">
        <v>2.0</v>
      </c>
      <c r="B5" s="89" t="s">
        <v>1522</v>
      </c>
      <c r="C5" s="90" t="s">
        <v>18</v>
      </c>
      <c r="D5" s="90" t="s">
        <v>1523</v>
      </c>
      <c r="E5" s="90" t="s">
        <v>20</v>
      </c>
      <c r="F5" s="90" t="s">
        <v>21</v>
      </c>
      <c r="G5" s="90">
        <v>17.0</v>
      </c>
      <c r="H5" s="90" t="s">
        <v>22</v>
      </c>
      <c r="I5" s="91">
        <v>1.0</v>
      </c>
      <c r="J5" s="15"/>
      <c r="K5" s="16">
        <v>91270.27</v>
      </c>
      <c r="L5" s="16">
        <v>91270.27</v>
      </c>
      <c r="M5" s="91">
        <v>0.0</v>
      </c>
      <c r="N5" s="16">
        <v>91270.27</v>
      </c>
      <c r="O5" s="15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92" t="s">
        <v>63</v>
      </c>
      <c r="N6" s="19">
        <v>91270.27</v>
      </c>
      <c r="O6" s="20"/>
    </row>
    <row r="7">
      <c r="A7" s="89">
        <v>3.0</v>
      </c>
      <c r="B7" s="89" t="s">
        <v>1524</v>
      </c>
      <c r="C7" s="90" t="s">
        <v>18</v>
      </c>
      <c r="D7" s="90" t="s">
        <v>1525</v>
      </c>
      <c r="E7" s="90" t="s">
        <v>20</v>
      </c>
      <c r="F7" s="90" t="s">
        <v>21</v>
      </c>
      <c r="G7" s="90">
        <v>112.0</v>
      </c>
      <c r="H7" s="90" t="s">
        <v>22</v>
      </c>
      <c r="I7" s="91">
        <v>1.0</v>
      </c>
      <c r="J7" s="15"/>
      <c r="K7" s="16">
        <v>36190.0</v>
      </c>
      <c r="L7" s="16">
        <v>36190.0</v>
      </c>
      <c r="M7" s="91">
        <v>0.0</v>
      </c>
      <c r="N7" s="16">
        <v>36190.0</v>
      </c>
      <c r="O7" s="15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92" t="s">
        <v>63</v>
      </c>
      <c r="N8" s="19">
        <v>36190.0</v>
      </c>
      <c r="O8" s="20"/>
    </row>
    <row r="9">
      <c r="A9" s="89">
        <v>4.0</v>
      </c>
      <c r="B9" s="89" t="s">
        <v>1526</v>
      </c>
      <c r="C9" s="90" t="s">
        <v>18</v>
      </c>
      <c r="D9" s="90" t="s">
        <v>1527</v>
      </c>
      <c r="E9" s="90" t="s">
        <v>20</v>
      </c>
      <c r="F9" s="90" t="s">
        <v>21</v>
      </c>
      <c r="G9" s="90">
        <v>17.0</v>
      </c>
      <c r="H9" s="90" t="s">
        <v>22</v>
      </c>
      <c r="I9" s="91">
        <v>1.0</v>
      </c>
      <c r="J9" s="15"/>
      <c r="K9" s="16">
        <v>1210.94</v>
      </c>
      <c r="L9" s="16">
        <v>1210.94</v>
      </c>
      <c r="M9" s="91">
        <v>0.0</v>
      </c>
      <c r="N9" s="16">
        <v>1210.94</v>
      </c>
      <c r="O9" s="15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92" t="s">
        <v>63</v>
      </c>
      <c r="N10" s="19">
        <v>1210.94</v>
      </c>
      <c r="O10" s="20"/>
    </row>
    <row r="11">
      <c r="A11" s="89">
        <v>5.0</v>
      </c>
      <c r="B11" s="89" t="s">
        <v>1528</v>
      </c>
      <c r="C11" s="90" t="s">
        <v>18</v>
      </c>
      <c r="D11" s="90" t="s">
        <v>1529</v>
      </c>
      <c r="E11" s="90" t="s">
        <v>20</v>
      </c>
      <c r="F11" s="90" t="s">
        <v>21</v>
      </c>
      <c r="G11" s="90">
        <v>17.0</v>
      </c>
      <c r="H11" s="90" t="s">
        <v>22</v>
      </c>
      <c r="I11" s="91">
        <v>1.0</v>
      </c>
      <c r="J11" s="15"/>
      <c r="K11" s="16">
        <v>4861.99</v>
      </c>
      <c r="L11" s="16">
        <v>4861.99</v>
      </c>
      <c r="M11" s="91">
        <v>0.0</v>
      </c>
      <c r="N11" s="16">
        <v>4861.99</v>
      </c>
      <c r="O11" s="15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92" t="s">
        <v>63</v>
      </c>
      <c r="N12" s="19">
        <v>4861.99</v>
      </c>
      <c r="O12" s="20"/>
    </row>
    <row r="13">
      <c r="A13" s="89">
        <v>6.0</v>
      </c>
      <c r="B13" s="89" t="s">
        <v>1530</v>
      </c>
      <c r="C13" s="90" t="s">
        <v>18</v>
      </c>
      <c r="D13" s="90" t="s">
        <v>1531</v>
      </c>
      <c r="E13" s="90" t="s">
        <v>20</v>
      </c>
      <c r="F13" s="90" t="s">
        <v>21</v>
      </c>
      <c r="G13" s="90">
        <v>49.0</v>
      </c>
      <c r="H13" s="90" t="s">
        <v>22</v>
      </c>
      <c r="I13" s="91">
        <v>1.0</v>
      </c>
      <c r="J13" s="15"/>
      <c r="K13" s="16">
        <v>12170.18</v>
      </c>
      <c r="L13" s="16">
        <v>12170.18</v>
      </c>
      <c r="M13" s="91">
        <v>0.0</v>
      </c>
      <c r="N13" s="16">
        <v>12170.18</v>
      </c>
      <c r="O13" s="15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92" t="s">
        <v>63</v>
      </c>
      <c r="N14" s="19">
        <v>12170.18</v>
      </c>
      <c r="O14" s="20"/>
    </row>
    <row r="15">
      <c r="A15" s="89">
        <v>7.0</v>
      </c>
      <c r="B15" s="89" t="s">
        <v>1532</v>
      </c>
      <c r="C15" s="90" t="s">
        <v>18</v>
      </c>
      <c r="D15" s="90" t="s">
        <v>1533</v>
      </c>
      <c r="E15" s="90" t="s">
        <v>20</v>
      </c>
      <c r="F15" s="90" t="s">
        <v>21</v>
      </c>
      <c r="G15" s="90">
        <v>17.0</v>
      </c>
      <c r="H15" s="90" t="s">
        <v>22</v>
      </c>
      <c r="I15" s="91">
        <v>1.0</v>
      </c>
      <c r="J15" s="15"/>
      <c r="K15" s="16">
        <v>19472.29</v>
      </c>
      <c r="L15" s="16">
        <v>19472.29</v>
      </c>
      <c r="M15" s="91">
        <v>0.0</v>
      </c>
      <c r="N15" s="16">
        <v>19472.29</v>
      </c>
      <c r="O15" s="15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92" t="s">
        <v>63</v>
      </c>
      <c r="N16" s="19">
        <v>19472.29</v>
      </c>
      <c r="O16" s="20"/>
    </row>
    <row r="17">
      <c r="A17" s="89">
        <v>8.0</v>
      </c>
      <c r="B17" s="89" t="s">
        <v>1534</v>
      </c>
      <c r="C17" s="90" t="s">
        <v>18</v>
      </c>
      <c r="D17" s="90" t="s">
        <v>1535</v>
      </c>
      <c r="E17" s="90" t="s">
        <v>20</v>
      </c>
      <c r="F17" s="90" t="s">
        <v>21</v>
      </c>
      <c r="G17" s="90">
        <v>17.0</v>
      </c>
      <c r="H17" s="90" t="s">
        <v>22</v>
      </c>
      <c r="I17" s="91">
        <v>1.0</v>
      </c>
      <c r="J17" s="15"/>
      <c r="K17" s="16">
        <v>1210.94</v>
      </c>
      <c r="L17" s="16">
        <v>1210.94</v>
      </c>
      <c r="M17" s="91">
        <v>0.0</v>
      </c>
      <c r="N17" s="16">
        <v>1210.94</v>
      </c>
      <c r="O17" s="15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92" t="s">
        <v>63</v>
      </c>
      <c r="N18" s="19">
        <v>1210.94</v>
      </c>
      <c r="O18" s="20"/>
    </row>
    <row r="19">
      <c r="A19" s="89">
        <v>9.0</v>
      </c>
      <c r="B19" s="89" t="s">
        <v>1536</v>
      </c>
      <c r="C19" s="90" t="s">
        <v>18</v>
      </c>
      <c r="D19" s="90" t="s">
        <v>1537</v>
      </c>
      <c r="E19" s="90" t="s">
        <v>20</v>
      </c>
      <c r="F19" s="90" t="s">
        <v>21</v>
      </c>
      <c r="G19" s="90">
        <v>17.0</v>
      </c>
      <c r="H19" s="90" t="s">
        <v>22</v>
      </c>
      <c r="I19" s="91">
        <v>1.0</v>
      </c>
      <c r="J19" s="15"/>
      <c r="K19" s="16">
        <v>2427.96</v>
      </c>
      <c r="L19" s="16">
        <v>2427.96</v>
      </c>
      <c r="M19" s="91">
        <v>0.0</v>
      </c>
      <c r="N19" s="16">
        <v>2427.96</v>
      </c>
      <c r="O19" s="15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92" t="s">
        <v>63</v>
      </c>
      <c r="N20" s="19">
        <v>2427.96</v>
      </c>
      <c r="O20" s="20"/>
    </row>
    <row r="21">
      <c r="A21" s="89">
        <v>10.0</v>
      </c>
      <c r="B21" s="89" t="s">
        <v>1538</v>
      </c>
      <c r="C21" s="90" t="s">
        <v>18</v>
      </c>
      <c r="D21" s="90" t="s">
        <v>1539</v>
      </c>
      <c r="E21" s="90" t="s">
        <v>20</v>
      </c>
      <c r="F21" s="90" t="s">
        <v>21</v>
      </c>
      <c r="G21" s="90">
        <v>17.0</v>
      </c>
      <c r="H21" s="90" t="s">
        <v>22</v>
      </c>
      <c r="I21" s="91">
        <v>1.0</v>
      </c>
      <c r="J21" s="15"/>
      <c r="K21" s="16">
        <v>4861.99</v>
      </c>
      <c r="L21" s="16">
        <v>4861.99</v>
      </c>
      <c r="M21" s="91">
        <v>0.0</v>
      </c>
      <c r="N21" s="16">
        <v>4861.99</v>
      </c>
      <c r="O21" s="15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92" t="s">
        <v>63</v>
      </c>
      <c r="N22" s="19">
        <v>4861.99</v>
      </c>
      <c r="O22" s="20"/>
    </row>
    <row r="23">
      <c r="A23" s="89">
        <v>11.0</v>
      </c>
      <c r="B23" s="89" t="s">
        <v>1540</v>
      </c>
      <c r="C23" s="90" t="s">
        <v>18</v>
      </c>
      <c r="D23" s="90" t="s">
        <v>1541</v>
      </c>
      <c r="E23" s="90" t="s">
        <v>20</v>
      </c>
      <c r="F23" s="90" t="s">
        <v>21</v>
      </c>
      <c r="G23" s="90">
        <v>17.0</v>
      </c>
      <c r="H23" s="90" t="s">
        <v>22</v>
      </c>
      <c r="I23" s="91">
        <v>1.0</v>
      </c>
      <c r="J23" s="15"/>
      <c r="K23" s="91">
        <v>547.66</v>
      </c>
      <c r="L23" s="91">
        <v>547.66</v>
      </c>
      <c r="M23" s="91">
        <v>0.0</v>
      </c>
      <c r="N23" s="91">
        <v>547.66</v>
      </c>
      <c r="O23" s="15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92" t="s">
        <v>63</v>
      </c>
      <c r="N24" s="92">
        <v>547.66</v>
      </c>
      <c r="O24" s="20"/>
    </row>
    <row r="25">
      <c r="A25" s="12">
        <v>12.0</v>
      </c>
      <c r="B25" s="12" t="s">
        <v>1542</v>
      </c>
      <c r="C25" s="13" t="s">
        <v>18</v>
      </c>
      <c r="D25" s="13" t="s">
        <v>1543</v>
      </c>
      <c r="E25" s="13" t="s">
        <v>20</v>
      </c>
      <c r="F25" s="13" t="s">
        <v>21</v>
      </c>
      <c r="G25" s="13">
        <v>17.0</v>
      </c>
      <c r="H25" s="13" t="s">
        <v>22</v>
      </c>
      <c r="I25" s="14">
        <v>1.0</v>
      </c>
      <c r="J25" s="15"/>
      <c r="K25" s="14">
        <v>851.91</v>
      </c>
      <c r="L25" s="14">
        <v>851.91</v>
      </c>
      <c r="M25" s="91">
        <v>0.0</v>
      </c>
      <c r="N25" s="16">
        <v>851.91</v>
      </c>
      <c r="O25" s="15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8" t="s">
        <v>63</v>
      </c>
      <c r="N26" s="18">
        <v>851.91</v>
      </c>
      <c r="O26" s="20"/>
    </row>
    <row r="27">
      <c r="A27" s="12">
        <v>13.0</v>
      </c>
      <c r="B27" s="12" t="s">
        <v>1544</v>
      </c>
      <c r="C27" s="13" t="s">
        <v>18</v>
      </c>
      <c r="D27" s="13" t="s">
        <v>1545</v>
      </c>
      <c r="E27" s="13" t="s">
        <v>20</v>
      </c>
      <c r="F27" s="13" t="s">
        <v>21</v>
      </c>
      <c r="G27" s="13">
        <v>17.0</v>
      </c>
      <c r="H27" s="13" t="s">
        <v>22</v>
      </c>
      <c r="I27" s="14">
        <v>1.0</v>
      </c>
      <c r="J27" s="15"/>
      <c r="K27" s="16">
        <v>2434.04</v>
      </c>
      <c r="L27" s="16">
        <v>2434.04</v>
      </c>
      <c r="M27" s="14">
        <v>0.0</v>
      </c>
      <c r="N27" s="16">
        <v>2434.04</v>
      </c>
      <c r="O27" s="15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8" t="s">
        <v>63</v>
      </c>
      <c r="N28" s="19">
        <v>2434.04</v>
      </c>
      <c r="O28" s="20"/>
    </row>
    <row r="29">
      <c r="A29" s="12">
        <v>14.0</v>
      </c>
      <c r="B29" s="12" t="s">
        <v>1546</v>
      </c>
      <c r="C29" s="13" t="s">
        <v>18</v>
      </c>
      <c r="D29" s="13" t="s">
        <v>1547</v>
      </c>
      <c r="E29" s="13" t="s">
        <v>20</v>
      </c>
      <c r="F29" s="13" t="s">
        <v>21</v>
      </c>
      <c r="G29" s="13">
        <v>17.0</v>
      </c>
      <c r="H29" s="13" t="s">
        <v>22</v>
      </c>
      <c r="I29" s="14">
        <v>1.0</v>
      </c>
      <c r="J29" s="15"/>
      <c r="K29" s="16">
        <v>9614.44</v>
      </c>
      <c r="L29" s="16">
        <v>9614.44</v>
      </c>
      <c r="M29" s="14">
        <v>0.0</v>
      </c>
      <c r="N29" s="16">
        <v>9614.44</v>
      </c>
      <c r="O29" s="15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8" t="s">
        <v>63</v>
      </c>
      <c r="N30" s="19">
        <v>9614.44</v>
      </c>
      <c r="O30" s="20"/>
    </row>
    <row r="31">
      <c r="A31" s="12">
        <v>15.0</v>
      </c>
      <c r="B31" s="12" t="s">
        <v>1548</v>
      </c>
      <c r="C31" s="13" t="s">
        <v>18</v>
      </c>
      <c r="D31" s="13" t="s">
        <v>1549</v>
      </c>
      <c r="E31" s="13" t="s">
        <v>20</v>
      </c>
      <c r="F31" s="13" t="s">
        <v>21</v>
      </c>
      <c r="G31" s="13">
        <v>17.0</v>
      </c>
      <c r="H31" s="13" t="s">
        <v>22</v>
      </c>
      <c r="I31" s="14">
        <v>1.0</v>
      </c>
      <c r="J31" s="15"/>
      <c r="K31" s="16">
        <v>13265.5</v>
      </c>
      <c r="L31" s="16">
        <v>13265.5</v>
      </c>
      <c r="M31" s="14">
        <v>0.0</v>
      </c>
      <c r="N31" s="16">
        <v>13265.5</v>
      </c>
      <c r="O31" s="15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8" t="s">
        <v>63</v>
      </c>
      <c r="N32" s="19">
        <v>13265.5</v>
      </c>
      <c r="O32" s="20"/>
    </row>
    <row r="33">
      <c r="A33" s="12">
        <v>16.0</v>
      </c>
      <c r="B33" s="12" t="s">
        <v>1550</v>
      </c>
      <c r="C33" s="13" t="s">
        <v>18</v>
      </c>
      <c r="D33" s="13" t="s">
        <v>1551</v>
      </c>
      <c r="E33" s="13" t="s">
        <v>20</v>
      </c>
      <c r="F33" s="13" t="s">
        <v>21</v>
      </c>
      <c r="G33" s="13">
        <v>17.0</v>
      </c>
      <c r="H33" s="13" t="s">
        <v>22</v>
      </c>
      <c r="I33" s="14">
        <v>1.0</v>
      </c>
      <c r="J33" s="15"/>
      <c r="K33" s="14">
        <v>608.51</v>
      </c>
      <c r="L33" s="14">
        <v>608.51</v>
      </c>
      <c r="M33" s="14">
        <v>0.0</v>
      </c>
      <c r="N33" s="14">
        <v>608.51</v>
      </c>
      <c r="O33" s="15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8" t="s">
        <v>63</v>
      </c>
      <c r="N34" s="18">
        <v>608.51</v>
      </c>
      <c r="O34" s="20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8" t="s">
        <v>233</v>
      </c>
      <c r="N35" s="19">
        <v>237509.16</v>
      </c>
      <c r="O35" s="20"/>
    </row>
  </sheetData>
  <drawing r:id="rId1"/>
</worksheet>
</file>