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0D6845CB-00A5-4599-8267-94415C08B17F}" xr6:coauthVersionLast="47" xr6:coauthVersionMax="47" xr10:uidLastSave="{00000000-0000-0000-0000-000000000000}"/>
  <bookViews>
    <workbookView xWindow="28680" yWindow="-120" windowWidth="29040" windowHeight="15720" xr2:uid="{54DAEAD8-98BB-45AC-A2CD-801BFBC5A9BA}"/>
  </bookViews>
  <sheets>
    <sheet name="C93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0" i="1" l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U973" i="1"/>
  <c r="U948" i="1"/>
  <c r="U902" i="1"/>
  <c r="U881" i="1"/>
  <c r="U836" i="1"/>
  <c r="U811" i="1"/>
  <c r="U780" i="1"/>
  <c r="U757" i="1"/>
  <c r="U728" i="1"/>
  <c r="U712" i="1"/>
  <c r="U683" i="1"/>
  <c r="U667" i="1"/>
  <c r="U648" i="1"/>
  <c r="U635" i="1"/>
  <c r="U611" i="1"/>
  <c r="U600" i="1"/>
  <c r="U582" i="1"/>
  <c r="U571" i="1"/>
  <c r="U556" i="1"/>
  <c r="U545" i="1"/>
  <c r="U526" i="1"/>
  <c r="U515" i="1"/>
  <c r="U496" i="1"/>
  <c r="U486" i="1"/>
  <c r="U471" i="1"/>
  <c r="U460" i="1"/>
  <c r="U440" i="1"/>
  <c r="U430" i="1"/>
  <c r="U417" i="1"/>
  <c r="U408" i="1"/>
  <c r="U396" i="1"/>
  <c r="U387" i="1"/>
  <c r="U375" i="1"/>
  <c r="U366" i="1"/>
  <c r="U353" i="1"/>
  <c r="U344" i="1"/>
  <c r="U332" i="1"/>
  <c r="U323" i="1"/>
  <c r="U311" i="1"/>
  <c r="U302" i="1"/>
  <c r="U289" i="1"/>
  <c r="U280" i="1"/>
  <c r="U268" i="1"/>
  <c r="U259" i="1"/>
  <c r="U247" i="1"/>
  <c r="U238" i="1"/>
  <c r="U225" i="1"/>
  <c r="U216" i="1"/>
  <c r="U204" i="1"/>
  <c r="U195" i="1"/>
  <c r="U183" i="1"/>
  <c r="U174" i="1"/>
  <c r="U163" i="1"/>
  <c r="U155" i="1"/>
  <c r="U144" i="1"/>
  <c r="U140" i="1"/>
  <c r="U129" i="1"/>
  <c r="U121" i="1"/>
  <c r="U111" i="1"/>
  <c r="U104" i="1"/>
  <c r="U94" i="1"/>
  <c r="U88" i="1"/>
  <c r="U78" i="1"/>
  <c r="U70" i="1"/>
  <c r="U59" i="1"/>
  <c r="U55" i="1"/>
  <c r="U44" i="1"/>
  <c r="U36" i="1"/>
  <c r="U25" i="1"/>
  <c r="U19" i="1"/>
  <c r="U8" i="1"/>
  <c r="U4" i="1"/>
  <c r="U2" i="1" a="1"/>
  <c r="U982" i="1" s="1"/>
  <c r="T2" i="1"/>
  <c r="S2" i="1"/>
  <c r="R1000" i="1"/>
  <c r="R995" i="1"/>
  <c r="R987" i="1"/>
  <c r="R984" i="1"/>
  <c r="R977" i="1"/>
  <c r="R974" i="1"/>
  <c r="R967" i="1"/>
  <c r="R962" i="1"/>
  <c r="R957" i="1"/>
  <c r="R953" i="1"/>
  <c r="R947" i="1"/>
  <c r="R944" i="1"/>
  <c r="R938" i="1"/>
  <c r="R935" i="1"/>
  <c r="R929" i="1"/>
  <c r="R926" i="1"/>
  <c r="R920" i="1"/>
  <c r="R917" i="1"/>
  <c r="R911" i="1"/>
  <c r="R908" i="1"/>
  <c r="R903" i="1"/>
  <c r="R900" i="1"/>
  <c r="R895" i="1"/>
  <c r="R892" i="1"/>
  <c r="R887" i="1"/>
  <c r="R884" i="1"/>
  <c r="R879" i="1"/>
  <c r="R876" i="1"/>
  <c r="R871" i="1"/>
  <c r="R868" i="1"/>
  <c r="R863" i="1"/>
  <c r="R860" i="1"/>
  <c r="R855" i="1"/>
  <c r="R852" i="1"/>
  <c r="R847" i="1"/>
  <c r="R844" i="1"/>
  <c r="R839" i="1"/>
  <c r="R836" i="1"/>
  <c r="R831" i="1"/>
  <c r="R828" i="1"/>
  <c r="R823" i="1"/>
  <c r="R820" i="1"/>
  <c r="R815" i="1"/>
  <c r="R812" i="1"/>
  <c r="R807" i="1"/>
  <c r="R804" i="1"/>
  <c r="R799" i="1"/>
  <c r="R796" i="1"/>
  <c r="R791" i="1"/>
  <c r="R788" i="1"/>
  <c r="R783" i="1"/>
  <c r="R780" i="1"/>
  <c r="R775" i="1"/>
  <c r="R772" i="1"/>
  <c r="R767" i="1"/>
  <c r="R764" i="1"/>
  <c r="R759" i="1"/>
  <c r="R756" i="1"/>
  <c r="R751" i="1"/>
  <c r="R748" i="1"/>
  <c r="R743" i="1"/>
  <c r="R740" i="1"/>
  <c r="R735" i="1"/>
  <c r="R732" i="1"/>
  <c r="R727" i="1"/>
  <c r="R724" i="1"/>
  <c r="R719" i="1"/>
  <c r="R716" i="1"/>
  <c r="R711" i="1"/>
  <c r="R708" i="1"/>
  <c r="R703" i="1"/>
  <c r="R700" i="1"/>
  <c r="R695" i="1"/>
  <c r="R692" i="1"/>
  <c r="R687" i="1"/>
  <c r="R684" i="1"/>
  <c r="R679" i="1"/>
  <c r="R676" i="1"/>
  <c r="R671" i="1"/>
  <c r="R668" i="1"/>
  <c r="R663" i="1"/>
  <c r="R660" i="1"/>
  <c r="R655" i="1"/>
  <c r="R652" i="1"/>
  <c r="R647" i="1"/>
  <c r="R644" i="1"/>
  <c r="R639" i="1"/>
  <c r="R636" i="1"/>
  <c r="R631" i="1"/>
  <c r="R628" i="1"/>
  <c r="R623" i="1"/>
  <c r="R620" i="1"/>
  <c r="R615" i="1"/>
  <c r="R612" i="1"/>
  <c r="R607" i="1"/>
  <c r="R604" i="1"/>
  <c r="R599" i="1"/>
  <c r="R596" i="1"/>
  <c r="R591" i="1"/>
  <c r="R588" i="1"/>
  <c r="R583" i="1"/>
  <c r="R580" i="1"/>
  <c r="R575" i="1"/>
  <c r="R572" i="1"/>
  <c r="R567" i="1"/>
  <c r="R564" i="1"/>
  <c r="R559" i="1"/>
  <c r="R556" i="1"/>
  <c r="R551" i="1"/>
  <c r="R548" i="1"/>
  <c r="R543" i="1"/>
  <c r="R540" i="1"/>
  <c r="R535" i="1"/>
  <c r="R532" i="1"/>
  <c r="R527" i="1"/>
  <c r="R524" i="1"/>
  <c r="R519" i="1"/>
  <c r="R516" i="1"/>
  <c r="R511" i="1"/>
  <c r="R508" i="1"/>
  <c r="R503" i="1"/>
  <c r="R500" i="1"/>
  <c r="R495" i="1"/>
  <c r="R492" i="1"/>
  <c r="R487" i="1"/>
  <c r="R484" i="1"/>
  <c r="R479" i="1"/>
  <c r="R476" i="1"/>
  <c r="R471" i="1"/>
  <c r="R468" i="1"/>
  <c r="R463" i="1"/>
  <c r="R460" i="1"/>
  <c r="R455" i="1"/>
  <c r="R452" i="1"/>
  <c r="R447" i="1"/>
  <c r="R444" i="1"/>
  <c r="R439" i="1"/>
  <c r="R436" i="1"/>
  <c r="R431" i="1"/>
  <c r="R428" i="1"/>
  <c r="R423" i="1"/>
  <c r="R420" i="1"/>
  <c r="R415" i="1"/>
  <c r="R412" i="1"/>
  <c r="R407" i="1"/>
  <c r="R404" i="1"/>
  <c r="R399" i="1"/>
  <c r="R396" i="1"/>
  <c r="R391" i="1"/>
  <c r="R388" i="1"/>
  <c r="R383" i="1"/>
  <c r="R380" i="1"/>
  <c r="R375" i="1"/>
  <c r="R372" i="1"/>
  <c r="R367" i="1"/>
  <c r="R364" i="1"/>
  <c r="R359" i="1"/>
  <c r="R356" i="1"/>
  <c r="R351" i="1"/>
  <c r="R348" i="1"/>
  <c r="R343" i="1"/>
  <c r="R340" i="1"/>
  <c r="R335" i="1"/>
  <c r="R332" i="1"/>
  <c r="R327" i="1"/>
  <c r="R324" i="1"/>
  <c r="R319" i="1"/>
  <c r="R316" i="1"/>
  <c r="R311" i="1"/>
  <c r="R308" i="1"/>
  <c r="R303" i="1"/>
  <c r="R300" i="1"/>
  <c r="R295" i="1"/>
  <c r="R292" i="1"/>
  <c r="R287" i="1"/>
  <c r="R284" i="1"/>
  <c r="R279" i="1"/>
  <c r="R276" i="1"/>
  <c r="R271" i="1"/>
  <c r="R268" i="1"/>
  <c r="R263" i="1"/>
  <c r="R260" i="1"/>
  <c r="R255" i="1"/>
  <c r="R252" i="1"/>
  <c r="R247" i="1"/>
  <c r="R244" i="1"/>
  <c r="R239" i="1"/>
  <c r="R236" i="1"/>
  <c r="R231" i="1"/>
  <c r="R228" i="1"/>
  <c r="R223" i="1"/>
  <c r="R220" i="1"/>
  <c r="R215" i="1"/>
  <c r="R212" i="1"/>
  <c r="R207" i="1"/>
  <c r="R204" i="1"/>
  <c r="R199" i="1"/>
  <c r="R196" i="1"/>
  <c r="R191" i="1"/>
  <c r="R188" i="1"/>
  <c r="R183" i="1"/>
  <c r="R180" i="1"/>
  <c r="R175" i="1"/>
  <c r="R172" i="1"/>
  <c r="R167" i="1"/>
  <c r="R164" i="1"/>
  <c r="R159" i="1"/>
  <c r="R156" i="1"/>
  <c r="R151" i="1"/>
  <c r="R148" i="1"/>
  <c r="R143" i="1"/>
  <c r="R140" i="1"/>
  <c r="R135" i="1"/>
  <c r="R132" i="1"/>
  <c r="R127" i="1"/>
  <c r="R124" i="1"/>
  <c r="R119" i="1"/>
  <c r="R116" i="1"/>
  <c r="R111" i="1"/>
  <c r="R108" i="1"/>
  <c r="R103" i="1"/>
  <c r="R100" i="1"/>
  <c r="R95" i="1"/>
  <c r="R92" i="1"/>
  <c r="R87" i="1"/>
  <c r="R84" i="1"/>
  <c r="R79" i="1"/>
  <c r="R76" i="1"/>
  <c r="R71" i="1"/>
  <c r="R68" i="1"/>
  <c r="R63" i="1"/>
  <c r="R60" i="1"/>
  <c r="R55" i="1"/>
  <c r="R52" i="1"/>
  <c r="R47" i="1"/>
  <c r="R44" i="1"/>
  <c r="R39" i="1"/>
  <c r="R36" i="1"/>
  <c r="R31" i="1"/>
  <c r="R28" i="1"/>
  <c r="R23" i="1"/>
  <c r="R20" i="1"/>
  <c r="R15" i="1"/>
  <c r="R12" i="1"/>
  <c r="R7" i="1"/>
  <c r="R4" i="1"/>
  <c r="R2" i="1" a="1"/>
  <c r="R989" i="1" s="1"/>
  <c r="R5" i="1" l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3" i="1"/>
  <c r="R501" i="1"/>
  <c r="R509" i="1"/>
  <c r="R517" i="1"/>
  <c r="R525" i="1"/>
  <c r="R533" i="1"/>
  <c r="R541" i="1"/>
  <c r="R549" i="1"/>
  <c r="R557" i="1"/>
  <c r="R565" i="1"/>
  <c r="R573" i="1"/>
  <c r="R581" i="1"/>
  <c r="R589" i="1"/>
  <c r="R597" i="1"/>
  <c r="R605" i="1"/>
  <c r="R613" i="1"/>
  <c r="R621" i="1"/>
  <c r="R629" i="1"/>
  <c r="R637" i="1"/>
  <c r="R645" i="1"/>
  <c r="R653" i="1"/>
  <c r="R661" i="1"/>
  <c r="R669" i="1"/>
  <c r="R677" i="1"/>
  <c r="R685" i="1"/>
  <c r="R693" i="1"/>
  <c r="R701" i="1"/>
  <c r="R709" i="1"/>
  <c r="R717" i="1"/>
  <c r="R725" i="1"/>
  <c r="R733" i="1"/>
  <c r="R741" i="1"/>
  <c r="R749" i="1"/>
  <c r="R757" i="1"/>
  <c r="R765" i="1"/>
  <c r="R773" i="1"/>
  <c r="R781" i="1"/>
  <c r="R789" i="1"/>
  <c r="R797" i="1"/>
  <c r="R805" i="1"/>
  <c r="R813" i="1"/>
  <c r="R821" i="1"/>
  <c r="R829" i="1"/>
  <c r="R837" i="1"/>
  <c r="R845" i="1"/>
  <c r="R853" i="1"/>
  <c r="R861" i="1"/>
  <c r="R869" i="1"/>
  <c r="R877" i="1"/>
  <c r="R885" i="1"/>
  <c r="R893" i="1"/>
  <c r="R901" i="1"/>
  <c r="R909" i="1"/>
  <c r="R918" i="1"/>
  <c r="R927" i="1"/>
  <c r="R936" i="1"/>
  <c r="R945" i="1"/>
  <c r="R954" i="1"/>
  <c r="R965" i="1"/>
  <c r="R975" i="1"/>
  <c r="R985" i="1"/>
  <c r="R997" i="1"/>
  <c r="U6" i="1"/>
  <c r="U23" i="1"/>
  <c r="U38" i="1"/>
  <c r="U56" i="1"/>
  <c r="U72" i="1"/>
  <c r="U89" i="1"/>
  <c r="U108" i="1"/>
  <c r="U123" i="1"/>
  <c r="U142" i="1"/>
  <c r="U158" i="1"/>
  <c r="U176" i="1"/>
  <c r="U198" i="1"/>
  <c r="U219" i="1"/>
  <c r="U240" i="1"/>
  <c r="U262" i="1"/>
  <c r="U283" i="1"/>
  <c r="U304" i="1"/>
  <c r="U326" i="1"/>
  <c r="U347" i="1"/>
  <c r="U368" i="1"/>
  <c r="U390" i="1"/>
  <c r="U411" i="1"/>
  <c r="U432" i="1"/>
  <c r="U462" i="1"/>
  <c r="U492" i="1"/>
  <c r="U518" i="1"/>
  <c r="U547" i="1"/>
  <c r="U577" i="1"/>
  <c r="U603" i="1"/>
  <c r="U636" i="1"/>
  <c r="U676" i="1"/>
  <c r="U715" i="1"/>
  <c r="U762" i="1"/>
  <c r="U827" i="1"/>
  <c r="U884" i="1"/>
  <c r="U954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2" i="1"/>
  <c r="R190" i="1"/>
  <c r="R198" i="1"/>
  <c r="R206" i="1"/>
  <c r="R214" i="1"/>
  <c r="R222" i="1"/>
  <c r="R230" i="1"/>
  <c r="R238" i="1"/>
  <c r="R246" i="1"/>
  <c r="R254" i="1"/>
  <c r="R262" i="1"/>
  <c r="R270" i="1"/>
  <c r="R278" i="1"/>
  <c r="R286" i="1"/>
  <c r="R294" i="1"/>
  <c r="R302" i="1"/>
  <c r="R310" i="1"/>
  <c r="R318" i="1"/>
  <c r="R326" i="1"/>
  <c r="R334" i="1"/>
  <c r="R342" i="1"/>
  <c r="R350" i="1"/>
  <c r="R358" i="1"/>
  <c r="R366" i="1"/>
  <c r="R374" i="1"/>
  <c r="R382" i="1"/>
  <c r="R390" i="1"/>
  <c r="R398" i="1"/>
  <c r="R406" i="1"/>
  <c r="R414" i="1"/>
  <c r="R422" i="1"/>
  <c r="R430" i="1"/>
  <c r="R438" i="1"/>
  <c r="R446" i="1"/>
  <c r="R454" i="1"/>
  <c r="R462" i="1"/>
  <c r="R470" i="1"/>
  <c r="R478" i="1"/>
  <c r="R486" i="1"/>
  <c r="R494" i="1"/>
  <c r="R502" i="1"/>
  <c r="R510" i="1"/>
  <c r="R518" i="1"/>
  <c r="R526" i="1"/>
  <c r="R534" i="1"/>
  <c r="R542" i="1"/>
  <c r="R550" i="1"/>
  <c r="R558" i="1"/>
  <c r="R566" i="1"/>
  <c r="R574" i="1"/>
  <c r="R582" i="1"/>
  <c r="R590" i="1"/>
  <c r="R598" i="1"/>
  <c r="R606" i="1"/>
  <c r="R614" i="1"/>
  <c r="R622" i="1"/>
  <c r="R630" i="1"/>
  <c r="R638" i="1"/>
  <c r="R646" i="1"/>
  <c r="R654" i="1"/>
  <c r="R662" i="1"/>
  <c r="R670" i="1"/>
  <c r="R678" i="1"/>
  <c r="R686" i="1"/>
  <c r="R694" i="1"/>
  <c r="R702" i="1"/>
  <c r="R710" i="1"/>
  <c r="R718" i="1"/>
  <c r="R726" i="1"/>
  <c r="R734" i="1"/>
  <c r="R742" i="1"/>
  <c r="R750" i="1"/>
  <c r="R758" i="1"/>
  <c r="R766" i="1"/>
  <c r="R774" i="1"/>
  <c r="R782" i="1"/>
  <c r="R790" i="1"/>
  <c r="R798" i="1"/>
  <c r="R806" i="1"/>
  <c r="R814" i="1"/>
  <c r="R822" i="1"/>
  <c r="R830" i="1"/>
  <c r="R838" i="1"/>
  <c r="R846" i="1"/>
  <c r="R854" i="1"/>
  <c r="R862" i="1"/>
  <c r="R870" i="1"/>
  <c r="R878" i="1"/>
  <c r="R886" i="1"/>
  <c r="R894" i="1"/>
  <c r="R902" i="1"/>
  <c r="R910" i="1"/>
  <c r="R919" i="1"/>
  <c r="R928" i="1"/>
  <c r="R937" i="1"/>
  <c r="R946" i="1"/>
  <c r="R955" i="1"/>
  <c r="R966" i="1"/>
  <c r="R976" i="1"/>
  <c r="R986" i="1"/>
  <c r="R998" i="1"/>
  <c r="U7" i="1"/>
  <c r="U24" i="1"/>
  <c r="U40" i="1"/>
  <c r="U57" i="1"/>
  <c r="U76" i="1"/>
  <c r="U91" i="1"/>
  <c r="U110" i="1"/>
  <c r="U126" i="1"/>
  <c r="U143" i="1"/>
  <c r="U161" i="1"/>
  <c r="U179" i="1"/>
  <c r="U200" i="1"/>
  <c r="U222" i="1"/>
  <c r="U243" i="1"/>
  <c r="U264" i="1"/>
  <c r="U286" i="1"/>
  <c r="U307" i="1"/>
  <c r="U328" i="1"/>
  <c r="U350" i="1"/>
  <c r="U371" i="1"/>
  <c r="U392" i="1"/>
  <c r="U414" i="1"/>
  <c r="U439" i="1"/>
  <c r="U464" i="1"/>
  <c r="U494" i="1"/>
  <c r="U524" i="1"/>
  <c r="U550" i="1"/>
  <c r="U579" i="1"/>
  <c r="U609" i="1"/>
  <c r="U640" i="1"/>
  <c r="U680" i="1"/>
  <c r="U724" i="1"/>
  <c r="U765" i="1"/>
  <c r="U829" i="1"/>
  <c r="U900" i="1"/>
  <c r="U957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6" i="1"/>
  <c r="R504" i="1"/>
  <c r="R512" i="1"/>
  <c r="R520" i="1"/>
  <c r="R528" i="1"/>
  <c r="R536" i="1"/>
  <c r="R544" i="1"/>
  <c r="R552" i="1"/>
  <c r="R560" i="1"/>
  <c r="R568" i="1"/>
  <c r="R576" i="1"/>
  <c r="R584" i="1"/>
  <c r="R592" i="1"/>
  <c r="R600" i="1"/>
  <c r="R608" i="1"/>
  <c r="R616" i="1"/>
  <c r="R624" i="1"/>
  <c r="R632" i="1"/>
  <c r="R640" i="1"/>
  <c r="R648" i="1"/>
  <c r="R656" i="1"/>
  <c r="R664" i="1"/>
  <c r="R672" i="1"/>
  <c r="R680" i="1"/>
  <c r="R688" i="1"/>
  <c r="R696" i="1"/>
  <c r="R704" i="1"/>
  <c r="R712" i="1"/>
  <c r="R720" i="1"/>
  <c r="R728" i="1"/>
  <c r="R736" i="1"/>
  <c r="R744" i="1"/>
  <c r="R752" i="1"/>
  <c r="R760" i="1"/>
  <c r="R768" i="1"/>
  <c r="R776" i="1"/>
  <c r="R784" i="1"/>
  <c r="R792" i="1"/>
  <c r="R800" i="1"/>
  <c r="R808" i="1"/>
  <c r="R816" i="1"/>
  <c r="R824" i="1"/>
  <c r="R832" i="1"/>
  <c r="R840" i="1"/>
  <c r="R848" i="1"/>
  <c r="R856" i="1"/>
  <c r="R864" i="1"/>
  <c r="R872" i="1"/>
  <c r="R880" i="1"/>
  <c r="R888" i="1"/>
  <c r="R896" i="1"/>
  <c r="R904" i="1"/>
  <c r="R912" i="1"/>
  <c r="R921" i="1"/>
  <c r="R930" i="1"/>
  <c r="R939" i="1"/>
  <c r="R949" i="1"/>
  <c r="R958" i="1"/>
  <c r="R968" i="1"/>
  <c r="R978" i="1"/>
  <c r="U12" i="1"/>
  <c r="U27" i="1"/>
  <c r="U46" i="1"/>
  <c r="U62" i="1"/>
  <c r="U79" i="1"/>
  <c r="U97" i="1"/>
  <c r="U112" i="1"/>
  <c r="U131" i="1"/>
  <c r="U147" i="1"/>
  <c r="U164" i="1"/>
  <c r="U184" i="1"/>
  <c r="U206" i="1"/>
  <c r="U227" i="1"/>
  <c r="U248" i="1"/>
  <c r="U270" i="1"/>
  <c r="U291" i="1"/>
  <c r="U312" i="1"/>
  <c r="U334" i="1"/>
  <c r="U355" i="1"/>
  <c r="U376" i="1"/>
  <c r="U398" i="1"/>
  <c r="U419" i="1"/>
  <c r="U443" i="1"/>
  <c r="U472" i="1"/>
  <c r="U503" i="1"/>
  <c r="U528" i="1"/>
  <c r="U558" i="1"/>
  <c r="U588" i="1"/>
  <c r="U614" i="1"/>
  <c r="U649" i="1"/>
  <c r="U692" i="1"/>
  <c r="U731" i="1"/>
  <c r="U781" i="1"/>
  <c r="U853" i="1"/>
  <c r="U909" i="1"/>
  <c r="U975" i="1"/>
  <c r="R999" i="1"/>
  <c r="R991" i="1"/>
  <c r="R996" i="1"/>
  <c r="R988" i="1"/>
  <c r="R980" i="1"/>
  <c r="R972" i="1"/>
  <c r="R964" i="1"/>
  <c r="R956" i="1"/>
  <c r="R948" i="1"/>
  <c r="R940" i="1"/>
  <c r="R932" i="1"/>
  <c r="R924" i="1"/>
  <c r="R916" i="1"/>
  <c r="R992" i="1"/>
  <c r="R982" i="1"/>
  <c r="R973" i="1"/>
  <c r="R963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97" i="1"/>
  <c r="R505" i="1"/>
  <c r="R513" i="1"/>
  <c r="R521" i="1"/>
  <c r="R529" i="1"/>
  <c r="R537" i="1"/>
  <c r="R545" i="1"/>
  <c r="R553" i="1"/>
  <c r="R561" i="1"/>
  <c r="R569" i="1"/>
  <c r="R577" i="1"/>
  <c r="R585" i="1"/>
  <c r="R593" i="1"/>
  <c r="R601" i="1"/>
  <c r="R609" i="1"/>
  <c r="R617" i="1"/>
  <c r="R625" i="1"/>
  <c r="R633" i="1"/>
  <c r="R641" i="1"/>
  <c r="R649" i="1"/>
  <c r="R657" i="1"/>
  <c r="R665" i="1"/>
  <c r="R673" i="1"/>
  <c r="R681" i="1"/>
  <c r="R689" i="1"/>
  <c r="R697" i="1"/>
  <c r="R705" i="1"/>
  <c r="R713" i="1"/>
  <c r="R721" i="1"/>
  <c r="R729" i="1"/>
  <c r="R737" i="1"/>
  <c r="R745" i="1"/>
  <c r="R753" i="1"/>
  <c r="R761" i="1"/>
  <c r="R769" i="1"/>
  <c r="R777" i="1"/>
  <c r="R785" i="1"/>
  <c r="R793" i="1"/>
  <c r="R801" i="1"/>
  <c r="R809" i="1"/>
  <c r="R817" i="1"/>
  <c r="R825" i="1"/>
  <c r="R833" i="1"/>
  <c r="R841" i="1"/>
  <c r="R849" i="1"/>
  <c r="R857" i="1"/>
  <c r="R865" i="1"/>
  <c r="R873" i="1"/>
  <c r="R881" i="1"/>
  <c r="R889" i="1"/>
  <c r="R897" i="1"/>
  <c r="R905" i="1"/>
  <c r="R913" i="1"/>
  <c r="R922" i="1"/>
  <c r="R931" i="1"/>
  <c r="R941" i="1"/>
  <c r="R950" i="1"/>
  <c r="R959" i="1"/>
  <c r="R969" i="1"/>
  <c r="R979" i="1"/>
  <c r="R990" i="1"/>
  <c r="U14" i="1"/>
  <c r="U30" i="1"/>
  <c r="U47" i="1"/>
  <c r="U65" i="1"/>
  <c r="U80" i="1"/>
  <c r="U99" i="1"/>
  <c r="U115" i="1"/>
  <c r="U132" i="1"/>
  <c r="U151" i="1"/>
  <c r="U166" i="1"/>
  <c r="U187" i="1"/>
  <c r="U208" i="1"/>
  <c r="U230" i="1"/>
  <c r="U251" i="1"/>
  <c r="U272" i="1"/>
  <c r="U294" i="1"/>
  <c r="U315" i="1"/>
  <c r="U336" i="1"/>
  <c r="U358" i="1"/>
  <c r="U379" i="1"/>
  <c r="U400" i="1"/>
  <c r="U422" i="1"/>
  <c r="U449" i="1"/>
  <c r="U475" i="1"/>
  <c r="U504" i="1"/>
  <c r="U535" i="1"/>
  <c r="U560" i="1"/>
  <c r="U590" i="1"/>
  <c r="U622" i="1"/>
  <c r="U652" i="1"/>
  <c r="U696" i="1"/>
  <c r="U740" i="1"/>
  <c r="U789" i="1"/>
  <c r="U854" i="1"/>
  <c r="U926" i="1"/>
  <c r="R2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R450" i="1"/>
  <c r="R458" i="1"/>
  <c r="R466" i="1"/>
  <c r="R474" i="1"/>
  <c r="R482" i="1"/>
  <c r="R490" i="1"/>
  <c r="R498" i="1"/>
  <c r="R506" i="1"/>
  <c r="R514" i="1"/>
  <c r="R522" i="1"/>
  <c r="R530" i="1"/>
  <c r="R538" i="1"/>
  <c r="R546" i="1"/>
  <c r="R554" i="1"/>
  <c r="R562" i="1"/>
  <c r="R570" i="1"/>
  <c r="R578" i="1"/>
  <c r="R586" i="1"/>
  <c r="R594" i="1"/>
  <c r="R602" i="1"/>
  <c r="R610" i="1"/>
  <c r="R618" i="1"/>
  <c r="R626" i="1"/>
  <c r="R634" i="1"/>
  <c r="R642" i="1"/>
  <c r="R650" i="1"/>
  <c r="R658" i="1"/>
  <c r="R666" i="1"/>
  <c r="R674" i="1"/>
  <c r="R682" i="1"/>
  <c r="R690" i="1"/>
  <c r="R698" i="1"/>
  <c r="R706" i="1"/>
  <c r="R714" i="1"/>
  <c r="R722" i="1"/>
  <c r="R730" i="1"/>
  <c r="R738" i="1"/>
  <c r="R746" i="1"/>
  <c r="R754" i="1"/>
  <c r="R762" i="1"/>
  <c r="R770" i="1"/>
  <c r="R778" i="1"/>
  <c r="R786" i="1"/>
  <c r="R794" i="1"/>
  <c r="R802" i="1"/>
  <c r="R810" i="1"/>
  <c r="R818" i="1"/>
  <c r="R826" i="1"/>
  <c r="R834" i="1"/>
  <c r="R842" i="1"/>
  <c r="R850" i="1"/>
  <c r="R858" i="1"/>
  <c r="R866" i="1"/>
  <c r="R874" i="1"/>
  <c r="R882" i="1"/>
  <c r="R890" i="1"/>
  <c r="R898" i="1"/>
  <c r="R906" i="1"/>
  <c r="R914" i="1"/>
  <c r="R923" i="1"/>
  <c r="R933" i="1"/>
  <c r="R942" i="1"/>
  <c r="R951" i="1"/>
  <c r="R960" i="1"/>
  <c r="R970" i="1"/>
  <c r="R981" i="1"/>
  <c r="R993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998" i="1"/>
  <c r="U989" i="1"/>
  <c r="U980" i="1"/>
  <c r="U971" i="1"/>
  <c r="U962" i="1"/>
  <c r="U953" i="1"/>
  <c r="U943" i="1"/>
  <c r="U934" i="1"/>
  <c r="U925" i="1"/>
  <c r="U916" i="1"/>
  <c r="U907" i="1"/>
  <c r="U898" i="1"/>
  <c r="U889" i="1"/>
  <c r="U879" i="1"/>
  <c r="U870" i="1"/>
  <c r="U861" i="1"/>
  <c r="U852" i="1"/>
  <c r="U843" i="1"/>
  <c r="U834" i="1"/>
  <c r="U825" i="1"/>
  <c r="U815" i="1"/>
  <c r="U806" i="1"/>
  <c r="U797" i="1"/>
  <c r="U788" i="1"/>
  <c r="U779" i="1"/>
  <c r="U770" i="1"/>
  <c r="U761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997" i="1"/>
  <c r="U988" i="1"/>
  <c r="U979" i="1"/>
  <c r="U970" i="1"/>
  <c r="U961" i="1"/>
  <c r="U951" i="1"/>
  <c r="U942" i="1"/>
  <c r="U933" i="1"/>
  <c r="U924" i="1"/>
  <c r="U915" i="1"/>
  <c r="U906" i="1"/>
  <c r="U897" i="1"/>
  <c r="U887" i="1"/>
  <c r="U878" i="1"/>
  <c r="U869" i="1"/>
  <c r="U860" i="1"/>
  <c r="U851" i="1"/>
  <c r="U842" i="1"/>
  <c r="U833" i="1"/>
  <c r="U823" i="1"/>
  <c r="U814" i="1"/>
  <c r="U805" i="1"/>
  <c r="U796" i="1"/>
  <c r="U787" i="1"/>
  <c r="U778" i="1"/>
  <c r="U769" i="1"/>
  <c r="U759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996" i="1"/>
  <c r="U987" i="1"/>
  <c r="U978" i="1"/>
  <c r="U969" i="1"/>
  <c r="U959" i="1"/>
  <c r="U950" i="1"/>
  <c r="U941" i="1"/>
  <c r="U932" i="1"/>
  <c r="U923" i="1"/>
  <c r="U914" i="1"/>
  <c r="U905" i="1"/>
  <c r="U895" i="1"/>
  <c r="U886" i="1"/>
  <c r="U877" i="1"/>
  <c r="U868" i="1"/>
  <c r="U859" i="1"/>
  <c r="U850" i="1"/>
  <c r="U841" i="1"/>
  <c r="U831" i="1"/>
  <c r="U822" i="1"/>
  <c r="U813" i="1"/>
  <c r="U804" i="1"/>
  <c r="U795" i="1"/>
  <c r="U786" i="1"/>
  <c r="U777" i="1"/>
  <c r="U767" i="1"/>
  <c r="U758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995" i="1"/>
  <c r="U986" i="1"/>
  <c r="U977" i="1"/>
  <c r="U967" i="1"/>
  <c r="U958" i="1"/>
  <c r="U949" i="1"/>
  <c r="U940" i="1"/>
  <c r="U931" i="1"/>
  <c r="U922" i="1"/>
  <c r="U913" i="1"/>
  <c r="U903" i="1"/>
  <c r="U894" i="1"/>
  <c r="U885" i="1"/>
  <c r="U876" i="1"/>
  <c r="U867" i="1"/>
  <c r="U858" i="1"/>
  <c r="U849" i="1"/>
  <c r="U839" i="1"/>
  <c r="U830" i="1"/>
  <c r="U821" i="1"/>
  <c r="U812" i="1"/>
  <c r="U803" i="1"/>
  <c r="U794" i="1"/>
  <c r="U785" i="1"/>
  <c r="U775" i="1"/>
  <c r="U993" i="1"/>
  <c r="U983" i="1"/>
  <c r="U974" i="1"/>
  <c r="U965" i="1"/>
  <c r="U956" i="1"/>
  <c r="U947" i="1"/>
  <c r="U938" i="1"/>
  <c r="U929" i="1"/>
  <c r="U919" i="1"/>
  <c r="U910" i="1"/>
  <c r="U901" i="1"/>
  <c r="U892" i="1"/>
  <c r="U883" i="1"/>
  <c r="U874" i="1"/>
  <c r="U865" i="1"/>
  <c r="U855" i="1"/>
  <c r="U846" i="1"/>
  <c r="U837" i="1"/>
  <c r="U828" i="1"/>
  <c r="U819" i="1"/>
  <c r="U810" i="1"/>
  <c r="U801" i="1"/>
  <c r="U791" i="1"/>
  <c r="U782" i="1"/>
  <c r="U773" i="1"/>
  <c r="U764" i="1"/>
  <c r="U755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U2" i="1"/>
  <c r="U994" i="1"/>
  <c r="U972" i="1"/>
  <c r="U946" i="1"/>
  <c r="U921" i="1"/>
  <c r="U899" i="1"/>
  <c r="U873" i="1"/>
  <c r="U847" i="1"/>
  <c r="U826" i="1"/>
  <c r="U799" i="1"/>
  <c r="U774" i="1"/>
  <c r="U756" i="1"/>
  <c r="U739" i="1"/>
  <c r="U723" i="1"/>
  <c r="U707" i="1"/>
  <c r="U691" i="1"/>
  <c r="U675" i="1"/>
  <c r="U659" i="1"/>
  <c r="U646" i="1"/>
  <c r="U633" i="1"/>
  <c r="U620" i="1"/>
  <c r="U608" i="1"/>
  <c r="U598" i="1"/>
  <c r="U587" i="1"/>
  <c r="U576" i="1"/>
  <c r="U566" i="1"/>
  <c r="U555" i="1"/>
  <c r="U544" i="1"/>
  <c r="U534" i="1"/>
  <c r="U523" i="1"/>
  <c r="U512" i="1"/>
  <c r="U502" i="1"/>
  <c r="U491" i="1"/>
  <c r="U480" i="1"/>
  <c r="U470" i="1"/>
  <c r="U459" i="1"/>
  <c r="U448" i="1"/>
  <c r="U438" i="1"/>
  <c r="U427" i="1"/>
  <c r="U416" i="1"/>
  <c r="U406" i="1"/>
  <c r="U395" i="1"/>
  <c r="U384" i="1"/>
  <c r="U374" i="1"/>
  <c r="U363" i="1"/>
  <c r="U352" i="1"/>
  <c r="U342" i="1"/>
  <c r="U331" i="1"/>
  <c r="U320" i="1"/>
  <c r="U310" i="1"/>
  <c r="U299" i="1"/>
  <c r="U288" i="1"/>
  <c r="U278" i="1"/>
  <c r="U267" i="1"/>
  <c r="U256" i="1"/>
  <c r="U246" i="1"/>
  <c r="U235" i="1"/>
  <c r="U224" i="1"/>
  <c r="U214" i="1"/>
  <c r="U203" i="1"/>
  <c r="U192" i="1"/>
  <c r="U182" i="1"/>
  <c r="U171" i="1"/>
  <c r="U160" i="1"/>
  <c r="U150" i="1"/>
  <c r="U139" i="1"/>
  <c r="U128" i="1"/>
  <c r="U118" i="1"/>
  <c r="U107" i="1"/>
  <c r="U96" i="1"/>
  <c r="U86" i="1"/>
  <c r="U75" i="1"/>
  <c r="U64" i="1"/>
  <c r="U54" i="1"/>
  <c r="U43" i="1"/>
  <c r="U32" i="1"/>
  <c r="U22" i="1"/>
  <c r="U11" i="1"/>
  <c r="U991" i="1"/>
  <c r="U966" i="1"/>
  <c r="U945" i="1"/>
  <c r="U918" i="1"/>
  <c r="U893" i="1"/>
  <c r="U871" i="1"/>
  <c r="U845" i="1"/>
  <c r="U820" i="1"/>
  <c r="U798" i="1"/>
  <c r="U772" i="1"/>
  <c r="U754" i="1"/>
  <c r="U737" i="1"/>
  <c r="U721" i="1"/>
  <c r="U705" i="1"/>
  <c r="U689" i="1"/>
  <c r="U673" i="1"/>
  <c r="U657" i="1"/>
  <c r="U644" i="1"/>
  <c r="U632" i="1"/>
  <c r="U619" i="1"/>
  <c r="U607" i="1"/>
  <c r="U596" i="1"/>
  <c r="U585" i="1"/>
  <c r="U575" i="1"/>
  <c r="U564" i="1"/>
  <c r="U553" i="1"/>
  <c r="U543" i="1"/>
  <c r="U532" i="1"/>
  <c r="U521" i="1"/>
  <c r="U511" i="1"/>
  <c r="U500" i="1"/>
  <c r="U489" i="1"/>
  <c r="U479" i="1"/>
  <c r="U468" i="1"/>
  <c r="U457" i="1"/>
  <c r="U447" i="1"/>
  <c r="U436" i="1"/>
  <c r="U425" i="1"/>
  <c r="U415" i="1"/>
  <c r="U404" i="1"/>
  <c r="U393" i="1"/>
  <c r="U383" i="1"/>
  <c r="U372" i="1"/>
  <c r="U361" i="1"/>
  <c r="U351" i="1"/>
  <c r="U340" i="1"/>
  <c r="U329" i="1"/>
  <c r="U319" i="1"/>
  <c r="U308" i="1"/>
  <c r="U297" i="1"/>
  <c r="U287" i="1"/>
  <c r="U276" i="1"/>
  <c r="U265" i="1"/>
  <c r="U255" i="1"/>
  <c r="U244" i="1"/>
  <c r="U233" i="1"/>
  <c r="U223" i="1"/>
  <c r="U212" i="1"/>
  <c r="U201" i="1"/>
  <c r="U191" i="1"/>
  <c r="U180" i="1"/>
  <c r="U169" i="1"/>
  <c r="U159" i="1"/>
  <c r="U148" i="1"/>
  <c r="U137" i="1"/>
  <c r="U127" i="1"/>
  <c r="U116" i="1"/>
  <c r="U105" i="1"/>
  <c r="U95" i="1"/>
  <c r="U84" i="1"/>
  <c r="U73" i="1"/>
  <c r="U63" i="1"/>
  <c r="U52" i="1"/>
  <c r="U41" i="1"/>
  <c r="U31" i="1"/>
  <c r="U20" i="1"/>
  <c r="U9" i="1"/>
  <c r="U990" i="1"/>
  <c r="U964" i="1"/>
  <c r="U939" i="1"/>
  <c r="U917" i="1"/>
  <c r="U891" i="1"/>
  <c r="U866" i="1"/>
  <c r="U844" i="1"/>
  <c r="U818" i="1"/>
  <c r="U793" i="1"/>
  <c r="U771" i="1"/>
  <c r="U753" i="1"/>
  <c r="U736" i="1"/>
  <c r="U720" i="1"/>
  <c r="U704" i="1"/>
  <c r="U688" i="1"/>
  <c r="U672" i="1"/>
  <c r="U656" i="1"/>
  <c r="U643" i="1"/>
  <c r="U630" i="1"/>
  <c r="U617" i="1"/>
  <c r="U606" i="1"/>
  <c r="U595" i="1"/>
  <c r="U584" i="1"/>
  <c r="U574" i="1"/>
  <c r="U563" i="1"/>
  <c r="U552" i="1"/>
  <c r="U542" i="1"/>
  <c r="U531" i="1"/>
  <c r="U520" i="1"/>
  <c r="U510" i="1"/>
  <c r="U499" i="1"/>
  <c r="U488" i="1"/>
  <c r="U478" i="1"/>
  <c r="U467" i="1"/>
  <c r="U456" i="1"/>
  <c r="U446" i="1"/>
  <c r="U435" i="1"/>
  <c r="U985" i="1"/>
  <c r="U963" i="1"/>
  <c r="U937" i="1"/>
  <c r="U911" i="1"/>
  <c r="U890" i="1"/>
  <c r="U863" i="1"/>
  <c r="U838" i="1"/>
  <c r="U817" i="1"/>
  <c r="U790" i="1"/>
  <c r="U766" i="1"/>
  <c r="U748" i="1"/>
  <c r="U732" i="1"/>
  <c r="U716" i="1"/>
  <c r="U700" i="1"/>
  <c r="U684" i="1"/>
  <c r="U668" i="1"/>
  <c r="U654" i="1"/>
  <c r="U641" i="1"/>
  <c r="U628" i="1"/>
  <c r="U616" i="1"/>
  <c r="U604" i="1"/>
  <c r="U593" i="1"/>
  <c r="U583" i="1"/>
  <c r="U572" i="1"/>
  <c r="U561" i="1"/>
  <c r="U551" i="1"/>
  <c r="U540" i="1"/>
  <c r="U529" i="1"/>
  <c r="U519" i="1"/>
  <c r="U508" i="1"/>
  <c r="U497" i="1"/>
  <c r="U487" i="1"/>
  <c r="U476" i="1"/>
  <c r="U465" i="1"/>
  <c r="U455" i="1"/>
  <c r="U444" i="1"/>
  <c r="U433" i="1"/>
  <c r="U423" i="1"/>
  <c r="U412" i="1"/>
  <c r="U401" i="1"/>
  <c r="U391" i="1"/>
  <c r="U380" i="1"/>
  <c r="U369" i="1"/>
  <c r="U359" i="1"/>
  <c r="U348" i="1"/>
  <c r="U337" i="1"/>
  <c r="U327" i="1"/>
  <c r="U316" i="1"/>
  <c r="U305" i="1"/>
  <c r="U295" i="1"/>
  <c r="U284" i="1"/>
  <c r="U273" i="1"/>
  <c r="U263" i="1"/>
  <c r="U252" i="1"/>
  <c r="U241" i="1"/>
  <c r="U231" i="1"/>
  <c r="U220" i="1"/>
  <c r="U209" i="1"/>
  <c r="U199" i="1"/>
  <c r="U188" i="1"/>
  <c r="U177" i="1"/>
  <c r="U167" i="1"/>
  <c r="U156" i="1"/>
  <c r="U145" i="1"/>
  <c r="U135" i="1"/>
  <c r="U124" i="1"/>
  <c r="U113" i="1"/>
  <c r="U103" i="1"/>
  <c r="U92" i="1"/>
  <c r="U81" i="1"/>
  <c r="U71" i="1"/>
  <c r="U60" i="1"/>
  <c r="U49" i="1"/>
  <c r="U39" i="1"/>
  <c r="U28" i="1"/>
  <c r="U17" i="1"/>
  <c r="U981" i="1"/>
  <c r="U955" i="1"/>
  <c r="U930" i="1"/>
  <c r="U908" i="1"/>
  <c r="U882" i="1"/>
  <c r="U857" i="1"/>
  <c r="U835" i="1"/>
  <c r="U809" i="1"/>
  <c r="U783" i="1"/>
  <c r="U763" i="1"/>
  <c r="U745" i="1"/>
  <c r="U729" i="1"/>
  <c r="U713" i="1"/>
  <c r="U697" i="1"/>
  <c r="U681" i="1"/>
  <c r="U665" i="1"/>
  <c r="U651" i="1"/>
  <c r="U638" i="1"/>
  <c r="U625" i="1"/>
  <c r="U612" i="1"/>
  <c r="U601" i="1"/>
  <c r="U591" i="1"/>
  <c r="U580" i="1"/>
  <c r="U569" i="1"/>
  <c r="U559" i="1"/>
  <c r="U548" i="1"/>
  <c r="U537" i="1"/>
  <c r="U527" i="1"/>
  <c r="U516" i="1"/>
  <c r="U505" i="1"/>
  <c r="U495" i="1"/>
  <c r="U484" i="1"/>
  <c r="U473" i="1"/>
  <c r="U463" i="1"/>
  <c r="U452" i="1"/>
  <c r="U441" i="1"/>
  <c r="U431" i="1"/>
  <c r="U420" i="1"/>
  <c r="U409" i="1"/>
  <c r="U399" i="1"/>
  <c r="U388" i="1"/>
  <c r="U377" i="1"/>
  <c r="U367" i="1"/>
  <c r="U356" i="1"/>
  <c r="U345" i="1"/>
  <c r="U335" i="1"/>
  <c r="U324" i="1"/>
  <c r="U313" i="1"/>
  <c r="U303" i="1"/>
  <c r="U292" i="1"/>
  <c r="U281" i="1"/>
  <c r="U271" i="1"/>
  <c r="U260" i="1"/>
  <c r="U249" i="1"/>
  <c r="U239" i="1"/>
  <c r="U228" i="1"/>
  <c r="U217" i="1"/>
  <c r="U207" i="1"/>
  <c r="U196" i="1"/>
  <c r="U185" i="1"/>
  <c r="U175" i="1"/>
  <c r="U15" i="1"/>
  <c r="U33" i="1"/>
  <c r="U48" i="1"/>
  <c r="U67" i="1"/>
  <c r="U83" i="1"/>
  <c r="U100" i="1"/>
  <c r="U119" i="1"/>
  <c r="U134" i="1"/>
  <c r="U152" i="1"/>
  <c r="U168" i="1"/>
  <c r="U190" i="1"/>
  <c r="U211" i="1"/>
  <c r="U232" i="1"/>
  <c r="U254" i="1"/>
  <c r="U275" i="1"/>
  <c r="U296" i="1"/>
  <c r="U318" i="1"/>
  <c r="U339" i="1"/>
  <c r="U360" i="1"/>
  <c r="U382" i="1"/>
  <c r="U403" i="1"/>
  <c r="U424" i="1"/>
  <c r="U451" i="1"/>
  <c r="U481" i="1"/>
  <c r="U507" i="1"/>
  <c r="U536" i="1"/>
  <c r="U567" i="1"/>
  <c r="U592" i="1"/>
  <c r="U624" i="1"/>
  <c r="U660" i="1"/>
  <c r="U699" i="1"/>
  <c r="U744" i="1"/>
  <c r="U802" i="1"/>
  <c r="U862" i="1"/>
  <c r="U927" i="1"/>
  <c r="U999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203" i="1"/>
  <c r="R211" i="1"/>
  <c r="R219" i="1"/>
  <c r="R227" i="1"/>
  <c r="R235" i="1"/>
  <c r="R243" i="1"/>
  <c r="R251" i="1"/>
  <c r="R259" i="1"/>
  <c r="R267" i="1"/>
  <c r="R275" i="1"/>
  <c r="R283" i="1"/>
  <c r="R291" i="1"/>
  <c r="R299" i="1"/>
  <c r="R307" i="1"/>
  <c r="R315" i="1"/>
  <c r="R323" i="1"/>
  <c r="R331" i="1"/>
  <c r="R339" i="1"/>
  <c r="R347" i="1"/>
  <c r="R355" i="1"/>
  <c r="R363" i="1"/>
  <c r="R371" i="1"/>
  <c r="R379" i="1"/>
  <c r="R387" i="1"/>
  <c r="R395" i="1"/>
  <c r="R403" i="1"/>
  <c r="R411" i="1"/>
  <c r="R419" i="1"/>
  <c r="R427" i="1"/>
  <c r="R435" i="1"/>
  <c r="R443" i="1"/>
  <c r="R451" i="1"/>
  <c r="R459" i="1"/>
  <c r="R467" i="1"/>
  <c r="R475" i="1"/>
  <c r="R483" i="1"/>
  <c r="R491" i="1"/>
  <c r="R499" i="1"/>
  <c r="R507" i="1"/>
  <c r="R515" i="1"/>
  <c r="R523" i="1"/>
  <c r="R531" i="1"/>
  <c r="R539" i="1"/>
  <c r="R547" i="1"/>
  <c r="R555" i="1"/>
  <c r="R563" i="1"/>
  <c r="R571" i="1"/>
  <c r="R579" i="1"/>
  <c r="R587" i="1"/>
  <c r="R595" i="1"/>
  <c r="R603" i="1"/>
  <c r="R611" i="1"/>
  <c r="R619" i="1"/>
  <c r="R627" i="1"/>
  <c r="R635" i="1"/>
  <c r="R643" i="1"/>
  <c r="R651" i="1"/>
  <c r="R659" i="1"/>
  <c r="R667" i="1"/>
  <c r="R675" i="1"/>
  <c r="R683" i="1"/>
  <c r="R691" i="1"/>
  <c r="R699" i="1"/>
  <c r="R707" i="1"/>
  <c r="R715" i="1"/>
  <c r="R723" i="1"/>
  <c r="R731" i="1"/>
  <c r="R739" i="1"/>
  <c r="R747" i="1"/>
  <c r="R755" i="1"/>
  <c r="R763" i="1"/>
  <c r="R771" i="1"/>
  <c r="R779" i="1"/>
  <c r="R787" i="1"/>
  <c r="R795" i="1"/>
  <c r="R803" i="1"/>
  <c r="R811" i="1"/>
  <c r="R819" i="1"/>
  <c r="R827" i="1"/>
  <c r="R835" i="1"/>
  <c r="R843" i="1"/>
  <c r="R851" i="1"/>
  <c r="R859" i="1"/>
  <c r="R867" i="1"/>
  <c r="R875" i="1"/>
  <c r="R883" i="1"/>
  <c r="R891" i="1"/>
  <c r="R899" i="1"/>
  <c r="R907" i="1"/>
  <c r="R915" i="1"/>
  <c r="R925" i="1"/>
  <c r="R934" i="1"/>
  <c r="R943" i="1"/>
  <c r="R952" i="1"/>
  <c r="R961" i="1"/>
  <c r="R971" i="1"/>
  <c r="R983" i="1"/>
  <c r="R994" i="1"/>
  <c r="U3" i="1"/>
  <c r="U16" i="1"/>
  <c r="U35" i="1"/>
  <c r="U51" i="1"/>
  <c r="U68" i="1"/>
  <c r="U87" i="1"/>
  <c r="U102" i="1"/>
  <c r="U120" i="1"/>
  <c r="U136" i="1"/>
  <c r="U153" i="1"/>
  <c r="U172" i="1"/>
  <c r="U193" i="1"/>
  <c r="U215" i="1"/>
  <c r="U236" i="1"/>
  <c r="U257" i="1"/>
  <c r="U279" i="1"/>
  <c r="U300" i="1"/>
  <c r="U321" i="1"/>
  <c r="U343" i="1"/>
  <c r="U364" i="1"/>
  <c r="U385" i="1"/>
  <c r="U407" i="1"/>
  <c r="U428" i="1"/>
  <c r="U454" i="1"/>
  <c r="U483" i="1"/>
  <c r="U513" i="1"/>
  <c r="U539" i="1"/>
  <c r="U568" i="1"/>
  <c r="U599" i="1"/>
  <c r="U627" i="1"/>
  <c r="U664" i="1"/>
  <c r="U708" i="1"/>
  <c r="U747" i="1"/>
  <c r="U807" i="1"/>
  <c r="U875" i="1"/>
  <c r="U935" i="1"/>
  <c r="W2" i="1" l="1" a="1"/>
  <c r="V2" i="1" a="1"/>
  <c r="V1000" i="1" l="1"/>
  <c r="V992" i="1"/>
  <c r="V984" i="1"/>
  <c r="V976" i="1"/>
  <c r="V968" i="1"/>
  <c r="V960" i="1"/>
  <c r="V952" i="1"/>
  <c r="V944" i="1"/>
  <c r="V936" i="1"/>
  <c r="V928" i="1"/>
  <c r="V920" i="1"/>
  <c r="V912" i="1"/>
  <c r="V904" i="1"/>
  <c r="V896" i="1"/>
  <c r="V888" i="1"/>
  <c r="V880" i="1"/>
  <c r="V872" i="1"/>
  <c r="V864" i="1"/>
  <c r="V856" i="1"/>
  <c r="V848" i="1"/>
  <c r="V840" i="1"/>
  <c r="V832" i="1"/>
  <c r="V824" i="1"/>
  <c r="V816" i="1"/>
  <c r="V808" i="1"/>
  <c r="V800" i="1"/>
  <c r="V792" i="1"/>
  <c r="V784" i="1"/>
  <c r="V776" i="1"/>
  <c r="V768" i="1"/>
  <c r="V760" i="1"/>
  <c r="V752" i="1"/>
  <c r="V744" i="1"/>
  <c r="V736" i="1"/>
  <c r="V728" i="1"/>
  <c r="V720" i="1"/>
  <c r="V712" i="1"/>
  <c r="V704" i="1"/>
  <c r="V696" i="1"/>
  <c r="V688" i="1"/>
  <c r="V680" i="1"/>
  <c r="V672" i="1"/>
  <c r="V664" i="1"/>
  <c r="V656" i="1"/>
  <c r="V648" i="1"/>
  <c r="V640" i="1"/>
  <c r="V632" i="1"/>
  <c r="V624" i="1"/>
  <c r="V616" i="1"/>
  <c r="V608" i="1"/>
  <c r="V600" i="1"/>
  <c r="V592" i="1"/>
  <c r="V584" i="1"/>
  <c r="V576" i="1"/>
  <c r="V568" i="1"/>
  <c r="V560" i="1"/>
  <c r="V552" i="1"/>
  <c r="V544" i="1"/>
  <c r="V536" i="1"/>
  <c r="V528" i="1"/>
  <c r="V520" i="1"/>
  <c r="V512" i="1"/>
  <c r="V504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998" i="1"/>
  <c r="V990" i="1"/>
  <c r="V982" i="1"/>
  <c r="V974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994" i="1"/>
  <c r="V986" i="1"/>
  <c r="V978" i="1"/>
  <c r="V970" i="1"/>
  <c r="V962" i="1"/>
  <c r="V954" i="1"/>
  <c r="V946" i="1"/>
  <c r="V938" i="1"/>
  <c r="V930" i="1"/>
  <c r="V922" i="1"/>
  <c r="V914" i="1"/>
  <c r="V906" i="1"/>
  <c r="V898" i="1"/>
  <c r="V890" i="1"/>
  <c r="V882" i="1"/>
  <c r="V874" i="1"/>
  <c r="V866" i="1"/>
  <c r="V858" i="1"/>
  <c r="V850" i="1"/>
  <c r="V842" i="1"/>
  <c r="V834" i="1"/>
  <c r="V826" i="1"/>
  <c r="V818" i="1"/>
  <c r="V810" i="1"/>
  <c r="V802" i="1"/>
  <c r="V794" i="1"/>
  <c r="V786" i="1"/>
  <c r="V778" i="1"/>
  <c r="V770" i="1"/>
  <c r="V762" i="1"/>
  <c r="V754" i="1"/>
  <c r="V746" i="1"/>
  <c r="V738" i="1"/>
  <c r="V730" i="1"/>
  <c r="V722" i="1"/>
  <c r="V714" i="1"/>
  <c r="V706" i="1"/>
  <c r="V698" i="1"/>
  <c r="V690" i="1"/>
  <c r="V682" i="1"/>
  <c r="V674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6" i="1"/>
  <c r="V498" i="1"/>
  <c r="V490" i="1"/>
  <c r="V482" i="1"/>
  <c r="V474" i="1"/>
  <c r="V466" i="1"/>
  <c r="V458" i="1"/>
  <c r="V450" i="1"/>
  <c r="V442" i="1"/>
  <c r="V434" i="1"/>
  <c r="V426" i="1"/>
  <c r="V418" i="1"/>
  <c r="V410" i="1"/>
  <c r="V402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989" i="1"/>
  <c r="V977" i="1"/>
  <c r="V964" i="1"/>
  <c r="V951" i="1"/>
  <c r="V939" i="1"/>
  <c r="V925" i="1"/>
  <c r="V913" i="1"/>
  <c r="V900" i="1"/>
  <c r="V887" i="1"/>
  <c r="V875" i="1"/>
  <c r="V861" i="1"/>
  <c r="V849" i="1"/>
  <c r="V836" i="1"/>
  <c r="V823" i="1"/>
  <c r="V811" i="1"/>
  <c r="V797" i="1"/>
  <c r="V785" i="1"/>
  <c r="V772" i="1"/>
  <c r="V759" i="1"/>
  <c r="V747" i="1"/>
  <c r="V733" i="1"/>
  <c r="V721" i="1"/>
  <c r="V708" i="1"/>
  <c r="V695" i="1"/>
  <c r="V683" i="1"/>
  <c r="V669" i="1"/>
  <c r="V657" i="1"/>
  <c r="V999" i="1"/>
  <c r="V987" i="1"/>
  <c r="V973" i="1"/>
  <c r="V961" i="1"/>
  <c r="V948" i="1"/>
  <c r="V935" i="1"/>
  <c r="V923" i="1"/>
  <c r="V909" i="1"/>
  <c r="V897" i="1"/>
  <c r="V884" i="1"/>
  <c r="V871" i="1"/>
  <c r="V859" i="1"/>
  <c r="V845" i="1"/>
  <c r="V833" i="1"/>
  <c r="V820" i="1"/>
  <c r="V807" i="1"/>
  <c r="V795" i="1"/>
  <c r="V781" i="1"/>
  <c r="V769" i="1"/>
  <c r="V756" i="1"/>
  <c r="V743" i="1"/>
  <c r="V731" i="1"/>
  <c r="V717" i="1"/>
  <c r="V705" i="1"/>
  <c r="V692" i="1"/>
  <c r="V679" i="1"/>
  <c r="V667" i="1"/>
  <c r="V653" i="1"/>
  <c r="V641" i="1"/>
  <c r="V628" i="1"/>
  <c r="V615" i="1"/>
  <c r="V603" i="1"/>
  <c r="V589" i="1"/>
  <c r="V577" i="1"/>
  <c r="V564" i="1"/>
  <c r="V551" i="1"/>
  <c r="V539" i="1"/>
  <c r="V525" i="1"/>
  <c r="V513" i="1"/>
  <c r="V500" i="1"/>
  <c r="V487" i="1"/>
  <c r="V475" i="1"/>
  <c r="V461" i="1"/>
  <c r="V995" i="1"/>
  <c r="V981" i="1"/>
  <c r="V969" i="1"/>
  <c r="V956" i="1"/>
  <c r="V943" i="1"/>
  <c r="V931" i="1"/>
  <c r="V917" i="1"/>
  <c r="V905" i="1"/>
  <c r="V892" i="1"/>
  <c r="V879" i="1"/>
  <c r="V867" i="1"/>
  <c r="V853" i="1"/>
  <c r="V841" i="1"/>
  <c r="V828" i="1"/>
  <c r="V815" i="1"/>
  <c r="V803" i="1"/>
  <c r="V789" i="1"/>
  <c r="V777" i="1"/>
  <c r="V764" i="1"/>
  <c r="V751" i="1"/>
  <c r="V739" i="1"/>
  <c r="V725" i="1"/>
  <c r="V713" i="1"/>
  <c r="V700" i="1"/>
  <c r="V687" i="1"/>
  <c r="V675" i="1"/>
  <c r="V661" i="1"/>
  <c r="V649" i="1"/>
  <c r="V636" i="1"/>
  <c r="V623" i="1"/>
  <c r="V611" i="1"/>
  <c r="V597" i="1"/>
  <c r="V585" i="1"/>
  <c r="V572" i="1"/>
  <c r="V559" i="1"/>
  <c r="V547" i="1"/>
  <c r="V533" i="1"/>
  <c r="V521" i="1"/>
  <c r="V508" i="1"/>
  <c r="V495" i="1"/>
  <c r="V483" i="1"/>
  <c r="V993" i="1"/>
  <c r="V980" i="1"/>
  <c r="V967" i="1"/>
  <c r="V955" i="1"/>
  <c r="V941" i="1"/>
  <c r="V929" i="1"/>
  <c r="V916" i="1"/>
  <c r="V903" i="1"/>
  <c r="V891" i="1"/>
  <c r="V877" i="1"/>
  <c r="V865" i="1"/>
  <c r="V852" i="1"/>
  <c r="V839" i="1"/>
  <c r="V827" i="1"/>
  <c r="V813" i="1"/>
  <c r="V801" i="1"/>
  <c r="V788" i="1"/>
  <c r="V775" i="1"/>
  <c r="V763" i="1"/>
  <c r="V749" i="1"/>
  <c r="V737" i="1"/>
  <c r="V724" i="1"/>
  <c r="V711" i="1"/>
  <c r="V699" i="1"/>
  <c r="V685" i="1"/>
  <c r="V996" i="1"/>
  <c r="V971" i="1"/>
  <c r="V945" i="1"/>
  <c r="V919" i="1"/>
  <c r="V893" i="1"/>
  <c r="V868" i="1"/>
  <c r="V843" i="1"/>
  <c r="V817" i="1"/>
  <c r="V791" i="1"/>
  <c r="V765" i="1"/>
  <c r="V740" i="1"/>
  <c r="V715" i="1"/>
  <c r="V689" i="1"/>
  <c r="V665" i="1"/>
  <c r="V645" i="1"/>
  <c r="V629" i="1"/>
  <c r="V612" i="1"/>
  <c r="V595" i="1"/>
  <c r="V579" i="1"/>
  <c r="V561" i="1"/>
  <c r="V543" i="1"/>
  <c r="V527" i="1"/>
  <c r="V509" i="1"/>
  <c r="V492" i="1"/>
  <c r="V476" i="1"/>
  <c r="V460" i="1"/>
  <c r="V447" i="1"/>
  <c r="V435" i="1"/>
  <c r="V421" i="1"/>
  <c r="V409" i="1"/>
  <c r="V396" i="1"/>
  <c r="V383" i="1"/>
  <c r="V371" i="1"/>
  <c r="V357" i="1"/>
  <c r="V345" i="1"/>
  <c r="V332" i="1"/>
  <c r="V319" i="1"/>
  <c r="V307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991" i="1"/>
  <c r="V965" i="1"/>
  <c r="V940" i="1"/>
  <c r="V915" i="1"/>
  <c r="V889" i="1"/>
  <c r="V863" i="1"/>
  <c r="V837" i="1"/>
  <c r="V812" i="1"/>
  <c r="V787" i="1"/>
  <c r="V761" i="1"/>
  <c r="V735" i="1"/>
  <c r="V709" i="1"/>
  <c r="V684" i="1"/>
  <c r="V663" i="1"/>
  <c r="V644" i="1"/>
  <c r="V627" i="1"/>
  <c r="V609" i="1"/>
  <c r="V593" i="1"/>
  <c r="V575" i="1"/>
  <c r="V557" i="1"/>
  <c r="V541" i="1"/>
  <c r="V524" i="1"/>
  <c r="V507" i="1"/>
  <c r="V491" i="1"/>
  <c r="V473" i="1"/>
  <c r="V459" i="1"/>
  <c r="V445" i="1"/>
  <c r="V433" i="1"/>
  <c r="V420" i="1"/>
  <c r="V407" i="1"/>
  <c r="V395" i="1"/>
  <c r="V381" i="1"/>
  <c r="V369" i="1"/>
  <c r="V356" i="1"/>
  <c r="V343" i="1"/>
  <c r="V331" i="1"/>
  <c r="V317" i="1"/>
  <c r="V305" i="1"/>
  <c r="V295" i="1"/>
  <c r="V287" i="1"/>
  <c r="V279" i="1"/>
  <c r="V271" i="1"/>
  <c r="V263" i="1"/>
  <c r="V255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988" i="1"/>
  <c r="V963" i="1"/>
  <c r="V937" i="1"/>
  <c r="V911" i="1"/>
  <c r="V885" i="1"/>
  <c r="V860" i="1"/>
  <c r="V835" i="1"/>
  <c r="V809" i="1"/>
  <c r="V783" i="1"/>
  <c r="V757" i="1"/>
  <c r="V732" i="1"/>
  <c r="V707" i="1"/>
  <c r="V681" i="1"/>
  <c r="V660" i="1"/>
  <c r="V643" i="1"/>
  <c r="V625" i="1"/>
  <c r="V607" i="1"/>
  <c r="V591" i="1"/>
  <c r="V573" i="1"/>
  <c r="V556" i="1"/>
  <c r="V540" i="1"/>
  <c r="V523" i="1"/>
  <c r="V505" i="1"/>
  <c r="V489" i="1"/>
  <c r="V471" i="1"/>
  <c r="V457" i="1"/>
  <c r="V444" i="1"/>
  <c r="V431" i="1"/>
  <c r="V419" i="1"/>
  <c r="V405" i="1"/>
  <c r="V393" i="1"/>
  <c r="V380" i="1"/>
  <c r="V367" i="1"/>
  <c r="V355" i="1"/>
  <c r="V341" i="1"/>
  <c r="V329" i="1"/>
  <c r="V316" i="1"/>
  <c r="V303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979" i="1"/>
  <c r="V953" i="1"/>
  <c r="V927" i="1"/>
  <c r="V901" i="1"/>
  <c r="V876" i="1"/>
  <c r="V851" i="1"/>
  <c r="V825" i="1"/>
  <c r="V799" i="1"/>
  <c r="V773" i="1"/>
  <c r="V748" i="1"/>
  <c r="V723" i="1"/>
  <c r="V697" i="1"/>
  <c r="V673" i="1"/>
  <c r="V652" i="1"/>
  <c r="V635" i="1"/>
  <c r="V619" i="1"/>
  <c r="V601" i="1"/>
  <c r="V583" i="1"/>
  <c r="V567" i="1"/>
  <c r="V549" i="1"/>
  <c r="V532" i="1"/>
  <c r="V516" i="1"/>
  <c r="V499" i="1"/>
  <c r="V481" i="1"/>
  <c r="V467" i="1"/>
  <c r="V452" i="1"/>
  <c r="V439" i="1"/>
  <c r="V427" i="1"/>
  <c r="V413" i="1"/>
  <c r="V401" i="1"/>
  <c r="V388" i="1"/>
  <c r="V375" i="1"/>
  <c r="V363" i="1"/>
  <c r="V349" i="1"/>
  <c r="V337" i="1"/>
  <c r="V324" i="1"/>
  <c r="V311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975" i="1"/>
  <c r="V949" i="1"/>
  <c r="V924" i="1"/>
  <c r="V899" i="1"/>
  <c r="V873" i="1"/>
  <c r="V847" i="1"/>
  <c r="V821" i="1"/>
  <c r="V796" i="1"/>
  <c r="V771" i="1"/>
  <c r="V745" i="1"/>
  <c r="V719" i="1"/>
  <c r="V693" i="1"/>
  <c r="V671" i="1"/>
  <c r="V651" i="1"/>
  <c r="V633" i="1"/>
  <c r="V617" i="1"/>
  <c r="V599" i="1"/>
  <c r="V581" i="1"/>
  <c r="V565" i="1"/>
  <c r="V548" i="1"/>
  <c r="V531" i="1"/>
  <c r="V515" i="1"/>
  <c r="V497" i="1"/>
  <c r="V479" i="1"/>
  <c r="V465" i="1"/>
  <c r="V451" i="1"/>
  <c r="V437" i="1"/>
  <c r="V425" i="1"/>
  <c r="V412" i="1"/>
  <c r="V399" i="1"/>
  <c r="V387" i="1"/>
  <c r="V373" i="1"/>
  <c r="V361" i="1"/>
  <c r="V348" i="1"/>
  <c r="V335" i="1"/>
  <c r="V323" i="1"/>
  <c r="V309" i="1"/>
  <c r="V298" i="1"/>
  <c r="V290" i="1"/>
  <c r="V282" i="1"/>
  <c r="V274" i="1"/>
  <c r="V266" i="1"/>
  <c r="V258" i="1"/>
  <c r="V250" i="1"/>
  <c r="V242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972" i="1"/>
  <c r="V907" i="1"/>
  <c r="V831" i="1"/>
  <c r="V767" i="1"/>
  <c r="V701" i="1"/>
  <c r="V639" i="1"/>
  <c r="V596" i="1"/>
  <c r="V553" i="1"/>
  <c r="V503" i="1"/>
  <c r="V463" i="1"/>
  <c r="V428" i="1"/>
  <c r="V391" i="1"/>
  <c r="V359" i="1"/>
  <c r="V325" i="1"/>
  <c r="V293" i="1"/>
  <c r="V273" i="1"/>
  <c r="V252" i="1"/>
  <c r="V229" i="1"/>
  <c r="V209" i="1"/>
  <c r="V188" i="1"/>
  <c r="V165" i="1"/>
  <c r="V145" i="1"/>
  <c r="V124" i="1"/>
  <c r="V105" i="1"/>
  <c r="V89" i="1"/>
  <c r="V73" i="1"/>
  <c r="V57" i="1"/>
  <c r="V44" i="1"/>
  <c r="V30" i="1"/>
  <c r="V17" i="1"/>
  <c r="V7" i="1"/>
  <c r="V959" i="1"/>
  <c r="V895" i="1"/>
  <c r="V829" i="1"/>
  <c r="V755" i="1"/>
  <c r="V691" i="1"/>
  <c r="V637" i="1"/>
  <c r="V588" i="1"/>
  <c r="V545" i="1"/>
  <c r="V501" i="1"/>
  <c r="V455" i="1"/>
  <c r="V423" i="1"/>
  <c r="V389" i="1"/>
  <c r="V353" i="1"/>
  <c r="V321" i="1"/>
  <c r="V292" i="1"/>
  <c r="V269" i="1"/>
  <c r="V249" i="1"/>
  <c r="V228" i="1"/>
  <c r="V205" i="1"/>
  <c r="V185" i="1"/>
  <c r="V164" i="1"/>
  <c r="V141" i="1"/>
  <c r="V121" i="1"/>
  <c r="V102" i="1"/>
  <c r="V86" i="1"/>
  <c r="V70" i="1"/>
  <c r="V54" i="1"/>
  <c r="V41" i="1"/>
  <c r="V29" i="1"/>
  <c r="V15" i="1"/>
  <c r="V6" i="1"/>
  <c r="V957" i="1"/>
  <c r="V883" i="1"/>
  <c r="V819" i="1"/>
  <c r="V753" i="1"/>
  <c r="V677" i="1"/>
  <c r="V631" i="1"/>
  <c r="V587" i="1"/>
  <c r="V537" i="1"/>
  <c r="V493" i="1"/>
  <c r="V453" i="1"/>
  <c r="V417" i="1"/>
  <c r="V385" i="1"/>
  <c r="V351" i="1"/>
  <c r="V315" i="1"/>
  <c r="V289" i="1"/>
  <c r="V268" i="1"/>
  <c r="V245" i="1"/>
  <c r="V225" i="1"/>
  <c r="V204" i="1"/>
  <c r="V181" i="1"/>
  <c r="V161" i="1"/>
  <c r="V140" i="1"/>
  <c r="V117" i="1"/>
  <c r="V101" i="1"/>
  <c r="V85" i="1"/>
  <c r="V69" i="1"/>
  <c r="V53" i="1"/>
  <c r="V39" i="1"/>
  <c r="V28" i="1"/>
  <c r="V14" i="1"/>
  <c r="V5" i="1"/>
  <c r="V947" i="1"/>
  <c r="V881" i="1"/>
  <c r="V805" i="1"/>
  <c r="V741" i="1"/>
  <c r="V676" i="1"/>
  <c r="V621" i="1"/>
  <c r="V580" i="1"/>
  <c r="V535" i="1"/>
  <c r="V485" i="1"/>
  <c r="V449" i="1"/>
  <c r="V415" i="1"/>
  <c r="V379" i="1"/>
  <c r="V347" i="1"/>
  <c r="V313" i="1"/>
  <c r="V285" i="1"/>
  <c r="V265" i="1"/>
  <c r="V244" i="1"/>
  <c r="V221" i="1"/>
  <c r="V201" i="1"/>
  <c r="V180" i="1"/>
  <c r="V157" i="1"/>
  <c r="V137" i="1"/>
  <c r="V116" i="1"/>
  <c r="V100" i="1"/>
  <c r="V84" i="1"/>
  <c r="V68" i="1"/>
  <c r="V52" i="1"/>
  <c r="V38" i="1"/>
  <c r="V25" i="1"/>
  <c r="V13" i="1"/>
  <c r="V4" i="1"/>
  <c r="V997" i="1"/>
  <c r="V932" i="1"/>
  <c r="V857" i="1"/>
  <c r="V793" i="1"/>
  <c r="V727" i="1"/>
  <c r="V659" i="1"/>
  <c r="V613" i="1"/>
  <c r="V569" i="1"/>
  <c r="V519" i="1"/>
  <c r="V477" i="1"/>
  <c r="V441" i="1"/>
  <c r="V404" i="1"/>
  <c r="V372" i="1"/>
  <c r="V339" i="1"/>
  <c r="V301" i="1"/>
  <c r="V281" i="1"/>
  <c r="V260" i="1"/>
  <c r="V237" i="1"/>
  <c r="V217" i="1"/>
  <c r="V196" i="1"/>
  <c r="V173" i="1"/>
  <c r="V153" i="1"/>
  <c r="V132" i="1"/>
  <c r="V110" i="1"/>
  <c r="V94" i="1"/>
  <c r="V78" i="1"/>
  <c r="V62" i="1"/>
  <c r="V47" i="1"/>
  <c r="V36" i="1"/>
  <c r="V22" i="1"/>
  <c r="V11" i="1"/>
  <c r="V2" i="1"/>
  <c r="V985" i="1"/>
  <c r="V921" i="1"/>
  <c r="V855" i="1"/>
  <c r="V780" i="1"/>
  <c r="V716" i="1"/>
  <c r="V655" i="1"/>
  <c r="V605" i="1"/>
  <c r="V563" i="1"/>
  <c r="V517" i="1"/>
  <c r="V469" i="1"/>
  <c r="V436" i="1"/>
  <c r="V403" i="1"/>
  <c r="V365" i="1"/>
  <c r="V333" i="1"/>
  <c r="V300" i="1"/>
  <c r="V277" i="1"/>
  <c r="V257" i="1"/>
  <c r="V236" i="1"/>
  <c r="V213" i="1"/>
  <c r="V193" i="1"/>
  <c r="V172" i="1"/>
  <c r="V149" i="1"/>
  <c r="V129" i="1"/>
  <c r="V109" i="1"/>
  <c r="V93" i="1"/>
  <c r="V77" i="1"/>
  <c r="V61" i="1"/>
  <c r="V46" i="1"/>
  <c r="V33" i="1"/>
  <c r="V21" i="1"/>
  <c r="V10" i="1"/>
  <c r="V729" i="1"/>
  <c r="V529" i="1"/>
  <c r="V377" i="1"/>
  <c r="V261" i="1"/>
  <c r="V177" i="1"/>
  <c r="V97" i="1"/>
  <c r="V37" i="1"/>
  <c r="V983" i="1"/>
  <c r="V703" i="1"/>
  <c r="V511" i="1"/>
  <c r="V364" i="1"/>
  <c r="V253" i="1"/>
  <c r="V169" i="1"/>
  <c r="V92" i="1"/>
  <c r="V31" i="1"/>
  <c r="V933" i="1"/>
  <c r="V668" i="1"/>
  <c r="V484" i="1"/>
  <c r="V340" i="1"/>
  <c r="V241" i="1"/>
  <c r="V156" i="1"/>
  <c r="V81" i="1"/>
  <c r="V23" i="1"/>
  <c r="V908" i="1"/>
  <c r="V647" i="1"/>
  <c r="V468" i="1"/>
  <c r="V327" i="1"/>
  <c r="V233" i="1"/>
  <c r="V148" i="1"/>
  <c r="V76" i="1"/>
  <c r="V20" i="1"/>
  <c r="V844" i="1"/>
  <c r="V604" i="1"/>
  <c r="V429" i="1"/>
  <c r="V297" i="1"/>
  <c r="V212" i="1"/>
  <c r="V125" i="1"/>
  <c r="V60" i="1"/>
  <c r="V9" i="1"/>
  <c r="V443" i="1"/>
  <c r="V189" i="1"/>
  <c r="V3" i="1"/>
  <c r="V411" i="1"/>
  <c r="V133" i="1"/>
  <c r="V869" i="1"/>
  <c r="V397" i="1"/>
  <c r="V113" i="1"/>
  <c r="V804" i="1"/>
  <c r="V308" i="1"/>
  <c r="V108" i="1"/>
  <c r="V779" i="1"/>
  <c r="V284" i="1"/>
  <c r="V65" i="1"/>
  <c r="V620" i="1"/>
  <c r="V276" i="1"/>
  <c r="V49" i="1"/>
  <c r="V555" i="1"/>
  <c r="V197" i="1"/>
  <c r="V12" i="1"/>
  <c r="V571" i="1"/>
  <c r="V220" i="1"/>
  <c r="V45" i="1"/>
  <c r="W996" i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1000" i="1"/>
  <c r="W992" i="1"/>
  <c r="W984" i="1"/>
  <c r="W976" i="1"/>
  <c r="W968" i="1"/>
  <c r="W960" i="1"/>
  <c r="W952" i="1"/>
  <c r="W944" i="1"/>
  <c r="W936" i="1"/>
  <c r="W928" i="1"/>
  <c r="W920" i="1"/>
  <c r="W912" i="1"/>
  <c r="W904" i="1"/>
  <c r="W896" i="1"/>
  <c r="W888" i="1"/>
  <c r="W880" i="1"/>
  <c r="W872" i="1"/>
  <c r="W864" i="1"/>
  <c r="W856" i="1"/>
  <c r="W848" i="1"/>
  <c r="W840" i="1"/>
  <c r="W832" i="1"/>
  <c r="W824" i="1"/>
  <c r="W816" i="1"/>
  <c r="W808" i="1"/>
  <c r="W800" i="1"/>
  <c r="W792" i="1"/>
  <c r="W784" i="1"/>
  <c r="W776" i="1"/>
  <c r="W768" i="1"/>
  <c r="W760" i="1"/>
  <c r="W752" i="1"/>
  <c r="W744" i="1"/>
  <c r="W736" i="1"/>
  <c r="W728" i="1"/>
  <c r="W720" i="1"/>
  <c r="W712" i="1"/>
  <c r="W704" i="1"/>
  <c r="W696" i="1"/>
  <c r="W688" i="1"/>
  <c r="W680" i="1"/>
  <c r="W672" i="1"/>
  <c r="W664" i="1"/>
  <c r="W656" i="1"/>
  <c r="W648" i="1"/>
  <c r="W640" i="1"/>
  <c r="W632" i="1"/>
  <c r="W624" i="1"/>
  <c r="W616" i="1"/>
  <c r="W608" i="1"/>
  <c r="W600" i="1"/>
  <c r="W592" i="1"/>
  <c r="W584" i="1"/>
  <c r="W576" i="1"/>
  <c r="W568" i="1"/>
  <c r="W560" i="1"/>
  <c r="W552" i="1"/>
  <c r="W544" i="1"/>
  <c r="W536" i="1"/>
  <c r="W528" i="1"/>
  <c r="W520" i="1"/>
  <c r="W512" i="1"/>
  <c r="W504" i="1"/>
  <c r="W496" i="1"/>
  <c r="W488" i="1"/>
  <c r="W480" i="1"/>
  <c r="W472" i="1"/>
  <c r="W464" i="1"/>
  <c r="W456" i="1"/>
  <c r="W448" i="1"/>
  <c r="W440" i="1"/>
  <c r="W432" i="1"/>
  <c r="W424" i="1"/>
  <c r="W416" i="1"/>
  <c r="W408" i="1"/>
  <c r="W400" i="1"/>
  <c r="W392" i="1"/>
  <c r="W384" i="1"/>
  <c r="W376" i="1"/>
  <c r="W368" i="1"/>
  <c r="W360" i="1"/>
  <c r="W352" i="1"/>
  <c r="W344" i="1"/>
  <c r="W336" i="1"/>
  <c r="W328" i="1"/>
  <c r="W998" i="1"/>
  <c r="W990" i="1"/>
  <c r="W982" i="1"/>
  <c r="W974" i="1"/>
  <c r="W966" i="1"/>
  <c r="W958" i="1"/>
  <c r="W950" i="1"/>
  <c r="W942" i="1"/>
  <c r="W934" i="1"/>
  <c r="W926" i="1"/>
  <c r="W918" i="1"/>
  <c r="W910" i="1"/>
  <c r="W902" i="1"/>
  <c r="W894" i="1"/>
  <c r="W886" i="1"/>
  <c r="W878" i="1"/>
  <c r="W870" i="1"/>
  <c r="W862" i="1"/>
  <c r="W854" i="1"/>
  <c r="W846" i="1"/>
  <c r="W838" i="1"/>
  <c r="W830" i="1"/>
  <c r="W822" i="1"/>
  <c r="W814" i="1"/>
  <c r="W806" i="1"/>
  <c r="W798" i="1"/>
  <c r="W790" i="1"/>
  <c r="W782" i="1"/>
  <c r="W774" i="1"/>
  <c r="W766" i="1"/>
  <c r="W758" i="1"/>
  <c r="W750" i="1"/>
  <c r="W742" i="1"/>
  <c r="W734" i="1"/>
  <c r="W726" i="1"/>
  <c r="W718" i="1"/>
  <c r="W710" i="1"/>
  <c r="W702" i="1"/>
  <c r="W694" i="1"/>
  <c r="W686" i="1"/>
  <c r="W678" i="1"/>
  <c r="W670" i="1"/>
  <c r="W662" i="1"/>
  <c r="W654" i="1"/>
  <c r="W646" i="1"/>
  <c r="W638" i="1"/>
  <c r="W630" i="1"/>
  <c r="W622" i="1"/>
  <c r="W614" i="1"/>
  <c r="W606" i="1"/>
  <c r="W598" i="1"/>
  <c r="W590" i="1"/>
  <c r="W582" i="1"/>
  <c r="W574" i="1"/>
  <c r="W566" i="1"/>
  <c r="W558" i="1"/>
  <c r="W550" i="1"/>
  <c r="W542" i="1"/>
  <c r="W534" i="1"/>
  <c r="W526" i="1"/>
  <c r="W518" i="1"/>
  <c r="W510" i="1"/>
  <c r="W502" i="1"/>
  <c r="W494" i="1"/>
  <c r="W486" i="1"/>
  <c r="W478" i="1"/>
  <c r="W470" i="1"/>
  <c r="W462" i="1"/>
  <c r="W454" i="1"/>
  <c r="W446" i="1"/>
  <c r="W438" i="1"/>
  <c r="W430" i="1"/>
  <c r="W422" i="1"/>
  <c r="W414" i="1"/>
  <c r="W406" i="1"/>
  <c r="W398" i="1"/>
  <c r="W390" i="1"/>
  <c r="W382" i="1"/>
  <c r="W374" i="1"/>
  <c r="W366" i="1"/>
  <c r="W358" i="1"/>
  <c r="W350" i="1"/>
  <c r="W342" i="1"/>
  <c r="W334" i="1"/>
  <c r="W326" i="1"/>
  <c r="W991" i="1"/>
  <c r="W975" i="1"/>
  <c r="W959" i="1"/>
  <c r="W943" i="1"/>
  <c r="W927" i="1"/>
  <c r="W911" i="1"/>
  <c r="W895" i="1"/>
  <c r="W879" i="1"/>
  <c r="W863" i="1"/>
  <c r="W847" i="1"/>
  <c r="W831" i="1"/>
  <c r="W815" i="1"/>
  <c r="W799" i="1"/>
  <c r="W783" i="1"/>
  <c r="W767" i="1"/>
  <c r="W751" i="1"/>
  <c r="W735" i="1"/>
  <c r="W719" i="1"/>
  <c r="W703" i="1"/>
  <c r="W687" i="1"/>
  <c r="W671" i="1"/>
  <c r="W655" i="1"/>
  <c r="W639" i="1"/>
  <c r="W623" i="1"/>
  <c r="W607" i="1"/>
  <c r="W591" i="1"/>
  <c r="W575" i="1"/>
  <c r="W559" i="1"/>
  <c r="W543" i="1"/>
  <c r="W527" i="1"/>
  <c r="W511" i="1"/>
  <c r="W495" i="1"/>
  <c r="W479" i="1"/>
  <c r="W463" i="1"/>
  <c r="W447" i="1"/>
  <c r="W431" i="1"/>
  <c r="W415" i="1"/>
  <c r="W399" i="1"/>
  <c r="W383" i="1"/>
  <c r="W367" i="1"/>
  <c r="W351" i="1"/>
  <c r="W335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144" i="1"/>
  <c r="W136" i="1"/>
  <c r="W128" i="1"/>
  <c r="W120" i="1"/>
  <c r="W112" i="1"/>
  <c r="W104" i="1"/>
  <c r="W96" i="1"/>
  <c r="W88" i="1"/>
  <c r="W80" i="1"/>
  <c r="W72" i="1"/>
  <c r="W64" i="1"/>
  <c r="W56" i="1"/>
  <c r="W48" i="1"/>
  <c r="W40" i="1"/>
  <c r="W32" i="1"/>
  <c r="W24" i="1"/>
  <c r="W16" i="1"/>
  <c r="W8" i="1"/>
  <c r="W989" i="1"/>
  <c r="W973" i="1"/>
  <c r="W957" i="1"/>
  <c r="W941" i="1"/>
  <c r="W925" i="1"/>
  <c r="W987" i="1"/>
  <c r="W971" i="1"/>
  <c r="W955" i="1"/>
  <c r="W939" i="1"/>
  <c r="W923" i="1"/>
  <c r="W907" i="1"/>
  <c r="W891" i="1"/>
  <c r="W875" i="1"/>
  <c r="W859" i="1"/>
  <c r="W843" i="1"/>
  <c r="W827" i="1"/>
  <c r="W811" i="1"/>
  <c r="W795" i="1"/>
  <c r="W779" i="1"/>
  <c r="W763" i="1"/>
  <c r="W747" i="1"/>
  <c r="W731" i="1"/>
  <c r="W715" i="1"/>
  <c r="W699" i="1"/>
  <c r="W683" i="1"/>
  <c r="W667" i="1"/>
  <c r="W651" i="1"/>
  <c r="W635" i="1"/>
  <c r="W619" i="1"/>
  <c r="W603" i="1"/>
  <c r="W587" i="1"/>
  <c r="W571" i="1"/>
  <c r="W555" i="1"/>
  <c r="W539" i="1"/>
  <c r="W523" i="1"/>
  <c r="W507" i="1"/>
  <c r="W491" i="1"/>
  <c r="W475" i="1"/>
  <c r="W459" i="1"/>
  <c r="W443" i="1"/>
  <c r="W427" i="1"/>
  <c r="W411" i="1"/>
  <c r="W395" i="1"/>
  <c r="W379" i="1"/>
  <c r="W363" i="1"/>
  <c r="W347" i="1"/>
  <c r="W331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  <c r="W997" i="1"/>
  <c r="W981" i="1"/>
  <c r="W965" i="1"/>
  <c r="W949" i="1"/>
  <c r="W933" i="1"/>
  <c r="W917" i="1"/>
  <c r="W901" i="1"/>
  <c r="W885" i="1"/>
  <c r="W869" i="1"/>
  <c r="W853" i="1"/>
  <c r="W837" i="1"/>
  <c r="W821" i="1"/>
  <c r="W805" i="1"/>
  <c r="W789" i="1"/>
  <c r="W773" i="1"/>
  <c r="W757" i="1"/>
  <c r="W741" i="1"/>
  <c r="W725" i="1"/>
  <c r="W709" i="1"/>
  <c r="W693" i="1"/>
  <c r="W677" i="1"/>
  <c r="W661" i="1"/>
  <c r="W645" i="1"/>
  <c r="W629" i="1"/>
  <c r="W613" i="1"/>
  <c r="W597" i="1"/>
  <c r="W581" i="1"/>
  <c r="W565" i="1"/>
  <c r="W549" i="1"/>
  <c r="W533" i="1"/>
  <c r="W517" i="1"/>
  <c r="W501" i="1"/>
  <c r="W485" i="1"/>
  <c r="W469" i="1"/>
  <c r="W453" i="1"/>
  <c r="W437" i="1"/>
  <c r="W421" i="1"/>
  <c r="W405" i="1"/>
  <c r="W389" i="1"/>
  <c r="W373" i="1"/>
  <c r="W357" i="1"/>
  <c r="W341" i="1"/>
  <c r="W325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995" i="1"/>
  <c r="W979" i="1"/>
  <c r="W963" i="1"/>
  <c r="W947" i="1"/>
  <c r="W931" i="1"/>
  <c r="W915" i="1"/>
  <c r="W899" i="1"/>
  <c r="W883" i="1"/>
  <c r="W867" i="1"/>
  <c r="W851" i="1"/>
  <c r="W835" i="1"/>
  <c r="W819" i="1"/>
  <c r="W803" i="1"/>
  <c r="W787" i="1"/>
  <c r="W771" i="1"/>
  <c r="W755" i="1"/>
  <c r="W739" i="1"/>
  <c r="W723" i="1"/>
  <c r="W707" i="1"/>
  <c r="W691" i="1"/>
  <c r="W675" i="1"/>
  <c r="W659" i="1"/>
  <c r="W643" i="1"/>
  <c r="W627" i="1"/>
  <c r="W611" i="1"/>
  <c r="W595" i="1"/>
  <c r="W579" i="1"/>
  <c r="W563" i="1"/>
  <c r="W547" i="1"/>
  <c r="W531" i="1"/>
  <c r="W515" i="1"/>
  <c r="W499" i="1"/>
  <c r="W483" i="1"/>
  <c r="W467" i="1"/>
  <c r="W451" i="1"/>
  <c r="W435" i="1"/>
  <c r="W419" i="1"/>
  <c r="W403" i="1"/>
  <c r="W387" i="1"/>
  <c r="W371" i="1"/>
  <c r="W355" i="1"/>
  <c r="W339" i="1"/>
  <c r="W323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W2" i="1"/>
  <c r="W977" i="1"/>
  <c r="W935" i="1"/>
  <c r="W897" i="1"/>
  <c r="W865" i="1"/>
  <c r="W833" i="1"/>
  <c r="W801" i="1"/>
  <c r="W769" i="1"/>
  <c r="W737" i="1"/>
  <c r="W705" i="1"/>
  <c r="W673" i="1"/>
  <c r="W641" i="1"/>
  <c r="W609" i="1"/>
  <c r="W577" i="1"/>
  <c r="W545" i="1"/>
  <c r="W513" i="1"/>
  <c r="W481" i="1"/>
  <c r="W449" i="1"/>
  <c r="W417" i="1"/>
  <c r="W385" i="1"/>
  <c r="W353" i="1"/>
  <c r="W321" i="1"/>
  <c r="W305" i="1"/>
  <c r="W289" i="1"/>
  <c r="W273" i="1"/>
  <c r="W257" i="1"/>
  <c r="W241" i="1"/>
  <c r="W225" i="1"/>
  <c r="W209" i="1"/>
  <c r="W195" i="1"/>
  <c r="W181" i="1"/>
  <c r="W169" i="1"/>
  <c r="W156" i="1"/>
  <c r="W143" i="1"/>
  <c r="W131" i="1"/>
  <c r="W117" i="1"/>
  <c r="W105" i="1"/>
  <c r="W92" i="1"/>
  <c r="W79" i="1"/>
  <c r="W67" i="1"/>
  <c r="W53" i="1"/>
  <c r="W41" i="1"/>
  <c r="W28" i="1"/>
  <c r="W15" i="1"/>
  <c r="W3" i="1"/>
  <c r="W969" i="1"/>
  <c r="W929" i="1"/>
  <c r="W893" i="1"/>
  <c r="W861" i="1"/>
  <c r="W829" i="1"/>
  <c r="W797" i="1"/>
  <c r="W765" i="1"/>
  <c r="W733" i="1"/>
  <c r="W701" i="1"/>
  <c r="W669" i="1"/>
  <c r="W637" i="1"/>
  <c r="W605" i="1"/>
  <c r="W573" i="1"/>
  <c r="W541" i="1"/>
  <c r="W509" i="1"/>
  <c r="W477" i="1"/>
  <c r="W445" i="1"/>
  <c r="W413" i="1"/>
  <c r="W381" i="1"/>
  <c r="W349" i="1"/>
  <c r="W319" i="1"/>
  <c r="W303" i="1"/>
  <c r="W287" i="1"/>
  <c r="W271" i="1"/>
  <c r="W255" i="1"/>
  <c r="W239" i="1"/>
  <c r="W223" i="1"/>
  <c r="W207" i="1"/>
  <c r="W193" i="1"/>
  <c r="W180" i="1"/>
  <c r="W167" i="1"/>
  <c r="W155" i="1"/>
  <c r="W141" i="1"/>
  <c r="W129" i="1"/>
  <c r="W116" i="1"/>
  <c r="W103" i="1"/>
  <c r="W91" i="1"/>
  <c r="W77" i="1"/>
  <c r="W65" i="1"/>
  <c r="W52" i="1"/>
  <c r="W39" i="1"/>
  <c r="W27" i="1"/>
  <c r="W13" i="1"/>
  <c r="W967" i="1"/>
  <c r="W921" i="1"/>
  <c r="W889" i="1"/>
  <c r="W857" i="1"/>
  <c r="W825" i="1"/>
  <c r="W793" i="1"/>
  <c r="W761" i="1"/>
  <c r="W729" i="1"/>
  <c r="W697" i="1"/>
  <c r="W665" i="1"/>
  <c r="W633" i="1"/>
  <c r="W601" i="1"/>
  <c r="W569" i="1"/>
  <c r="W537" i="1"/>
  <c r="W505" i="1"/>
  <c r="W473" i="1"/>
  <c r="W441" i="1"/>
  <c r="W409" i="1"/>
  <c r="W377" i="1"/>
  <c r="W345" i="1"/>
  <c r="W317" i="1"/>
  <c r="W301" i="1"/>
  <c r="W285" i="1"/>
  <c r="W269" i="1"/>
  <c r="W253" i="1"/>
  <c r="W237" i="1"/>
  <c r="W221" i="1"/>
  <c r="W205" i="1"/>
  <c r="W191" i="1"/>
  <c r="W179" i="1"/>
  <c r="W165" i="1"/>
  <c r="W153" i="1"/>
  <c r="W140" i="1"/>
  <c r="W127" i="1"/>
  <c r="W115" i="1"/>
  <c r="W101" i="1"/>
  <c r="W89" i="1"/>
  <c r="W76" i="1"/>
  <c r="W63" i="1"/>
  <c r="W51" i="1"/>
  <c r="W37" i="1"/>
  <c r="W25" i="1"/>
  <c r="W12" i="1"/>
  <c r="W993" i="1"/>
  <c r="W951" i="1"/>
  <c r="W909" i="1"/>
  <c r="W877" i="1"/>
  <c r="W845" i="1"/>
  <c r="W813" i="1"/>
  <c r="W781" i="1"/>
  <c r="W749" i="1"/>
  <c r="W717" i="1"/>
  <c r="W685" i="1"/>
  <c r="W653" i="1"/>
  <c r="W621" i="1"/>
  <c r="W589" i="1"/>
  <c r="W557" i="1"/>
  <c r="W525" i="1"/>
  <c r="W493" i="1"/>
  <c r="W461" i="1"/>
  <c r="W429" i="1"/>
  <c r="W397" i="1"/>
  <c r="W365" i="1"/>
  <c r="W333" i="1"/>
  <c r="W311" i="1"/>
  <c r="W295" i="1"/>
  <c r="W279" i="1"/>
  <c r="W263" i="1"/>
  <c r="W247" i="1"/>
  <c r="W231" i="1"/>
  <c r="W215" i="1"/>
  <c r="W199" i="1"/>
  <c r="W187" i="1"/>
  <c r="W173" i="1"/>
  <c r="W161" i="1"/>
  <c r="W148" i="1"/>
  <c r="W135" i="1"/>
  <c r="W123" i="1"/>
  <c r="W109" i="1"/>
  <c r="W97" i="1"/>
  <c r="W84" i="1"/>
  <c r="W71" i="1"/>
  <c r="W59" i="1"/>
  <c r="W45" i="1"/>
  <c r="W33" i="1"/>
  <c r="W20" i="1"/>
  <c r="W7" i="1"/>
  <c r="W985" i="1"/>
  <c r="W945" i="1"/>
  <c r="W905" i="1"/>
  <c r="W873" i="1"/>
  <c r="W841" i="1"/>
  <c r="W809" i="1"/>
  <c r="W777" i="1"/>
  <c r="W745" i="1"/>
  <c r="W713" i="1"/>
  <c r="W681" i="1"/>
  <c r="W649" i="1"/>
  <c r="W617" i="1"/>
  <c r="W585" i="1"/>
  <c r="W553" i="1"/>
  <c r="W521" i="1"/>
  <c r="W489" i="1"/>
  <c r="W457" i="1"/>
  <c r="W425" i="1"/>
  <c r="W393" i="1"/>
  <c r="W361" i="1"/>
  <c r="W329" i="1"/>
  <c r="W309" i="1"/>
  <c r="W293" i="1"/>
  <c r="W277" i="1"/>
  <c r="W261" i="1"/>
  <c r="W245" i="1"/>
  <c r="W229" i="1"/>
  <c r="W213" i="1"/>
  <c r="W197" i="1"/>
  <c r="W185" i="1"/>
  <c r="W172" i="1"/>
  <c r="W159" i="1"/>
  <c r="W147" i="1"/>
  <c r="W133" i="1"/>
  <c r="W121" i="1"/>
  <c r="W108" i="1"/>
  <c r="W95" i="1"/>
  <c r="W83" i="1"/>
  <c r="W69" i="1"/>
  <c r="W57" i="1"/>
  <c r="W44" i="1"/>
  <c r="W31" i="1"/>
  <c r="W19" i="1"/>
  <c r="W5" i="1"/>
  <c r="W937" i="1"/>
  <c r="W849" i="1"/>
  <c r="W759" i="1"/>
  <c r="W679" i="1"/>
  <c r="W593" i="1"/>
  <c r="W503" i="1"/>
  <c r="W423" i="1"/>
  <c r="W337" i="1"/>
  <c r="W284" i="1"/>
  <c r="W244" i="1"/>
  <c r="W201" i="1"/>
  <c r="W164" i="1"/>
  <c r="W132" i="1"/>
  <c r="W99" i="1"/>
  <c r="W61" i="1"/>
  <c r="W29" i="1"/>
  <c r="W919" i="1"/>
  <c r="W839" i="1"/>
  <c r="W753" i="1"/>
  <c r="W663" i="1"/>
  <c r="W583" i="1"/>
  <c r="W497" i="1"/>
  <c r="W407" i="1"/>
  <c r="W327" i="1"/>
  <c r="W281" i="1"/>
  <c r="W236" i="1"/>
  <c r="W196" i="1"/>
  <c r="W163" i="1"/>
  <c r="W125" i="1"/>
  <c r="W93" i="1"/>
  <c r="W60" i="1"/>
  <c r="W23" i="1"/>
  <c r="W913" i="1"/>
  <c r="W823" i="1"/>
  <c r="W743" i="1"/>
  <c r="W657" i="1"/>
  <c r="W567" i="1"/>
  <c r="W487" i="1"/>
  <c r="W401" i="1"/>
  <c r="W316" i="1"/>
  <c r="W276" i="1"/>
  <c r="W233" i="1"/>
  <c r="W189" i="1"/>
  <c r="W157" i="1"/>
  <c r="W124" i="1"/>
  <c r="W87" i="1"/>
  <c r="W55" i="1"/>
  <c r="W21" i="1"/>
  <c r="W983" i="1"/>
  <c r="W881" i="1"/>
  <c r="W791" i="1"/>
  <c r="W711" i="1"/>
  <c r="W625" i="1"/>
  <c r="W535" i="1"/>
  <c r="W455" i="1"/>
  <c r="W369" i="1"/>
  <c r="W300" i="1"/>
  <c r="W260" i="1"/>
  <c r="W217" i="1"/>
  <c r="W177" i="1"/>
  <c r="W145" i="1"/>
  <c r="W111" i="1"/>
  <c r="W75" i="1"/>
  <c r="W43" i="1"/>
  <c r="W9" i="1"/>
  <c r="W961" i="1"/>
  <c r="W871" i="1"/>
  <c r="W785" i="1"/>
  <c r="W695" i="1"/>
  <c r="W615" i="1"/>
  <c r="W529" i="1"/>
  <c r="W439" i="1"/>
  <c r="W359" i="1"/>
  <c r="W297" i="1"/>
  <c r="W252" i="1"/>
  <c r="W212" i="1"/>
  <c r="W175" i="1"/>
  <c r="W139" i="1"/>
  <c r="W107" i="1"/>
  <c r="W73" i="1"/>
  <c r="W36" i="1"/>
  <c r="W4" i="1"/>
  <c r="W855" i="1"/>
  <c r="W631" i="1"/>
  <c r="W391" i="1"/>
  <c r="W249" i="1"/>
  <c r="W149" i="1"/>
  <c r="W49" i="1"/>
  <c r="W817" i="1"/>
  <c r="W599" i="1"/>
  <c r="W375" i="1"/>
  <c r="W228" i="1"/>
  <c r="W137" i="1"/>
  <c r="W47" i="1"/>
  <c r="W807" i="1"/>
  <c r="W561" i="1"/>
  <c r="W343" i="1"/>
  <c r="W220" i="1"/>
  <c r="W119" i="1"/>
  <c r="W35" i="1"/>
  <c r="W775" i="1"/>
  <c r="W551" i="1"/>
  <c r="W313" i="1"/>
  <c r="W204" i="1"/>
  <c r="W113" i="1"/>
  <c r="W17" i="1"/>
  <c r="W953" i="1"/>
  <c r="W721" i="1"/>
  <c r="W471" i="1"/>
  <c r="W292" i="1"/>
  <c r="W183" i="1"/>
  <c r="W85" i="1"/>
  <c r="W903" i="1"/>
  <c r="W689" i="1"/>
  <c r="W465" i="1"/>
  <c r="W268" i="1"/>
  <c r="W171" i="1"/>
  <c r="W81" i="1"/>
  <c r="W519" i="1"/>
  <c r="W11" i="1"/>
  <c r="W433" i="1"/>
  <c r="W308" i="1"/>
  <c r="W265" i="1"/>
  <c r="W887" i="1"/>
  <c r="W151" i="1"/>
  <c r="W100" i="1"/>
  <c r="W68" i="1"/>
  <c r="W999" i="1"/>
  <c r="W727" i="1"/>
  <c r="W188" i="1"/>
  <c r="W647" i="1"/>
</calcChain>
</file>

<file path=xl/sharedStrings.xml><?xml version="1.0" encoding="utf-8"?>
<sst xmlns="http://schemas.openxmlformats.org/spreadsheetml/2006/main" count="2397" uniqueCount="299">
  <si>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</si>
  <si>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</si>
  <si>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</si>
  <si>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</si>
  <si>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</si>
  <si>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</si>
  <si>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</si>
  <si>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</si>
  <si>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</si>
  <si>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</si>
  <si>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</si>
  <si>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</si>
  <si>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</si>
  <si>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</si>
  <si>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</si>
  <si>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</si>
  <si>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</si>
  <si>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</si>
  <si>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</si>
  <si>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</si>
  <si>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</si>
  <si>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C9300L-24T-4G-A</t>
  </si>
  <si>
    <t>-</t>
  </si>
  <si>
    <t>Catalyst 9300L 24p data, Network Advantage ,4x1G Uplink</t>
  </si>
  <si>
    <t>Default</t>
  </si>
  <si>
    <t>N/A</t>
  </si>
  <si>
    <t>No</t>
  </si>
  <si>
    <t>1.0.1</t>
  </si>
  <si>
    <t>CON-L1NBD-C9300LA2</t>
  </si>
  <si>
    <t>CX LEVEL 1 8X5XNBD Catalyst 9300L 24p data, Network Advantag</t>
  </si>
  <si>
    <t>PRIMARYSERVICE</t>
  </si>
  <si>
    <t>C9300L-DNA-A-24</t>
  </si>
  <si>
    <t>Yes</t>
  </si>
  <si>
    <t>C9300L Cisco DNA Advantage, 24-port Term Licenses</t>
  </si>
  <si>
    <t>1.1.0.1</t>
  </si>
  <si>
    <t>CON-L1SWT-C93LA24</t>
  </si>
  <si>
    <t>CX LEVEL 1 SW SUB C9300L Cisco DNA Adv</t>
  </si>
  <si>
    <t>1.1.1</t>
  </si>
  <si>
    <t>C9300L-DNA-A-24-3Y</t>
  </si>
  <si>
    <t>C9300L Cisco DNA Advantage, 24-port, 3 Year Term license</t>
  </si>
  <si>
    <t>TE-EMBEDDED-T</t>
  </si>
  <si>
    <t>Cisco ThousandEyes Enterprise Agent IBN Embedded</t>
  </si>
  <si>
    <t>1.2.1</t>
  </si>
  <si>
    <t>TE-EMBEDDED-T-3Y</t>
  </si>
  <si>
    <t>ThousandEyes - Enterprise Agents</t>
  </si>
  <si>
    <t>D-DNAS-EXT-S-T</t>
  </si>
  <si>
    <t>Cisco DNA Spaces Extend Term License for Catalyst Switches</t>
  </si>
  <si>
    <t>1.3.1</t>
  </si>
  <si>
    <t>D-DNAS-EXT-S-3Y</t>
  </si>
  <si>
    <t>Cisco DNA Spaces Extend for Catalyst Switching - 3Year</t>
  </si>
  <si>
    <t>C9300L-NW-A-24</t>
  </si>
  <si>
    <t>C9300L Network Advantage, 24-port license</t>
  </si>
  <si>
    <t>PWR-C1-BLANK</t>
  </si>
  <si>
    <t>Config 1 Power Supply Blank</t>
  </si>
  <si>
    <t>C9300L-STACK-BLANK</t>
  </si>
  <si>
    <t>Catalyst 9300L Blank Stack Module</t>
  </si>
  <si>
    <t>FAN-T2</t>
  </si>
  <si>
    <t>Cisco Type 2 Fan Module</t>
  </si>
  <si>
    <t>PWR-C1-350WAC-P</t>
  </si>
  <si>
    <t>350W AC 80+ platinum Config 1 Power Supply</t>
  </si>
  <si>
    <t>C9300L-SPS-NONE</t>
  </si>
  <si>
    <t>No Secondary Power Supply Selected</t>
  </si>
  <si>
    <t>CAB-TA-EU</t>
  </si>
  <si>
    <t>Europe AC Type A Power Cable</t>
  </si>
  <si>
    <t>SSD-240G</t>
  </si>
  <si>
    <t>Cisco pluggable USB3.0 SSD storage</t>
  </si>
  <si>
    <t>C9K-ACC-RBFT</t>
  </si>
  <si>
    <t>RUBBER FEET FOR TABLE TOP SETUP 9200 and 93xx</t>
  </si>
  <si>
    <t>C9K-ACC-SCR-4</t>
  </si>
  <si>
    <t>12-24 and 10-32 SCREWS FOR RACK INSTALLATION, QTY 4</t>
  </si>
  <si>
    <t>CAB-GUIDE-1RU</t>
  </si>
  <si>
    <t>1RU CABLE MANAGEMENT GUIDES 9200 and 9300</t>
  </si>
  <si>
    <t>NETWORK-PNP-LIC</t>
  </si>
  <si>
    <t>Network Plug-n-Play Connect for zero-touch device deployment</t>
  </si>
  <si>
    <t>S9300LUK9-1718</t>
  </si>
  <si>
    <t>CAT9300/9400/9500/9600 UNIVERSAL</t>
  </si>
  <si>
    <t>SubTotal</t>
  </si>
  <si>
    <t>C9300L-24P-4G-A</t>
  </si>
  <si>
    <t>Catalyst 9300L 24p PoE, Network Advantage ,4x1G Uplink</t>
  </si>
  <si>
    <t>2.0.1</t>
  </si>
  <si>
    <t>CON-L1NBD-C93004G4</t>
  </si>
  <si>
    <t>CX LEVEL 1 8X5XNBD Catalyst 9300L 24p PoE, Network Advantage</t>
  </si>
  <si>
    <t>2.1.0.1</t>
  </si>
  <si>
    <t>2.1.1</t>
  </si>
  <si>
    <t>2.2.1</t>
  </si>
  <si>
    <t>2.3.1</t>
  </si>
  <si>
    <t>TE-C9K-SW</t>
  </si>
  <si>
    <t>TE agent for IOSXE on C9K</t>
  </si>
  <si>
    <t>PWR-C1-715WAC-P</t>
  </si>
  <si>
    <t>715W AC 80+ platinum Config 1 Power Supply</t>
  </si>
  <si>
    <t>C9300-ACCKIT-NONE</t>
  </si>
  <si>
    <t>No Accessory Kit Selected</t>
  </si>
  <si>
    <t>C9300L-24T-4X-A</t>
  </si>
  <si>
    <t>Catalyst 9300L 24p data, Network Advantage ,4x10G Uplink</t>
  </si>
  <si>
    <t>3.0.1</t>
  </si>
  <si>
    <t>CON-L1NBD-C00L2XAL</t>
  </si>
  <si>
    <t>3.1.0.1</t>
  </si>
  <si>
    <t>3.1.1</t>
  </si>
  <si>
    <t>3.2.1</t>
  </si>
  <si>
    <t>3.3.1</t>
  </si>
  <si>
    <t>C9300L-24P-4X-A</t>
  </si>
  <si>
    <t>Catalyst 9300L 24p PoE, Network Advantage ,4x10G Uplink</t>
  </si>
  <si>
    <t>4.0.1</t>
  </si>
  <si>
    <t>CON-L1NBD-C93024PX</t>
  </si>
  <si>
    <t>4.1.0.1</t>
  </si>
  <si>
    <t>4.1.1</t>
  </si>
  <si>
    <t>4.2.1</t>
  </si>
  <si>
    <t>4.3.1</t>
  </si>
  <si>
    <t>C9300L-48T-4G-A</t>
  </si>
  <si>
    <t>Catalyst 9300L 48p data, Network Advantage ,4x1G Uplink</t>
  </si>
  <si>
    <t>5.0.1</t>
  </si>
  <si>
    <t>CON-L1NBD-CAT9300L</t>
  </si>
  <si>
    <t>CX LEVEL 1 8X5XNBD Catalyst 9300L 48p data, Network Advantag</t>
  </si>
  <si>
    <t>C9300L-DNA-A-48</t>
  </si>
  <si>
    <t>C9300L Cisco DNA Advantage, 48-port license</t>
  </si>
  <si>
    <t>5.1.0.1</t>
  </si>
  <si>
    <t>CON-L1SWT-C93LA48</t>
  </si>
  <si>
    <t>5.1.1</t>
  </si>
  <si>
    <t>C9300L-DNA-A-48-3Y</t>
  </si>
  <si>
    <t>C9300L Cisco DNA Advantage, 48-port, 3 Year Term license</t>
  </si>
  <si>
    <t>5.2.1</t>
  </si>
  <si>
    <t>5.3.1</t>
  </si>
  <si>
    <t>C9300L-NW-A-48</t>
  </si>
  <si>
    <t>C9300L Network Advantage, 48-port license</t>
  </si>
  <si>
    <t>C9300L-48P-4G-A</t>
  </si>
  <si>
    <t>Catalyst 9300L 48p PoE, Network Advantage ,4x1G Uplink</t>
  </si>
  <si>
    <t>6.0.1</t>
  </si>
  <si>
    <t>CON-L1NBD-C9300AG4</t>
  </si>
  <si>
    <t>CX LEVEL 1 8X5XNBD Catalyst 9300L 48p PoE, Network Advantage</t>
  </si>
  <si>
    <t>6.1.0.1</t>
  </si>
  <si>
    <t>6.1.1</t>
  </si>
  <si>
    <t>6.2.1</t>
  </si>
  <si>
    <t>6.3.1</t>
  </si>
  <si>
    <t>C9300L-48T-4X-A</t>
  </si>
  <si>
    <t>Catalyst 9300L 48p data, Network Advantage ,4x10G Uplink</t>
  </si>
  <si>
    <t>7.0.1</t>
  </si>
  <si>
    <t>CON-L1NBD-CX9300L4</t>
  </si>
  <si>
    <t>7.1.0.1</t>
  </si>
  <si>
    <t>7.1.1</t>
  </si>
  <si>
    <t>7.2.1</t>
  </si>
  <si>
    <t>7.3.1</t>
  </si>
  <si>
    <t>C9300L-48P-4X-A</t>
  </si>
  <si>
    <t>Catalyst 9300L 48p PoE, Network Advantage,4x10G Uplink</t>
  </si>
  <si>
    <t>8.0.1</t>
  </si>
  <si>
    <t>CON-L1NBD-CA00LXL8</t>
  </si>
  <si>
    <t>8.1.0.1</t>
  </si>
  <si>
    <t>8.1.1</t>
  </si>
  <si>
    <t>8.2.1</t>
  </si>
  <si>
    <t>8.3.1</t>
  </si>
  <si>
    <t>C9300-24T-A</t>
  </si>
  <si>
    <t>Catalyst 9300 24-port data only, Network Advantage</t>
  </si>
  <si>
    <t>9.0.1</t>
  </si>
  <si>
    <t>CON-L1NBD-C93002TA</t>
  </si>
  <si>
    <t>CX LEVEL 1 8X5XNBD Catalyst 9300 24-port data only, Network</t>
  </si>
  <si>
    <t>C9300-DNA-A-24</t>
  </si>
  <si>
    <t>C9300 DNA Advantage, 24-port Term Licenses</t>
  </si>
  <si>
    <t>9.1.0.1</t>
  </si>
  <si>
    <t>CON-L1SWT-C93A24</t>
  </si>
  <si>
    <t>CX LEVEL 1 SW SUB C9300 DNA Advantage</t>
  </si>
  <si>
    <t>9.1.1</t>
  </si>
  <si>
    <t>C9300-DNA-A-24-3Y</t>
  </si>
  <si>
    <t>C9300 DNA Advantage, 24-Port, 3 Year Term License</t>
  </si>
  <si>
    <t>9.2.1</t>
  </si>
  <si>
    <t>9.3.1</t>
  </si>
  <si>
    <t>C9300-NW-A-24</t>
  </si>
  <si>
    <t>C9300 Network Advantage, 24-port license</t>
  </si>
  <si>
    <t>C9300-SPS-NONE</t>
  </si>
  <si>
    <t>STACK-T1-50CM</t>
  </si>
  <si>
    <t>50CM Type 1 Stacking Cable</t>
  </si>
  <si>
    <t>CAB-SPWR-30CM</t>
  </si>
  <si>
    <t>Catalyst Stack Power Cable 30 CM</t>
  </si>
  <si>
    <t>C9300-NM-8X</t>
  </si>
  <si>
    <t>Catalyst 9300 8 x 10GE Network Module</t>
  </si>
  <si>
    <t>C9300-24P-A</t>
  </si>
  <si>
    <t>Catalyst 9300 24-port PoE+, Network Advantage</t>
  </si>
  <si>
    <t>10.0.1</t>
  </si>
  <si>
    <t>CON-L1NBD-C93002PA</t>
  </si>
  <si>
    <t>CX LEVEL 1 8X5XNBD Catalyst 9300 24-port PoE+, Network Advan</t>
  </si>
  <si>
    <t>10.1.0.1</t>
  </si>
  <si>
    <t>10.1.1</t>
  </si>
  <si>
    <t>10.2.1</t>
  </si>
  <si>
    <t>10.3.1</t>
  </si>
  <si>
    <t>C9300-24U-A</t>
  </si>
  <si>
    <t>Catalyst 9300 24-port UPOE, Network Advantage</t>
  </si>
  <si>
    <t>11.0.1</t>
  </si>
  <si>
    <t>CON-L1NBD-C93002UA</t>
  </si>
  <si>
    <t>CX LEVEL 1 8X5XNBD Catalyst 9300 24-port UPOE, Network Advan</t>
  </si>
  <si>
    <t>11.1.0.1</t>
  </si>
  <si>
    <t>11.1.1</t>
  </si>
  <si>
    <t>11.2.1</t>
  </si>
  <si>
    <t>11.3.1</t>
  </si>
  <si>
    <t>PWR-C1-1100WAC-P</t>
  </si>
  <si>
    <t>1100W AC 80+ platinum Config 1 Power Supply</t>
  </si>
  <si>
    <t>SC9300UK9-1718</t>
  </si>
  <si>
    <t>C9300-24H-A</t>
  </si>
  <si>
    <t>Catalyst 9300 24-port UPoE+, Network Advatege</t>
  </si>
  <si>
    <t>12.0.1</t>
  </si>
  <si>
    <t>CON-L1NBD-C930210E</t>
  </si>
  <si>
    <t>CX LEVEL 1 8X5XNBD Catalyst 9300 24-port UPoE+, Network Adv</t>
  </si>
  <si>
    <t>12.1.0.1</t>
  </si>
  <si>
    <t>12.1.1</t>
  </si>
  <si>
    <t>12.2.1</t>
  </si>
  <si>
    <t>12.3.1</t>
  </si>
  <si>
    <t>C9K-SMART-BUILDING</t>
  </si>
  <si>
    <t>Smart Building Application Identifier</t>
  </si>
  <si>
    <t>C9300-24S-A</t>
  </si>
  <si>
    <t>Catalyst 9300 24 GE SFP Ports, modular uplink Switch</t>
  </si>
  <si>
    <t>13.0.1</t>
  </si>
  <si>
    <t>CON-L1NBD-C930024A</t>
  </si>
  <si>
    <t>CX LEVEL 1 8X5XNBD Catalyst 9300 24 GE SFP Ports, modular u</t>
  </si>
  <si>
    <t>C9300-DNA-A-24S</t>
  </si>
  <si>
    <t>C9300 DNA Advantage, 24-port Fiber Term Licenses</t>
  </si>
  <si>
    <t>13.1.0.1</t>
  </si>
  <si>
    <t>CON-L1SWT-C93A24S</t>
  </si>
  <si>
    <t>13.1.1</t>
  </si>
  <si>
    <t>C9300-DNA-A-24S-3Y</t>
  </si>
  <si>
    <t>C9300 DNA Advantage, 24-Port Fiber, 3 Year Term License</t>
  </si>
  <si>
    <t>13.2.1</t>
  </si>
  <si>
    <t>13.3.1</t>
  </si>
  <si>
    <t>CAB-SPWR-150CM</t>
  </si>
  <si>
    <t>Catalyst Stack Power Cable 150 CM - Upgrade</t>
  </si>
  <si>
    <t>C9300-24UB-A</t>
  </si>
  <si>
    <t>Catalyst Deep Buffer 9300 24-port UPOE, Network Advantage</t>
  </si>
  <si>
    <t>14.0.1</t>
  </si>
  <si>
    <t>CON-L1NBD-C930U2A4</t>
  </si>
  <si>
    <t>CX LEVEL 1 8X5XNBD Catalyst Deep Buffer 9300 24-port UPOE, N</t>
  </si>
  <si>
    <t>14.1.0.1</t>
  </si>
  <si>
    <t>14.1.1</t>
  </si>
  <si>
    <t>14.2.1</t>
  </si>
  <si>
    <t>14.3.1</t>
  </si>
  <si>
    <t>PWR-C1-1100WAC-P/2</t>
  </si>
  <si>
    <t>1100W AC 80+ platinum Config 1 Secondary Power Supply</t>
  </si>
  <si>
    <t>C9300-48T-A</t>
  </si>
  <si>
    <t>Catalyst 9300 48-port data only, Network Advantage</t>
  </si>
  <si>
    <t>15.0.1</t>
  </si>
  <si>
    <t>CON-L1NBD-C93004TA</t>
  </si>
  <si>
    <t>CX LEVEL 1 8X5XNBD Catalyst 9300 48-port data only, Network</t>
  </si>
  <si>
    <t>C9300-DNA-A-48</t>
  </si>
  <si>
    <t>C9300 DNA Advantage, 48-Port Term Licenses</t>
  </si>
  <si>
    <t>15.1.0.1</t>
  </si>
  <si>
    <t>CON-L1SWT-C93A48</t>
  </si>
  <si>
    <t>15.1.1</t>
  </si>
  <si>
    <t>C9300-DNA-A-48-3Y</t>
  </si>
  <si>
    <t>C9300 DNA Advantage, 48-Port, 3 Year Term License</t>
  </si>
  <si>
    <t>15.2.1</t>
  </si>
  <si>
    <t>15.3.1</t>
  </si>
  <si>
    <t>C9300-NW-A-48</t>
  </si>
  <si>
    <t>C9300 Network Advantage, 48-port license</t>
  </si>
  <si>
    <t>C9300-48P-A</t>
  </si>
  <si>
    <t>Catalyst 9300 48-port PoE+, Network Advantage</t>
  </si>
  <si>
    <t>16.0.1</t>
  </si>
  <si>
    <t>CON-L1NBD-C93004PA</t>
  </si>
  <si>
    <t>CX LEVEL 1 8X5XNBD Catalyst 9300 48-port PoE+, Network Advan</t>
  </si>
  <si>
    <t>16.1.0.1</t>
  </si>
  <si>
    <t>16.1.1</t>
  </si>
  <si>
    <t>16.2.1</t>
  </si>
  <si>
    <t>16.3.1</t>
  </si>
  <si>
    <t>C9300-48U-A</t>
  </si>
  <si>
    <t>Catalyst 9300 48-port UPOE, Network Advantage</t>
  </si>
  <si>
    <t>17.0.1</t>
  </si>
  <si>
    <t>CON-L1NBD-C93004UA</t>
  </si>
  <si>
    <t>CX LEVEL 1 8X5XNBD Catalyst 9300 48-port UPOE, Network Advan</t>
  </si>
  <si>
    <t>17.1.0.1</t>
  </si>
  <si>
    <t>17.1.1</t>
  </si>
  <si>
    <t>17.2.1</t>
  </si>
  <si>
    <t>17.3.1</t>
  </si>
  <si>
    <t>C9300-48H-A</t>
  </si>
  <si>
    <t>Catalyst 9300 48-port UPoE+, Network Advantage</t>
  </si>
  <si>
    <t>18.0.1</t>
  </si>
  <si>
    <t>CON-L1NBD-C930210K</t>
  </si>
  <si>
    <t>CX LEVEL 1 8X5XNBD Catalyst 9300 48-port UPoE+, Network Adv</t>
  </si>
  <si>
    <t>18.12.0.1</t>
  </si>
  <si>
    <t>18.12.1</t>
  </si>
  <si>
    <t>18.13.1</t>
  </si>
  <si>
    <t>18.14.1</t>
  </si>
  <si>
    <t>C9300-48S-A</t>
  </si>
  <si>
    <t>Catalyst 9300 48 GE SFP Ports, modular uplink Switch</t>
  </si>
  <si>
    <t>19.0.1</t>
  </si>
  <si>
    <t>CON-L1NBD-C93004SA</t>
  </si>
  <si>
    <t>CX LEVEL 1 8X5XNBD Catalyst 9300 48 GE SFP Ports, modular u</t>
  </si>
  <si>
    <t>C9300-DNA-A-48S</t>
  </si>
  <si>
    <t>C9300 DNA Advantage, 48-Port Fiber Term Licenses</t>
  </si>
  <si>
    <t>19.15.0.1</t>
  </si>
  <si>
    <t>CON-L1SWT-C93A48S</t>
  </si>
  <si>
    <t>19.15.1</t>
  </si>
  <si>
    <t>C9300-DNA-A-48S-3Y</t>
  </si>
  <si>
    <t>C9300 DNA Advantage, 48-Port Fiber, 3 Year Term License</t>
  </si>
  <si>
    <t>19.16.1</t>
  </si>
  <si>
    <t>19.17.1</t>
  </si>
  <si>
    <t>C9300-48UB-A</t>
  </si>
  <si>
    <t>Catalyst 9300 48-port UPOE Deep Buffer, Network Advantage</t>
  </si>
  <si>
    <t>20.0.1</t>
  </si>
  <si>
    <t>CON-L1NBD-C93B0048</t>
  </si>
  <si>
    <t>CX LEVEL 1 8X5XNBD Catalyst 9300 48-port UPOE Deep Buffer, N</t>
  </si>
  <si>
    <t>20.1.0.1</t>
  </si>
  <si>
    <t>20.1.1</t>
  </si>
  <si>
    <t>20.2.1</t>
  </si>
  <si>
    <t>20.3.1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</si>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</sst>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Helvetica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0" borderId="2" xfId="0" applyFont="1" applyBorder="1"/>
    <xf numFmtId="4" fontId="5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  <xf numFmtId="4" fontId="2" fillId="0" borderId="3" xfId="0" applyNumberFormat="1" applyFont="1" applyBorder="1"/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4" fontId="5" fillId="0" borderId="2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4" fontId="6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FA3D-7792-44DB-A7DB-4C9F2478BA01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4" max="4" width="23.72656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2" t="s">
        <v>20</v>
      </c>
      <c r="X1" s="2"/>
      <c r="Y1" s="2"/>
      <c r="Z1" s="2"/>
    </row>
    <row r="2" spans="1:26" ht="15.75" customHeight="1" x14ac:dyDescent="0.25">
      <c r="A2" s="5">
        <v>1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14</v>
      </c>
      <c r="H2" s="6" t="s">
        <v>26</v>
      </c>
      <c r="I2" s="7">
        <v>1</v>
      </c>
      <c r="J2" s="8"/>
      <c r="K2" s="9">
        <v>6537.4</v>
      </c>
      <c r="L2" s="9">
        <v>6537.4</v>
      </c>
      <c r="M2" s="7">
        <v>0</v>
      </c>
      <c r="N2" s="9">
        <v>6537.4</v>
      </c>
      <c r="O2" s="8"/>
      <c r="P2" s="2"/>
      <c r="Q2" s="2"/>
      <c r="R2" s="2" t="str">
        <f t="array" ref="R2:R1000">IF(B2:B1000="","","C9300")</f>
        <v>C9300</v>
      </c>
      <c r="S2" s="2" t="str">
        <f ca="1">IFERROR(__xludf.DUMMYFUNCTION("ARRAYFORMULA(IF(B2:B1000="""","""",UPPER(TRIM(REGEXREPLACE(B2:B1000,""\s+"","""")))))"),"C9300L-24T-4G-A")</f>
        <v>C9300L-24T-4G-A</v>
      </c>
      <c r="T2" s="10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e">
        <f t="array" aca="1" ref="W2:W1000" ca="1">IF(B2:B1000="","",U2:U1000)</f>
        <v>#NAME?</v>
      </c>
      <c r="X2" s="2"/>
      <c r="Y2" s="2"/>
      <c r="Z2" s="2"/>
    </row>
    <row r="3" spans="1:26" ht="15.75" customHeight="1" x14ac:dyDescent="0.25">
      <c r="A3" s="7" t="s">
        <v>27</v>
      </c>
      <c r="B3" s="6" t="s">
        <v>28</v>
      </c>
      <c r="C3" s="6" t="s">
        <v>22</v>
      </c>
      <c r="D3" s="6" t="s">
        <v>29</v>
      </c>
      <c r="E3" s="8"/>
      <c r="F3" s="6">
        <v>24</v>
      </c>
      <c r="G3" s="6" t="s">
        <v>25</v>
      </c>
      <c r="H3" s="6" t="s">
        <v>26</v>
      </c>
      <c r="I3" s="7">
        <v>1</v>
      </c>
      <c r="J3" s="8"/>
      <c r="K3" s="9">
        <v>1309</v>
      </c>
      <c r="L3" s="9">
        <v>1309</v>
      </c>
      <c r="M3" s="7">
        <v>0</v>
      </c>
      <c r="N3" s="9">
        <v>1309</v>
      </c>
      <c r="O3" s="6" t="s">
        <v>30</v>
      </c>
      <c r="P3" s="2"/>
      <c r="Q3" s="2"/>
      <c r="R3" s="2" t="str">
        <v>C9300</v>
      </c>
      <c r="S3" s="2" t="str">
        <f ca="1">IFERROR(__xludf.DUMMYFUNCTION("""COMPUTED_VALUE"""),"CON-L1NBD-C9300LA2")</f>
        <v>CON-L1NBD-C9300LA2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e">
        <f ca="1"/>
        <v>#NAME?</v>
      </c>
      <c r="X3" s="2"/>
      <c r="Y3" s="2"/>
      <c r="Z3" s="2"/>
    </row>
    <row r="4" spans="1:26" ht="15.75" customHeight="1" x14ac:dyDescent="0.25">
      <c r="A4" s="7">
        <v>1.1000000000000001</v>
      </c>
      <c r="B4" s="6" t="s">
        <v>31</v>
      </c>
      <c r="C4" s="6" t="s">
        <v>32</v>
      </c>
      <c r="D4" s="6" t="s">
        <v>33</v>
      </c>
      <c r="E4" s="8"/>
      <c r="F4" s="6" t="s">
        <v>25</v>
      </c>
      <c r="G4" s="6">
        <v>14</v>
      </c>
      <c r="H4" s="6" t="s">
        <v>26</v>
      </c>
      <c r="I4" s="7">
        <v>1</v>
      </c>
      <c r="J4" s="8"/>
      <c r="K4" s="7">
        <v>0</v>
      </c>
      <c r="L4" s="7">
        <v>0</v>
      </c>
      <c r="M4" s="7">
        <v>0</v>
      </c>
      <c r="N4" s="7">
        <v>0</v>
      </c>
      <c r="O4" s="8"/>
      <c r="P4" s="2"/>
      <c r="Q4" s="2"/>
      <c r="R4" s="2" t="str">
        <v>C9300</v>
      </c>
      <c r="S4" s="2" t="str">
        <f ca="1">IFERROR(__xludf.DUMMYFUNCTION("""COMPUTED_VALUE"""),"C9300L-DNA-A-24")</f>
        <v>C9300L-DNA-A-24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e">
        <f ca="1"/>
        <v>#NAME?</v>
      </c>
      <c r="X4" s="2"/>
      <c r="Y4" s="2"/>
      <c r="Z4" s="2"/>
    </row>
    <row r="5" spans="1:26" ht="15.75" customHeight="1" x14ac:dyDescent="0.25">
      <c r="A5" s="7" t="s">
        <v>34</v>
      </c>
      <c r="B5" s="6" t="s">
        <v>35</v>
      </c>
      <c r="C5" s="6" t="s">
        <v>22</v>
      </c>
      <c r="D5" s="6" t="s">
        <v>36</v>
      </c>
      <c r="E5" s="8"/>
      <c r="F5" s="6">
        <v>24</v>
      </c>
      <c r="G5" s="6" t="s">
        <v>25</v>
      </c>
      <c r="H5" s="6" t="s">
        <v>26</v>
      </c>
      <c r="I5" s="7">
        <v>1</v>
      </c>
      <c r="J5" s="8"/>
      <c r="K5" s="7">
        <v>324.5</v>
      </c>
      <c r="L5" s="7">
        <v>324.5</v>
      </c>
      <c r="M5" s="7">
        <v>0</v>
      </c>
      <c r="N5" s="7">
        <v>324.5</v>
      </c>
      <c r="O5" s="6" t="s">
        <v>30</v>
      </c>
      <c r="P5" s="2"/>
      <c r="Q5" s="2"/>
      <c r="R5" s="2" t="str">
        <v>C9300</v>
      </c>
      <c r="S5" s="2" t="str">
        <f ca="1">IFERROR(__xludf.DUMMYFUNCTION("""COMPUTED_VALUE"""),"CON-L1SWT-C93LA24")</f>
        <v>CON-L1SWT-C93LA24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e">
        <f ca="1"/>
        <v>#NAME?</v>
      </c>
      <c r="X5" s="2"/>
      <c r="Y5" s="2"/>
      <c r="Z5" s="2"/>
    </row>
    <row r="6" spans="1:26" ht="15.75" customHeight="1" x14ac:dyDescent="0.25">
      <c r="A6" s="7" t="s">
        <v>37</v>
      </c>
      <c r="B6" s="6" t="s">
        <v>38</v>
      </c>
      <c r="C6" s="6" t="s">
        <v>22</v>
      </c>
      <c r="D6" s="6" t="s">
        <v>39</v>
      </c>
      <c r="E6" s="8"/>
      <c r="F6" s="6">
        <v>36</v>
      </c>
      <c r="G6" s="6" t="s">
        <v>25</v>
      </c>
      <c r="H6" s="6" t="s">
        <v>26</v>
      </c>
      <c r="I6" s="7">
        <v>1</v>
      </c>
      <c r="J6" s="8"/>
      <c r="K6" s="9">
        <v>2365.77</v>
      </c>
      <c r="L6" s="9">
        <v>2365.77</v>
      </c>
      <c r="M6" s="7">
        <v>0</v>
      </c>
      <c r="N6" s="9">
        <v>2365.77</v>
      </c>
      <c r="O6" s="8"/>
      <c r="P6" s="2"/>
      <c r="Q6" s="2"/>
      <c r="R6" s="2" t="str">
        <v>C9300</v>
      </c>
      <c r="S6" s="2" t="str">
        <f ca="1">IFERROR(__xludf.DUMMYFUNCTION("""COMPUTED_VALUE"""),"C9300L-DNA-A-24-3Y")</f>
        <v>C9300L-DNA-A-24-3Y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e">
        <f ca="1"/>
        <v>#NAME?</v>
      </c>
      <c r="X6" s="2"/>
      <c r="Y6" s="2"/>
      <c r="Z6" s="2"/>
    </row>
    <row r="7" spans="1:26" ht="15.75" customHeight="1" x14ac:dyDescent="0.25">
      <c r="A7" s="7">
        <v>1.2</v>
      </c>
      <c r="B7" s="6" t="s">
        <v>40</v>
      </c>
      <c r="C7" s="6" t="s">
        <v>32</v>
      </c>
      <c r="D7" s="6" t="s">
        <v>41</v>
      </c>
      <c r="E7" s="8"/>
      <c r="F7" s="6" t="s">
        <v>25</v>
      </c>
      <c r="G7" s="6">
        <v>14</v>
      </c>
      <c r="H7" s="6" t="s">
        <v>32</v>
      </c>
      <c r="I7" s="7">
        <v>1</v>
      </c>
      <c r="J7" s="8"/>
      <c r="K7" s="7">
        <v>0</v>
      </c>
      <c r="L7" s="7">
        <v>0</v>
      </c>
      <c r="M7" s="7">
        <v>0</v>
      </c>
      <c r="N7" s="7">
        <v>0</v>
      </c>
      <c r="O7" s="8"/>
      <c r="P7" s="2"/>
      <c r="Q7" s="2"/>
      <c r="R7" s="2" t="str">
        <v>C9300</v>
      </c>
      <c r="S7" s="2" t="str">
        <f ca="1">IFERROR(__xludf.DUMMYFUNCTION("""COMPUTED_VALUE"""),"TE-EMBEDDED-T")</f>
        <v>TE-EMBEDDED-T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e">
        <f ca="1"/>
        <v>#NAME?</v>
      </c>
      <c r="X7" s="2"/>
      <c r="Y7" s="2"/>
      <c r="Z7" s="2"/>
    </row>
    <row r="8" spans="1:26" ht="15.75" customHeight="1" x14ac:dyDescent="0.25">
      <c r="A8" s="7" t="s">
        <v>42</v>
      </c>
      <c r="B8" s="6" t="s">
        <v>43</v>
      </c>
      <c r="C8" s="6" t="s">
        <v>22</v>
      </c>
      <c r="D8" s="6" t="s">
        <v>44</v>
      </c>
      <c r="E8" s="8"/>
      <c r="F8" s="6">
        <v>36</v>
      </c>
      <c r="G8" s="6" t="s">
        <v>25</v>
      </c>
      <c r="H8" s="6" t="s">
        <v>26</v>
      </c>
      <c r="I8" s="7">
        <v>1</v>
      </c>
      <c r="J8" s="8"/>
      <c r="K8" s="7">
        <v>0</v>
      </c>
      <c r="L8" s="7">
        <v>0</v>
      </c>
      <c r="M8" s="7">
        <v>0</v>
      </c>
      <c r="N8" s="7">
        <v>0</v>
      </c>
      <c r="O8" s="8"/>
      <c r="P8" s="2"/>
      <c r="Q8" s="2"/>
      <c r="R8" s="2" t="str">
        <v>C9300</v>
      </c>
      <c r="S8" s="2" t="str">
        <f ca="1">IFERROR(__xludf.DUMMYFUNCTION("""COMPUTED_VALUE"""),"TE-EMBEDDED-T-3Y")</f>
        <v>TE-EMBEDDED-T-3Y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e">
        <f ca="1"/>
        <v>#NAME?</v>
      </c>
      <c r="X8" s="2"/>
      <c r="Y8" s="2"/>
      <c r="Z8" s="2"/>
    </row>
    <row r="9" spans="1:26" ht="15.75" customHeight="1" x14ac:dyDescent="0.25">
      <c r="A9" s="7">
        <v>1.3</v>
      </c>
      <c r="B9" s="6" t="s">
        <v>45</v>
      </c>
      <c r="C9" s="6" t="s">
        <v>32</v>
      </c>
      <c r="D9" s="6" t="s">
        <v>46</v>
      </c>
      <c r="E9" s="8"/>
      <c r="F9" s="6" t="s">
        <v>25</v>
      </c>
      <c r="G9" s="6">
        <v>14</v>
      </c>
      <c r="H9" s="6" t="s">
        <v>32</v>
      </c>
      <c r="I9" s="7">
        <v>1</v>
      </c>
      <c r="J9" s="8"/>
      <c r="K9" s="7">
        <v>0</v>
      </c>
      <c r="L9" s="7">
        <v>0</v>
      </c>
      <c r="M9" s="7">
        <v>0</v>
      </c>
      <c r="N9" s="7">
        <v>0</v>
      </c>
      <c r="O9" s="8"/>
      <c r="P9" s="2"/>
      <c r="Q9" s="2"/>
      <c r="R9" s="2" t="str">
        <v>C9300</v>
      </c>
      <c r="S9" s="2" t="str">
        <f ca="1">IFERROR(__xludf.DUMMYFUNCTION("""COMPUTED_VALUE"""),"D-DNAS-EXT-S-T")</f>
        <v>D-DNAS-EXT-S-T</v>
      </c>
      <c r="T9" s="10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e">
        <f ca="1"/>
        <v>#NAME?</v>
      </c>
      <c r="X9" s="2"/>
      <c r="Y9" s="2"/>
      <c r="Z9" s="2"/>
    </row>
    <row r="10" spans="1:26" ht="15.75" customHeight="1" x14ac:dyDescent="0.25">
      <c r="A10" s="7" t="s">
        <v>47</v>
      </c>
      <c r="B10" s="6" t="s">
        <v>48</v>
      </c>
      <c r="C10" s="6" t="s">
        <v>22</v>
      </c>
      <c r="D10" s="6" t="s">
        <v>49</v>
      </c>
      <c r="E10" s="8"/>
      <c r="F10" s="6">
        <v>36</v>
      </c>
      <c r="G10" s="6" t="s">
        <v>25</v>
      </c>
      <c r="H10" s="6" t="s">
        <v>26</v>
      </c>
      <c r="I10" s="7">
        <v>1</v>
      </c>
      <c r="J10" s="8"/>
      <c r="K10" s="7">
        <v>0</v>
      </c>
      <c r="L10" s="7">
        <v>0</v>
      </c>
      <c r="M10" s="7">
        <v>0</v>
      </c>
      <c r="N10" s="7">
        <v>0</v>
      </c>
      <c r="O10" s="8"/>
      <c r="P10" s="2"/>
      <c r="Q10" s="2"/>
      <c r="R10" s="2" t="str">
        <v>C9300</v>
      </c>
      <c r="S10" s="2" t="str">
        <f ca="1">IFERROR(__xludf.DUMMYFUNCTION("""COMPUTED_VALUE"""),"D-DNAS-EXT-S-3Y")</f>
        <v>D-DNAS-EXT-S-3Y</v>
      </c>
      <c r="T10" s="10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e">
        <f ca="1"/>
        <v>#NAME?</v>
      </c>
      <c r="X10" s="2"/>
      <c r="Y10" s="2"/>
      <c r="Z10" s="2"/>
    </row>
    <row r="11" spans="1:26" ht="15.75" customHeight="1" x14ac:dyDescent="0.25">
      <c r="A11" s="7">
        <v>1.4</v>
      </c>
      <c r="B11" s="6" t="s">
        <v>50</v>
      </c>
      <c r="C11" s="6" t="s">
        <v>32</v>
      </c>
      <c r="D11" s="6" t="s">
        <v>51</v>
      </c>
      <c r="E11" s="8"/>
      <c r="F11" s="6" t="s">
        <v>25</v>
      </c>
      <c r="G11" s="6">
        <v>14</v>
      </c>
      <c r="H11" s="6" t="s">
        <v>32</v>
      </c>
      <c r="I11" s="7">
        <v>1</v>
      </c>
      <c r="J11" s="8"/>
      <c r="K11" s="7">
        <v>0</v>
      </c>
      <c r="L11" s="7">
        <v>0</v>
      </c>
      <c r="M11" s="7">
        <v>0</v>
      </c>
      <c r="N11" s="7">
        <v>0</v>
      </c>
      <c r="O11" s="8"/>
      <c r="P11" s="2"/>
      <c r="Q11" s="2"/>
      <c r="R11" s="2" t="str">
        <v>C9300</v>
      </c>
      <c r="S11" s="2" t="str">
        <f ca="1">IFERROR(__xludf.DUMMYFUNCTION("""COMPUTED_VALUE"""),"C9300L-NW-A-24")</f>
        <v>C9300L-NW-A-24</v>
      </c>
      <c r="T11" s="10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e">
        <f ca="1"/>
        <v>#NAME?</v>
      </c>
      <c r="X11" s="2"/>
      <c r="Y11" s="2"/>
      <c r="Z11" s="2"/>
    </row>
    <row r="12" spans="1:26" ht="15.75" customHeight="1" x14ac:dyDescent="0.25">
      <c r="A12" s="7">
        <v>1.5</v>
      </c>
      <c r="B12" s="6" t="s">
        <v>52</v>
      </c>
      <c r="C12" s="6" t="s">
        <v>22</v>
      </c>
      <c r="D12" s="6" t="s">
        <v>53</v>
      </c>
      <c r="E12" s="8"/>
      <c r="F12" s="6" t="s">
        <v>25</v>
      </c>
      <c r="G12" s="6">
        <v>14</v>
      </c>
      <c r="H12" s="6" t="s">
        <v>32</v>
      </c>
      <c r="I12" s="7">
        <v>1</v>
      </c>
      <c r="J12" s="8"/>
      <c r="K12" s="7">
        <v>0</v>
      </c>
      <c r="L12" s="7">
        <v>0</v>
      </c>
      <c r="M12" s="7">
        <v>0</v>
      </c>
      <c r="N12" s="7">
        <v>0</v>
      </c>
      <c r="O12" s="8"/>
      <c r="P12" s="2"/>
      <c r="Q12" s="2"/>
      <c r="R12" s="2" t="str">
        <v>C9300</v>
      </c>
      <c r="S12" s="2" t="str">
        <f ca="1">IFERROR(__xludf.DUMMYFUNCTION("""COMPUTED_VALUE"""),"PWR-C1-BLANK")</f>
        <v>PWR-C1-BLANK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e">
        <f ca="1"/>
        <v>#NAME?</v>
      </c>
      <c r="X12" s="2"/>
      <c r="Y12" s="2"/>
      <c r="Z12" s="2"/>
    </row>
    <row r="13" spans="1:26" ht="15.75" customHeight="1" x14ac:dyDescent="0.25">
      <c r="A13" s="7">
        <v>1.6</v>
      </c>
      <c r="B13" s="6" t="s">
        <v>54</v>
      </c>
      <c r="C13" s="6" t="s">
        <v>22</v>
      </c>
      <c r="D13" s="6" t="s">
        <v>55</v>
      </c>
      <c r="E13" s="8"/>
      <c r="F13" s="6" t="s">
        <v>25</v>
      </c>
      <c r="G13" s="6">
        <v>14</v>
      </c>
      <c r="H13" s="6" t="s">
        <v>32</v>
      </c>
      <c r="I13" s="7">
        <v>2</v>
      </c>
      <c r="J13" s="8"/>
      <c r="K13" s="7">
        <v>0</v>
      </c>
      <c r="L13" s="7">
        <v>0</v>
      </c>
      <c r="M13" s="7">
        <v>0</v>
      </c>
      <c r="N13" s="7">
        <v>0</v>
      </c>
      <c r="O13" s="8"/>
      <c r="P13" s="2"/>
      <c r="Q13" s="2"/>
      <c r="R13" s="2" t="str">
        <v>C9300</v>
      </c>
      <c r="S13" s="2" t="str">
        <f ca="1">IFERROR(__xludf.DUMMYFUNCTION("""COMPUTED_VALUE"""),"C9300L-STACK-BLANK")</f>
        <v>C9300L-STACK-BLANK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e">
        <f ca="1"/>
        <v>#NAME?</v>
      </c>
      <c r="X13" s="2"/>
      <c r="Y13" s="2"/>
      <c r="Z13" s="2"/>
    </row>
    <row r="14" spans="1:26" ht="15.75" customHeight="1" x14ac:dyDescent="0.25">
      <c r="A14" s="7">
        <v>1.7</v>
      </c>
      <c r="B14" s="6" t="s">
        <v>56</v>
      </c>
      <c r="C14" s="6" t="s">
        <v>22</v>
      </c>
      <c r="D14" s="6" t="s">
        <v>57</v>
      </c>
      <c r="E14" s="8"/>
      <c r="F14" s="6" t="s">
        <v>25</v>
      </c>
      <c r="G14" s="6">
        <v>14</v>
      </c>
      <c r="H14" s="6" t="s">
        <v>32</v>
      </c>
      <c r="I14" s="7">
        <v>3</v>
      </c>
      <c r="J14" s="8"/>
      <c r="K14" s="7">
        <v>0</v>
      </c>
      <c r="L14" s="7">
        <v>0</v>
      </c>
      <c r="M14" s="7">
        <v>0</v>
      </c>
      <c r="N14" s="7">
        <v>0</v>
      </c>
      <c r="O14" s="8"/>
      <c r="P14" s="2"/>
      <c r="Q14" s="2"/>
      <c r="R14" s="2" t="str">
        <v>C9300</v>
      </c>
      <c r="S14" s="2" t="str">
        <f ca="1">IFERROR(__xludf.DUMMYFUNCTION("""COMPUTED_VALUE"""),"FAN-T2")</f>
        <v>FAN-T2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e">
        <f ca="1"/>
        <v>#NAME?</v>
      </c>
      <c r="X14" s="2"/>
      <c r="Y14" s="2"/>
      <c r="Z14" s="2"/>
    </row>
    <row r="15" spans="1:26" ht="15.75" customHeight="1" x14ac:dyDescent="0.25">
      <c r="A15" s="7">
        <v>1.8</v>
      </c>
      <c r="B15" s="6" t="s">
        <v>58</v>
      </c>
      <c r="C15" s="6" t="s">
        <v>22</v>
      </c>
      <c r="D15" s="6" t="s">
        <v>59</v>
      </c>
      <c r="E15" s="8"/>
      <c r="F15" s="6" t="s">
        <v>25</v>
      </c>
      <c r="G15" s="6">
        <v>14</v>
      </c>
      <c r="H15" s="6" t="s">
        <v>32</v>
      </c>
      <c r="I15" s="7">
        <v>1</v>
      </c>
      <c r="J15" s="8"/>
      <c r="K15" s="7">
        <v>0</v>
      </c>
      <c r="L15" s="7">
        <v>0</v>
      </c>
      <c r="M15" s="7">
        <v>0</v>
      </c>
      <c r="N15" s="7">
        <v>0</v>
      </c>
      <c r="O15" s="8"/>
      <c r="P15" s="2"/>
      <c r="Q15" s="2"/>
      <c r="R15" s="2" t="str">
        <v>C9300</v>
      </c>
      <c r="S15" s="2" t="str">
        <f ca="1">IFERROR(__xludf.DUMMYFUNCTION("""COMPUTED_VALUE"""),"PWR-C1-350WAC-P")</f>
        <v>PWR-C1-350WAC-P</v>
      </c>
      <c r="T15" s="10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e">
        <f ca="1"/>
        <v>#NAME?</v>
      </c>
      <c r="X15" s="2"/>
      <c r="Y15" s="2"/>
      <c r="Z15" s="2"/>
    </row>
    <row r="16" spans="1:26" ht="15.75" customHeight="1" x14ac:dyDescent="0.25">
      <c r="A16" s="7">
        <v>1.9</v>
      </c>
      <c r="B16" s="6" t="s">
        <v>60</v>
      </c>
      <c r="C16" s="6" t="s">
        <v>22</v>
      </c>
      <c r="D16" s="6" t="s">
        <v>61</v>
      </c>
      <c r="E16" s="8"/>
      <c r="F16" s="6" t="s">
        <v>25</v>
      </c>
      <c r="G16" s="6">
        <v>14</v>
      </c>
      <c r="H16" s="6" t="s">
        <v>32</v>
      </c>
      <c r="I16" s="7">
        <v>1</v>
      </c>
      <c r="J16" s="8"/>
      <c r="K16" s="7">
        <v>0</v>
      </c>
      <c r="L16" s="7">
        <v>0</v>
      </c>
      <c r="M16" s="7">
        <v>0</v>
      </c>
      <c r="N16" s="7">
        <v>0</v>
      </c>
      <c r="O16" s="8"/>
      <c r="P16" s="2"/>
      <c r="Q16" s="2"/>
      <c r="R16" s="2" t="str">
        <v>C9300</v>
      </c>
      <c r="S16" s="2" t="str">
        <f ca="1">IFERROR(__xludf.DUMMYFUNCTION("""COMPUTED_VALUE"""),"C9300L-SPS-NONE")</f>
        <v>C9300L-SPS-NONE</v>
      </c>
      <c r="T16" s="10">
        <f ca="1">IFERROR(__xludf.DUMMYFUNCTION("""COMPUTED_VALUE"""),0)</f>
        <v>0</v>
      </c>
      <c r="U16" s="2" t="e">
        <f ca="1"/>
        <v>#NAME?</v>
      </c>
      <c r="V16" s="2" t="e">
        <f ca="1"/>
        <v>#NAME?</v>
      </c>
      <c r="W16" s="2" t="e">
        <f ca="1"/>
        <v>#NAME?</v>
      </c>
      <c r="X16" s="2"/>
      <c r="Y16" s="2"/>
      <c r="Z16" s="2"/>
    </row>
    <row r="17" spans="1:26" ht="15.75" customHeight="1" x14ac:dyDescent="0.25">
      <c r="A17" s="7">
        <v>1.1000000000000001</v>
      </c>
      <c r="B17" s="6" t="s">
        <v>62</v>
      </c>
      <c r="C17" s="6" t="s">
        <v>22</v>
      </c>
      <c r="D17" s="6" t="s">
        <v>63</v>
      </c>
      <c r="E17" s="8"/>
      <c r="F17" s="6" t="s">
        <v>25</v>
      </c>
      <c r="G17" s="6">
        <v>14</v>
      </c>
      <c r="H17" s="6" t="s">
        <v>26</v>
      </c>
      <c r="I17" s="7">
        <v>1</v>
      </c>
      <c r="J17" s="8"/>
      <c r="K17" s="7">
        <v>0</v>
      </c>
      <c r="L17" s="7">
        <v>0</v>
      </c>
      <c r="M17" s="7">
        <v>0</v>
      </c>
      <c r="N17" s="7">
        <v>0</v>
      </c>
      <c r="O17" s="8"/>
      <c r="P17" s="2"/>
      <c r="Q17" s="2"/>
      <c r="R17" s="2" t="str">
        <v>C9300</v>
      </c>
      <c r="S17" s="2" t="str">
        <f ca="1">IFERROR(__xludf.DUMMYFUNCTION("""COMPUTED_VALUE"""),"CAB-TA-EU")</f>
        <v>CAB-TA-EU</v>
      </c>
      <c r="T17" s="10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e">
        <f ca="1"/>
        <v>#NAME?</v>
      </c>
      <c r="X17" s="2"/>
      <c r="Y17" s="2"/>
      <c r="Z17" s="2"/>
    </row>
    <row r="18" spans="1:26" ht="15.75" customHeight="1" x14ac:dyDescent="0.25">
      <c r="A18" s="7">
        <v>1.1100000000000001</v>
      </c>
      <c r="B18" s="6" t="s">
        <v>64</v>
      </c>
      <c r="C18" s="6" t="s">
        <v>22</v>
      </c>
      <c r="D18" s="6" t="s">
        <v>65</v>
      </c>
      <c r="E18" s="8"/>
      <c r="F18" s="6" t="s">
        <v>25</v>
      </c>
      <c r="G18" s="6">
        <v>14</v>
      </c>
      <c r="H18" s="6" t="s">
        <v>26</v>
      </c>
      <c r="I18" s="7">
        <v>1</v>
      </c>
      <c r="J18" s="8"/>
      <c r="K18" s="9">
        <v>3162.96</v>
      </c>
      <c r="L18" s="9">
        <v>3162.96</v>
      </c>
      <c r="M18" s="7">
        <v>0</v>
      </c>
      <c r="N18" s="9">
        <v>3162.96</v>
      </c>
      <c r="O18" s="8"/>
      <c r="P18" s="2"/>
      <c r="Q18" s="2"/>
      <c r="R18" s="2" t="str">
        <v>C9300</v>
      </c>
      <c r="S18" s="2" t="str">
        <f ca="1">IFERROR(__xludf.DUMMYFUNCTION("""COMPUTED_VALUE"""),"SSD-240G")</f>
        <v>SSD-240G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e">
        <f ca="1"/>
        <v>#NAME?</v>
      </c>
      <c r="X18" s="2"/>
      <c r="Y18" s="2"/>
      <c r="Z18" s="2"/>
    </row>
    <row r="19" spans="1:26" ht="15.75" customHeight="1" x14ac:dyDescent="0.25">
      <c r="A19" s="7">
        <v>1.1200000000000001</v>
      </c>
      <c r="B19" s="6" t="s">
        <v>66</v>
      </c>
      <c r="C19" s="6" t="s">
        <v>22</v>
      </c>
      <c r="D19" s="6" t="s">
        <v>67</v>
      </c>
      <c r="E19" s="8"/>
      <c r="F19" s="6" t="s">
        <v>25</v>
      </c>
      <c r="G19" s="6">
        <v>14</v>
      </c>
      <c r="H19" s="6" t="s">
        <v>26</v>
      </c>
      <c r="I19" s="7">
        <v>1</v>
      </c>
      <c r="J19" s="8"/>
      <c r="K19" s="9">
        <v>0</v>
      </c>
      <c r="L19" s="9">
        <v>0</v>
      </c>
      <c r="M19" s="7">
        <v>0</v>
      </c>
      <c r="N19" s="9">
        <v>0</v>
      </c>
      <c r="O19" s="8"/>
      <c r="P19" s="2"/>
      <c r="Q19" s="2"/>
      <c r="R19" s="2" t="str">
        <v>C9300</v>
      </c>
      <c r="S19" s="2" t="str">
        <f ca="1">IFERROR(__xludf.DUMMYFUNCTION("""COMPUTED_VALUE"""),"C9K-ACC-RBFT")</f>
        <v>C9K-ACC-RBFT</v>
      </c>
      <c r="T19" s="10">
        <f ca="1">IFERROR(__xludf.DUMMYFUNCTION("""COMPUTED_VALUE"""),0)</f>
        <v>0</v>
      </c>
      <c r="U19" s="2" t="e">
        <f ca="1"/>
        <v>#NAME?</v>
      </c>
      <c r="V19" s="2" t="e">
        <f ca="1"/>
        <v>#NAME?</v>
      </c>
      <c r="W19" s="2" t="e">
        <f ca="1"/>
        <v>#NAME?</v>
      </c>
      <c r="X19" s="2"/>
      <c r="Y19" s="2"/>
      <c r="Z19" s="2"/>
    </row>
    <row r="20" spans="1:26" ht="15.75" customHeight="1" x14ac:dyDescent="0.25">
      <c r="A20" s="7">
        <v>1.1299999999999999</v>
      </c>
      <c r="B20" s="6" t="s">
        <v>68</v>
      </c>
      <c r="C20" s="6" t="s">
        <v>22</v>
      </c>
      <c r="D20" s="6" t="s">
        <v>69</v>
      </c>
      <c r="E20" s="8"/>
      <c r="F20" s="6" t="s">
        <v>25</v>
      </c>
      <c r="G20" s="6">
        <v>14</v>
      </c>
      <c r="H20" s="6" t="s">
        <v>26</v>
      </c>
      <c r="I20" s="7">
        <v>1</v>
      </c>
      <c r="J20" s="8"/>
      <c r="K20" s="7">
        <v>0</v>
      </c>
      <c r="L20" s="7">
        <v>0</v>
      </c>
      <c r="M20" s="7">
        <v>0</v>
      </c>
      <c r="N20" s="7">
        <v>0</v>
      </c>
      <c r="O20" s="8"/>
      <c r="P20" s="2"/>
      <c r="Q20" s="2"/>
      <c r="R20" s="2" t="str">
        <v>C9300</v>
      </c>
      <c r="S20" s="2" t="str">
        <f ca="1">IFERROR(__xludf.DUMMYFUNCTION("""COMPUTED_VALUE"""),"C9K-ACC-SCR-4")</f>
        <v>C9K-ACC-SCR-4</v>
      </c>
      <c r="T20" s="10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e">
        <f ca="1"/>
        <v>#NAME?</v>
      </c>
      <c r="X20" s="2"/>
      <c r="Y20" s="2"/>
      <c r="Z20" s="2"/>
    </row>
    <row r="21" spans="1:26" ht="15.75" customHeight="1" x14ac:dyDescent="0.25">
      <c r="A21" s="7">
        <v>1.1399999999999999</v>
      </c>
      <c r="B21" s="6" t="s">
        <v>70</v>
      </c>
      <c r="C21" s="6" t="s">
        <v>22</v>
      </c>
      <c r="D21" s="6" t="s">
        <v>71</v>
      </c>
      <c r="E21" s="8"/>
      <c r="F21" s="6" t="s">
        <v>25</v>
      </c>
      <c r="G21" s="6">
        <v>14</v>
      </c>
      <c r="H21" s="6" t="s">
        <v>26</v>
      </c>
      <c r="I21" s="7">
        <v>1</v>
      </c>
      <c r="J21" s="8"/>
      <c r="K21" s="7">
        <v>0</v>
      </c>
      <c r="L21" s="7">
        <v>0</v>
      </c>
      <c r="M21" s="7">
        <v>0</v>
      </c>
      <c r="N21" s="7">
        <v>0</v>
      </c>
      <c r="O21" s="8"/>
      <c r="P21" s="2"/>
      <c r="Q21" s="2"/>
      <c r="R21" s="2" t="str">
        <v>C9300</v>
      </c>
      <c r="S21" s="2" t="str">
        <f ca="1">IFERROR(__xludf.DUMMYFUNCTION("""COMPUTED_VALUE"""),"CAB-GUIDE-1RU")</f>
        <v>CAB-GUIDE-1RU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e">
        <f ca="1"/>
        <v>#NAME?</v>
      </c>
      <c r="X21" s="2"/>
      <c r="Y21" s="2"/>
      <c r="Z21" s="2"/>
    </row>
    <row r="22" spans="1:26" ht="15.75" customHeight="1" x14ac:dyDescent="0.25">
      <c r="A22" s="7">
        <v>1.1499999999999999</v>
      </c>
      <c r="B22" s="6" t="s">
        <v>72</v>
      </c>
      <c r="C22" s="6" t="s">
        <v>32</v>
      </c>
      <c r="D22" s="6" t="s">
        <v>73</v>
      </c>
      <c r="E22" s="8"/>
      <c r="F22" s="6" t="s">
        <v>25</v>
      </c>
      <c r="G22" s="6">
        <v>2</v>
      </c>
      <c r="H22" s="6" t="s">
        <v>32</v>
      </c>
      <c r="I22" s="7">
        <v>1</v>
      </c>
      <c r="J22" s="8"/>
      <c r="K22" s="7">
        <v>0</v>
      </c>
      <c r="L22" s="7">
        <v>0</v>
      </c>
      <c r="M22" s="7">
        <v>0</v>
      </c>
      <c r="N22" s="7">
        <v>0</v>
      </c>
      <c r="O22" s="8"/>
      <c r="P22" s="2"/>
      <c r="Q22" s="2"/>
      <c r="R22" s="2" t="str">
        <v>C9300</v>
      </c>
      <c r="S22" s="2" t="str">
        <f ca="1">IFERROR(__xludf.DUMMYFUNCTION("""COMPUTED_VALUE"""),"NETWORK-PNP-LIC")</f>
        <v>NETWORK-PNP-LIC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e">
        <f ca="1"/>
        <v>#NAME?</v>
      </c>
      <c r="X22" s="2"/>
      <c r="Y22" s="2"/>
      <c r="Z22" s="2"/>
    </row>
    <row r="23" spans="1:26" ht="15.75" customHeight="1" x14ac:dyDescent="0.25">
      <c r="A23" s="7">
        <v>1.1599999999999999</v>
      </c>
      <c r="B23" s="6" t="s">
        <v>74</v>
      </c>
      <c r="C23" s="6" t="s">
        <v>22</v>
      </c>
      <c r="D23" s="6" t="s">
        <v>75</v>
      </c>
      <c r="E23" s="8"/>
      <c r="F23" s="6" t="s">
        <v>25</v>
      </c>
      <c r="G23" s="6">
        <v>14</v>
      </c>
      <c r="H23" s="6" t="s">
        <v>32</v>
      </c>
      <c r="I23" s="7">
        <v>1</v>
      </c>
      <c r="J23" s="8"/>
      <c r="K23" s="7">
        <v>0</v>
      </c>
      <c r="L23" s="7">
        <v>0</v>
      </c>
      <c r="M23" s="7">
        <v>0</v>
      </c>
      <c r="N23" s="7">
        <v>0</v>
      </c>
      <c r="O23" s="8"/>
      <c r="P23" s="2"/>
      <c r="Q23" s="2"/>
      <c r="R23" s="2" t="str">
        <v>C9300</v>
      </c>
      <c r="S23" s="2" t="str">
        <f ca="1">IFERROR(__xludf.DUMMYFUNCTION("""COMPUTED_VALUE"""),"S9300LUK9-1718")</f>
        <v>S9300LUK9-1718</v>
      </c>
      <c r="T23" s="10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e">
        <f ca="1"/>
        <v>#NAME?</v>
      </c>
      <c r="X23" s="2"/>
      <c r="Y23" s="2"/>
      <c r="Z23" s="2"/>
    </row>
    <row r="24" spans="1:26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 t="s">
        <v>76</v>
      </c>
      <c r="N24" s="13">
        <v>13699.63</v>
      </c>
      <c r="O24" s="14"/>
      <c r="P24" s="2"/>
      <c r="Q24" s="2"/>
      <c r="R24" s="2" t="str">
        <v/>
      </c>
      <c r="S24" s="2" t="str">
        <f ca="1">IFERROR(__xludf.DUMMYFUNCTION("""COMPUTED_VALUE"""),"")</f>
        <v/>
      </c>
      <c r="T24" s="2" t="str">
        <f ca="1">IFERROR(__xludf.DUMMYFUNCTION("""COMPUTED_VALUE"""),"")</f>
        <v/>
      </c>
      <c r="U24" s="2" t="e">
        <f ca="1"/>
        <v>#NAME?</v>
      </c>
      <c r="V24" s="2" t="e">
        <f ca="1"/>
        <v>#NAME?</v>
      </c>
      <c r="W24" s="2" t="str">
        <f ca="1"/>
        <v/>
      </c>
      <c r="X24" s="2"/>
      <c r="Y24" s="2"/>
      <c r="Z24" s="2"/>
    </row>
    <row r="25" spans="1:26" ht="15.75" customHeight="1" x14ac:dyDescent="0.25">
      <c r="A25" s="5">
        <v>2</v>
      </c>
      <c r="B25" s="5" t="s">
        <v>77</v>
      </c>
      <c r="C25" s="6" t="s">
        <v>22</v>
      </c>
      <c r="D25" s="6" t="s">
        <v>78</v>
      </c>
      <c r="E25" s="6" t="s">
        <v>24</v>
      </c>
      <c r="F25" s="6" t="s">
        <v>25</v>
      </c>
      <c r="G25" s="6">
        <v>14</v>
      </c>
      <c r="H25" s="6" t="s">
        <v>26</v>
      </c>
      <c r="I25" s="7">
        <v>1</v>
      </c>
      <c r="J25" s="8"/>
      <c r="K25" s="9">
        <v>7346.55</v>
      </c>
      <c r="L25" s="9">
        <v>7346.55</v>
      </c>
      <c r="M25" s="7">
        <v>0</v>
      </c>
      <c r="N25" s="9">
        <v>7346.55</v>
      </c>
      <c r="O25" s="8"/>
      <c r="P25" s="2"/>
      <c r="Q25" s="2"/>
      <c r="R25" s="2" t="str">
        <v>C9300</v>
      </c>
      <c r="S25" s="2" t="str">
        <f ca="1">IFERROR(__xludf.DUMMYFUNCTION("""COMPUTED_VALUE"""),"C9300L-24P-4G-A")</f>
        <v>C9300L-24P-4G-A</v>
      </c>
      <c r="T25" s="10">
        <f ca="1">IFERROR(__xludf.DUMMYFUNCTION("""COMPUTED_VALUE"""),1)</f>
        <v>1</v>
      </c>
      <c r="U25" s="2" t="e">
        <f ca="1"/>
        <v>#NAME?</v>
      </c>
      <c r="V25" s="2" t="e">
        <f ca="1"/>
        <v>#NAME?</v>
      </c>
      <c r="W25" s="2" t="e">
        <f ca="1"/>
        <v>#NAME?</v>
      </c>
      <c r="X25" s="2"/>
      <c r="Y25" s="2"/>
      <c r="Z25" s="2"/>
    </row>
    <row r="26" spans="1:26" ht="15.75" customHeight="1" x14ac:dyDescent="0.25">
      <c r="A26" s="7" t="s">
        <v>79</v>
      </c>
      <c r="B26" s="6" t="s">
        <v>80</v>
      </c>
      <c r="C26" s="6" t="s">
        <v>22</v>
      </c>
      <c r="D26" s="6" t="s">
        <v>81</v>
      </c>
      <c r="E26" s="8"/>
      <c r="F26" s="6">
        <v>24</v>
      </c>
      <c r="G26" s="6" t="s">
        <v>25</v>
      </c>
      <c r="H26" s="6" t="s">
        <v>26</v>
      </c>
      <c r="I26" s="7">
        <v>1</v>
      </c>
      <c r="J26" s="8"/>
      <c r="K26" s="9">
        <v>1471.26</v>
      </c>
      <c r="L26" s="9">
        <v>1471.26</v>
      </c>
      <c r="M26" s="7">
        <v>0</v>
      </c>
      <c r="N26" s="9">
        <v>1471.26</v>
      </c>
      <c r="O26" s="6" t="s">
        <v>30</v>
      </c>
      <c r="P26" s="2"/>
      <c r="Q26" s="2"/>
      <c r="R26" s="2" t="str">
        <v>C9300</v>
      </c>
      <c r="S26" s="2" t="str">
        <f ca="1">IFERROR(__xludf.DUMMYFUNCTION("""COMPUTED_VALUE"""),"CON-L1NBD-C93004G4")</f>
        <v>CON-L1NBD-C93004G4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e">
        <f ca="1"/>
        <v>#NAME?</v>
      </c>
      <c r="X26" s="2"/>
      <c r="Y26" s="2"/>
      <c r="Z26" s="2"/>
    </row>
    <row r="27" spans="1:26" ht="15.75" customHeight="1" x14ac:dyDescent="0.25">
      <c r="A27" s="7">
        <v>2.1</v>
      </c>
      <c r="B27" s="6" t="s">
        <v>31</v>
      </c>
      <c r="C27" s="6" t="s">
        <v>32</v>
      </c>
      <c r="D27" s="6" t="s">
        <v>33</v>
      </c>
      <c r="E27" s="8"/>
      <c r="F27" s="6" t="s">
        <v>25</v>
      </c>
      <c r="G27" s="6">
        <v>14</v>
      </c>
      <c r="H27" s="6" t="s">
        <v>26</v>
      </c>
      <c r="I27" s="7">
        <v>1</v>
      </c>
      <c r="J27" s="8"/>
      <c r="K27" s="7">
        <v>0</v>
      </c>
      <c r="L27" s="7">
        <v>0</v>
      </c>
      <c r="M27" s="7">
        <v>0</v>
      </c>
      <c r="N27" s="7">
        <v>0</v>
      </c>
      <c r="O27" s="8"/>
      <c r="P27" s="2"/>
      <c r="Q27" s="2"/>
      <c r="R27" s="2" t="str">
        <v>C9300</v>
      </c>
      <c r="S27" s="2" t="str">
        <f ca="1">IFERROR(__xludf.DUMMYFUNCTION("""COMPUTED_VALUE"""),"C9300L-DNA-A-24")</f>
        <v>C9300L-DNA-A-24</v>
      </c>
      <c r="T27" s="10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e">
        <f ca="1"/>
        <v>#NAME?</v>
      </c>
      <c r="X27" s="2"/>
      <c r="Y27" s="2"/>
      <c r="Z27" s="2"/>
    </row>
    <row r="28" spans="1:26" ht="15.75" customHeight="1" x14ac:dyDescent="0.25">
      <c r="A28" s="7" t="s">
        <v>82</v>
      </c>
      <c r="B28" s="6" t="s">
        <v>35</v>
      </c>
      <c r="C28" s="6" t="s">
        <v>22</v>
      </c>
      <c r="D28" s="6" t="s">
        <v>36</v>
      </c>
      <c r="E28" s="8"/>
      <c r="F28" s="6">
        <v>24</v>
      </c>
      <c r="G28" s="6" t="s">
        <v>25</v>
      </c>
      <c r="H28" s="6" t="s">
        <v>26</v>
      </c>
      <c r="I28" s="7">
        <v>1</v>
      </c>
      <c r="J28" s="8"/>
      <c r="K28" s="7">
        <v>324.5</v>
      </c>
      <c r="L28" s="7">
        <v>324.5</v>
      </c>
      <c r="M28" s="7">
        <v>0</v>
      </c>
      <c r="N28" s="7">
        <v>324.5</v>
      </c>
      <c r="O28" s="6" t="s">
        <v>30</v>
      </c>
      <c r="P28" s="2"/>
      <c r="Q28" s="2"/>
      <c r="R28" s="2" t="str">
        <v>C9300</v>
      </c>
      <c r="S28" s="2" t="str">
        <f ca="1">IFERROR(__xludf.DUMMYFUNCTION("""COMPUTED_VALUE"""),"CON-L1SWT-C93LA24")</f>
        <v>CON-L1SWT-C93LA24</v>
      </c>
      <c r="T28" s="10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e">
        <f ca="1"/>
        <v>#NAME?</v>
      </c>
      <c r="X28" s="2"/>
      <c r="Y28" s="2"/>
      <c r="Z28" s="2"/>
    </row>
    <row r="29" spans="1:26" ht="15.75" customHeight="1" x14ac:dyDescent="0.25">
      <c r="A29" s="7" t="s">
        <v>83</v>
      </c>
      <c r="B29" s="6" t="s">
        <v>38</v>
      </c>
      <c r="C29" s="6" t="s">
        <v>22</v>
      </c>
      <c r="D29" s="6" t="s">
        <v>39</v>
      </c>
      <c r="E29" s="8"/>
      <c r="F29" s="6">
        <v>36</v>
      </c>
      <c r="G29" s="6" t="s">
        <v>25</v>
      </c>
      <c r="H29" s="6" t="s">
        <v>26</v>
      </c>
      <c r="I29" s="7">
        <v>1</v>
      </c>
      <c r="J29" s="8"/>
      <c r="K29" s="9">
        <v>2365.77</v>
      </c>
      <c r="L29" s="9">
        <v>2365.77</v>
      </c>
      <c r="M29" s="7">
        <v>0</v>
      </c>
      <c r="N29" s="9">
        <v>2365.77</v>
      </c>
      <c r="O29" s="8"/>
      <c r="P29" s="2"/>
      <c r="Q29" s="2"/>
      <c r="R29" s="2" t="str">
        <v>C9300</v>
      </c>
      <c r="S29" s="2" t="str">
        <f ca="1">IFERROR(__xludf.DUMMYFUNCTION("""COMPUTED_VALUE"""),"C9300L-DNA-A-24-3Y")</f>
        <v>C9300L-DNA-A-24-3Y</v>
      </c>
      <c r="T29" s="10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e">
        <f ca="1"/>
        <v>#NAME?</v>
      </c>
      <c r="X29" s="2"/>
      <c r="Y29" s="2"/>
      <c r="Z29" s="2"/>
    </row>
    <row r="30" spans="1:26" ht="15.75" customHeight="1" x14ac:dyDescent="0.25">
      <c r="A30" s="7">
        <v>2.2000000000000002</v>
      </c>
      <c r="B30" s="6" t="s">
        <v>40</v>
      </c>
      <c r="C30" s="6" t="s">
        <v>32</v>
      </c>
      <c r="D30" s="6" t="s">
        <v>41</v>
      </c>
      <c r="E30" s="8"/>
      <c r="F30" s="6" t="s">
        <v>25</v>
      </c>
      <c r="G30" s="6">
        <v>14</v>
      </c>
      <c r="H30" s="6" t="s">
        <v>32</v>
      </c>
      <c r="I30" s="7">
        <v>1</v>
      </c>
      <c r="J30" s="8"/>
      <c r="K30" s="7">
        <v>0</v>
      </c>
      <c r="L30" s="7">
        <v>0</v>
      </c>
      <c r="M30" s="7">
        <v>0</v>
      </c>
      <c r="N30" s="7">
        <v>0</v>
      </c>
      <c r="O30" s="8"/>
      <c r="P30" s="2"/>
      <c r="Q30" s="2"/>
      <c r="R30" s="2" t="str">
        <v>C9300</v>
      </c>
      <c r="S30" s="2" t="str">
        <f ca="1">IFERROR(__xludf.DUMMYFUNCTION("""COMPUTED_VALUE"""),"TE-EMBEDDED-T")</f>
        <v>TE-EMBEDDED-T</v>
      </c>
      <c r="T30" s="10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e">
        <f ca="1"/>
        <v>#NAME?</v>
      </c>
      <c r="X30" s="2"/>
      <c r="Y30" s="2"/>
      <c r="Z30" s="2"/>
    </row>
    <row r="31" spans="1:26" ht="15.75" customHeight="1" x14ac:dyDescent="0.25">
      <c r="A31" s="7" t="s">
        <v>84</v>
      </c>
      <c r="B31" s="6" t="s">
        <v>43</v>
      </c>
      <c r="C31" s="6" t="s">
        <v>22</v>
      </c>
      <c r="D31" s="6" t="s">
        <v>44</v>
      </c>
      <c r="E31" s="8"/>
      <c r="F31" s="6">
        <v>36</v>
      </c>
      <c r="G31" s="6" t="s">
        <v>25</v>
      </c>
      <c r="H31" s="6" t="s">
        <v>26</v>
      </c>
      <c r="I31" s="7">
        <v>1</v>
      </c>
      <c r="J31" s="8"/>
      <c r="K31" s="7">
        <v>0</v>
      </c>
      <c r="L31" s="7">
        <v>0</v>
      </c>
      <c r="M31" s="7">
        <v>0</v>
      </c>
      <c r="N31" s="7">
        <v>0</v>
      </c>
      <c r="O31" s="8"/>
      <c r="P31" s="2"/>
      <c r="Q31" s="2"/>
      <c r="R31" s="2" t="str">
        <v>C9300</v>
      </c>
      <c r="S31" s="2" t="str">
        <f ca="1">IFERROR(__xludf.DUMMYFUNCTION("""COMPUTED_VALUE"""),"TE-EMBEDDED-T-3Y")</f>
        <v>TE-EMBEDDED-T-3Y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e">
        <f ca="1"/>
        <v>#NAME?</v>
      </c>
      <c r="X31" s="2"/>
      <c r="Y31" s="2"/>
      <c r="Z31" s="2"/>
    </row>
    <row r="32" spans="1:26" ht="15.75" customHeight="1" x14ac:dyDescent="0.25">
      <c r="A32" s="7">
        <v>2.2999999999999998</v>
      </c>
      <c r="B32" s="6" t="s">
        <v>45</v>
      </c>
      <c r="C32" s="6" t="s">
        <v>32</v>
      </c>
      <c r="D32" s="6" t="s">
        <v>46</v>
      </c>
      <c r="E32" s="8"/>
      <c r="F32" s="6" t="s">
        <v>25</v>
      </c>
      <c r="G32" s="6">
        <v>14</v>
      </c>
      <c r="H32" s="6" t="s">
        <v>32</v>
      </c>
      <c r="I32" s="7">
        <v>1</v>
      </c>
      <c r="J32" s="8"/>
      <c r="K32" s="7">
        <v>0</v>
      </c>
      <c r="L32" s="7">
        <v>0</v>
      </c>
      <c r="M32" s="7">
        <v>0</v>
      </c>
      <c r="N32" s="7">
        <v>0</v>
      </c>
      <c r="O32" s="8"/>
      <c r="P32" s="2"/>
      <c r="Q32" s="2"/>
      <c r="R32" s="2" t="str">
        <v>C9300</v>
      </c>
      <c r="S32" s="2" t="str">
        <f ca="1">IFERROR(__xludf.DUMMYFUNCTION("""COMPUTED_VALUE"""),"D-DNAS-EXT-S-T")</f>
        <v>D-DNAS-EXT-S-T</v>
      </c>
      <c r="T32" s="10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e">
        <f ca="1"/>
        <v>#NAME?</v>
      </c>
      <c r="X32" s="2"/>
      <c r="Y32" s="2"/>
      <c r="Z32" s="2"/>
    </row>
    <row r="33" spans="1:26" ht="15.75" customHeight="1" x14ac:dyDescent="0.25">
      <c r="A33" s="7" t="s">
        <v>85</v>
      </c>
      <c r="B33" s="6" t="s">
        <v>48</v>
      </c>
      <c r="C33" s="6" t="s">
        <v>22</v>
      </c>
      <c r="D33" s="6" t="s">
        <v>49</v>
      </c>
      <c r="E33" s="8"/>
      <c r="F33" s="6">
        <v>36</v>
      </c>
      <c r="G33" s="6" t="s">
        <v>25</v>
      </c>
      <c r="H33" s="6" t="s">
        <v>26</v>
      </c>
      <c r="I33" s="7">
        <v>1</v>
      </c>
      <c r="J33" s="8"/>
      <c r="K33" s="7">
        <v>0</v>
      </c>
      <c r="L33" s="7">
        <v>0</v>
      </c>
      <c r="M33" s="7">
        <v>0</v>
      </c>
      <c r="N33" s="7">
        <v>0</v>
      </c>
      <c r="O33" s="8"/>
      <c r="P33" s="2"/>
      <c r="Q33" s="2"/>
      <c r="R33" s="2" t="str">
        <v>C9300</v>
      </c>
      <c r="S33" s="2" t="str">
        <f ca="1">IFERROR(__xludf.DUMMYFUNCTION("""COMPUTED_VALUE"""),"D-DNAS-EXT-S-3Y")</f>
        <v>D-DNAS-EXT-S-3Y</v>
      </c>
      <c r="T33" s="10">
        <f ca="1">IFERROR(__xludf.DUMMYFUNCTION("""COMPUTED_VALUE"""),0)</f>
        <v>0</v>
      </c>
      <c r="U33" s="2" t="e">
        <f ca="1"/>
        <v>#NAME?</v>
      </c>
      <c r="V33" s="2" t="e">
        <f ca="1"/>
        <v>#NAME?</v>
      </c>
      <c r="W33" s="2" t="e">
        <f ca="1"/>
        <v>#NAME?</v>
      </c>
      <c r="X33" s="2"/>
      <c r="Y33" s="2"/>
      <c r="Z33" s="2"/>
    </row>
    <row r="34" spans="1:26" ht="15.75" customHeight="1" x14ac:dyDescent="0.25">
      <c r="A34" s="7">
        <v>2.4</v>
      </c>
      <c r="B34" s="6" t="s">
        <v>50</v>
      </c>
      <c r="C34" s="6" t="s">
        <v>32</v>
      </c>
      <c r="D34" s="6" t="s">
        <v>51</v>
      </c>
      <c r="E34" s="8"/>
      <c r="F34" s="6" t="s">
        <v>25</v>
      </c>
      <c r="G34" s="6">
        <v>14</v>
      </c>
      <c r="H34" s="6" t="s">
        <v>32</v>
      </c>
      <c r="I34" s="7">
        <v>1</v>
      </c>
      <c r="J34" s="8"/>
      <c r="K34" s="7">
        <v>0</v>
      </c>
      <c r="L34" s="7">
        <v>0</v>
      </c>
      <c r="M34" s="7">
        <v>0</v>
      </c>
      <c r="N34" s="7">
        <v>0</v>
      </c>
      <c r="O34" s="8"/>
      <c r="P34" s="2"/>
      <c r="Q34" s="2"/>
      <c r="R34" s="2" t="str">
        <v>C9300</v>
      </c>
      <c r="S34" s="2" t="str">
        <f ca="1">IFERROR(__xludf.DUMMYFUNCTION("""COMPUTED_VALUE"""),"C9300L-NW-A-24")</f>
        <v>C9300L-NW-A-24</v>
      </c>
      <c r="T34" s="10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e">
        <f ca="1"/>
        <v>#NAME?</v>
      </c>
      <c r="X34" s="2"/>
      <c r="Y34" s="2"/>
      <c r="Z34" s="2"/>
    </row>
    <row r="35" spans="1:26" ht="15.75" customHeight="1" x14ac:dyDescent="0.25">
      <c r="A35" s="7">
        <v>2.5</v>
      </c>
      <c r="B35" s="6" t="s">
        <v>52</v>
      </c>
      <c r="C35" s="6" t="s">
        <v>22</v>
      </c>
      <c r="D35" s="6" t="s">
        <v>53</v>
      </c>
      <c r="E35" s="8"/>
      <c r="F35" s="6" t="s">
        <v>25</v>
      </c>
      <c r="G35" s="6">
        <v>14</v>
      </c>
      <c r="H35" s="6" t="s">
        <v>32</v>
      </c>
      <c r="I35" s="7">
        <v>1</v>
      </c>
      <c r="J35" s="8"/>
      <c r="K35" s="7">
        <v>0</v>
      </c>
      <c r="L35" s="7">
        <v>0</v>
      </c>
      <c r="M35" s="7">
        <v>0</v>
      </c>
      <c r="N35" s="7">
        <v>0</v>
      </c>
      <c r="O35" s="8"/>
      <c r="P35" s="2"/>
      <c r="Q35" s="2"/>
      <c r="R35" s="2" t="str">
        <v>C9300</v>
      </c>
      <c r="S35" s="2" t="str">
        <f ca="1">IFERROR(__xludf.DUMMYFUNCTION("""COMPUTED_VALUE"""),"PWR-C1-BLANK")</f>
        <v>PWR-C1-BLANK</v>
      </c>
      <c r="T35" s="10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e">
        <f ca="1"/>
        <v>#NAME?</v>
      </c>
      <c r="X35" s="2"/>
      <c r="Y35" s="2"/>
      <c r="Z35" s="2"/>
    </row>
    <row r="36" spans="1:26" ht="15.75" customHeight="1" x14ac:dyDescent="0.25">
      <c r="A36" s="7">
        <v>2.6</v>
      </c>
      <c r="B36" s="6" t="s">
        <v>54</v>
      </c>
      <c r="C36" s="6" t="s">
        <v>22</v>
      </c>
      <c r="D36" s="6" t="s">
        <v>55</v>
      </c>
      <c r="E36" s="8"/>
      <c r="F36" s="6" t="s">
        <v>25</v>
      </c>
      <c r="G36" s="6">
        <v>14</v>
      </c>
      <c r="H36" s="6" t="s">
        <v>32</v>
      </c>
      <c r="I36" s="7">
        <v>2</v>
      </c>
      <c r="J36" s="8"/>
      <c r="K36" s="7">
        <v>0</v>
      </c>
      <c r="L36" s="7">
        <v>0</v>
      </c>
      <c r="M36" s="7">
        <v>0</v>
      </c>
      <c r="N36" s="7">
        <v>0</v>
      </c>
      <c r="O36" s="8"/>
      <c r="P36" s="2"/>
      <c r="Q36" s="2"/>
      <c r="R36" s="2" t="str">
        <v>C9300</v>
      </c>
      <c r="S36" s="2" t="str">
        <f ca="1">IFERROR(__xludf.DUMMYFUNCTION("""COMPUTED_VALUE"""),"C9300L-STACK-BLANK")</f>
        <v>C9300L-STACK-BLANK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e">
        <f ca="1"/>
        <v>#NAME?</v>
      </c>
      <c r="X36" s="2"/>
      <c r="Y36" s="2"/>
      <c r="Z36" s="2"/>
    </row>
    <row r="37" spans="1:26" ht="12.5" x14ac:dyDescent="0.25">
      <c r="A37" s="7">
        <v>2.7</v>
      </c>
      <c r="B37" s="6" t="s">
        <v>86</v>
      </c>
      <c r="C37" s="6" t="s">
        <v>22</v>
      </c>
      <c r="D37" s="6" t="s">
        <v>87</v>
      </c>
      <c r="E37" s="8"/>
      <c r="F37" s="6" t="s">
        <v>25</v>
      </c>
      <c r="G37" s="6">
        <v>14</v>
      </c>
      <c r="H37" s="6" t="s">
        <v>32</v>
      </c>
      <c r="I37" s="7">
        <v>1</v>
      </c>
      <c r="J37" s="8"/>
      <c r="K37" s="7">
        <v>0</v>
      </c>
      <c r="L37" s="7">
        <v>0</v>
      </c>
      <c r="M37" s="7">
        <v>0</v>
      </c>
      <c r="N37" s="7">
        <v>0</v>
      </c>
      <c r="O37" s="8"/>
      <c r="P37" s="2"/>
      <c r="Q37" s="2"/>
      <c r="R37" s="2" t="str">
        <v>C9300</v>
      </c>
      <c r="S37" s="2" t="str">
        <f ca="1">IFERROR(__xludf.DUMMYFUNCTION("""COMPUTED_VALUE"""),"TE-C9K-SW")</f>
        <v>TE-C9K-SW</v>
      </c>
      <c r="T37" s="10">
        <f ca="1">IFERROR(__xludf.DUMMYFUNCTION("""COMPUTED_VALUE"""),0)</f>
        <v>0</v>
      </c>
      <c r="U37" s="2" t="e">
        <f ca="1"/>
        <v>#NAME?</v>
      </c>
      <c r="V37" s="2" t="e">
        <f ca="1"/>
        <v>#NAME?</v>
      </c>
      <c r="W37" s="2" t="e">
        <f ca="1"/>
        <v>#NAME?</v>
      </c>
      <c r="X37" s="2"/>
      <c r="Y37" s="2"/>
      <c r="Z37" s="2"/>
    </row>
    <row r="38" spans="1:26" ht="12.5" x14ac:dyDescent="0.25">
      <c r="A38" s="7">
        <v>2.8</v>
      </c>
      <c r="B38" s="6" t="s">
        <v>56</v>
      </c>
      <c r="C38" s="6" t="s">
        <v>22</v>
      </c>
      <c r="D38" s="6" t="s">
        <v>57</v>
      </c>
      <c r="E38" s="8"/>
      <c r="F38" s="6" t="s">
        <v>25</v>
      </c>
      <c r="G38" s="6">
        <v>14</v>
      </c>
      <c r="H38" s="6" t="s">
        <v>32</v>
      </c>
      <c r="I38" s="7">
        <v>3</v>
      </c>
      <c r="J38" s="8"/>
      <c r="K38" s="7">
        <v>0</v>
      </c>
      <c r="L38" s="7">
        <v>0</v>
      </c>
      <c r="M38" s="7">
        <v>0</v>
      </c>
      <c r="N38" s="7">
        <v>0</v>
      </c>
      <c r="O38" s="8"/>
      <c r="P38" s="2"/>
      <c r="Q38" s="2"/>
      <c r="R38" s="2" t="str">
        <v>C9300</v>
      </c>
      <c r="S38" s="2" t="str">
        <f ca="1">IFERROR(__xludf.DUMMYFUNCTION("""COMPUTED_VALUE"""),"FAN-T2")</f>
        <v>FAN-T2</v>
      </c>
      <c r="T38" s="10">
        <f ca="1">IFERROR(__xludf.DUMMYFUNCTION("""COMPUTED_VALUE"""),0)</f>
        <v>0</v>
      </c>
      <c r="U38" s="2" t="e">
        <f ca="1"/>
        <v>#NAME?</v>
      </c>
      <c r="V38" s="2" t="e">
        <f ca="1"/>
        <v>#NAME?</v>
      </c>
      <c r="W38" s="2" t="e">
        <f ca="1"/>
        <v>#NAME?</v>
      </c>
      <c r="X38" s="2"/>
      <c r="Y38" s="2"/>
      <c r="Z38" s="2"/>
    </row>
    <row r="39" spans="1:26" ht="12.5" x14ac:dyDescent="0.25">
      <c r="A39" s="7">
        <v>2.9</v>
      </c>
      <c r="B39" s="6" t="s">
        <v>88</v>
      </c>
      <c r="C39" s="6" t="s">
        <v>22</v>
      </c>
      <c r="D39" s="6" t="s">
        <v>89</v>
      </c>
      <c r="E39" s="8"/>
      <c r="F39" s="6" t="s">
        <v>25</v>
      </c>
      <c r="G39" s="6">
        <v>14</v>
      </c>
      <c r="H39" s="6" t="s">
        <v>32</v>
      </c>
      <c r="I39" s="7">
        <v>1</v>
      </c>
      <c r="J39" s="8"/>
      <c r="K39" s="7">
        <v>0</v>
      </c>
      <c r="L39" s="7">
        <v>0</v>
      </c>
      <c r="M39" s="7">
        <v>0</v>
      </c>
      <c r="N39" s="7">
        <v>0</v>
      </c>
      <c r="O39" s="8"/>
      <c r="P39" s="2"/>
      <c r="Q39" s="2"/>
      <c r="R39" s="2" t="str">
        <v>C9300</v>
      </c>
      <c r="S39" s="2" t="str">
        <f ca="1">IFERROR(__xludf.DUMMYFUNCTION("""COMPUTED_VALUE"""),"PWR-C1-715WAC-P")</f>
        <v>PWR-C1-715WAC-P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e">
        <f ca="1"/>
        <v>#NAME?</v>
      </c>
      <c r="X39" s="2"/>
      <c r="Y39" s="2"/>
      <c r="Z39" s="2"/>
    </row>
    <row r="40" spans="1:26" ht="12.5" x14ac:dyDescent="0.25">
      <c r="A40" s="7">
        <v>2.1</v>
      </c>
      <c r="B40" s="6" t="s">
        <v>60</v>
      </c>
      <c r="C40" s="6" t="s">
        <v>22</v>
      </c>
      <c r="D40" s="6" t="s">
        <v>61</v>
      </c>
      <c r="E40" s="8"/>
      <c r="F40" s="6" t="s">
        <v>25</v>
      </c>
      <c r="G40" s="6">
        <v>14</v>
      </c>
      <c r="H40" s="6" t="s">
        <v>32</v>
      </c>
      <c r="I40" s="7">
        <v>1</v>
      </c>
      <c r="J40" s="8"/>
      <c r="K40" s="7">
        <v>0</v>
      </c>
      <c r="L40" s="7">
        <v>0</v>
      </c>
      <c r="M40" s="7">
        <v>0</v>
      </c>
      <c r="N40" s="7">
        <v>0</v>
      </c>
      <c r="O40" s="8"/>
      <c r="P40" s="2"/>
      <c r="Q40" s="2"/>
      <c r="R40" s="2" t="str">
        <v>C9300</v>
      </c>
      <c r="S40" s="2" t="str">
        <f ca="1">IFERROR(__xludf.DUMMYFUNCTION("""COMPUTED_VALUE"""),"C9300L-SPS-NONE")</f>
        <v>C9300L-SPS-NONE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e">
        <f ca="1"/>
        <v>#NAME?</v>
      </c>
      <c r="X40" s="2"/>
      <c r="Y40" s="2"/>
      <c r="Z40" s="2"/>
    </row>
    <row r="41" spans="1:26" ht="12.5" x14ac:dyDescent="0.25">
      <c r="A41" s="7">
        <v>2.11</v>
      </c>
      <c r="B41" s="6" t="s">
        <v>62</v>
      </c>
      <c r="C41" s="6" t="s">
        <v>22</v>
      </c>
      <c r="D41" s="6" t="s">
        <v>63</v>
      </c>
      <c r="E41" s="8"/>
      <c r="F41" s="6" t="s">
        <v>25</v>
      </c>
      <c r="G41" s="6">
        <v>14</v>
      </c>
      <c r="H41" s="6" t="s">
        <v>26</v>
      </c>
      <c r="I41" s="7">
        <v>1</v>
      </c>
      <c r="J41" s="8"/>
      <c r="K41" s="7">
        <v>0</v>
      </c>
      <c r="L41" s="7">
        <v>0</v>
      </c>
      <c r="M41" s="7">
        <v>0</v>
      </c>
      <c r="N41" s="7">
        <v>0</v>
      </c>
      <c r="O41" s="8"/>
      <c r="P41" s="2"/>
      <c r="Q41" s="2"/>
      <c r="R41" s="2" t="str">
        <v>C9300</v>
      </c>
      <c r="S41" s="2" t="str">
        <f ca="1">IFERROR(__xludf.DUMMYFUNCTION("""COMPUTED_VALUE"""),"CAB-TA-EU")</f>
        <v>CAB-TA-EU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e">
        <f ca="1"/>
        <v>#NAME?</v>
      </c>
      <c r="X41" s="2"/>
      <c r="Y41" s="2"/>
      <c r="Z41" s="2"/>
    </row>
    <row r="42" spans="1:26" ht="12.5" x14ac:dyDescent="0.25">
      <c r="A42" s="7">
        <v>2.12</v>
      </c>
      <c r="B42" s="6" t="s">
        <v>64</v>
      </c>
      <c r="C42" s="6" t="s">
        <v>22</v>
      </c>
      <c r="D42" s="6" t="s">
        <v>65</v>
      </c>
      <c r="E42" s="8"/>
      <c r="F42" s="6" t="s">
        <v>25</v>
      </c>
      <c r="G42" s="6">
        <v>14</v>
      </c>
      <c r="H42" s="6" t="s">
        <v>26</v>
      </c>
      <c r="I42" s="7">
        <v>1</v>
      </c>
      <c r="J42" s="8"/>
      <c r="K42" s="9">
        <v>3162.96</v>
      </c>
      <c r="L42" s="9">
        <v>3162.96</v>
      </c>
      <c r="M42" s="7">
        <v>0</v>
      </c>
      <c r="N42" s="9">
        <v>3162.96</v>
      </c>
      <c r="O42" s="8"/>
      <c r="P42" s="2"/>
      <c r="Q42" s="2"/>
      <c r="R42" s="2" t="str">
        <v>C9300</v>
      </c>
      <c r="S42" s="2" t="str">
        <f ca="1">IFERROR(__xludf.DUMMYFUNCTION("""COMPUTED_VALUE"""),"SSD-240G")</f>
        <v>SSD-240G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e">
        <f ca="1"/>
        <v>#NAME?</v>
      </c>
      <c r="X42" s="2"/>
      <c r="Y42" s="2"/>
      <c r="Z42" s="2"/>
    </row>
    <row r="43" spans="1:26" ht="12.5" x14ac:dyDescent="0.25">
      <c r="A43" s="7">
        <v>2.13</v>
      </c>
      <c r="B43" s="6" t="s">
        <v>90</v>
      </c>
      <c r="C43" s="6" t="s">
        <v>22</v>
      </c>
      <c r="D43" s="6" t="s">
        <v>91</v>
      </c>
      <c r="E43" s="8"/>
      <c r="F43" s="6" t="s">
        <v>25</v>
      </c>
      <c r="G43" s="6">
        <v>14</v>
      </c>
      <c r="H43" s="6" t="s">
        <v>26</v>
      </c>
      <c r="I43" s="7">
        <v>1</v>
      </c>
      <c r="J43" s="8"/>
      <c r="K43" s="9">
        <v>0</v>
      </c>
      <c r="L43" s="9">
        <v>0</v>
      </c>
      <c r="M43" s="7">
        <v>0</v>
      </c>
      <c r="N43" s="9">
        <v>0</v>
      </c>
      <c r="O43" s="8"/>
      <c r="P43" s="2"/>
      <c r="Q43" s="2"/>
      <c r="R43" s="2" t="str">
        <v>C9300</v>
      </c>
      <c r="S43" s="2" t="str">
        <f ca="1">IFERROR(__xludf.DUMMYFUNCTION("""COMPUTED_VALUE"""),"C9300-ACCKIT-NONE")</f>
        <v>C9300-ACCKIT-NONE</v>
      </c>
      <c r="T43" s="10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e">
        <f ca="1"/>
        <v>#NAME?</v>
      </c>
      <c r="X43" s="2"/>
      <c r="Y43" s="2"/>
      <c r="Z43" s="2"/>
    </row>
    <row r="44" spans="1:26" ht="12.5" x14ac:dyDescent="0.25">
      <c r="A44" s="7">
        <v>2.14</v>
      </c>
      <c r="B44" s="6" t="s">
        <v>72</v>
      </c>
      <c r="C44" s="6" t="s">
        <v>32</v>
      </c>
      <c r="D44" s="6" t="s">
        <v>73</v>
      </c>
      <c r="E44" s="8"/>
      <c r="F44" s="6" t="s">
        <v>25</v>
      </c>
      <c r="G44" s="6">
        <v>2</v>
      </c>
      <c r="H44" s="6" t="s">
        <v>32</v>
      </c>
      <c r="I44" s="7">
        <v>1</v>
      </c>
      <c r="J44" s="8"/>
      <c r="K44" s="7">
        <v>0</v>
      </c>
      <c r="L44" s="7">
        <v>0</v>
      </c>
      <c r="M44" s="7">
        <v>0</v>
      </c>
      <c r="N44" s="7">
        <v>0</v>
      </c>
      <c r="O44" s="8"/>
      <c r="P44" s="2"/>
      <c r="Q44" s="2"/>
      <c r="R44" s="2" t="str">
        <v>C9300</v>
      </c>
      <c r="S44" s="2" t="str">
        <f ca="1">IFERROR(__xludf.DUMMYFUNCTION("""COMPUTED_VALUE"""),"NETWORK-PNP-LIC")</f>
        <v>NETWORK-PNP-LIC</v>
      </c>
      <c r="T44" s="10">
        <f ca="1">IFERROR(__xludf.DUMMYFUNCTION("""COMPUTED_VALUE"""),0)</f>
        <v>0</v>
      </c>
      <c r="U44" s="2" t="e">
        <f ca="1"/>
        <v>#NAME?</v>
      </c>
      <c r="V44" s="2" t="e">
        <f ca="1"/>
        <v>#NAME?</v>
      </c>
      <c r="W44" s="2" t="e">
        <f ca="1"/>
        <v>#NAME?</v>
      </c>
      <c r="X44" s="2"/>
      <c r="Y44" s="2"/>
      <c r="Z44" s="2"/>
    </row>
    <row r="45" spans="1:26" ht="12.5" x14ac:dyDescent="0.25">
      <c r="A45" s="7">
        <v>2.15</v>
      </c>
      <c r="B45" s="6" t="s">
        <v>74</v>
      </c>
      <c r="C45" s="6" t="s">
        <v>22</v>
      </c>
      <c r="D45" s="6" t="s">
        <v>75</v>
      </c>
      <c r="E45" s="8"/>
      <c r="F45" s="6" t="s">
        <v>25</v>
      </c>
      <c r="G45" s="6">
        <v>14</v>
      </c>
      <c r="H45" s="6" t="s">
        <v>32</v>
      </c>
      <c r="I45" s="7">
        <v>1</v>
      </c>
      <c r="J45" s="8"/>
      <c r="K45" s="7">
        <v>0</v>
      </c>
      <c r="L45" s="7">
        <v>0</v>
      </c>
      <c r="M45" s="7">
        <v>0</v>
      </c>
      <c r="N45" s="7">
        <v>0</v>
      </c>
      <c r="O45" s="8"/>
      <c r="P45" s="2"/>
      <c r="Q45" s="2"/>
      <c r="R45" s="2" t="str">
        <v>C9300</v>
      </c>
      <c r="S45" s="2" t="str">
        <f ca="1">IFERROR(__xludf.DUMMYFUNCTION("""COMPUTED_VALUE"""),"S9300LUK9-1718")</f>
        <v>S9300LUK9-1718</v>
      </c>
      <c r="T45" s="10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e">
        <f ca="1"/>
        <v>#NAME?</v>
      </c>
      <c r="X45" s="2"/>
      <c r="Y45" s="2"/>
      <c r="Z45" s="2"/>
    </row>
    <row r="46" spans="1:26" ht="12.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 t="s">
        <v>76</v>
      </c>
      <c r="N46" s="13">
        <v>14671.04</v>
      </c>
      <c r="O46" s="14"/>
      <c r="P46" s="2"/>
      <c r="Q46" s="2"/>
      <c r="R46" s="2" t="str">
        <v/>
      </c>
      <c r="S46" s="2" t="str">
        <f ca="1">IFERROR(__xludf.DUMMYFUNCTION("""COMPUTED_VALUE"""),"")</f>
        <v/>
      </c>
      <c r="T46" s="2" t="str">
        <f ca="1">IFERROR(__xludf.DUMMYFUNCTION("""COMPUTED_VALUE"""),"")</f>
        <v/>
      </c>
      <c r="U46" s="2" t="e">
        <f ca="1"/>
        <v>#NAME?</v>
      </c>
      <c r="V46" s="2" t="e">
        <f ca="1"/>
        <v>#NAME?</v>
      </c>
      <c r="W46" s="2" t="str">
        <f ca="1"/>
        <v/>
      </c>
      <c r="X46" s="2"/>
      <c r="Y46" s="2"/>
      <c r="Z46" s="2"/>
    </row>
    <row r="47" spans="1:26" ht="12.5" x14ac:dyDescent="0.25">
      <c r="A47" s="5">
        <v>3</v>
      </c>
      <c r="B47" s="5" t="s">
        <v>92</v>
      </c>
      <c r="C47" s="6" t="s">
        <v>22</v>
      </c>
      <c r="D47" s="6" t="s">
        <v>93</v>
      </c>
      <c r="E47" s="6" t="s">
        <v>24</v>
      </c>
      <c r="F47" s="6" t="s">
        <v>25</v>
      </c>
      <c r="G47" s="6">
        <v>35</v>
      </c>
      <c r="H47" s="6" t="s">
        <v>26</v>
      </c>
      <c r="I47" s="7">
        <v>1</v>
      </c>
      <c r="J47" s="8"/>
      <c r="K47" s="9">
        <v>8964.86</v>
      </c>
      <c r="L47" s="9">
        <v>8964.86</v>
      </c>
      <c r="M47" s="7">
        <v>0</v>
      </c>
      <c r="N47" s="9">
        <v>8964.86</v>
      </c>
      <c r="O47" s="8"/>
      <c r="P47" s="2"/>
      <c r="Q47" s="2"/>
      <c r="R47" s="2" t="str">
        <v>C9300</v>
      </c>
      <c r="S47" s="2" t="str">
        <f ca="1">IFERROR(__xludf.DUMMYFUNCTION("""COMPUTED_VALUE"""),"C9300L-24T-4X-A")</f>
        <v>C9300L-24T-4X-A</v>
      </c>
      <c r="T47" s="10">
        <f ca="1">IFERROR(__xludf.DUMMYFUNCTION("""COMPUTED_VALUE"""),1)</f>
        <v>1</v>
      </c>
      <c r="U47" s="2" t="e">
        <f ca="1"/>
        <v>#NAME?</v>
      </c>
      <c r="V47" s="2" t="e">
        <f ca="1"/>
        <v>#NAME?</v>
      </c>
      <c r="W47" s="2" t="e">
        <f ca="1"/>
        <v>#NAME?</v>
      </c>
      <c r="X47" s="2"/>
      <c r="Y47" s="2"/>
      <c r="Z47" s="2"/>
    </row>
    <row r="48" spans="1:26" ht="12.5" x14ac:dyDescent="0.25">
      <c r="A48" s="7" t="s">
        <v>94</v>
      </c>
      <c r="B48" s="6" t="s">
        <v>95</v>
      </c>
      <c r="C48" s="6" t="s">
        <v>22</v>
      </c>
      <c r="D48" s="6" t="s">
        <v>29</v>
      </c>
      <c r="E48" s="8"/>
      <c r="F48" s="6">
        <v>24</v>
      </c>
      <c r="G48" s="6" t="s">
        <v>25</v>
      </c>
      <c r="H48" s="6" t="s">
        <v>26</v>
      </c>
      <c r="I48" s="7">
        <v>1</v>
      </c>
      <c r="J48" s="8"/>
      <c r="K48" s="9">
        <v>1795.76</v>
      </c>
      <c r="L48" s="9">
        <v>1795.76</v>
      </c>
      <c r="M48" s="7">
        <v>0</v>
      </c>
      <c r="N48" s="9">
        <v>1795.76</v>
      </c>
      <c r="O48" s="6" t="s">
        <v>30</v>
      </c>
      <c r="P48" s="2"/>
      <c r="Q48" s="2"/>
      <c r="R48" s="2" t="str">
        <v>C9300</v>
      </c>
      <c r="S48" s="2" t="str">
        <f ca="1">IFERROR(__xludf.DUMMYFUNCTION("""COMPUTED_VALUE"""),"CON-L1NBD-C00L2XAL")</f>
        <v>CON-L1NBD-C00L2XAL</v>
      </c>
      <c r="T48" s="10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e">
        <f ca="1"/>
        <v>#NAME?</v>
      </c>
      <c r="X48" s="2"/>
      <c r="Y48" s="2"/>
      <c r="Z48" s="2"/>
    </row>
    <row r="49" spans="1:26" ht="12.5" x14ac:dyDescent="0.25">
      <c r="A49" s="7">
        <v>3.1</v>
      </c>
      <c r="B49" s="6" t="s">
        <v>31</v>
      </c>
      <c r="C49" s="6" t="s">
        <v>32</v>
      </c>
      <c r="D49" s="6" t="s">
        <v>33</v>
      </c>
      <c r="E49" s="8"/>
      <c r="F49" s="6" t="s">
        <v>25</v>
      </c>
      <c r="G49" s="6">
        <v>14</v>
      </c>
      <c r="H49" s="6" t="s">
        <v>26</v>
      </c>
      <c r="I49" s="7">
        <v>1</v>
      </c>
      <c r="J49" s="8"/>
      <c r="K49" s="7">
        <v>0</v>
      </c>
      <c r="L49" s="7">
        <v>0</v>
      </c>
      <c r="M49" s="7">
        <v>0</v>
      </c>
      <c r="N49" s="7">
        <v>0</v>
      </c>
      <c r="O49" s="8"/>
      <c r="P49" s="2"/>
      <c r="Q49" s="2"/>
      <c r="R49" s="2" t="str">
        <v>C9300</v>
      </c>
      <c r="S49" s="2" t="str">
        <f ca="1">IFERROR(__xludf.DUMMYFUNCTION("""COMPUTED_VALUE"""),"C9300L-DNA-A-24")</f>
        <v>C9300L-DNA-A-24</v>
      </c>
      <c r="T49" s="10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e">
        <f ca="1"/>
        <v>#NAME?</v>
      </c>
      <c r="X49" s="2"/>
      <c r="Y49" s="2"/>
      <c r="Z49" s="2"/>
    </row>
    <row r="50" spans="1:26" ht="12.5" x14ac:dyDescent="0.25">
      <c r="A50" s="7" t="s">
        <v>96</v>
      </c>
      <c r="B50" s="6" t="s">
        <v>35</v>
      </c>
      <c r="C50" s="6" t="s">
        <v>22</v>
      </c>
      <c r="D50" s="6" t="s">
        <v>36</v>
      </c>
      <c r="E50" s="8"/>
      <c r="F50" s="6">
        <v>24</v>
      </c>
      <c r="G50" s="6" t="s">
        <v>25</v>
      </c>
      <c r="H50" s="6" t="s">
        <v>26</v>
      </c>
      <c r="I50" s="7">
        <v>1</v>
      </c>
      <c r="J50" s="8"/>
      <c r="K50" s="7">
        <v>324.5</v>
      </c>
      <c r="L50" s="7">
        <v>324.5</v>
      </c>
      <c r="M50" s="7">
        <v>0</v>
      </c>
      <c r="N50" s="7">
        <v>324.5</v>
      </c>
      <c r="O50" s="6" t="s">
        <v>30</v>
      </c>
      <c r="P50" s="2"/>
      <c r="Q50" s="2"/>
      <c r="R50" s="2" t="str">
        <v>C9300</v>
      </c>
      <c r="S50" s="2" t="str">
        <f ca="1">IFERROR(__xludf.DUMMYFUNCTION("""COMPUTED_VALUE"""),"CON-L1SWT-C93LA24")</f>
        <v>CON-L1SWT-C93LA24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e">
        <f ca="1"/>
        <v>#NAME?</v>
      </c>
      <c r="X50" s="2"/>
      <c r="Y50" s="2"/>
      <c r="Z50" s="2"/>
    </row>
    <row r="51" spans="1:26" ht="12.5" x14ac:dyDescent="0.25">
      <c r="A51" s="7" t="s">
        <v>97</v>
      </c>
      <c r="B51" s="6" t="s">
        <v>38</v>
      </c>
      <c r="C51" s="6" t="s">
        <v>22</v>
      </c>
      <c r="D51" s="6" t="s">
        <v>39</v>
      </c>
      <c r="E51" s="8"/>
      <c r="F51" s="6">
        <v>36</v>
      </c>
      <c r="G51" s="6" t="s">
        <v>25</v>
      </c>
      <c r="H51" s="6" t="s">
        <v>26</v>
      </c>
      <c r="I51" s="7">
        <v>1</v>
      </c>
      <c r="J51" s="8"/>
      <c r="K51" s="9">
        <v>2365.77</v>
      </c>
      <c r="L51" s="9">
        <v>2365.77</v>
      </c>
      <c r="M51" s="7">
        <v>0</v>
      </c>
      <c r="N51" s="9">
        <v>2365.77</v>
      </c>
      <c r="O51" s="8"/>
      <c r="P51" s="2"/>
      <c r="Q51" s="2"/>
      <c r="R51" s="2" t="str">
        <v>C9300</v>
      </c>
      <c r="S51" s="2" t="str">
        <f ca="1">IFERROR(__xludf.DUMMYFUNCTION("""COMPUTED_VALUE"""),"C9300L-DNA-A-24-3Y")</f>
        <v>C9300L-DNA-A-24-3Y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e">
        <f ca="1"/>
        <v>#NAME?</v>
      </c>
      <c r="X51" s="2"/>
      <c r="Y51" s="2"/>
      <c r="Z51" s="2"/>
    </row>
    <row r="52" spans="1:26" ht="12.5" x14ac:dyDescent="0.25">
      <c r="A52" s="7">
        <v>3.2</v>
      </c>
      <c r="B52" s="6" t="s">
        <v>40</v>
      </c>
      <c r="C52" s="6" t="s">
        <v>32</v>
      </c>
      <c r="D52" s="6" t="s">
        <v>41</v>
      </c>
      <c r="E52" s="8"/>
      <c r="F52" s="6" t="s">
        <v>25</v>
      </c>
      <c r="G52" s="6">
        <v>14</v>
      </c>
      <c r="H52" s="6" t="s">
        <v>32</v>
      </c>
      <c r="I52" s="7">
        <v>1</v>
      </c>
      <c r="J52" s="8"/>
      <c r="K52" s="7">
        <v>0</v>
      </c>
      <c r="L52" s="7">
        <v>0</v>
      </c>
      <c r="M52" s="7">
        <v>0</v>
      </c>
      <c r="N52" s="7">
        <v>0</v>
      </c>
      <c r="O52" s="8"/>
      <c r="P52" s="2"/>
      <c r="Q52" s="2"/>
      <c r="R52" s="2" t="str">
        <v>C9300</v>
      </c>
      <c r="S52" s="2" t="str">
        <f ca="1">IFERROR(__xludf.DUMMYFUNCTION("""COMPUTED_VALUE"""),"TE-EMBEDDED-T")</f>
        <v>TE-EMBEDDED-T</v>
      </c>
      <c r="T52" s="10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e">
        <f ca="1"/>
        <v>#NAME?</v>
      </c>
      <c r="X52" s="2"/>
      <c r="Y52" s="2"/>
      <c r="Z52" s="2"/>
    </row>
    <row r="53" spans="1:26" ht="12.5" x14ac:dyDescent="0.25">
      <c r="A53" s="7" t="s">
        <v>98</v>
      </c>
      <c r="B53" s="6" t="s">
        <v>43</v>
      </c>
      <c r="C53" s="6" t="s">
        <v>22</v>
      </c>
      <c r="D53" s="6" t="s">
        <v>44</v>
      </c>
      <c r="E53" s="8"/>
      <c r="F53" s="6">
        <v>36</v>
      </c>
      <c r="G53" s="6" t="s">
        <v>25</v>
      </c>
      <c r="H53" s="6" t="s">
        <v>26</v>
      </c>
      <c r="I53" s="7">
        <v>1</v>
      </c>
      <c r="J53" s="8"/>
      <c r="K53" s="7">
        <v>0</v>
      </c>
      <c r="L53" s="7">
        <v>0</v>
      </c>
      <c r="M53" s="7">
        <v>0</v>
      </c>
      <c r="N53" s="7">
        <v>0</v>
      </c>
      <c r="O53" s="8"/>
      <c r="P53" s="2"/>
      <c r="Q53" s="2"/>
      <c r="R53" s="2" t="str">
        <v>C9300</v>
      </c>
      <c r="S53" s="2" t="str">
        <f ca="1">IFERROR(__xludf.DUMMYFUNCTION("""COMPUTED_VALUE"""),"TE-EMBEDDED-T-3Y")</f>
        <v>TE-EMBEDDED-T-3Y</v>
      </c>
      <c r="T53" s="10">
        <f ca="1">IFERROR(__xludf.DUMMYFUNCTION("""COMPUTED_VALUE"""),0)</f>
        <v>0</v>
      </c>
      <c r="U53" s="2" t="e">
        <f ca="1"/>
        <v>#NAME?</v>
      </c>
      <c r="V53" s="2" t="e">
        <f ca="1"/>
        <v>#NAME?</v>
      </c>
      <c r="W53" s="2" t="e">
        <f ca="1"/>
        <v>#NAME?</v>
      </c>
      <c r="X53" s="2"/>
      <c r="Y53" s="2"/>
      <c r="Z53" s="2"/>
    </row>
    <row r="54" spans="1:26" ht="12.5" x14ac:dyDescent="0.25">
      <c r="A54" s="7">
        <v>3.3</v>
      </c>
      <c r="B54" s="6" t="s">
        <v>45</v>
      </c>
      <c r="C54" s="6" t="s">
        <v>32</v>
      </c>
      <c r="D54" s="6" t="s">
        <v>46</v>
      </c>
      <c r="E54" s="8"/>
      <c r="F54" s="6" t="s">
        <v>25</v>
      </c>
      <c r="G54" s="6">
        <v>14</v>
      </c>
      <c r="H54" s="6" t="s">
        <v>32</v>
      </c>
      <c r="I54" s="7">
        <v>1</v>
      </c>
      <c r="J54" s="8"/>
      <c r="K54" s="7">
        <v>0</v>
      </c>
      <c r="L54" s="7">
        <v>0</v>
      </c>
      <c r="M54" s="7">
        <v>0</v>
      </c>
      <c r="N54" s="7">
        <v>0</v>
      </c>
      <c r="O54" s="8"/>
      <c r="P54" s="2"/>
      <c r="Q54" s="2"/>
      <c r="R54" s="2" t="str">
        <v>C9300</v>
      </c>
      <c r="S54" s="2" t="str">
        <f ca="1">IFERROR(__xludf.DUMMYFUNCTION("""COMPUTED_VALUE"""),"D-DNAS-EXT-S-T")</f>
        <v>D-DNAS-EXT-S-T</v>
      </c>
      <c r="T54" s="10">
        <f ca="1">IFERROR(__xludf.DUMMYFUNCTION("""COMPUTED_VALUE"""),0)</f>
        <v>0</v>
      </c>
      <c r="U54" s="2" t="e">
        <f ca="1"/>
        <v>#NAME?</v>
      </c>
      <c r="V54" s="2" t="e">
        <f ca="1"/>
        <v>#NAME?</v>
      </c>
      <c r="W54" s="2" t="e">
        <f ca="1"/>
        <v>#NAME?</v>
      </c>
      <c r="X54" s="2"/>
      <c r="Y54" s="2"/>
      <c r="Z54" s="2"/>
    </row>
    <row r="55" spans="1:26" ht="12.5" x14ac:dyDescent="0.25">
      <c r="A55" s="7" t="s">
        <v>99</v>
      </c>
      <c r="B55" s="6" t="s">
        <v>48</v>
      </c>
      <c r="C55" s="6" t="s">
        <v>22</v>
      </c>
      <c r="D55" s="6" t="s">
        <v>49</v>
      </c>
      <c r="E55" s="8"/>
      <c r="F55" s="6">
        <v>36</v>
      </c>
      <c r="G55" s="6" t="s">
        <v>25</v>
      </c>
      <c r="H55" s="6" t="s">
        <v>26</v>
      </c>
      <c r="I55" s="7">
        <v>1</v>
      </c>
      <c r="J55" s="8"/>
      <c r="K55" s="7">
        <v>0</v>
      </c>
      <c r="L55" s="7">
        <v>0</v>
      </c>
      <c r="M55" s="7">
        <v>0</v>
      </c>
      <c r="N55" s="7">
        <v>0</v>
      </c>
      <c r="O55" s="8"/>
      <c r="P55" s="2"/>
      <c r="Q55" s="2"/>
      <c r="R55" s="2" t="str">
        <v>C9300</v>
      </c>
      <c r="S55" s="2" t="str">
        <f ca="1">IFERROR(__xludf.DUMMYFUNCTION("""COMPUTED_VALUE"""),"D-DNAS-EXT-S-3Y")</f>
        <v>D-DNAS-EXT-S-3Y</v>
      </c>
      <c r="T55" s="10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e">
        <f ca="1"/>
        <v>#NAME?</v>
      </c>
      <c r="X55" s="2"/>
      <c r="Y55" s="2"/>
      <c r="Z55" s="2"/>
    </row>
    <row r="56" spans="1:26" ht="12.5" x14ac:dyDescent="0.25">
      <c r="A56" s="7">
        <v>3.4</v>
      </c>
      <c r="B56" s="6" t="s">
        <v>50</v>
      </c>
      <c r="C56" s="6" t="s">
        <v>32</v>
      </c>
      <c r="D56" s="6" t="s">
        <v>51</v>
      </c>
      <c r="E56" s="8"/>
      <c r="F56" s="6" t="s">
        <v>25</v>
      </c>
      <c r="G56" s="6">
        <v>14</v>
      </c>
      <c r="H56" s="6" t="s">
        <v>32</v>
      </c>
      <c r="I56" s="7">
        <v>1</v>
      </c>
      <c r="J56" s="8"/>
      <c r="K56" s="7">
        <v>0</v>
      </c>
      <c r="L56" s="7">
        <v>0</v>
      </c>
      <c r="M56" s="7">
        <v>0</v>
      </c>
      <c r="N56" s="7">
        <v>0</v>
      </c>
      <c r="O56" s="8"/>
      <c r="P56" s="2"/>
      <c r="Q56" s="2"/>
      <c r="R56" s="2" t="str">
        <v>C9300</v>
      </c>
      <c r="S56" s="2" t="str">
        <f ca="1">IFERROR(__xludf.DUMMYFUNCTION("""COMPUTED_VALUE"""),"C9300L-NW-A-24")</f>
        <v>C9300L-NW-A-24</v>
      </c>
      <c r="T56" s="10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e">
        <f ca="1"/>
        <v>#NAME?</v>
      </c>
      <c r="X56" s="2"/>
      <c r="Y56" s="2"/>
      <c r="Z56" s="2"/>
    </row>
    <row r="57" spans="1:26" ht="12.5" x14ac:dyDescent="0.25">
      <c r="A57" s="7">
        <v>3.5</v>
      </c>
      <c r="B57" s="6" t="s">
        <v>52</v>
      </c>
      <c r="C57" s="6" t="s">
        <v>22</v>
      </c>
      <c r="D57" s="6" t="s">
        <v>53</v>
      </c>
      <c r="E57" s="8"/>
      <c r="F57" s="6" t="s">
        <v>25</v>
      </c>
      <c r="G57" s="6">
        <v>14</v>
      </c>
      <c r="H57" s="6" t="s">
        <v>32</v>
      </c>
      <c r="I57" s="7">
        <v>1</v>
      </c>
      <c r="J57" s="8"/>
      <c r="K57" s="7">
        <v>0</v>
      </c>
      <c r="L57" s="7">
        <v>0</v>
      </c>
      <c r="M57" s="7">
        <v>0</v>
      </c>
      <c r="N57" s="7">
        <v>0</v>
      </c>
      <c r="O57" s="8"/>
      <c r="P57" s="2"/>
      <c r="Q57" s="2"/>
      <c r="R57" s="2" t="str">
        <v>C9300</v>
      </c>
      <c r="S57" s="2" t="str">
        <f ca="1">IFERROR(__xludf.DUMMYFUNCTION("""COMPUTED_VALUE"""),"PWR-C1-BLANK")</f>
        <v>PWR-C1-BLANK</v>
      </c>
      <c r="T57" s="10">
        <f ca="1">IFERROR(__xludf.DUMMYFUNCTION("""COMPUTED_VALUE"""),0)</f>
        <v>0</v>
      </c>
      <c r="U57" s="2" t="e">
        <f ca="1"/>
        <v>#NAME?</v>
      </c>
      <c r="V57" s="2" t="e">
        <f ca="1"/>
        <v>#NAME?</v>
      </c>
      <c r="W57" s="2" t="e">
        <f ca="1"/>
        <v>#NAME?</v>
      </c>
      <c r="X57" s="2"/>
      <c r="Y57" s="2"/>
      <c r="Z57" s="2"/>
    </row>
    <row r="58" spans="1:26" ht="12.5" x14ac:dyDescent="0.25">
      <c r="A58" s="7">
        <v>3.6</v>
      </c>
      <c r="B58" s="6" t="s">
        <v>54</v>
      </c>
      <c r="C58" s="6" t="s">
        <v>22</v>
      </c>
      <c r="D58" s="6" t="s">
        <v>55</v>
      </c>
      <c r="E58" s="8"/>
      <c r="F58" s="6" t="s">
        <v>25</v>
      </c>
      <c r="G58" s="6">
        <v>14</v>
      </c>
      <c r="H58" s="6" t="s">
        <v>32</v>
      </c>
      <c r="I58" s="7">
        <v>2</v>
      </c>
      <c r="J58" s="8"/>
      <c r="K58" s="7">
        <v>0</v>
      </c>
      <c r="L58" s="7">
        <v>0</v>
      </c>
      <c r="M58" s="7">
        <v>0</v>
      </c>
      <c r="N58" s="7">
        <v>0</v>
      </c>
      <c r="O58" s="8"/>
      <c r="P58" s="2"/>
      <c r="Q58" s="2"/>
      <c r="R58" s="2" t="str">
        <v>C9300</v>
      </c>
      <c r="S58" s="2" t="str">
        <f ca="1">IFERROR(__xludf.DUMMYFUNCTION("""COMPUTED_VALUE"""),"C9300L-STACK-BLANK")</f>
        <v>C9300L-STACK-BLANK</v>
      </c>
      <c r="T58" s="10">
        <f ca="1">IFERROR(__xludf.DUMMYFUNCTION("""COMPUTED_VALUE"""),0)</f>
        <v>0</v>
      </c>
      <c r="U58" s="2" t="e">
        <f ca="1"/>
        <v>#NAME?</v>
      </c>
      <c r="V58" s="2" t="e">
        <f ca="1"/>
        <v>#NAME?</v>
      </c>
      <c r="W58" s="2" t="e">
        <f ca="1"/>
        <v>#NAME?</v>
      </c>
      <c r="X58" s="2"/>
      <c r="Y58" s="2"/>
      <c r="Z58" s="2"/>
    </row>
    <row r="59" spans="1:26" ht="12.5" x14ac:dyDescent="0.25">
      <c r="A59" s="7">
        <v>3.7</v>
      </c>
      <c r="B59" s="6" t="s">
        <v>86</v>
      </c>
      <c r="C59" s="6" t="s">
        <v>22</v>
      </c>
      <c r="D59" s="6" t="s">
        <v>87</v>
      </c>
      <c r="E59" s="8"/>
      <c r="F59" s="6" t="s">
        <v>25</v>
      </c>
      <c r="G59" s="6">
        <v>14</v>
      </c>
      <c r="H59" s="6" t="s">
        <v>32</v>
      </c>
      <c r="I59" s="7">
        <v>1</v>
      </c>
      <c r="J59" s="8"/>
      <c r="K59" s="7">
        <v>0</v>
      </c>
      <c r="L59" s="7">
        <v>0</v>
      </c>
      <c r="M59" s="7">
        <v>0</v>
      </c>
      <c r="N59" s="7">
        <v>0</v>
      </c>
      <c r="O59" s="8"/>
      <c r="P59" s="2"/>
      <c r="Q59" s="2"/>
      <c r="R59" s="2" t="str">
        <v>C9300</v>
      </c>
      <c r="S59" s="2" t="str">
        <f ca="1">IFERROR(__xludf.DUMMYFUNCTION("""COMPUTED_VALUE"""),"TE-C9K-SW")</f>
        <v>TE-C9K-SW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e">
        <f ca="1"/>
        <v>#NAME?</v>
      </c>
      <c r="X59" s="2"/>
      <c r="Y59" s="2"/>
      <c r="Z59" s="2"/>
    </row>
    <row r="60" spans="1:26" ht="12.5" x14ac:dyDescent="0.25">
      <c r="A60" s="7">
        <v>3.8</v>
      </c>
      <c r="B60" s="6" t="s">
        <v>56</v>
      </c>
      <c r="C60" s="6" t="s">
        <v>22</v>
      </c>
      <c r="D60" s="6" t="s">
        <v>57</v>
      </c>
      <c r="E60" s="8"/>
      <c r="F60" s="6" t="s">
        <v>25</v>
      </c>
      <c r="G60" s="6">
        <v>14</v>
      </c>
      <c r="H60" s="6" t="s">
        <v>32</v>
      </c>
      <c r="I60" s="7">
        <v>3</v>
      </c>
      <c r="J60" s="8"/>
      <c r="K60" s="7">
        <v>0</v>
      </c>
      <c r="L60" s="7">
        <v>0</v>
      </c>
      <c r="M60" s="7">
        <v>0</v>
      </c>
      <c r="N60" s="7">
        <v>0</v>
      </c>
      <c r="O60" s="8"/>
      <c r="P60" s="2"/>
      <c r="Q60" s="2"/>
      <c r="R60" s="2" t="str">
        <v>C9300</v>
      </c>
      <c r="S60" s="2" t="str">
        <f ca="1">IFERROR(__xludf.DUMMYFUNCTION("""COMPUTED_VALUE"""),"FAN-T2")</f>
        <v>FAN-T2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e">
        <f ca="1"/>
        <v>#NAME?</v>
      </c>
      <c r="X60" s="2"/>
      <c r="Y60" s="2"/>
      <c r="Z60" s="2"/>
    </row>
    <row r="61" spans="1:26" ht="12.5" x14ac:dyDescent="0.25">
      <c r="A61" s="7">
        <v>3.9</v>
      </c>
      <c r="B61" s="6" t="s">
        <v>58</v>
      </c>
      <c r="C61" s="6" t="s">
        <v>22</v>
      </c>
      <c r="D61" s="6" t="s">
        <v>59</v>
      </c>
      <c r="E61" s="8"/>
      <c r="F61" s="6" t="s">
        <v>25</v>
      </c>
      <c r="G61" s="6">
        <v>14</v>
      </c>
      <c r="H61" s="6" t="s">
        <v>32</v>
      </c>
      <c r="I61" s="7">
        <v>1</v>
      </c>
      <c r="J61" s="8"/>
      <c r="K61" s="7">
        <v>0</v>
      </c>
      <c r="L61" s="7">
        <v>0</v>
      </c>
      <c r="M61" s="7">
        <v>0</v>
      </c>
      <c r="N61" s="7">
        <v>0</v>
      </c>
      <c r="O61" s="8"/>
      <c r="P61" s="2"/>
      <c r="Q61" s="2"/>
      <c r="R61" s="2" t="str">
        <v>C9300</v>
      </c>
      <c r="S61" s="2" t="str">
        <f ca="1">IFERROR(__xludf.DUMMYFUNCTION("""COMPUTED_VALUE"""),"PWR-C1-350WAC-P")</f>
        <v>PWR-C1-350WAC-P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e">
        <f ca="1"/>
        <v>#NAME?</v>
      </c>
      <c r="X61" s="2"/>
      <c r="Y61" s="2"/>
      <c r="Z61" s="2"/>
    </row>
    <row r="62" spans="1:26" ht="12.5" x14ac:dyDescent="0.25">
      <c r="A62" s="7">
        <v>3.1</v>
      </c>
      <c r="B62" s="6" t="s">
        <v>60</v>
      </c>
      <c r="C62" s="6" t="s">
        <v>22</v>
      </c>
      <c r="D62" s="6" t="s">
        <v>61</v>
      </c>
      <c r="E62" s="8"/>
      <c r="F62" s="6" t="s">
        <v>25</v>
      </c>
      <c r="G62" s="6">
        <v>14</v>
      </c>
      <c r="H62" s="6" t="s">
        <v>32</v>
      </c>
      <c r="I62" s="7">
        <v>1</v>
      </c>
      <c r="J62" s="8"/>
      <c r="K62" s="7">
        <v>0</v>
      </c>
      <c r="L62" s="7">
        <v>0</v>
      </c>
      <c r="M62" s="7">
        <v>0</v>
      </c>
      <c r="N62" s="7">
        <v>0</v>
      </c>
      <c r="O62" s="8"/>
      <c r="P62" s="2"/>
      <c r="Q62" s="2"/>
      <c r="R62" s="2" t="str">
        <v>C9300</v>
      </c>
      <c r="S62" s="2" t="str">
        <f ca="1">IFERROR(__xludf.DUMMYFUNCTION("""COMPUTED_VALUE"""),"C9300L-SPS-NONE")</f>
        <v>C9300L-SPS-NONE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e">
        <f ca="1"/>
        <v>#NAME?</v>
      </c>
      <c r="X62" s="2"/>
      <c r="Y62" s="2"/>
      <c r="Z62" s="2"/>
    </row>
    <row r="63" spans="1:26" ht="12.5" x14ac:dyDescent="0.25">
      <c r="A63" s="7">
        <v>3.11</v>
      </c>
      <c r="B63" s="6" t="s">
        <v>62</v>
      </c>
      <c r="C63" s="6" t="s">
        <v>22</v>
      </c>
      <c r="D63" s="6" t="s">
        <v>63</v>
      </c>
      <c r="E63" s="8"/>
      <c r="F63" s="6" t="s">
        <v>25</v>
      </c>
      <c r="G63" s="6">
        <v>14</v>
      </c>
      <c r="H63" s="6" t="s">
        <v>26</v>
      </c>
      <c r="I63" s="7">
        <v>1</v>
      </c>
      <c r="J63" s="8"/>
      <c r="K63" s="7">
        <v>0</v>
      </c>
      <c r="L63" s="7">
        <v>0</v>
      </c>
      <c r="M63" s="7">
        <v>0</v>
      </c>
      <c r="N63" s="7">
        <v>0</v>
      </c>
      <c r="O63" s="8"/>
      <c r="P63" s="2"/>
      <c r="Q63" s="2"/>
      <c r="R63" s="2" t="str">
        <v>C9300</v>
      </c>
      <c r="S63" s="2" t="str">
        <f ca="1">IFERROR(__xludf.DUMMYFUNCTION("""COMPUTED_VALUE"""),"CAB-TA-EU")</f>
        <v>CAB-TA-EU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e">
        <f ca="1"/>
        <v>#NAME?</v>
      </c>
      <c r="X63" s="2"/>
      <c r="Y63" s="2"/>
      <c r="Z63" s="2"/>
    </row>
    <row r="64" spans="1:26" ht="12.5" x14ac:dyDescent="0.25">
      <c r="A64" s="7">
        <v>3.12</v>
      </c>
      <c r="B64" s="6" t="s">
        <v>64</v>
      </c>
      <c r="C64" s="6" t="s">
        <v>22</v>
      </c>
      <c r="D64" s="6" t="s">
        <v>65</v>
      </c>
      <c r="E64" s="8"/>
      <c r="F64" s="6" t="s">
        <v>25</v>
      </c>
      <c r="G64" s="6">
        <v>14</v>
      </c>
      <c r="H64" s="6" t="s">
        <v>26</v>
      </c>
      <c r="I64" s="7">
        <v>1</v>
      </c>
      <c r="J64" s="8"/>
      <c r="K64" s="9">
        <v>3162.96</v>
      </c>
      <c r="L64" s="9">
        <v>3162.96</v>
      </c>
      <c r="M64" s="7">
        <v>0</v>
      </c>
      <c r="N64" s="9">
        <v>3162.96</v>
      </c>
      <c r="O64" s="8"/>
      <c r="P64" s="2"/>
      <c r="Q64" s="2"/>
      <c r="R64" s="2" t="str">
        <v>C9300</v>
      </c>
      <c r="S64" s="2" t="str">
        <f ca="1">IFERROR(__xludf.DUMMYFUNCTION("""COMPUTED_VALUE"""),"SSD-240G")</f>
        <v>SSD-240G</v>
      </c>
      <c r="T64" s="10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e">
        <f ca="1"/>
        <v>#NAME?</v>
      </c>
      <c r="X64" s="2"/>
      <c r="Y64" s="2"/>
      <c r="Z64" s="2"/>
    </row>
    <row r="65" spans="1:26" ht="12.5" x14ac:dyDescent="0.25">
      <c r="A65" s="7">
        <v>3.13</v>
      </c>
      <c r="B65" s="6" t="s">
        <v>90</v>
      </c>
      <c r="C65" s="6" t="s">
        <v>22</v>
      </c>
      <c r="D65" s="6" t="s">
        <v>91</v>
      </c>
      <c r="E65" s="8"/>
      <c r="F65" s="6" t="s">
        <v>25</v>
      </c>
      <c r="G65" s="6">
        <v>14</v>
      </c>
      <c r="H65" s="6" t="s">
        <v>26</v>
      </c>
      <c r="I65" s="7">
        <v>1</v>
      </c>
      <c r="J65" s="8"/>
      <c r="K65" s="9">
        <v>0</v>
      </c>
      <c r="L65" s="9">
        <v>0</v>
      </c>
      <c r="M65" s="7">
        <v>0</v>
      </c>
      <c r="N65" s="9">
        <v>0</v>
      </c>
      <c r="O65" s="8"/>
      <c r="P65" s="2"/>
      <c r="Q65" s="2"/>
      <c r="R65" s="2" t="str">
        <v>C9300</v>
      </c>
      <c r="S65" s="2" t="str">
        <f ca="1">IFERROR(__xludf.DUMMYFUNCTION("""COMPUTED_VALUE"""),"C9300-ACCKIT-NONE")</f>
        <v>C9300-ACCKIT-NONE</v>
      </c>
      <c r="T65" s="10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e">
        <f ca="1"/>
        <v>#NAME?</v>
      </c>
      <c r="X65" s="2"/>
      <c r="Y65" s="2"/>
      <c r="Z65" s="2"/>
    </row>
    <row r="66" spans="1:26" ht="12.5" x14ac:dyDescent="0.25">
      <c r="A66" s="7">
        <v>3.14</v>
      </c>
      <c r="B66" s="6" t="s">
        <v>72</v>
      </c>
      <c r="C66" s="6" t="s">
        <v>32</v>
      </c>
      <c r="D66" s="6" t="s">
        <v>73</v>
      </c>
      <c r="E66" s="8"/>
      <c r="F66" s="6" t="s">
        <v>25</v>
      </c>
      <c r="G66" s="6">
        <v>2</v>
      </c>
      <c r="H66" s="6" t="s">
        <v>32</v>
      </c>
      <c r="I66" s="7">
        <v>1</v>
      </c>
      <c r="J66" s="8"/>
      <c r="K66" s="7">
        <v>0</v>
      </c>
      <c r="L66" s="7">
        <v>0</v>
      </c>
      <c r="M66" s="7">
        <v>0</v>
      </c>
      <c r="N66" s="7">
        <v>0</v>
      </c>
      <c r="O66" s="8"/>
      <c r="P66" s="2"/>
      <c r="Q66" s="2"/>
      <c r="R66" s="2" t="str">
        <v>C9300</v>
      </c>
      <c r="S66" s="2" t="str">
        <f ca="1">IFERROR(__xludf.DUMMYFUNCTION("""COMPUTED_VALUE"""),"NETWORK-PNP-LIC")</f>
        <v>NETWORK-PNP-LIC</v>
      </c>
      <c r="T66" s="10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e">
        <f ca="1"/>
        <v>#NAME?</v>
      </c>
      <c r="X66" s="2"/>
      <c r="Y66" s="2"/>
      <c r="Z66" s="2"/>
    </row>
    <row r="67" spans="1:26" ht="12.5" x14ac:dyDescent="0.25">
      <c r="A67" s="7">
        <v>3.15</v>
      </c>
      <c r="B67" s="6" t="s">
        <v>74</v>
      </c>
      <c r="C67" s="6" t="s">
        <v>22</v>
      </c>
      <c r="D67" s="6" t="s">
        <v>75</v>
      </c>
      <c r="E67" s="8"/>
      <c r="F67" s="6" t="s">
        <v>25</v>
      </c>
      <c r="G67" s="6">
        <v>14</v>
      </c>
      <c r="H67" s="6" t="s">
        <v>32</v>
      </c>
      <c r="I67" s="7">
        <v>1</v>
      </c>
      <c r="J67" s="8"/>
      <c r="K67" s="7">
        <v>0</v>
      </c>
      <c r="L67" s="7">
        <v>0</v>
      </c>
      <c r="M67" s="7">
        <v>0</v>
      </c>
      <c r="N67" s="7">
        <v>0</v>
      </c>
      <c r="O67" s="8"/>
      <c r="P67" s="2"/>
      <c r="Q67" s="2"/>
      <c r="R67" s="2" t="str">
        <v>C9300</v>
      </c>
      <c r="S67" s="2" t="str">
        <f ca="1">IFERROR(__xludf.DUMMYFUNCTION("""COMPUTED_VALUE"""),"S9300LUK9-1718")</f>
        <v>S9300LUK9-1718</v>
      </c>
      <c r="T67" s="10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e">
        <f ca="1"/>
        <v>#NAME?</v>
      </c>
      <c r="X67" s="2"/>
      <c r="Y67" s="2"/>
      <c r="Z67" s="2"/>
    </row>
    <row r="68" spans="1:26" ht="12.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 t="s">
        <v>76</v>
      </c>
      <c r="N68" s="13">
        <v>16613.849999999999</v>
      </c>
      <c r="O68" s="14"/>
      <c r="P68" s="2"/>
      <c r="Q68" s="2"/>
      <c r="R68" s="2" t="str">
        <v/>
      </c>
      <c r="S68" s="2" t="str">
        <f ca="1">IFERROR(__xludf.DUMMYFUNCTION("""COMPUTED_VALUE"""),"")</f>
        <v/>
      </c>
      <c r="T68" s="2" t="str">
        <f ca="1">IFERROR(__xludf.DUMMYFUNCTION("""COMPUTED_VALUE"""),"")</f>
        <v/>
      </c>
      <c r="U68" s="2" t="e">
        <f ca="1"/>
        <v>#NAME?</v>
      </c>
      <c r="V68" s="2" t="e">
        <f ca="1"/>
        <v>#NAME?</v>
      </c>
      <c r="W68" s="2" t="str">
        <f ca="1"/>
        <v/>
      </c>
      <c r="X68" s="2"/>
      <c r="Y68" s="2"/>
      <c r="Z68" s="2"/>
    </row>
    <row r="69" spans="1:26" ht="12.5" x14ac:dyDescent="0.25">
      <c r="A69" s="5">
        <v>4</v>
      </c>
      <c r="B69" s="5" t="s">
        <v>100</v>
      </c>
      <c r="C69" s="6" t="s">
        <v>22</v>
      </c>
      <c r="D69" s="6" t="s">
        <v>101</v>
      </c>
      <c r="E69" s="6" t="s">
        <v>24</v>
      </c>
      <c r="F69" s="6" t="s">
        <v>25</v>
      </c>
      <c r="G69" s="6">
        <v>14</v>
      </c>
      <c r="H69" s="6" t="s">
        <v>26</v>
      </c>
      <c r="I69" s="7">
        <v>1</v>
      </c>
      <c r="J69" s="8"/>
      <c r="K69" s="9">
        <v>9774.01</v>
      </c>
      <c r="L69" s="9">
        <v>9774.01</v>
      </c>
      <c r="M69" s="7">
        <v>0</v>
      </c>
      <c r="N69" s="9">
        <v>9774.01</v>
      </c>
      <c r="O69" s="8"/>
      <c r="P69" s="2"/>
      <c r="Q69" s="2"/>
      <c r="R69" s="2" t="str">
        <v>C9300</v>
      </c>
      <c r="S69" s="2" t="str">
        <f ca="1">IFERROR(__xludf.DUMMYFUNCTION("""COMPUTED_VALUE"""),"C9300L-24P-4X-A")</f>
        <v>C9300L-24P-4X-A</v>
      </c>
      <c r="T69" s="10">
        <f ca="1">IFERROR(__xludf.DUMMYFUNCTION("""COMPUTED_VALUE"""),1)</f>
        <v>1</v>
      </c>
      <c r="U69" s="2" t="e">
        <f ca="1"/>
        <v>#NAME?</v>
      </c>
      <c r="V69" s="2" t="e">
        <f ca="1"/>
        <v>#NAME?</v>
      </c>
      <c r="W69" s="2" t="e">
        <f ca="1"/>
        <v>#NAME?</v>
      </c>
      <c r="X69" s="2"/>
      <c r="Y69" s="2"/>
      <c r="Z69" s="2"/>
    </row>
    <row r="70" spans="1:26" ht="12.5" x14ac:dyDescent="0.25">
      <c r="A70" s="7" t="s">
        <v>102</v>
      </c>
      <c r="B70" s="6" t="s">
        <v>103</v>
      </c>
      <c r="C70" s="6" t="s">
        <v>22</v>
      </c>
      <c r="D70" s="6" t="s">
        <v>81</v>
      </c>
      <c r="E70" s="8"/>
      <c r="F70" s="6">
        <v>24</v>
      </c>
      <c r="G70" s="6" t="s">
        <v>25</v>
      </c>
      <c r="H70" s="6" t="s">
        <v>26</v>
      </c>
      <c r="I70" s="7">
        <v>1</v>
      </c>
      <c r="J70" s="8"/>
      <c r="K70" s="9">
        <v>1958</v>
      </c>
      <c r="L70" s="9">
        <v>1958</v>
      </c>
      <c r="M70" s="7">
        <v>0</v>
      </c>
      <c r="N70" s="9">
        <v>1958</v>
      </c>
      <c r="O70" s="6" t="s">
        <v>30</v>
      </c>
      <c r="P70" s="2"/>
      <c r="Q70" s="2"/>
      <c r="R70" s="2" t="str">
        <v>C9300</v>
      </c>
      <c r="S70" s="2" t="str">
        <f ca="1">IFERROR(__xludf.DUMMYFUNCTION("""COMPUTED_VALUE"""),"CON-L1NBD-C93024PX")</f>
        <v>CON-L1NBD-C93024PX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e">
        <f ca="1"/>
        <v>#NAME?</v>
      </c>
      <c r="X70" s="2"/>
      <c r="Y70" s="2"/>
      <c r="Z70" s="2"/>
    </row>
    <row r="71" spans="1:26" ht="12.5" x14ac:dyDescent="0.25">
      <c r="A71" s="7">
        <v>4.0999999999999996</v>
      </c>
      <c r="B71" s="6" t="s">
        <v>31</v>
      </c>
      <c r="C71" s="6" t="s">
        <v>32</v>
      </c>
      <c r="D71" s="6" t="s">
        <v>33</v>
      </c>
      <c r="E71" s="8"/>
      <c r="F71" s="6" t="s">
        <v>25</v>
      </c>
      <c r="G71" s="6">
        <v>14</v>
      </c>
      <c r="H71" s="6" t="s">
        <v>26</v>
      </c>
      <c r="I71" s="7">
        <v>1</v>
      </c>
      <c r="J71" s="8"/>
      <c r="K71" s="7">
        <v>0</v>
      </c>
      <c r="L71" s="7">
        <v>0</v>
      </c>
      <c r="M71" s="7">
        <v>0</v>
      </c>
      <c r="N71" s="7">
        <v>0</v>
      </c>
      <c r="O71" s="8"/>
      <c r="P71" s="2"/>
      <c r="Q71" s="2"/>
      <c r="R71" s="2" t="str">
        <v>C9300</v>
      </c>
      <c r="S71" s="2" t="str">
        <f ca="1">IFERROR(__xludf.DUMMYFUNCTION("""COMPUTED_VALUE"""),"C9300L-DNA-A-24")</f>
        <v>C9300L-DNA-A-24</v>
      </c>
      <c r="T71" s="10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e">
        <f ca="1"/>
        <v>#NAME?</v>
      </c>
      <c r="X71" s="2"/>
      <c r="Y71" s="2"/>
      <c r="Z71" s="2"/>
    </row>
    <row r="72" spans="1:26" ht="12.5" x14ac:dyDescent="0.25">
      <c r="A72" s="7" t="s">
        <v>104</v>
      </c>
      <c r="B72" s="6" t="s">
        <v>35</v>
      </c>
      <c r="C72" s="6" t="s">
        <v>22</v>
      </c>
      <c r="D72" s="6" t="s">
        <v>36</v>
      </c>
      <c r="E72" s="8"/>
      <c r="F72" s="6">
        <v>24</v>
      </c>
      <c r="G72" s="6" t="s">
        <v>25</v>
      </c>
      <c r="H72" s="6" t="s">
        <v>26</v>
      </c>
      <c r="I72" s="7">
        <v>1</v>
      </c>
      <c r="J72" s="8"/>
      <c r="K72" s="7">
        <v>324.5</v>
      </c>
      <c r="L72" s="7">
        <v>324.5</v>
      </c>
      <c r="M72" s="7">
        <v>0</v>
      </c>
      <c r="N72" s="7">
        <v>324.5</v>
      </c>
      <c r="O72" s="6" t="s">
        <v>30</v>
      </c>
      <c r="P72" s="2"/>
      <c r="Q72" s="2"/>
      <c r="R72" s="2" t="str">
        <v>C9300</v>
      </c>
      <c r="S72" s="2" t="str">
        <f ca="1">IFERROR(__xludf.DUMMYFUNCTION("""COMPUTED_VALUE"""),"CON-L1SWT-C93LA24")</f>
        <v>CON-L1SWT-C93LA24</v>
      </c>
      <c r="T72" s="10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e">
        <f ca="1"/>
        <v>#NAME?</v>
      </c>
      <c r="X72" s="2"/>
      <c r="Y72" s="2"/>
      <c r="Z72" s="2"/>
    </row>
    <row r="73" spans="1:26" ht="12.5" x14ac:dyDescent="0.25">
      <c r="A73" s="7" t="s">
        <v>105</v>
      </c>
      <c r="B73" s="6" t="s">
        <v>38</v>
      </c>
      <c r="C73" s="6" t="s">
        <v>22</v>
      </c>
      <c r="D73" s="6" t="s">
        <v>39</v>
      </c>
      <c r="E73" s="8"/>
      <c r="F73" s="6">
        <v>36</v>
      </c>
      <c r="G73" s="6" t="s">
        <v>25</v>
      </c>
      <c r="H73" s="6" t="s">
        <v>26</v>
      </c>
      <c r="I73" s="7">
        <v>1</v>
      </c>
      <c r="J73" s="8"/>
      <c r="K73" s="9">
        <v>2365.77</v>
      </c>
      <c r="L73" s="9">
        <v>2365.77</v>
      </c>
      <c r="M73" s="7">
        <v>0</v>
      </c>
      <c r="N73" s="9">
        <v>2365.77</v>
      </c>
      <c r="O73" s="8"/>
      <c r="P73" s="2"/>
      <c r="Q73" s="2"/>
      <c r="R73" s="2" t="str">
        <v>C9300</v>
      </c>
      <c r="S73" s="2" t="str">
        <f ca="1">IFERROR(__xludf.DUMMYFUNCTION("""COMPUTED_VALUE"""),"C9300L-DNA-A-24-3Y")</f>
        <v>C9300L-DNA-A-24-3Y</v>
      </c>
      <c r="T73" s="10">
        <f ca="1">IFERROR(__xludf.DUMMYFUNCTION("""COMPUTED_VALUE"""),0)</f>
        <v>0</v>
      </c>
      <c r="U73" s="2" t="e">
        <f ca="1"/>
        <v>#NAME?</v>
      </c>
      <c r="V73" s="2" t="e">
        <f ca="1"/>
        <v>#NAME?</v>
      </c>
      <c r="W73" s="2" t="e">
        <f ca="1"/>
        <v>#NAME?</v>
      </c>
      <c r="X73" s="2"/>
      <c r="Y73" s="2"/>
      <c r="Z73" s="2"/>
    </row>
    <row r="74" spans="1:26" ht="12.5" x14ac:dyDescent="0.25">
      <c r="A74" s="7">
        <v>4.2</v>
      </c>
      <c r="B74" s="6" t="s">
        <v>40</v>
      </c>
      <c r="C74" s="6" t="s">
        <v>32</v>
      </c>
      <c r="D74" s="6" t="s">
        <v>41</v>
      </c>
      <c r="E74" s="8"/>
      <c r="F74" s="6" t="s">
        <v>25</v>
      </c>
      <c r="G74" s="6">
        <v>14</v>
      </c>
      <c r="H74" s="6" t="s">
        <v>32</v>
      </c>
      <c r="I74" s="7">
        <v>1</v>
      </c>
      <c r="J74" s="8"/>
      <c r="K74" s="7">
        <v>0</v>
      </c>
      <c r="L74" s="7">
        <v>0</v>
      </c>
      <c r="M74" s="7">
        <v>0</v>
      </c>
      <c r="N74" s="7">
        <v>0</v>
      </c>
      <c r="O74" s="8"/>
      <c r="P74" s="2"/>
      <c r="Q74" s="2"/>
      <c r="R74" s="2" t="str">
        <v>C9300</v>
      </c>
      <c r="S74" s="2" t="str">
        <f ca="1">IFERROR(__xludf.DUMMYFUNCTION("""COMPUTED_VALUE"""),"TE-EMBEDDED-T")</f>
        <v>TE-EMBEDDED-T</v>
      </c>
      <c r="T74" s="10">
        <f ca="1">IFERROR(__xludf.DUMMYFUNCTION("""COMPUTED_VALUE"""),0)</f>
        <v>0</v>
      </c>
      <c r="U74" s="2" t="e">
        <f ca="1"/>
        <v>#NAME?</v>
      </c>
      <c r="V74" s="2" t="e">
        <f ca="1"/>
        <v>#NAME?</v>
      </c>
      <c r="W74" s="2" t="e">
        <f ca="1"/>
        <v>#NAME?</v>
      </c>
      <c r="X74" s="2"/>
      <c r="Y74" s="2"/>
      <c r="Z74" s="2"/>
    </row>
    <row r="75" spans="1:26" ht="12.5" x14ac:dyDescent="0.25">
      <c r="A75" s="7" t="s">
        <v>106</v>
      </c>
      <c r="B75" s="6" t="s">
        <v>43</v>
      </c>
      <c r="C75" s="6" t="s">
        <v>22</v>
      </c>
      <c r="D75" s="6" t="s">
        <v>44</v>
      </c>
      <c r="E75" s="8"/>
      <c r="F75" s="6">
        <v>36</v>
      </c>
      <c r="G75" s="6" t="s">
        <v>25</v>
      </c>
      <c r="H75" s="6" t="s">
        <v>26</v>
      </c>
      <c r="I75" s="7">
        <v>1</v>
      </c>
      <c r="J75" s="8"/>
      <c r="K75" s="7">
        <v>0</v>
      </c>
      <c r="L75" s="7">
        <v>0</v>
      </c>
      <c r="M75" s="7">
        <v>0</v>
      </c>
      <c r="N75" s="7">
        <v>0</v>
      </c>
      <c r="O75" s="8"/>
      <c r="P75" s="2"/>
      <c r="Q75" s="2"/>
      <c r="R75" s="2" t="str">
        <v>C9300</v>
      </c>
      <c r="S75" s="2" t="str">
        <f ca="1">IFERROR(__xludf.DUMMYFUNCTION("""COMPUTED_VALUE"""),"TE-EMBEDDED-T-3Y")</f>
        <v>TE-EMBEDDED-T-3Y</v>
      </c>
      <c r="T75" s="10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e">
        <f ca="1"/>
        <v>#NAME?</v>
      </c>
      <c r="X75" s="2"/>
      <c r="Y75" s="2"/>
      <c r="Z75" s="2"/>
    </row>
    <row r="76" spans="1:26" ht="12.5" x14ac:dyDescent="0.25">
      <c r="A76" s="7">
        <v>4.3</v>
      </c>
      <c r="B76" s="6" t="s">
        <v>45</v>
      </c>
      <c r="C76" s="6" t="s">
        <v>32</v>
      </c>
      <c r="D76" s="6" t="s">
        <v>46</v>
      </c>
      <c r="E76" s="8"/>
      <c r="F76" s="6" t="s">
        <v>25</v>
      </c>
      <c r="G76" s="6">
        <v>14</v>
      </c>
      <c r="H76" s="6" t="s">
        <v>32</v>
      </c>
      <c r="I76" s="7">
        <v>1</v>
      </c>
      <c r="J76" s="8"/>
      <c r="K76" s="7">
        <v>0</v>
      </c>
      <c r="L76" s="7">
        <v>0</v>
      </c>
      <c r="M76" s="7">
        <v>0</v>
      </c>
      <c r="N76" s="7">
        <v>0</v>
      </c>
      <c r="O76" s="8"/>
      <c r="P76" s="2"/>
      <c r="Q76" s="2"/>
      <c r="R76" s="2" t="str">
        <v>C9300</v>
      </c>
      <c r="S76" s="2" t="str">
        <f ca="1">IFERROR(__xludf.DUMMYFUNCTION("""COMPUTED_VALUE"""),"D-DNAS-EXT-S-T")</f>
        <v>D-DNAS-EXT-S-T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e">
        <f ca="1"/>
        <v>#NAME?</v>
      </c>
      <c r="X76" s="2"/>
      <c r="Y76" s="2"/>
      <c r="Z76" s="2"/>
    </row>
    <row r="77" spans="1:26" ht="12.5" x14ac:dyDescent="0.25">
      <c r="A77" s="7" t="s">
        <v>107</v>
      </c>
      <c r="B77" s="6" t="s">
        <v>48</v>
      </c>
      <c r="C77" s="6" t="s">
        <v>22</v>
      </c>
      <c r="D77" s="6" t="s">
        <v>49</v>
      </c>
      <c r="E77" s="8"/>
      <c r="F77" s="6">
        <v>36</v>
      </c>
      <c r="G77" s="6" t="s">
        <v>25</v>
      </c>
      <c r="H77" s="6" t="s">
        <v>26</v>
      </c>
      <c r="I77" s="7">
        <v>1</v>
      </c>
      <c r="J77" s="8"/>
      <c r="K77" s="7">
        <v>0</v>
      </c>
      <c r="L77" s="7">
        <v>0</v>
      </c>
      <c r="M77" s="7">
        <v>0</v>
      </c>
      <c r="N77" s="7">
        <v>0</v>
      </c>
      <c r="O77" s="8"/>
      <c r="P77" s="2"/>
      <c r="Q77" s="2"/>
      <c r="R77" s="2" t="str">
        <v>C9300</v>
      </c>
      <c r="S77" s="2" t="str">
        <f ca="1">IFERROR(__xludf.DUMMYFUNCTION("""COMPUTED_VALUE"""),"D-DNAS-EXT-S-3Y")</f>
        <v>D-DNAS-EXT-S-3Y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e">
        <f ca="1"/>
        <v>#NAME?</v>
      </c>
      <c r="X77" s="2"/>
      <c r="Y77" s="2"/>
      <c r="Z77" s="2"/>
    </row>
    <row r="78" spans="1:26" ht="12.5" x14ac:dyDescent="0.25">
      <c r="A78" s="7">
        <v>4.4000000000000004</v>
      </c>
      <c r="B78" s="6" t="s">
        <v>50</v>
      </c>
      <c r="C78" s="6" t="s">
        <v>32</v>
      </c>
      <c r="D78" s="6" t="s">
        <v>51</v>
      </c>
      <c r="E78" s="8"/>
      <c r="F78" s="6" t="s">
        <v>25</v>
      </c>
      <c r="G78" s="6">
        <v>14</v>
      </c>
      <c r="H78" s="6" t="s">
        <v>32</v>
      </c>
      <c r="I78" s="7">
        <v>1</v>
      </c>
      <c r="J78" s="8"/>
      <c r="K78" s="7">
        <v>0</v>
      </c>
      <c r="L78" s="7">
        <v>0</v>
      </c>
      <c r="M78" s="7">
        <v>0</v>
      </c>
      <c r="N78" s="7">
        <v>0</v>
      </c>
      <c r="O78" s="8"/>
      <c r="P78" s="2"/>
      <c r="Q78" s="2"/>
      <c r="R78" s="2" t="str">
        <v>C9300</v>
      </c>
      <c r="S78" s="2" t="str">
        <f ca="1">IFERROR(__xludf.DUMMYFUNCTION("""COMPUTED_VALUE"""),"C9300L-NW-A-24")</f>
        <v>C9300L-NW-A-24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e">
        <f ca="1"/>
        <v>#NAME?</v>
      </c>
      <c r="X78" s="2"/>
      <c r="Y78" s="2"/>
      <c r="Z78" s="2"/>
    </row>
    <row r="79" spans="1:26" ht="12.5" x14ac:dyDescent="0.25">
      <c r="A79" s="7">
        <v>4.5</v>
      </c>
      <c r="B79" s="6" t="s">
        <v>52</v>
      </c>
      <c r="C79" s="6" t="s">
        <v>22</v>
      </c>
      <c r="D79" s="6" t="s">
        <v>53</v>
      </c>
      <c r="E79" s="8"/>
      <c r="F79" s="6" t="s">
        <v>25</v>
      </c>
      <c r="G79" s="6">
        <v>14</v>
      </c>
      <c r="H79" s="6" t="s">
        <v>32</v>
      </c>
      <c r="I79" s="7">
        <v>1</v>
      </c>
      <c r="J79" s="8"/>
      <c r="K79" s="7">
        <v>0</v>
      </c>
      <c r="L79" s="7">
        <v>0</v>
      </c>
      <c r="M79" s="7">
        <v>0</v>
      </c>
      <c r="N79" s="7">
        <v>0</v>
      </c>
      <c r="O79" s="8"/>
      <c r="P79" s="2"/>
      <c r="Q79" s="2"/>
      <c r="R79" s="2" t="str">
        <v>C9300</v>
      </c>
      <c r="S79" s="2" t="str">
        <f ca="1">IFERROR(__xludf.DUMMYFUNCTION("""COMPUTED_VALUE"""),"PWR-C1-BLANK")</f>
        <v>PWR-C1-BLANK</v>
      </c>
      <c r="T79" s="10">
        <f ca="1">IFERROR(__xludf.DUMMYFUNCTION("""COMPUTED_VALUE"""),0)</f>
        <v>0</v>
      </c>
      <c r="U79" s="2" t="e">
        <f ca="1"/>
        <v>#NAME?</v>
      </c>
      <c r="V79" s="2" t="e">
        <f ca="1"/>
        <v>#NAME?</v>
      </c>
      <c r="W79" s="2" t="e">
        <f ca="1"/>
        <v>#NAME?</v>
      </c>
      <c r="X79" s="2"/>
      <c r="Y79" s="2"/>
      <c r="Z79" s="2"/>
    </row>
    <row r="80" spans="1:26" ht="12.5" x14ac:dyDescent="0.25">
      <c r="A80" s="7">
        <v>4.5999999999999996</v>
      </c>
      <c r="B80" s="6" t="s">
        <v>54</v>
      </c>
      <c r="C80" s="6" t="s">
        <v>22</v>
      </c>
      <c r="D80" s="6" t="s">
        <v>55</v>
      </c>
      <c r="E80" s="8"/>
      <c r="F80" s="6" t="s">
        <v>25</v>
      </c>
      <c r="G80" s="6">
        <v>14</v>
      </c>
      <c r="H80" s="6" t="s">
        <v>32</v>
      </c>
      <c r="I80" s="7">
        <v>2</v>
      </c>
      <c r="J80" s="8"/>
      <c r="K80" s="7">
        <v>0</v>
      </c>
      <c r="L80" s="7">
        <v>0</v>
      </c>
      <c r="M80" s="7">
        <v>0</v>
      </c>
      <c r="N80" s="7">
        <v>0</v>
      </c>
      <c r="O80" s="8"/>
      <c r="P80" s="2"/>
      <c r="Q80" s="2"/>
      <c r="R80" s="2" t="str">
        <v>C9300</v>
      </c>
      <c r="S80" s="2" t="str">
        <f ca="1">IFERROR(__xludf.DUMMYFUNCTION("""COMPUTED_VALUE"""),"C9300L-STACK-BLANK")</f>
        <v>C9300L-STACK-BLANK</v>
      </c>
      <c r="T80" s="10">
        <f ca="1">IFERROR(__xludf.DUMMYFUNCTION("""COMPUTED_VALUE"""),0)</f>
        <v>0</v>
      </c>
      <c r="U80" s="2" t="e">
        <f ca="1"/>
        <v>#NAME?</v>
      </c>
      <c r="V80" s="2" t="e">
        <f ca="1"/>
        <v>#NAME?</v>
      </c>
      <c r="W80" s="2" t="e">
        <f ca="1"/>
        <v>#NAME?</v>
      </c>
      <c r="X80" s="2"/>
      <c r="Y80" s="2"/>
      <c r="Z80" s="2"/>
    </row>
    <row r="81" spans="1:26" ht="12.5" x14ac:dyDescent="0.25">
      <c r="A81" s="7">
        <v>4.7</v>
      </c>
      <c r="B81" s="6" t="s">
        <v>86</v>
      </c>
      <c r="C81" s="6" t="s">
        <v>22</v>
      </c>
      <c r="D81" s="6" t="s">
        <v>87</v>
      </c>
      <c r="E81" s="8"/>
      <c r="F81" s="6" t="s">
        <v>25</v>
      </c>
      <c r="G81" s="6">
        <v>14</v>
      </c>
      <c r="H81" s="6" t="s">
        <v>32</v>
      </c>
      <c r="I81" s="7">
        <v>1</v>
      </c>
      <c r="J81" s="8"/>
      <c r="K81" s="7">
        <v>0</v>
      </c>
      <c r="L81" s="7">
        <v>0</v>
      </c>
      <c r="M81" s="7">
        <v>0</v>
      </c>
      <c r="N81" s="7">
        <v>0</v>
      </c>
      <c r="O81" s="8"/>
      <c r="P81" s="2"/>
      <c r="Q81" s="2"/>
      <c r="R81" s="2" t="str">
        <v>C9300</v>
      </c>
      <c r="S81" s="2" t="str">
        <f ca="1">IFERROR(__xludf.DUMMYFUNCTION("""COMPUTED_VALUE"""),"TE-C9K-SW")</f>
        <v>TE-C9K-SW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e">
        <f ca="1"/>
        <v>#NAME?</v>
      </c>
      <c r="X81" s="2"/>
      <c r="Y81" s="2"/>
      <c r="Z81" s="2"/>
    </row>
    <row r="82" spans="1:26" ht="12.5" x14ac:dyDescent="0.25">
      <c r="A82" s="7">
        <v>4.8</v>
      </c>
      <c r="B82" s="6" t="s">
        <v>56</v>
      </c>
      <c r="C82" s="6" t="s">
        <v>22</v>
      </c>
      <c r="D82" s="6" t="s">
        <v>57</v>
      </c>
      <c r="E82" s="8"/>
      <c r="F82" s="6" t="s">
        <v>25</v>
      </c>
      <c r="G82" s="6">
        <v>14</v>
      </c>
      <c r="H82" s="6" t="s">
        <v>32</v>
      </c>
      <c r="I82" s="7">
        <v>3</v>
      </c>
      <c r="J82" s="8"/>
      <c r="K82" s="7">
        <v>0</v>
      </c>
      <c r="L82" s="7">
        <v>0</v>
      </c>
      <c r="M82" s="7">
        <v>0</v>
      </c>
      <c r="N82" s="7">
        <v>0</v>
      </c>
      <c r="O82" s="8"/>
      <c r="P82" s="2"/>
      <c r="Q82" s="2"/>
      <c r="R82" s="2" t="str">
        <v>C9300</v>
      </c>
      <c r="S82" s="2" t="str">
        <f ca="1">IFERROR(__xludf.DUMMYFUNCTION("""COMPUTED_VALUE"""),"FAN-T2")</f>
        <v>FAN-T2</v>
      </c>
      <c r="T82" s="10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e">
        <f ca="1"/>
        <v>#NAME?</v>
      </c>
      <c r="X82" s="2"/>
      <c r="Y82" s="2"/>
      <c r="Z82" s="2"/>
    </row>
    <row r="83" spans="1:26" ht="12.5" x14ac:dyDescent="0.25">
      <c r="A83" s="7">
        <v>4.9000000000000004</v>
      </c>
      <c r="B83" s="6" t="s">
        <v>88</v>
      </c>
      <c r="C83" s="6" t="s">
        <v>22</v>
      </c>
      <c r="D83" s="6" t="s">
        <v>89</v>
      </c>
      <c r="E83" s="8"/>
      <c r="F83" s="6" t="s">
        <v>25</v>
      </c>
      <c r="G83" s="6">
        <v>14</v>
      </c>
      <c r="H83" s="6" t="s">
        <v>32</v>
      </c>
      <c r="I83" s="7">
        <v>1</v>
      </c>
      <c r="J83" s="8"/>
      <c r="K83" s="7">
        <v>0</v>
      </c>
      <c r="L83" s="7">
        <v>0</v>
      </c>
      <c r="M83" s="7">
        <v>0</v>
      </c>
      <c r="N83" s="7">
        <v>0</v>
      </c>
      <c r="O83" s="8"/>
      <c r="P83" s="2"/>
      <c r="Q83" s="2"/>
      <c r="R83" s="2" t="str">
        <v>C9300</v>
      </c>
      <c r="S83" s="2" t="str">
        <f ca="1">IFERROR(__xludf.DUMMYFUNCTION("""COMPUTED_VALUE"""),"PWR-C1-715WAC-P")</f>
        <v>PWR-C1-715WAC-P</v>
      </c>
      <c r="T83" s="10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e">
        <f ca="1"/>
        <v>#NAME?</v>
      </c>
      <c r="X83" s="2"/>
      <c r="Y83" s="2"/>
      <c r="Z83" s="2"/>
    </row>
    <row r="84" spans="1:26" ht="12.5" x14ac:dyDescent="0.25">
      <c r="A84" s="7">
        <v>4.0999999999999996</v>
      </c>
      <c r="B84" s="6" t="s">
        <v>60</v>
      </c>
      <c r="C84" s="6" t="s">
        <v>22</v>
      </c>
      <c r="D84" s="6" t="s">
        <v>61</v>
      </c>
      <c r="E84" s="8"/>
      <c r="F84" s="6" t="s">
        <v>25</v>
      </c>
      <c r="G84" s="6">
        <v>14</v>
      </c>
      <c r="H84" s="6" t="s">
        <v>32</v>
      </c>
      <c r="I84" s="7">
        <v>1</v>
      </c>
      <c r="J84" s="8"/>
      <c r="K84" s="7">
        <v>0</v>
      </c>
      <c r="L84" s="7">
        <v>0</v>
      </c>
      <c r="M84" s="7">
        <v>0</v>
      </c>
      <c r="N84" s="7">
        <v>0</v>
      </c>
      <c r="O84" s="8"/>
      <c r="P84" s="2"/>
      <c r="Q84" s="2"/>
      <c r="R84" s="2" t="str">
        <v>C9300</v>
      </c>
      <c r="S84" s="2" t="str">
        <f ca="1">IFERROR(__xludf.DUMMYFUNCTION("""COMPUTED_VALUE"""),"C9300L-SPS-NONE")</f>
        <v>C9300L-SPS-NONE</v>
      </c>
      <c r="T84" s="10">
        <f ca="1">IFERROR(__xludf.DUMMYFUNCTION("""COMPUTED_VALUE"""),0)</f>
        <v>0</v>
      </c>
      <c r="U84" s="2" t="e">
        <f ca="1"/>
        <v>#NAME?</v>
      </c>
      <c r="V84" s="2" t="e">
        <f ca="1"/>
        <v>#NAME?</v>
      </c>
      <c r="W84" s="2" t="e">
        <f ca="1"/>
        <v>#NAME?</v>
      </c>
      <c r="X84" s="2"/>
      <c r="Y84" s="2"/>
      <c r="Z84" s="2"/>
    </row>
    <row r="85" spans="1:26" ht="12.5" x14ac:dyDescent="0.25">
      <c r="A85" s="7">
        <v>4.1100000000000003</v>
      </c>
      <c r="B85" s="6" t="s">
        <v>62</v>
      </c>
      <c r="C85" s="6" t="s">
        <v>22</v>
      </c>
      <c r="D85" s="6" t="s">
        <v>63</v>
      </c>
      <c r="E85" s="8"/>
      <c r="F85" s="6" t="s">
        <v>25</v>
      </c>
      <c r="G85" s="6">
        <v>14</v>
      </c>
      <c r="H85" s="6" t="s">
        <v>26</v>
      </c>
      <c r="I85" s="7">
        <v>1</v>
      </c>
      <c r="J85" s="8"/>
      <c r="K85" s="7">
        <v>0</v>
      </c>
      <c r="L85" s="7">
        <v>0</v>
      </c>
      <c r="M85" s="7">
        <v>0</v>
      </c>
      <c r="N85" s="7">
        <v>0</v>
      </c>
      <c r="O85" s="8"/>
      <c r="P85" s="2"/>
      <c r="Q85" s="2"/>
      <c r="R85" s="2" t="str">
        <v>C9300</v>
      </c>
      <c r="S85" s="2" t="str">
        <f ca="1">IFERROR(__xludf.DUMMYFUNCTION("""COMPUTED_VALUE"""),"CAB-TA-EU")</f>
        <v>CAB-TA-EU</v>
      </c>
      <c r="T85" s="10">
        <f ca="1">IFERROR(__xludf.DUMMYFUNCTION("""COMPUTED_VALUE"""),0)</f>
        <v>0</v>
      </c>
      <c r="U85" s="2" t="e">
        <f ca="1"/>
        <v>#NAME?</v>
      </c>
      <c r="V85" s="2" t="e">
        <f ca="1"/>
        <v>#NAME?</v>
      </c>
      <c r="W85" s="2" t="e">
        <f ca="1"/>
        <v>#NAME?</v>
      </c>
      <c r="X85" s="2"/>
      <c r="Y85" s="2"/>
      <c r="Z85" s="2"/>
    </row>
    <row r="86" spans="1:26" ht="12.5" x14ac:dyDescent="0.25">
      <c r="A86" s="7">
        <v>4.12</v>
      </c>
      <c r="B86" s="6" t="s">
        <v>64</v>
      </c>
      <c r="C86" s="6" t="s">
        <v>22</v>
      </c>
      <c r="D86" s="6" t="s">
        <v>65</v>
      </c>
      <c r="E86" s="8"/>
      <c r="F86" s="6" t="s">
        <v>25</v>
      </c>
      <c r="G86" s="6">
        <v>14</v>
      </c>
      <c r="H86" s="6" t="s">
        <v>26</v>
      </c>
      <c r="I86" s="7">
        <v>1</v>
      </c>
      <c r="J86" s="8"/>
      <c r="K86" s="9">
        <v>3162.96</v>
      </c>
      <c r="L86" s="9">
        <v>3162.96</v>
      </c>
      <c r="M86" s="7">
        <v>0</v>
      </c>
      <c r="N86" s="9">
        <v>3162.96</v>
      </c>
      <c r="O86" s="8"/>
      <c r="P86" s="2"/>
      <c r="Q86" s="2"/>
      <c r="R86" s="2" t="str">
        <v>C9300</v>
      </c>
      <c r="S86" s="2" t="str">
        <f ca="1">IFERROR(__xludf.DUMMYFUNCTION("""COMPUTED_VALUE"""),"SSD-240G")</f>
        <v>SSD-240G</v>
      </c>
      <c r="T86" s="10">
        <f ca="1">IFERROR(__xludf.DUMMYFUNCTION("""COMPUTED_VALUE"""),0)</f>
        <v>0</v>
      </c>
      <c r="U86" s="2" t="e">
        <f ca="1"/>
        <v>#NAME?</v>
      </c>
      <c r="V86" s="2" t="e">
        <f ca="1"/>
        <v>#NAME?</v>
      </c>
      <c r="W86" s="2" t="e">
        <f ca="1"/>
        <v>#NAME?</v>
      </c>
      <c r="X86" s="2"/>
      <c r="Y86" s="2"/>
      <c r="Z86" s="2"/>
    </row>
    <row r="87" spans="1:26" ht="12.5" x14ac:dyDescent="0.25">
      <c r="A87" s="7">
        <v>4.13</v>
      </c>
      <c r="B87" s="6" t="s">
        <v>90</v>
      </c>
      <c r="C87" s="6" t="s">
        <v>22</v>
      </c>
      <c r="D87" s="6" t="s">
        <v>91</v>
      </c>
      <c r="E87" s="8"/>
      <c r="F87" s="6" t="s">
        <v>25</v>
      </c>
      <c r="G87" s="6">
        <v>14</v>
      </c>
      <c r="H87" s="6" t="s">
        <v>26</v>
      </c>
      <c r="I87" s="7">
        <v>1</v>
      </c>
      <c r="J87" s="8"/>
      <c r="K87" s="9">
        <v>0</v>
      </c>
      <c r="L87" s="9">
        <v>0</v>
      </c>
      <c r="M87" s="7">
        <v>0</v>
      </c>
      <c r="N87" s="9">
        <v>0</v>
      </c>
      <c r="O87" s="8"/>
      <c r="P87" s="2"/>
      <c r="Q87" s="2"/>
      <c r="R87" s="2" t="str">
        <v>C9300</v>
      </c>
      <c r="S87" s="2" t="str">
        <f ca="1">IFERROR(__xludf.DUMMYFUNCTION("""COMPUTED_VALUE"""),"C9300-ACCKIT-NONE")</f>
        <v>C9300-ACCKIT-NONE</v>
      </c>
      <c r="T87" s="10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e">
        <f ca="1"/>
        <v>#NAME?</v>
      </c>
      <c r="X87" s="2"/>
      <c r="Y87" s="2"/>
      <c r="Z87" s="2"/>
    </row>
    <row r="88" spans="1:26" ht="12.5" x14ac:dyDescent="0.25">
      <c r="A88" s="7">
        <v>4.1399999999999997</v>
      </c>
      <c r="B88" s="6" t="s">
        <v>72</v>
      </c>
      <c r="C88" s="6" t="s">
        <v>32</v>
      </c>
      <c r="D88" s="6" t="s">
        <v>73</v>
      </c>
      <c r="E88" s="8"/>
      <c r="F88" s="6" t="s">
        <v>25</v>
      </c>
      <c r="G88" s="6">
        <v>2</v>
      </c>
      <c r="H88" s="6" t="s">
        <v>32</v>
      </c>
      <c r="I88" s="7">
        <v>1</v>
      </c>
      <c r="J88" s="8"/>
      <c r="K88" s="7">
        <v>0</v>
      </c>
      <c r="L88" s="7">
        <v>0</v>
      </c>
      <c r="M88" s="7">
        <v>0</v>
      </c>
      <c r="N88" s="7">
        <v>0</v>
      </c>
      <c r="O88" s="8"/>
      <c r="P88" s="2"/>
      <c r="Q88" s="2"/>
      <c r="R88" s="2" t="str">
        <v>C9300</v>
      </c>
      <c r="S88" s="2" t="str">
        <f ca="1">IFERROR(__xludf.DUMMYFUNCTION("""COMPUTED_VALUE"""),"NETWORK-PNP-LIC")</f>
        <v>NETWORK-PNP-LIC</v>
      </c>
      <c r="T88" s="10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e">
        <f ca="1"/>
        <v>#NAME?</v>
      </c>
      <c r="X88" s="2"/>
      <c r="Y88" s="2"/>
      <c r="Z88" s="2"/>
    </row>
    <row r="89" spans="1:26" ht="12.5" x14ac:dyDescent="0.25">
      <c r="A89" s="7">
        <v>4.1500000000000004</v>
      </c>
      <c r="B89" s="6" t="s">
        <v>74</v>
      </c>
      <c r="C89" s="6" t="s">
        <v>22</v>
      </c>
      <c r="D89" s="6" t="s">
        <v>75</v>
      </c>
      <c r="E89" s="8"/>
      <c r="F89" s="6" t="s">
        <v>25</v>
      </c>
      <c r="G89" s="6">
        <v>14</v>
      </c>
      <c r="H89" s="6" t="s">
        <v>32</v>
      </c>
      <c r="I89" s="7">
        <v>1</v>
      </c>
      <c r="J89" s="8"/>
      <c r="K89" s="7">
        <v>0</v>
      </c>
      <c r="L89" s="7">
        <v>0</v>
      </c>
      <c r="M89" s="7">
        <v>0</v>
      </c>
      <c r="N89" s="7">
        <v>0</v>
      </c>
      <c r="O89" s="8"/>
      <c r="P89" s="2"/>
      <c r="Q89" s="2"/>
      <c r="R89" s="2" t="str">
        <v>C9300</v>
      </c>
      <c r="S89" s="2" t="str">
        <f ca="1">IFERROR(__xludf.DUMMYFUNCTION("""COMPUTED_VALUE"""),"S9300LUK9-1718")</f>
        <v>S9300LUK9-1718</v>
      </c>
      <c r="T89" s="10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e">
        <f ca="1"/>
        <v>#NAME?</v>
      </c>
      <c r="X89" s="2"/>
      <c r="Y89" s="2"/>
      <c r="Z89" s="2"/>
    </row>
    <row r="90" spans="1:26" ht="12.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2" t="s">
        <v>76</v>
      </c>
      <c r="N90" s="13">
        <v>17585.240000000002</v>
      </c>
      <c r="O90" s="14"/>
      <c r="P90" s="2"/>
      <c r="Q90" s="2"/>
      <c r="R90" s="2" t="str">
        <v/>
      </c>
      <c r="S90" s="2" t="str">
        <f ca="1">IFERROR(__xludf.DUMMYFUNCTION("""COMPUTED_VALUE"""),"")</f>
        <v/>
      </c>
      <c r="T90" s="2" t="str">
        <f ca="1">IFERROR(__xludf.DUMMYFUNCTION("""COMPUTED_VALUE"""),"")</f>
        <v/>
      </c>
      <c r="U90" s="2" t="e">
        <f ca="1"/>
        <v>#NAME?</v>
      </c>
      <c r="V90" s="2" t="e">
        <f ca="1"/>
        <v>#NAME?</v>
      </c>
      <c r="W90" s="2" t="str">
        <f ca="1"/>
        <v/>
      </c>
      <c r="X90" s="2"/>
      <c r="Y90" s="2"/>
      <c r="Z90" s="2"/>
    </row>
    <row r="91" spans="1:26" ht="12.5" x14ac:dyDescent="0.25">
      <c r="A91" s="5">
        <v>5</v>
      </c>
      <c r="B91" s="5" t="s">
        <v>108</v>
      </c>
      <c r="C91" s="6" t="s">
        <v>22</v>
      </c>
      <c r="D91" s="6" t="s">
        <v>109</v>
      </c>
      <c r="E91" s="6" t="s">
        <v>24</v>
      </c>
      <c r="F91" s="6" t="s">
        <v>25</v>
      </c>
      <c r="G91" s="6">
        <v>14</v>
      </c>
      <c r="H91" s="6" t="s">
        <v>26</v>
      </c>
      <c r="I91" s="7">
        <v>1</v>
      </c>
      <c r="J91" s="8"/>
      <c r="K91" s="9">
        <v>9675.82</v>
      </c>
      <c r="L91" s="9">
        <v>9675.82</v>
      </c>
      <c r="M91" s="7">
        <v>0</v>
      </c>
      <c r="N91" s="9">
        <v>9675.82</v>
      </c>
      <c r="O91" s="8"/>
      <c r="P91" s="2"/>
      <c r="Q91" s="2"/>
      <c r="R91" s="2" t="str">
        <v>C9300</v>
      </c>
      <c r="S91" s="2" t="str">
        <f ca="1">IFERROR(__xludf.DUMMYFUNCTION("""COMPUTED_VALUE"""),"C9300L-48T-4G-A")</f>
        <v>C9300L-48T-4G-A</v>
      </c>
      <c r="T91" s="10">
        <f ca="1">IFERROR(__xludf.DUMMYFUNCTION("""COMPUTED_VALUE"""),1)</f>
        <v>1</v>
      </c>
      <c r="U91" s="2" t="e">
        <f ca="1"/>
        <v>#NAME?</v>
      </c>
      <c r="V91" s="2" t="e">
        <f ca="1"/>
        <v>#NAME?</v>
      </c>
      <c r="W91" s="2" t="e">
        <f ca="1"/>
        <v>#NAME?</v>
      </c>
      <c r="X91" s="2"/>
      <c r="Y91" s="2"/>
      <c r="Z91" s="2"/>
    </row>
    <row r="92" spans="1:26" ht="12.5" x14ac:dyDescent="0.25">
      <c r="A92" s="7" t="s">
        <v>110</v>
      </c>
      <c r="B92" s="6" t="s">
        <v>111</v>
      </c>
      <c r="C92" s="6" t="s">
        <v>22</v>
      </c>
      <c r="D92" s="6" t="s">
        <v>112</v>
      </c>
      <c r="E92" s="8"/>
      <c r="F92" s="6">
        <v>24</v>
      </c>
      <c r="G92" s="6" t="s">
        <v>25</v>
      </c>
      <c r="H92" s="6" t="s">
        <v>26</v>
      </c>
      <c r="I92" s="7">
        <v>1</v>
      </c>
      <c r="J92" s="8"/>
      <c r="K92" s="9">
        <v>1938.76</v>
      </c>
      <c r="L92" s="9">
        <v>1938.76</v>
      </c>
      <c r="M92" s="7">
        <v>0</v>
      </c>
      <c r="N92" s="9">
        <v>1938.76</v>
      </c>
      <c r="O92" s="6" t="s">
        <v>30</v>
      </c>
      <c r="P92" s="2"/>
      <c r="Q92" s="2"/>
      <c r="R92" s="2" t="str">
        <v>C9300</v>
      </c>
      <c r="S92" s="2" t="str">
        <f ca="1">IFERROR(__xludf.DUMMYFUNCTION("""COMPUTED_VALUE"""),"CON-L1NBD-CAT9300L")</f>
        <v>CON-L1NBD-CAT9300L</v>
      </c>
      <c r="T92" s="10">
        <f ca="1">IFERROR(__xludf.DUMMYFUNCTION("""COMPUTED_VALUE"""),0)</f>
        <v>0</v>
      </c>
      <c r="U92" s="2" t="e">
        <f ca="1"/>
        <v>#NAME?</v>
      </c>
      <c r="V92" s="2" t="e">
        <f ca="1"/>
        <v>#NAME?</v>
      </c>
      <c r="W92" s="2" t="e">
        <f ca="1"/>
        <v>#NAME?</v>
      </c>
      <c r="X92" s="2"/>
      <c r="Y92" s="2"/>
      <c r="Z92" s="2"/>
    </row>
    <row r="93" spans="1:26" ht="12.5" x14ac:dyDescent="0.25">
      <c r="A93" s="7">
        <v>5.0999999999999996</v>
      </c>
      <c r="B93" s="6" t="s">
        <v>113</v>
      </c>
      <c r="C93" s="6" t="s">
        <v>32</v>
      </c>
      <c r="D93" s="6" t="s">
        <v>114</v>
      </c>
      <c r="E93" s="8"/>
      <c r="F93" s="6" t="s">
        <v>25</v>
      </c>
      <c r="G93" s="6">
        <v>14</v>
      </c>
      <c r="H93" s="6" t="s">
        <v>26</v>
      </c>
      <c r="I93" s="7">
        <v>1</v>
      </c>
      <c r="J93" s="8"/>
      <c r="K93" s="7">
        <v>0</v>
      </c>
      <c r="L93" s="7">
        <v>0</v>
      </c>
      <c r="M93" s="7">
        <v>0</v>
      </c>
      <c r="N93" s="7">
        <v>0</v>
      </c>
      <c r="O93" s="8"/>
      <c r="P93" s="2"/>
      <c r="Q93" s="2"/>
      <c r="R93" s="2" t="str">
        <v>C9300</v>
      </c>
      <c r="S93" s="2" t="str">
        <f ca="1">IFERROR(__xludf.DUMMYFUNCTION("""COMPUTED_VALUE"""),"C9300L-DNA-A-48")</f>
        <v>C9300L-DNA-A-48</v>
      </c>
      <c r="T93" s="10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e">
        <f ca="1"/>
        <v>#NAME?</v>
      </c>
      <c r="X93" s="2"/>
      <c r="Y93" s="2"/>
      <c r="Z93" s="2"/>
    </row>
    <row r="94" spans="1:26" ht="12.5" x14ac:dyDescent="0.25">
      <c r="A94" s="7" t="s">
        <v>115</v>
      </c>
      <c r="B94" s="6" t="s">
        <v>116</v>
      </c>
      <c r="C94" s="6" t="s">
        <v>22</v>
      </c>
      <c r="D94" s="6" t="s">
        <v>36</v>
      </c>
      <c r="E94" s="8"/>
      <c r="F94" s="6">
        <v>24</v>
      </c>
      <c r="G94" s="6" t="s">
        <v>25</v>
      </c>
      <c r="H94" s="6" t="s">
        <v>26</v>
      </c>
      <c r="I94" s="7">
        <v>1</v>
      </c>
      <c r="J94" s="8"/>
      <c r="K94" s="7">
        <v>610.5</v>
      </c>
      <c r="L94" s="7">
        <v>610.5</v>
      </c>
      <c r="M94" s="7">
        <v>0</v>
      </c>
      <c r="N94" s="7">
        <v>610.5</v>
      </c>
      <c r="O94" s="6" t="s">
        <v>30</v>
      </c>
      <c r="P94" s="2"/>
      <c r="Q94" s="2"/>
      <c r="R94" s="2" t="str">
        <v>C9300</v>
      </c>
      <c r="S94" s="2" t="str">
        <f ca="1">IFERROR(__xludf.DUMMYFUNCTION("""COMPUTED_VALUE"""),"CON-L1SWT-C93LA48")</f>
        <v>CON-L1SWT-C93LA48</v>
      </c>
      <c r="T94" s="10">
        <f ca="1">IFERROR(__xludf.DUMMYFUNCTION("""COMPUTED_VALUE"""),0)</f>
        <v>0</v>
      </c>
      <c r="U94" s="2" t="e">
        <f ca="1"/>
        <v>#NAME?</v>
      </c>
      <c r="V94" s="2" t="e">
        <f ca="1"/>
        <v>#NAME?</v>
      </c>
      <c r="W94" s="2" t="e">
        <f ca="1"/>
        <v>#NAME?</v>
      </c>
      <c r="X94" s="2"/>
      <c r="Y94" s="2"/>
      <c r="Z94" s="2"/>
    </row>
    <row r="95" spans="1:26" ht="12.5" x14ac:dyDescent="0.25">
      <c r="A95" s="7" t="s">
        <v>117</v>
      </c>
      <c r="B95" s="6" t="s">
        <v>118</v>
      </c>
      <c r="C95" s="6" t="s">
        <v>22</v>
      </c>
      <c r="D95" s="6" t="s">
        <v>119</v>
      </c>
      <c r="E95" s="8"/>
      <c r="F95" s="6">
        <v>36</v>
      </c>
      <c r="G95" s="6" t="s">
        <v>25</v>
      </c>
      <c r="H95" s="6" t="s">
        <v>26</v>
      </c>
      <c r="I95" s="7">
        <v>1</v>
      </c>
      <c r="J95" s="8"/>
      <c r="K95" s="9">
        <v>4437.29</v>
      </c>
      <c r="L95" s="9">
        <v>4437.29</v>
      </c>
      <c r="M95" s="7">
        <v>0</v>
      </c>
      <c r="N95" s="9">
        <v>4437.29</v>
      </c>
      <c r="O95" s="8"/>
      <c r="P95" s="2"/>
      <c r="Q95" s="2"/>
      <c r="R95" s="2" t="str">
        <v>C9300</v>
      </c>
      <c r="S95" s="2" t="str">
        <f ca="1">IFERROR(__xludf.DUMMYFUNCTION("""COMPUTED_VALUE"""),"C9300L-DNA-A-48-3Y")</f>
        <v>C9300L-DNA-A-48-3Y</v>
      </c>
      <c r="T95" s="10">
        <f ca="1">IFERROR(__xludf.DUMMYFUNCTION("""COMPUTED_VALUE"""),0)</f>
        <v>0</v>
      </c>
      <c r="U95" s="2" t="e">
        <f ca="1"/>
        <v>#NAME?</v>
      </c>
      <c r="V95" s="2" t="e">
        <f ca="1"/>
        <v>#NAME?</v>
      </c>
      <c r="W95" s="2" t="e">
        <f ca="1"/>
        <v>#NAME?</v>
      </c>
      <c r="X95" s="2"/>
      <c r="Y95" s="2"/>
      <c r="Z95" s="2"/>
    </row>
    <row r="96" spans="1:26" ht="12.5" x14ac:dyDescent="0.25">
      <c r="A96" s="7">
        <v>5.2</v>
      </c>
      <c r="B96" s="6" t="s">
        <v>40</v>
      </c>
      <c r="C96" s="6" t="s">
        <v>32</v>
      </c>
      <c r="D96" s="6" t="s">
        <v>41</v>
      </c>
      <c r="E96" s="8"/>
      <c r="F96" s="6" t="s">
        <v>25</v>
      </c>
      <c r="G96" s="6">
        <v>14</v>
      </c>
      <c r="H96" s="6" t="s">
        <v>32</v>
      </c>
      <c r="I96" s="7">
        <v>1</v>
      </c>
      <c r="J96" s="8"/>
      <c r="K96" s="7">
        <v>0</v>
      </c>
      <c r="L96" s="7">
        <v>0</v>
      </c>
      <c r="M96" s="7">
        <v>0</v>
      </c>
      <c r="N96" s="7">
        <v>0</v>
      </c>
      <c r="O96" s="8"/>
      <c r="P96" s="2"/>
      <c r="Q96" s="2"/>
      <c r="R96" s="2" t="str">
        <v>C9300</v>
      </c>
      <c r="S96" s="2" t="str">
        <f ca="1">IFERROR(__xludf.DUMMYFUNCTION("""COMPUTED_VALUE"""),"TE-EMBEDDED-T")</f>
        <v>TE-EMBEDDED-T</v>
      </c>
      <c r="T96" s="10">
        <f ca="1">IFERROR(__xludf.DUMMYFUNCTION("""COMPUTED_VALUE"""),0)</f>
        <v>0</v>
      </c>
      <c r="U96" s="2" t="e">
        <f ca="1"/>
        <v>#NAME?</v>
      </c>
      <c r="V96" s="2" t="e">
        <f ca="1"/>
        <v>#NAME?</v>
      </c>
      <c r="W96" s="2" t="e">
        <f ca="1"/>
        <v>#NAME?</v>
      </c>
      <c r="X96" s="2"/>
      <c r="Y96" s="2"/>
      <c r="Z96" s="2"/>
    </row>
    <row r="97" spans="1:26" ht="12.5" x14ac:dyDescent="0.25">
      <c r="A97" s="7" t="s">
        <v>120</v>
      </c>
      <c r="B97" s="6" t="s">
        <v>43</v>
      </c>
      <c r="C97" s="6" t="s">
        <v>22</v>
      </c>
      <c r="D97" s="6" t="s">
        <v>44</v>
      </c>
      <c r="E97" s="8"/>
      <c r="F97" s="6">
        <v>36</v>
      </c>
      <c r="G97" s="6" t="s">
        <v>25</v>
      </c>
      <c r="H97" s="6" t="s">
        <v>26</v>
      </c>
      <c r="I97" s="7">
        <v>1</v>
      </c>
      <c r="J97" s="8"/>
      <c r="K97" s="7">
        <v>0</v>
      </c>
      <c r="L97" s="7">
        <v>0</v>
      </c>
      <c r="M97" s="7">
        <v>0</v>
      </c>
      <c r="N97" s="7">
        <v>0</v>
      </c>
      <c r="O97" s="8"/>
      <c r="P97" s="2"/>
      <c r="Q97" s="2"/>
      <c r="R97" s="2" t="str">
        <v>C9300</v>
      </c>
      <c r="S97" s="2" t="str">
        <f ca="1">IFERROR(__xludf.DUMMYFUNCTION("""COMPUTED_VALUE"""),"TE-EMBEDDED-T-3Y")</f>
        <v>TE-EMBEDDED-T-3Y</v>
      </c>
      <c r="T97" s="10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e">
        <f ca="1"/>
        <v>#NAME?</v>
      </c>
      <c r="X97" s="2"/>
      <c r="Y97" s="2"/>
      <c r="Z97" s="2"/>
    </row>
    <row r="98" spans="1:26" ht="12.5" x14ac:dyDescent="0.25">
      <c r="A98" s="7">
        <v>5.3</v>
      </c>
      <c r="B98" s="6" t="s">
        <v>45</v>
      </c>
      <c r="C98" s="6" t="s">
        <v>32</v>
      </c>
      <c r="D98" s="6" t="s">
        <v>46</v>
      </c>
      <c r="E98" s="8"/>
      <c r="F98" s="6" t="s">
        <v>25</v>
      </c>
      <c r="G98" s="6">
        <v>14</v>
      </c>
      <c r="H98" s="6" t="s">
        <v>32</v>
      </c>
      <c r="I98" s="7">
        <v>1</v>
      </c>
      <c r="J98" s="8"/>
      <c r="K98" s="7">
        <v>0</v>
      </c>
      <c r="L98" s="7">
        <v>0</v>
      </c>
      <c r="M98" s="7">
        <v>0</v>
      </c>
      <c r="N98" s="7">
        <v>0</v>
      </c>
      <c r="O98" s="8"/>
      <c r="P98" s="2"/>
      <c r="Q98" s="2"/>
      <c r="R98" s="2" t="str">
        <v>C9300</v>
      </c>
      <c r="S98" s="2" t="str">
        <f ca="1">IFERROR(__xludf.DUMMYFUNCTION("""COMPUTED_VALUE"""),"D-DNAS-EXT-S-T")</f>
        <v>D-DNAS-EXT-S-T</v>
      </c>
      <c r="T98" s="10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e">
        <f ca="1"/>
        <v>#NAME?</v>
      </c>
      <c r="X98" s="2"/>
      <c r="Y98" s="2"/>
      <c r="Z98" s="2"/>
    </row>
    <row r="99" spans="1:26" ht="12.5" x14ac:dyDescent="0.25">
      <c r="A99" s="7" t="s">
        <v>121</v>
      </c>
      <c r="B99" s="6" t="s">
        <v>48</v>
      </c>
      <c r="C99" s="6" t="s">
        <v>22</v>
      </c>
      <c r="D99" s="6" t="s">
        <v>49</v>
      </c>
      <c r="E99" s="8"/>
      <c r="F99" s="6">
        <v>36</v>
      </c>
      <c r="G99" s="6" t="s">
        <v>25</v>
      </c>
      <c r="H99" s="6" t="s">
        <v>26</v>
      </c>
      <c r="I99" s="7">
        <v>1</v>
      </c>
      <c r="J99" s="8"/>
      <c r="K99" s="7">
        <v>0</v>
      </c>
      <c r="L99" s="7">
        <v>0</v>
      </c>
      <c r="M99" s="7">
        <v>0</v>
      </c>
      <c r="N99" s="7">
        <v>0</v>
      </c>
      <c r="O99" s="8"/>
      <c r="P99" s="2"/>
      <c r="Q99" s="2"/>
      <c r="R99" s="2" t="str">
        <v>C9300</v>
      </c>
      <c r="S99" s="2" t="str">
        <f ca="1">IFERROR(__xludf.DUMMYFUNCTION("""COMPUTED_VALUE"""),"D-DNAS-EXT-S-3Y")</f>
        <v>D-DNAS-EXT-S-3Y</v>
      </c>
      <c r="T99" s="10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e">
        <f ca="1"/>
        <v>#NAME?</v>
      </c>
      <c r="X99" s="2"/>
      <c r="Y99" s="2"/>
      <c r="Z99" s="2"/>
    </row>
    <row r="100" spans="1:26" ht="12.5" x14ac:dyDescent="0.25">
      <c r="A100" s="7">
        <v>5.4</v>
      </c>
      <c r="B100" s="6" t="s">
        <v>122</v>
      </c>
      <c r="C100" s="6" t="s">
        <v>32</v>
      </c>
      <c r="D100" s="6" t="s">
        <v>123</v>
      </c>
      <c r="E100" s="8"/>
      <c r="F100" s="6" t="s">
        <v>25</v>
      </c>
      <c r="G100" s="6">
        <v>14</v>
      </c>
      <c r="H100" s="6" t="s">
        <v>32</v>
      </c>
      <c r="I100" s="7">
        <v>1</v>
      </c>
      <c r="J100" s="8"/>
      <c r="K100" s="7">
        <v>0</v>
      </c>
      <c r="L100" s="7">
        <v>0</v>
      </c>
      <c r="M100" s="7">
        <v>0</v>
      </c>
      <c r="N100" s="7">
        <v>0</v>
      </c>
      <c r="O100" s="8"/>
      <c r="P100" s="2"/>
      <c r="Q100" s="2"/>
      <c r="R100" s="2" t="str">
        <v>C9300</v>
      </c>
      <c r="S100" s="2" t="str">
        <f ca="1">IFERROR(__xludf.DUMMYFUNCTION("""COMPUTED_VALUE"""),"C9300L-NW-A-48")</f>
        <v>C9300L-NW-A-48</v>
      </c>
      <c r="T100" s="10">
        <f ca="1">IFERROR(__xludf.DUMMYFUNCTION("""COMPUTED_VALUE"""),0)</f>
        <v>0</v>
      </c>
      <c r="U100" s="2" t="e">
        <f ca="1"/>
        <v>#NAME?</v>
      </c>
      <c r="V100" s="2" t="e">
        <f ca="1"/>
        <v>#NAME?</v>
      </c>
      <c r="W100" s="2" t="e">
        <f ca="1"/>
        <v>#NAME?</v>
      </c>
      <c r="X100" s="2"/>
      <c r="Y100" s="2"/>
      <c r="Z100" s="2"/>
    </row>
    <row r="101" spans="1:26" ht="12.5" x14ac:dyDescent="0.25">
      <c r="A101" s="7">
        <v>5.5</v>
      </c>
      <c r="B101" s="6" t="s">
        <v>52</v>
      </c>
      <c r="C101" s="6" t="s">
        <v>22</v>
      </c>
      <c r="D101" s="6" t="s">
        <v>53</v>
      </c>
      <c r="E101" s="8"/>
      <c r="F101" s="6" t="s">
        <v>25</v>
      </c>
      <c r="G101" s="6">
        <v>14</v>
      </c>
      <c r="H101" s="6" t="s">
        <v>32</v>
      </c>
      <c r="I101" s="7">
        <v>1</v>
      </c>
      <c r="J101" s="8"/>
      <c r="K101" s="7">
        <v>0</v>
      </c>
      <c r="L101" s="7">
        <v>0</v>
      </c>
      <c r="M101" s="7">
        <v>0</v>
      </c>
      <c r="N101" s="7">
        <v>0</v>
      </c>
      <c r="O101" s="8"/>
      <c r="P101" s="2"/>
      <c r="Q101" s="2"/>
      <c r="R101" s="2" t="str">
        <v>C9300</v>
      </c>
      <c r="S101" s="2" t="str">
        <f ca="1">IFERROR(__xludf.DUMMYFUNCTION("""COMPUTED_VALUE"""),"PWR-C1-BLANK")</f>
        <v>PWR-C1-BLANK</v>
      </c>
      <c r="T101" s="10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e">
        <f ca="1"/>
        <v>#NAME?</v>
      </c>
      <c r="X101" s="2"/>
      <c r="Y101" s="2"/>
      <c r="Z101" s="2"/>
    </row>
    <row r="102" spans="1:26" ht="12.5" x14ac:dyDescent="0.25">
      <c r="A102" s="7">
        <v>5.6</v>
      </c>
      <c r="B102" s="6" t="s">
        <v>54</v>
      </c>
      <c r="C102" s="6" t="s">
        <v>22</v>
      </c>
      <c r="D102" s="6" t="s">
        <v>55</v>
      </c>
      <c r="E102" s="8"/>
      <c r="F102" s="6" t="s">
        <v>25</v>
      </c>
      <c r="G102" s="6">
        <v>14</v>
      </c>
      <c r="H102" s="6" t="s">
        <v>32</v>
      </c>
      <c r="I102" s="7">
        <v>2</v>
      </c>
      <c r="J102" s="8"/>
      <c r="K102" s="7">
        <v>0</v>
      </c>
      <c r="L102" s="7">
        <v>0</v>
      </c>
      <c r="M102" s="7">
        <v>0</v>
      </c>
      <c r="N102" s="7">
        <v>0</v>
      </c>
      <c r="O102" s="8"/>
      <c r="P102" s="2"/>
      <c r="Q102" s="2"/>
      <c r="R102" s="2" t="str">
        <v>C9300</v>
      </c>
      <c r="S102" s="2" t="str">
        <f ca="1">IFERROR(__xludf.DUMMYFUNCTION("""COMPUTED_VALUE"""),"C9300L-STACK-BLANK")</f>
        <v>C9300L-STACK-BLANK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e">
        <f ca="1"/>
        <v>#NAME?</v>
      </c>
      <c r="X102" s="2"/>
      <c r="Y102" s="2"/>
      <c r="Z102" s="2"/>
    </row>
    <row r="103" spans="1:26" ht="12.5" x14ac:dyDescent="0.25">
      <c r="A103" s="7">
        <v>5.7</v>
      </c>
      <c r="B103" s="6" t="s">
        <v>86</v>
      </c>
      <c r="C103" s="6" t="s">
        <v>22</v>
      </c>
      <c r="D103" s="6" t="s">
        <v>87</v>
      </c>
      <c r="E103" s="8"/>
      <c r="F103" s="6" t="s">
        <v>25</v>
      </c>
      <c r="G103" s="6">
        <v>14</v>
      </c>
      <c r="H103" s="6" t="s">
        <v>32</v>
      </c>
      <c r="I103" s="7">
        <v>1</v>
      </c>
      <c r="J103" s="8"/>
      <c r="K103" s="7">
        <v>0</v>
      </c>
      <c r="L103" s="7">
        <v>0</v>
      </c>
      <c r="M103" s="7">
        <v>0</v>
      </c>
      <c r="N103" s="7">
        <v>0</v>
      </c>
      <c r="O103" s="8"/>
      <c r="P103" s="2"/>
      <c r="Q103" s="2"/>
      <c r="R103" s="2" t="str">
        <v>C9300</v>
      </c>
      <c r="S103" s="2" t="str">
        <f ca="1">IFERROR(__xludf.DUMMYFUNCTION("""COMPUTED_VALUE"""),"TE-C9K-SW")</f>
        <v>TE-C9K-SW</v>
      </c>
      <c r="T103" s="10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e">
        <f ca="1"/>
        <v>#NAME?</v>
      </c>
      <c r="X103" s="2"/>
      <c r="Y103" s="2"/>
      <c r="Z103" s="2"/>
    </row>
    <row r="104" spans="1:26" ht="12.5" x14ac:dyDescent="0.25">
      <c r="A104" s="7">
        <v>5.8</v>
      </c>
      <c r="B104" s="6" t="s">
        <v>56</v>
      </c>
      <c r="C104" s="6" t="s">
        <v>22</v>
      </c>
      <c r="D104" s="6" t="s">
        <v>57</v>
      </c>
      <c r="E104" s="8"/>
      <c r="F104" s="6" t="s">
        <v>25</v>
      </c>
      <c r="G104" s="6">
        <v>14</v>
      </c>
      <c r="H104" s="6" t="s">
        <v>32</v>
      </c>
      <c r="I104" s="7">
        <v>3</v>
      </c>
      <c r="J104" s="8"/>
      <c r="K104" s="7">
        <v>0</v>
      </c>
      <c r="L104" s="7">
        <v>0</v>
      </c>
      <c r="M104" s="7">
        <v>0</v>
      </c>
      <c r="N104" s="7">
        <v>0</v>
      </c>
      <c r="O104" s="8"/>
      <c r="P104" s="2"/>
      <c r="Q104" s="2"/>
      <c r="R104" s="2" t="str">
        <v>C9300</v>
      </c>
      <c r="S104" s="2" t="str">
        <f ca="1">IFERROR(__xludf.DUMMYFUNCTION("""COMPUTED_VALUE"""),"FAN-T2")</f>
        <v>FAN-T2</v>
      </c>
      <c r="T104" s="10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e">
        <f ca="1"/>
        <v>#NAME?</v>
      </c>
      <c r="X104" s="2"/>
      <c r="Y104" s="2"/>
      <c r="Z104" s="2"/>
    </row>
    <row r="105" spans="1:26" ht="12.5" x14ac:dyDescent="0.25">
      <c r="A105" s="7">
        <v>5.9</v>
      </c>
      <c r="B105" s="6" t="s">
        <v>58</v>
      </c>
      <c r="C105" s="6" t="s">
        <v>22</v>
      </c>
      <c r="D105" s="6" t="s">
        <v>59</v>
      </c>
      <c r="E105" s="8"/>
      <c r="F105" s="6" t="s">
        <v>25</v>
      </c>
      <c r="G105" s="6">
        <v>14</v>
      </c>
      <c r="H105" s="6" t="s">
        <v>32</v>
      </c>
      <c r="I105" s="7">
        <v>1</v>
      </c>
      <c r="J105" s="8"/>
      <c r="K105" s="7">
        <v>0</v>
      </c>
      <c r="L105" s="7">
        <v>0</v>
      </c>
      <c r="M105" s="7">
        <v>0</v>
      </c>
      <c r="N105" s="7">
        <v>0</v>
      </c>
      <c r="O105" s="8"/>
      <c r="P105" s="2"/>
      <c r="Q105" s="2"/>
      <c r="R105" s="2" t="str">
        <v>C9300</v>
      </c>
      <c r="S105" s="2" t="str">
        <f ca="1">IFERROR(__xludf.DUMMYFUNCTION("""COMPUTED_VALUE"""),"PWR-C1-350WAC-P")</f>
        <v>PWR-C1-350WAC-P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e">
        <f ca="1"/>
        <v>#NAME?</v>
      </c>
      <c r="X105" s="2"/>
      <c r="Y105" s="2"/>
      <c r="Z105" s="2"/>
    </row>
    <row r="106" spans="1:26" ht="12.5" x14ac:dyDescent="0.25">
      <c r="A106" s="7">
        <v>5.0999999999999996</v>
      </c>
      <c r="B106" s="6" t="s">
        <v>60</v>
      </c>
      <c r="C106" s="6" t="s">
        <v>22</v>
      </c>
      <c r="D106" s="6" t="s">
        <v>61</v>
      </c>
      <c r="E106" s="8"/>
      <c r="F106" s="6" t="s">
        <v>25</v>
      </c>
      <c r="G106" s="6">
        <v>14</v>
      </c>
      <c r="H106" s="6" t="s">
        <v>32</v>
      </c>
      <c r="I106" s="7">
        <v>1</v>
      </c>
      <c r="J106" s="8"/>
      <c r="K106" s="7">
        <v>0</v>
      </c>
      <c r="L106" s="7">
        <v>0</v>
      </c>
      <c r="M106" s="7">
        <v>0</v>
      </c>
      <c r="N106" s="7">
        <v>0</v>
      </c>
      <c r="O106" s="8"/>
      <c r="P106" s="2"/>
      <c r="Q106" s="2"/>
      <c r="R106" s="2" t="str">
        <v>C9300</v>
      </c>
      <c r="S106" s="2" t="str">
        <f ca="1">IFERROR(__xludf.DUMMYFUNCTION("""COMPUTED_VALUE"""),"C9300L-SPS-NONE")</f>
        <v>C9300L-SPS-NONE</v>
      </c>
      <c r="T106" s="10">
        <f ca="1">IFERROR(__xludf.DUMMYFUNCTION("""COMPUTED_VALUE"""),0)</f>
        <v>0</v>
      </c>
      <c r="U106" s="2" t="e">
        <f ca="1"/>
        <v>#NAME?</v>
      </c>
      <c r="V106" s="2" t="e">
        <f ca="1"/>
        <v>#NAME?</v>
      </c>
      <c r="W106" s="2" t="e">
        <f ca="1"/>
        <v>#NAME?</v>
      </c>
      <c r="X106" s="2"/>
      <c r="Y106" s="2"/>
      <c r="Z106" s="2"/>
    </row>
    <row r="107" spans="1:26" ht="12.5" x14ac:dyDescent="0.25">
      <c r="A107" s="7">
        <v>5.1100000000000003</v>
      </c>
      <c r="B107" s="6" t="s">
        <v>62</v>
      </c>
      <c r="C107" s="6" t="s">
        <v>22</v>
      </c>
      <c r="D107" s="6" t="s">
        <v>63</v>
      </c>
      <c r="E107" s="8"/>
      <c r="F107" s="6" t="s">
        <v>25</v>
      </c>
      <c r="G107" s="6">
        <v>14</v>
      </c>
      <c r="H107" s="6" t="s">
        <v>26</v>
      </c>
      <c r="I107" s="7">
        <v>1</v>
      </c>
      <c r="J107" s="8"/>
      <c r="K107" s="7">
        <v>0</v>
      </c>
      <c r="L107" s="7">
        <v>0</v>
      </c>
      <c r="M107" s="7">
        <v>0</v>
      </c>
      <c r="N107" s="7">
        <v>0</v>
      </c>
      <c r="O107" s="8"/>
      <c r="P107" s="2"/>
      <c r="Q107" s="2"/>
      <c r="R107" s="2" t="str">
        <v>C9300</v>
      </c>
      <c r="S107" s="2" t="str">
        <f ca="1">IFERROR(__xludf.DUMMYFUNCTION("""COMPUTED_VALUE"""),"CAB-TA-EU")</f>
        <v>CAB-TA-EU</v>
      </c>
      <c r="T107" s="10">
        <f ca="1">IFERROR(__xludf.DUMMYFUNCTION("""COMPUTED_VALUE"""),0)</f>
        <v>0</v>
      </c>
      <c r="U107" s="2" t="e">
        <f ca="1"/>
        <v>#NAME?</v>
      </c>
      <c r="V107" s="2" t="e">
        <f ca="1"/>
        <v>#NAME?</v>
      </c>
      <c r="W107" s="2" t="e">
        <f ca="1"/>
        <v>#NAME?</v>
      </c>
      <c r="X107" s="2"/>
      <c r="Y107" s="2"/>
      <c r="Z107" s="2"/>
    </row>
    <row r="108" spans="1:26" ht="12.5" x14ac:dyDescent="0.25">
      <c r="A108" s="7">
        <v>5.12</v>
      </c>
      <c r="B108" s="6" t="s">
        <v>64</v>
      </c>
      <c r="C108" s="6" t="s">
        <v>22</v>
      </c>
      <c r="D108" s="6" t="s">
        <v>65</v>
      </c>
      <c r="E108" s="8"/>
      <c r="F108" s="6" t="s">
        <v>25</v>
      </c>
      <c r="G108" s="6">
        <v>14</v>
      </c>
      <c r="H108" s="6" t="s">
        <v>26</v>
      </c>
      <c r="I108" s="7">
        <v>1</v>
      </c>
      <c r="J108" s="8"/>
      <c r="K108" s="9">
        <v>3162.96</v>
      </c>
      <c r="L108" s="9">
        <v>3162.96</v>
      </c>
      <c r="M108" s="7">
        <v>0</v>
      </c>
      <c r="N108" s="9">
        <v>3162.96</v>
      </c>
      <c r="O108" s="8"/>
      <c r="P108" s="2"/>
      <c r="Q108" s="2"/>
      <c r="R108" s="2" t="str">
        <v>C9300</v>
      </c>
      <c r="S108" s="2" t="str">
        <f ca="1">IFERROR(__xludf.DUMMYFUNCTION("""COMPUTED_VALUE"""),"SSD-240G")</f>
        <v>SSD-240G</v>
      </c>
      <c r="T108" s="10">
        <f ca="1">IFERROR(__xludf.DUMMYFUNCTION("""COMPUTED_VALUE"""),0)</f>
        <v>0</v>
      </c>
      <c r="U108" s="2" t="e">
        <f ca="1"/>
        <v>#NAME?</v>
      </c>
      <c r="V108" s="2" t="e">
        <f ca="1"/>
        <v>#NAME?</v>
      </c>
      <c r="W108" s="2" t="e">
        <f ca="1"/>
        <v>#NAME?</v>
      </c>
      <c r="X108" s="2"/>
      <c r="Y108" s="2"/>
      <c r="Z108" s="2"/>
    </row>
    <row r="109" spans="1:26" ht="12.5" x14ac:dyDescent="0.25">
      <c r="A109" s="7">
        <v>5.13</v>
      </c>
      <c r="B109" s="6" t="s">
        <v>90</v>
      </c>
      <c r="C109" s="6" t="s">
        <v>22</v>
      </c>
      <c r="D109" s="6" t="s">
        <v>91</v>
      </c>
      <c r="E109" s="8"/>
      <c r="F109" s="6" t="s">
        <v>25</v>
      </c>
      <c r="G109" s="6">
        <v>14</v>
      </c>
      <c r="H109" s="6" t="s">
        <v>26</v>
      </c>
      <c r="I109" s="7">
        <v>1</v>
      </c>
      <c r="J109" s="8"/>
      <c r="K109" s="9">
        <v>0</v>
      </c>
      <c r="L109" s="9">
        <v>0</v>
      </c>
      <c r="M109" s="7">
        <v>0</v>
      </c>
      <c r="N109" s="9">
        <v>0</v>
      </c>
      <c r="O109" s="8"/>
      <c r="P109" s="2"/>
      <c r="Q109" s="2"/>
      <c r="R109" s="2" t="str">
        <v>C9300</v>
      </c>
      <c r="S109" s="2" t="str">
        <f ca="1">IFERROR(__xludf.DUMMYFUNCTION("""COMPUTED_VALUE"""),"C9300-ACCKIT-NONE")</f>
        <v>C9300-ACCKIT-NONE</v>
      </c>
      <c r="T109" s="10">
        <f ca="1">IFERROR(__xludf.DUMMYFUNCTION("""COMPUTED_VALUE"""),0)</f>
        <v>0</v>
      </c>
      <c r="U109" s="2" t="e">
        <f ca="1"/>
        <v>#NAME?</v>
      </c>
      <c r="V109" s="2" t="e">
        <f ca="1"/>
        <v>#NAME?</v>
      </c>
      <c r="W109" s="2" t="e">
        <f ca="1"/>
        <v>#NAME?</v>
      </c>
      <c r="X109" s="2"/>
      <c r="Y109" s="2"/>
      <c r="Z109" s="2"/>
    </row>
    <row r="110" spans="1:26" ht="12.5" x14ac:dyDescent="0.25">
      <c r="A110" s="7">
        <v>5.14</v>
      </c>
      <c r="B110" s="6" t="s">
        <v>72</v>
      </c>
      <c r="C110" s="6" t="s">
        <v>32</v>
      </c>
      <c r="D110" s="6" t="s">
        <v>73</v>
      </c>
      <c r="E110" s="8"/>
      <c r="F110" s="6" t="s">
        <v>25</v>
      </c>
      <c r="G110" s="6">
        <v>2</v>
      </c>
      <c r="H110" s="6" t="s">
        <v>32</v>
      </c>
      <c r="I110" s="7">
        <v>1</v>
      </c>
      <c r="J110" s="8"/>
      <c r="K110" s="7">
        <v>0</v>
      </c>
      <c r="L110" s="7">
        <v>0</v>
      </c>
      <c r="M110" s="7">
        <v>0</v>
      </c>
      <c r="N110" s="7">
        <v>0</v>
      </c>
      <c r="O110" s="8"/>
      <c r="P110" s="2"/>
      <c r="Q110" s="2"/>
      <c r="R110" s="2" t="str">
        <v>C9300</v>
      </c>
      <c r="S110" s="2" t="str">
        <f ca="1">IFERROR(__xludf.DUMMYFUNCTION("""COMPUTED_VALUE"""),"NETWORK-PNP-LIC")</f>
        <v>NETWORK-PNP-LIC</v>
      </c>
      <c r="T110" s="10">
        <f ca="1">IFERROR(__xludf.DUMMYFUNCTION("""COMPUTED_VALUE"""),0)</f>
        <v>0</v>
      </c>
      <c r="U110" s="2" t="e">
        <f ca="1"/>
        <v>#NAME?</v>
      </c>
      <c r="V110" s="2" t="e">
        <f ca="1"/>
        <v>#NAME?</v>
      </c>
      <c r="W110" s="2" t="e">
        <f ca="1"/>
        <v>#NAME?</v>
      </c>
      <c r="X110" s="2"/>
      <c r="Y110" s="2"/>
      <c r="Z110" s="2"/>
    </row>
    <row r="111" spans="1:26" ht="12.5" x14ac:dyDescent="0.25">
      <c r="A111" s="7">
        <v>5.15</v>
      </c>
      <c r="B111" s="6" t="s">
        <v>74</v>
      </c>
      <c r="C111" s="6" t="s">
        <v>22</v>
      </c>
      <c r="D111" s="6" t="s">
        <v>75</v>
      </c>
      <c r="E111" s="8"/>
      <c r="F111" s="6" t="s">
        <v>25</v>
      </c>
      <c r="G111" s="6">
        <v>14</v>
      </c>
      <c r="H111" s="6" t="s">
        <v>32</v>
      </c>
      <c r="I111" s="7">
        <v>1</v>
      </c>
      <c r="J111" s="8"/>
      <c r="K111" s="7">
        <v>0</v>
      </c>
      <c r="L111" s="7">
        <v>0</v>
      </c>
      <c r="M111" s="7">
        <v>0</v>
      </c>
      <c r="N111" s="7">
        <v>0</v>
      </c>
      <c r="O111" s="8"/>
      <c r="P111" s="2"/>
      <c r="Q111" s="2"/>
      <c r="R111" s="2" t="str">
        <v>C9300</v>
      </c>
      <c r="S111" s="2" t="str">
        <f ca="1">IFERROR(__xludf.DUMMYFUNCTION("""COMPUTED_VALUE"""),"S9300LUK9-1718")</f>
        <v>S9300LUK9-1718</v>
      </c>
      <c r="T111" s="10">
        <f ca="1">IFERROR(__xludf.DUMMYFUNCTION("""COMPUTED_VALUE"""),0)</f>
        <v>0</v>
      </c>
      <c r="U111" s="2" t="e">
        <f ca="1"/>
        <v>#NAME?</v>
      </c>
      <c r="V111" s="2" t="e">
        <f ca="1"/>
        <v>#NAME?</v>
      </c>
      <c r="W111" s="2" t="e">
        <f ca="1"/>
        <v>#NAME?</v>
      </c>
      <c r="X111" s="2"/>
      <c r="Y111" s="2"/>
      <c r="Z111" s="2"/>
    </row>
    <row r="112" spans="1:26" ht="12.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2" t="s">
        <v>76</v>
      </c>
      <c r="N112" s="13">
        <v>19825.330000000002</v>
      </c>
      <c r="O112" s="14"/>
      <c r="P112" s="2"/>
      <c r="Q112" s="2"/>
      <c r="R112" s="2" t="str">
        <v/>
      </c>
      <c r="S112" s="2" t="str">
        <f ca="1">IFERROR(__xludf.DUMMYFUNCTION("""COMPUTED_VALUE"""),"")</f>
        <v/>
      </c>
      <c r="T112" s="2" t="str">
        <f ca="1">IFERROR(__xludf.DUMMYFUNCTION("""COMPUTED_VALUE"""),"")</f>
        <v/>
      </c>
      <c r="U112" s="2" t="e">
        <f ca="1"/>
        <v>#NAME?</v>
      </c>
      <c r="V112" s="2" t="e">
        <f ca="1"/>
        <v>#NAME?</v>
      </c>
      <c r="W112" s="2" t="str">
        <f ca="1"/>
        <v/>
      </c>
      <c r="X112" s="2"/>
      <c r="Y112" s="2"/>
      <c r="Z112" s="2"/>
    </row>
    <row r="113" spans="1:26" ht="12.5" x14ac:dyDescent="0.25">
      <c r="A113" s="5">
        <v>6</v>
      </c>
      <c r="B113" s="5" t="s">
        <v>124</v>
      </c>
      <c r="C113" s="6" t="s">
        <v>22</v>
      </c>
      <c r="D113" s="6" t="s">
        <v>125</v>
      </c>
      <c r="E113" s="6" t="s">
        <v>24</v>
      </c>
      <c r="F113" s="6" t="s">
        <v>25</v>
      </c>
      <c r="G113" s="6">
        <v>14</v>
      </c>
      <c r="H113" s="6" t="s">
        <v>26</v>
      </c>
      <c r="I113" s="7">
        <v>1</v>
      </c>
      <c r="J113" s="8"/>
      <c r="K113" s="9">
        <v>11942.23</v>
      </c>
      <c r="L113" s="9">
        <v>11942.23</v>
      </c>
      <c r="M113" s="7">
        <v>0</v>
      </c>
      <c r="N113" s="9">
        <v>11942.23</v>
      </c>
      <c r="O113" s="8"/>
      <c r="P113" s="2"/>
      <c r="Q113" s="2"/>
      <c r="R113" s="2" t="str">
        <v>C9300</v>
      </c>
      <c r="S113" s="2" t="str">
        <f ca="1">IFERROR(__xludf.DUMMYFUNCTION("""COMPUTED_VALUE"""),"C9300L-48P-4G-A")</f>
        <v>C9300L-48P-4G-A</v>
      </c>
      <c r="T113" s="10">
        <f ca="1">IFERROR(__xludf.DUMMYFUNCTION("""COMPUTED_VALUE"""),1)</f>
        <v>1</v>
      </c>
      <c r="U113" s="2" t="e">
        <f ca="1"/>
        <v>#NAME?</v>
      </c>
      <c r="V113" s="2" t="e">
        <f ca="1"/>
        <v>#NAME?</v>
      </c>
      <c r="W113" s="2" t="e">
        <f ca="1"/>
        <v>#NAME?</v>
      </c>
      <c r="X113" s="2"/>
      <c r="Y113" s="2"/>
      <c r="Z113" s="2"/>
    </row>
    <row r="114" spans="1:26" ht="12.5" x14ac:dyDescent="0.25">
      <c r="A114" s="7" t="s">
        <v>126</v>
      </c>
      <c r="B114" s="6" t="s">
        <v>127</v>
      </c>
      <c r="C114" s="6" t="s">
        <v>22</v>
      </c>
      <c r="D114" s="6" t="s">
        <v>128</v>
      </c>
      <c r="E114" s="8"/>
      <c r="F114" s="6">
        <v>24</v>
      </c>
      <c r="G114" s="6" t="s">
        <v>25</v>
      </c>
      <c r="H114" s="6" t="s">
        <v>26</v>
      </c>
      <c r="I114" s="7">
        <v>1</v>
      </c>
      <c r="J114" s="8"/>
      <c r="K114" s="9">
        <v>2392.5</v>
      </c>
      <c r="L114" s="9">
        <v>2392.5</v>
      </c>
      <c r="M114" s="7">
        <v>0</v>
      </c>
      <c r="N114" s="9">
        <v>2392.5</v>
      </c>
      <c r="O114" s="6" t="s">
        <v>30</v>
      </c>
      <c r="P114" s="2"/>
      <c r="Q114" s="2"/>
      <c r="R114" s="2" t="str">
        <v>C9300</v>
      </c>
      <c r="S114" s="2" t="str">
        <f ca="1">IFERROR(__xludf.DUMMYFUNCTION("""COMPUTED_VALUE"""),"CON-L1NBD-C9300AG4")</f>
        <v>CON-L1NBD-C9300AG4</v>
      </c>
      <c r="T114" s="10">
        <f ca="1">IFERROR(__xludf.DUMMYFUNCTION("""COMPUTED_VALUE"""),0)</f>
        <v>0</v>
      </c>
      <c r="U114" s="2" t="e">
        <f ca="1"/>
        <v>#NAME?</v>
      </c>
      <c r="V114" s="2" t="e">
        <f ca="1"/>
        <v>#NAME?</v>
      </c>
      <c r="W114" s="2" t="e">
        <f ca="1"/>
        <v>#NAME?</v>
      </c>
      <c r="X114" s="2"/>
      <c r="Y114" s="2"/>
      <c r="Z114" s="2"/>
    </row>
    <row r="115" spans="1:26" ht="12.5" x14ac:dyDescent="0.25">
      <c r="A115" s="7">
        <v>6.1</v>
      </c>
      <c r="B115" s="6" t="s">
        <v>113</v>
      </c>
      <c r="C115" s="6" t="s">
        <v>32</v>
      </c>
      <c r="D115" s="6" t="s">
        <v>114</v>
      </c>
      <c r="E115" s="8"/>
      <c r="F115" s="6" t="s">
        <v>25</v>
      </c>
      <c r="G115" s="6">
        <v>14</v>
      </c>
      <c r="H115" s="6" t="s">
        <v>26</v>
      </c>
      <c r="I115" s="7">
        <v>1</v>
      </c>
      <c r="J115" s="8"/>
      <c r="K115" s="7">
        <v>0</v>
      </c>
      <c r="L115" s="7">
        <v>0</v>
      </c>
      <c r="M115" s="7">
        <v>0</v>
      </c>
      <c r="N115" s="7">
        <v>0</v>
      </c>
      <c r="O115" s="8"/>
      <c r="P115" s="2"/>
      <c r="Q115" s="2"/>
      <c r="R115" s="2" t="str">
        <v>C9300</v>
      </c>
      <c r="S115" s="2" t="str">
        <f ca="1">IFERROR(__xludf.DUMMYFUNCTION("""COMPUTED_VALUE"""),"C9300L-DNA-A-48")</f>
        <v>C9300L-DNA-A-48</v>
      </c>
      <c r="T115" s="10">
        <f ca="1">IFERROR(__xludf.DUMMYFUNCTION("""COMPUTED_VALUE"""),0)</f>
        <v>0</v>
      </c>
      <c r="U115" s="2" t="e">
        <f ca="1"/>
        <v>#NAME?</v>
      </c>
      <c r="V115" s="2" t="e">
        <f ca="1"/>
        <v>#NAME?</v>
      </c>
      <c r="W115" s="2" t="e">
        <f ca="1"/>
        <v>#NAME?</v>
      </c>
      <c r="X115" s="2"/>
      <c r="Y115" s="2"/>
      <c r="Z115" s="2"/>
    </row>
    <row r="116" spans="1:26" ht="12.5" x14ac:dyDescent="0.25">
      <c r="A116" s="7" t="s">
        <v>129</v>
      </c>
      <c r="B116" s="6" t="s">
        <v>116</v>
      </c>
      <c r="C116" s="6" t="s">
        <v>22</v>
      </c>
      <c r="D116" s="6" t="s">
        <v>36</v>
      </c>
      <c r="E116" s="8"/>
      <c r="F116" s="6">
        <v>24</v>
      </c>
      <c r="G116" s="6" t="s">
        <v>25</v>
      </c>
      <c r="H116" s="6" t="s">
        <v>26</v>
      </c>
      <c r="I116" s="7">
        <v>1</v>
      </c>
      <c r="J116" s="8"/>
      <c r="K116" s="7">
        <v>610.5</v>
      </c>
      <c r="L116" s="7">
        <v>610.5</v>
      </c>
      <c r="M116" s="7">
        <v>0</v>
      </c>
      <c r="N116" s="7">
        <v>610.5</v>
      </c>
      <c r="O116" s="6" t="s">
        <v>30</v>
      </c>
      <c r="P116" s="2"/>
      <c r="Q116" s="2"/>
      <c r="R116" s="2" t="str">
        <v>C9300</v>
      </c>
      <c r="S116" s="2" t="str">
        <f ca="1">IFERROR(__xludf.DUMMYFUNCTION("""COMPUTED_VALUE"""),"CON-L1SWT-C93LA48")</f>
        <v>CON-L1SWT-C93LA48</v>
      </c>
      <c r="T116" s="10">
        <f ca="1">IFERROR(__xludf.DUMMYFUNCTION("""COMPUTED_VALUE"""),0)</f>
        <v>0</v>
      </c>
      <c r="U116" s="2" t="e">
        <f ca="1"/>
        <v>#NAME?</v>
      </c>
      <c r="V116" s="2" t="e">
        <f ca="1"/>
        <v>#NAME?</v>
      </c>
      <c r="W116" s="2" t="e">
        <f ca="1"/>
        <v>#NAME?</v>
      </c>
      <c r="X116" s="2"/>
      <c r="Y116" s="2"/>
      <c r="Z116" s="2"/>
    </row>
    <row r="117" spans="1:26" ht="12.5" x14ac:dyDescent="0.25">
      <c r="A117" s="7" t="s">
        <v>130</v>
      </c>
      <c r="B117" s="6" t="s">
        <v>118</v>
      </c>
      <c r="C117" s="6" t="s">
        <v>22</v>
      </c>
      <c r="D117" s="6" t="s">
        <v>119</v>
      </c>
      <c r="E117" s="8"/>
      <c r="F117" s="6">
        <v>36</v>
      </c>
      <c r="G117" s="6" t="s">
        <v>25</v>
      </c>
      <c r="H117" s="6" t="s">
        <v>26</v>
      </c>
      <c r="I117" s="7">
        <v>1</v>
      </c>
      <c r="J117" s="8"/>
      <c r="K117" s="9">
        <v>4437.29</v>
      </c>
      <c r="L117" s="9">
        <v>4437.29</v>
      </c>
      <c r="M117" s="7">
        <v>0</v>
      </c>
      <c r="N117" s="9">
        <v>4437.29</v>
      </c>
      <c r="O117" s="8"/>
      <c r="P117" s="2"/>
      <c r="Q117" s="2"/>
      <c r="R117" s="2" t="str">
        <v>C9300</v>
      </c>
      <c r="S117" s="2" t="str">
        <f ca="1">IFERROR(__xludf.DUMMYFUNCTION("""COMPUTED_VALUE"""),"C9300L-DNA-A-48-3Y")</f>
        <v>C9300L-DNA-A-48-3Y</v>
      </c>
      <c r="T117" s="10">
        <f ca="1">IFERROR(__xludf.DUMMYFUNCTION("""COMPUTED_VALUE"""),0)</f>
        <v>0</v>
      </c>
      <c r="U117" s="2" t="e">
        <f ca="1"/>
        <v>#NAME?</v>
      </c>
      <c r="V117" s="2" t="e">
        <f ca="1"/>
        <v>#NAME?</v>
      </c>
      <c r="W117" s="2" t="e">
        <f ca="1"/>
        <v>#NAME?</v>
      </c>
      <c r="X117" s="2"/>
      <c r="Y117" s="2"/>
      <c r="Z117" s="2"/>
    </row>
    <row r="118" spans="1:26" ht="12.5" x14ac:dyDescent="0.25">
      <c r="A118" s="7">
        <v>6.2</v>
      </c>
      <c r="B118" s="6" t="s">
        <v>40</v>
      </c>
      <c r="C118" s="6" t="s">
        <v>32</v>
      </c>
      <c r="D118" s="6" t="s">
        <v>41</v>
      </c>
      <c r="E118" s="8"/>
      <c r="F118" s="6" t="s">
        <v>25</v>
      </c>
      <c r="G118" s="6">
        <v>14</v>
      </c>
      <c r="H118" s="6" t="s">
        <v>32</v>
      </c>
      <c r="I118" s="7">
        <v>1</v>
      </c>
      <c r="J118" s="8"/>
      <c r="K118" s="7">
        <v>0</v>
      </c>
      <c r="L118" s="7">
        <v>0</v>
      </c>
      <c r="M118" s="7">
        <v>0</v>
      </c>
      <c r="N118" s="7">
        <v>0</v>
      </c>
      <c r="O118" s="8"/>
      <c r="P118" s="2"/>
      <c r="Q118" s="2"/>
      <c r="R118" s="2" t="str">
        <v>C9300</v>
      </c>
      <c r="S118" s="2" t="str">
        <f ca="1">IFERROR(__xludf.DUMMYFUNCTION("""COMPUTED_VALUE"""),"TE-EMBEDDED-T")</f>
        <v>TE-EMBEDDED-T</v>
      </c>
      <c r="T118" s="10">
        <f ca="1">IFERROR(__xludf.DUMMYFUNCTION("""COMPUTED_VALUE"""),0)</f>
        <v>0</v>
      </c>
      <c r="U118" s="2" t="e">
        <f ca="1"/>
        <v>#NAME?</v>
      </c>
      <c r="V118" s="2" t="e">
        <f ca="1"/>
        <v>#NAME?</v>
      </c>
      <c r="W118" s="2" t="e">
        <f ca="1"/>
        <v>#NAME?</v>
      </c>
      <c r="X118" s="2"/>
      <c r="Y118" s="2"/>
      <c r="Z118" s="2"/>
    </row>
    <row r="119" spans="1:26" ht="12.5" x14ac:dyDescent="0.25">
      <c r="A119" s="7" t="s">
        <v>131</v>
      </c>
      <c r="B119" s="6" t="s">
        <v>43</v>
      </c>
      <c r="C119" s="6" t="s">
        <v>22</v>
      </c>
      <c r="D119" s="6" t="s">
        <v>44</v>
      </c>
      <c r="E119" s="8"/>
      <c r="F119" s="6">
        <v>36</v>
      </c>
      <c r="G119" s="6" t="s">
        <v>25</v>
      </c>
      <c r="H119" s="6" t="s">
        <v>26</v>
      </c>
      <c r="I119" s="7">
        <v>1</v>
      </c>
      <c r="J119" s="8"/>
      <c r="K119" s="7">
        <v>0</v>
      </c>
      <c r="L119" s="7">
        <v>0</v>
      </c>
      <c r="M119" s="7">
        <v>0</v>
      </c>
      <c r="N119" s="7">
        <v>0</v>
      </c>
      <c r="O119" s="8"/>
      <c r="P119" s="2"/>
      <c r="Q119" s="2"/>
      <c r="R119" s="2" t="str">
        <v>C9300</v>
      </c>
      <c r="S119" s="2" t="str">
        <f ca="1">IFERROR(__xludf.DUMMYFUNCTION("""COMPUTED_VALUE"""),"TE-EMBEDDED-T-3Y")</f>
        <v>TE-EMBEDDED-T-3Y</v>
      </c>
      <c r="T119" s="10">
        <f ca="1">IFERROR(__xludf.DUMMYFUNCTION("""COMPUTED_VALUE"""),0)</f>
        <v>0</v>
      </c>
      <c r="U119" s="2" t="e">
        <f ca="1"/>
        <v>#NAME?</v>
      </c>
      <c r="V119" s="2" t="e">
        <f ca="1"/>
        <v>#NAME?</v>
      </c>
      <c r="W119" s="2" t="e">
        <f ca="1"/>
        <v>#NAME?</v>
      </c>
      <c r="X119" s="2"/>
      <c r="Y119" s="2"/>
      <c r="Z119" s="2"/>
    </row>
    <row r="120" spans="1:26" ht="12.5" x14ac:dyDescent="0.25">
      <c r="A120" s="7">
        <v>6.3</v>
      </c>
      <c r="B120" s="6" t="s">
        <v>45</v>
      </c>
      <c r="C120" s="6" t="s">
        <v>32</v>
      </c>
      <c r="D120" s="6" t="s">
        <v>46</v>
      </c>
      <c r="E120" s="8"/>
      <c r="F120" s="6" t="s">
        <v>25</v>
      </c>
      <c r="G120" s="6">
        <v>14</v>
      </c>
      <c r="H120" s="6" t="s">
        <v>32</v>
      </c>
      <c r="I120" s="7">
        <v>1</v>
      </c>
      <c r="J120" s="8"/>
      <c r="K120" s="7">
        <v>0</v>
      </c>
      <c r="L120" s="7">
        <v>0</v>
      </c>
      <c r="M120" s="7">
        <v>0</v>
      </c>
      <c r="N120" s="7">
        <v>0</v>
      </c>
      <c r="O120" s="8"/>
      <c r="P120" s="2"/>
      <c r="Q120" s="2"/>
      <c r="R120" s="2" t="str">
        <v>C9300</v>
      </c>
      <c r="S120" s="2" t="str">
        <f ca="1">IFERROR(__xludf.DUMMYFUNCTION("""COMPUTED_VALUE"""),"D-DNAS-EXT-S-T")</f>
        <v>D-DNAS-EXT-S-T</v>
      </c>
      <c r="T120" s="10">
        <f ca="1">IFERROR(__xludf.DUMMYFUNCTION("""COMPUTED_VALUE"""),0)</f>
        <v>0</v>
      </c>
      <c r="U120" s="2" t="e">
        <f ca="1"/>
        <v>#NAME?</v>
      </c>
      <c r="V120" s="2" t="e">
        <f ca="1"/>
        <v>#NAME?</v>
      </c>
      <c r="W120" s="2" t="e">
        <f ca="1"/>
        <v>#NAME?</v>
      </c>
      <c r="X120" s="2"/>
      <c r="Y120" s="2"/>
      <c r="Z120" s="2"/>
    </row>
    <row r="121" spans="1:26" ht="12.5" x14ac:dyDescent="0.25">
      <c r="A121" s="7" t="s">
        <v>132</v>
      </c>
      <c r="B121" s="6" t="s">
        <v>48</v>
      </c>
      <c r="C121" s="6" t="s">
        <v>22</v>
      </c>
      <c r="D121" s="6" t="s">
        <v>49</v>
      </c>
      <c r="E121" s="8"/>
      <c r="F121" s="6">
        <v>36</v>
      </c>
      <c r="G121" s="6" t="s">
        <v>25</v>
      </c>
      <c r="H121" s="6" t="s">
        <v>26</v>
      </c>
      <c r="I121" s="7">
        <v>1</v>
      </c>
      <c r="J121" s="8"/>
      <c r="K121" s="7">
        <v>0</v>
      </c>
      <c r="L121" s="7">
        <v>0</v>
      </c>
      <c r="M121" s="7">
        <v>0</v>
      </c>
      <c r="N121" s="7">
        <v>0</v>
      </c>
      <c r="O121" s="8"/>
      <c r="P121" s="2"/>
      <c r="Q121" s="2"/>
      <c r="R121" s="2" t="str">
        <v>C9300</v>
      </c>
      <c r="S121" s="2" t="str">
        <f ca="1">IFERROR(__xludf.DUMMYFUNCTION("""COMPUTED_VALUE"""),"D-DNAS-EXT-S-3Y")</f>
        <v>D-DNAS-EXT-S-3Y</v>
      </c>
      <c r="T121" s="10">
        <f ca="1">IFERROR(__xludf.DUMMYFUNCTION("""COMPUTED_VALUE"""),0)</f>
        <v>0</v>
      </c>
      <c r="U121" s="2" t="e">
        <f ca="1"/>
        <v>#NAME?</v>
      </c>
      <c r="V121" s="2" t="e">
        <f ca="1"/>
        <v>#NAME?</v>
      </c>
      <c r="W121" s="2" t="e">
        <f ca="1"/>
        <v>#NAME?</v>
      </c>
      <c r="X121" s="2"/>
      <c r="Y121" s="2"/>
      <c r="Z121" s="2"/>
    </row>
    <row r="122" spans="1:26" ht="12.5" x14ac:dyDescent="0.25">
      <c r="A122" s="7">
        <v>6.4</v>
      </c>
      <c r="B122" s="6" t="s">
        <v>122</v>
      </c>
      <c r="C122" s="6" t="s">
        <v>32</v>
      </c>
      <c r="D122" s="6" t="s">
        <v>123</v>
      </c>
      <c r="E122" s="8"/>
      <c r="F122" s="6" t="s">
        <v>25</v>
      </c>
      <c r="G122" s="6">
        <v>14</v>
      </c>
      <c r="H122" s="6" t="s">
        <v>32</v>
      </c>
      <c r="I122" s="7">
        <v>1</v>
      </c>
      <c r="J122" s="8"/>
      <c r="K122" s="7">
        <v>0</v>
      </c>
      <c r="L122" s="7">
        <v>0</v>
      </c>
      <c r="M122" s="7">
        <v>0</v>
      </c>
      <c r="N122" s="7">
        <v>0</v>
      </c>
      <c r="O122" s="8"/>
      <c r="P122" s="2"/>
      <c r="Q122" s="2"/>
      <c r="R122" s="2" t="str">
        <v>C9300</v>
      </c>
      <c r="S122" s="2" t="str">
        <f ca="1">IFERROR(__xludf.DUMMYFUNCTION("""COMPUTED_VALUE"""),"C9300L-NW-A-48")</f>
        <v>C9300L-NW-A-48</v>
      </c>
      <c r="T122" s="10">
        <f ca="1">IFERROR(__xludf.DUMMYFUNCTION("""COMPUTED_VALUE"""),0)</f>
        <v>0</v>
      </c>
      <c r="U122" s="2" t="e">
        <f ca="1"/>
        <v>#NAME?</v>
      </c>
      <c r="V122" s="2" t="e">
        <f ca="1"/>
        <v>#NAME?</v>
      </c>
      <c r="W122" s="2" t="e">
        <f ca="1"/>
        <v>#NAME?</v>
      </c>
      <c r="X122" s="2"/>
      <c r="Y122" s="2"/>
      <c r="Z122" s="2"/>
    </row>
    <row r="123" spans="1:26" ht="12.5" x14ac:dyDescent="0.25">
      <c r="A123" s="7">
        <v>6.5</v>
      </c>
      <c r="B123" s="6" t="s">
        <v>52</v>
      </c>
      <c r="C123" s="6" t="s">
        <v>22</v>
      </c>
      <c r="D123" s="6" t="s">
        <v>53</v>
      </c>
      <c r="E123" s="8"/>
      <c r="F123" s="6" t="s">
        <v>25</v>
      </c>
      <c r="G123" s="6">
        <v>14</v>
      </c>
      <c r="H123" s="6" t="s">
        <v>32</v>
      </c>
      <c r="I123" s="7">
        <v>1</v>
      </c>
      <c r="J123" s="8"/>
      <c r="K123" s="7">
        <v>0</v>
      </c>
      <c r="L123" s="7">
        <v>0</v>
      </c>
      <c r="M123" s="7">
        <v>0</v>
      </c>
      <c r="N123" s="7">
        <v>0</v>
      </c>
      <c r="O123" s="8"/>
      <c r="P123" s="2"/>
      <c r="Q123" s="2"/>
      <c r="R123" s="2" t="str">
        <v>C9300</v>
      </c>
      <c r="S123" s="2" t="str">
        <f ca="1">IFERROR(__xludf.DUMMYFUNCTION("""COMPUTED_VALUE"""),"PWR-C1-BLANK")</f>
        <v>PWR-C1-BLANK</v>
      </c>
      <c r="T123" s="10">
        <f ca="1">IFERROR(__xludf.DUMMYFUNCTION("""COMPUTED_VALUE"""),0)</f>
        <v>0</v>
      </c>
      <c r="U123" s="2" t="e">
        <f ca="1"/>
        <v>#NAME?</v>
      </c>
      <c r="V123" s="2" t="e">
        <f ca="1"/>
        <v>#NAME?</v>
      </c>
      <c r="W123" s="2" t="e">
        <f ca="1"/>
        <v>#NAME?</v>
      </c>
      <c r="X123" s="2"/>
      <c r="Y123" s="2"/>
      <c r="Z123" s="2"/>
    </row>
    <row r="124" spans="1:26" ht="12.5" x14ac:dyDescent="0.25">
      <c r="A124" s="7">
        <v>6.6</v>
      </c>
      <c r="B124" s="6" t="s">
        <v>54</v>
      </c>
      <c r="C124" s="6" t="s">
        <v>22</v>
      </c>
      <c r="D124" s="6" t="s">
        <v>55</v>
      </c>
      <c r="E124" s="8"/>
      <c r="F124" s="6" t="s">
        <v>25</v>
      </c>
      <c r="G124" s="6">
        <v>14</v>
      </c>
      <c r="H124" s="6" t="s">
        <v>32</v>
      </c>
      <c r="I124" s="7">
        <v>2</v>
      </c>
      <c r="J124" s="8"/>
      <c r="K124" s="7">
        <v>0</v>
      </c>
      <c r="L124" s="7">
        <v>0</v>
      </c>
      <c r="M124" s="7">
        <v>0</v>
      </c>
      <c r="N124" s="7">
        <v>0</v>
      </c>
      <c r="O124" s="8"/>
      <c r="P124" s="2"/>
      <c r="Q124" s="2"/>
      <c r="R124" s="2" t="str">
        <v>C9300</v>
      </c>
      <c r="S124" s="2" t="str">
        <f ca="1">IFERROR(__xludf.DUMMYFUNCTION("""COMPUTED_VALUE"""),"C9300L-STACK-BLANK")</f>
        <v>C9300L-STACK-BLANK</v>
      </c>
      <c r="T124" s="10">
        <f ca="1">IFERROR(__xludf.DUMMYFUNCTION("""COMPUTED_VALUE"""),0)</f>
        <v>0</v>
      </c>
      <c r="U124" s="2" t="e">
        <f ca="1"/>
        <v>#NAME?</v>
      </c>
      <c r="V124" s="2" t="e">
        <f ca="1"/>
        <v>#NAME?</v>
      </c>
      <c r="W124" s="2" t="e">
        <f ca="1"/>
        <v>#NAME?</v>
      </c>
      <c r="X124" s="2"/>
      <c r="Y124" s="2"/>
      <c r="Z124" s="2"/>
    </row>
    <row r="125" spans="1:26" ht="12.5" x14ac:dyDescent="0.25">
      <c r="A125" s="7">
        <v>6.7</v>
      </c>
      <c r="B125" s="6" t="s">
        <v>86</v>
      </c>
      <c r="C125" s="6" t="s">
        <v>22</v>
      </c>
      <c r="D125" s="6" t="s">
        <v>87</v>
      </c>
      <c r="E125" s="8"/>
      <c r="F125" s="6" t="s">
        <v>25</v>
      </c>
      <c r="G125" s="6">
        <v>14</v>
      </c>
      <c r="H125" s="6" t="s">
        <v>32</v>
      </c>
      <c r="I125" s="7">
        <v>1</v>
      </c>
      <c r="J125" s="8"/>
      <c r="K125" s="7">
        <v>0</v>
      </c>
      <c r="L125" s="7">
        <v>0</v>
      </c>
      <c r="M125" s="7">
        <v>0</v>
      </c>
      <c r="N125" s="7">
        <v>0</v>
      </c>
      <c r="O125" s="8"/>
      <c r="P125" s="2"/>
      <c r="Q125" s="2"/>
      <c r="R125" s="2" t="str">
        <v>C9300</v>
      </c>
      <c r="S125" s="2" t="str">
        <f ca="1">IFERROR(__xludf.DUMMYFUNCTION("""COMPUTED_VALUE"""),"TE-C9K-SW")</f>
        <v>TE-C9K-SW</v>
      </c>
      <c r="T125" s="10">
        <f ca="1">IFERROR(__xludf.DUMMYFUNCTION("""COMPUTED_VALUE"""),0)</f>
        <v>0</v>
      </c>
      <c r="U125" s="2" t="e">
        <f ca="1"/>
        <v>#NAME?</v>
      </c>
      <c r="V125" s="2" t="e">
        <f ca="1"/>
        <v>#NAME?</v>
      </c>
      <c r="W125" s="2" t="e">
        <f ca="1"/>
        <v>#NAME?</v>
      </c>
      <c r="X125" s="2"/>
      <c r="Y125" s="2"/>
      <c r="Z125" s="2"/>
    </row>
    <row r="126" spans="1:26" ht="12.5" x14ac:dyDescent="0.25">
      <c r="A126" s="7">
        <v>6.8</v>
      </c>
      <c r="B126" s="6" t="s">
        <v>56</v>
      </c>
      <c r="C126" s="6" t="s">
        <v>22</v>
      </c>
      <c r="D126" s="6" t="s">
        <v>57</v>
      </c>
      <c r="E126" s="8"/>
      <c r="F126" s="6" t="s">
        <v>25</v>
      </c>
      <c r="G126" s="6">
        <v>14</v>
      </c>
      <c r="H126" s="6" t="s">
        <v>32</v>
      </c>
      <c r="I126" s="7">
        <v>3</v>
      </c>
      <c r="J126" s="8"/>
      <c r="K126" s="7">
        <v>0</v>
      </c>
      <c r="L126" s="7">
        <v>0</v>
      </c>
      <c r="M126" s="7">
        <v>0</v>
      </c>
      <c r="N126" s="7">
        <v>0</v>
      </c>
      <c r="O126" s="8"/>
      <c r="P126" s="2"/>
      <c r="Q126" s="2"/>
      <c r="R126" s="2" t="str">
        <v>C9300</v>
      </c>
      <c r="S126" s="2" t="str">
        <f ca="1">IFERROR(__xludf.DUMMYFUNCTION("""COMPUTED_VALUE"""),"FAN-T2")</f>
        <v>FAN-T2</v>
      </c>
      <c r="T126" s="10">
        <f ca="1">IFERROR(__xludf.DUMMYFUNCTION("""COMPUTED_VALUE"""),0)</f>
        <v>0</v>
      </c>
      <c r="U126" s="2" t="e">
        <f ca="1"/>
        <v>#NAME?</v>
      </c>
      <c r="V126" s="2" t="e">
        <f ca="1"/>
        <v>#NAME?</v>
      </c>
      <c r="W126" s="2" t="e">
        <f ca="1"/>
        <v>#NAME?</v>
      </c>
      <c r="X126" s="2"/>
      <c r="Y126" s="2"/>
      <c r="Z126" s="2"/>
    </row>
    <row r="127" spans="1:26" ht="12.5" x14ac:dyDescent="0.25">
      <c r="A127" s="7">
        <v>6.9</v>
      </c>
      <c r="B127" s="6" t="s">
        <v>88</v>
      </c>
      <c r="C127" s="6" t="s">
        <v>22</v>
      </c>
      <c r="D127" s="6" t="s">
        <v>89</v>
      </c>
      <c r="E127" s="8"/>
      <c r="F127" s="6" t="s">
        <v>25</v>
      </c>
      <c r="G127" s="6">
        <v>14</v>
      </c>
      <c r="H127" s="6" t="s">
        <v>32</v>
      </c>
      <c r="I127" s="7">
        <v>1</v>
      </c>
      <c r="J127" s="8"/>
      <c r="K127" s="7">
        <v>0</v>
      </c>
      <c r="L127" s="7">
        <v>0</v>
      </c>
      <c r="M127" s="7">
        <v>0</v>
      </c>
      <c r="N127" s="7">
        <v>0</v>
      </c>
      <c r="O127" s="8"/>
      <c r="P127" s="2"/>
      <c r="Q127" s="2"/>
      <c r="R127" s="2" t="str">
        <v>C9300</v>
      </c>
      <c r="S127" s="2" t="str">
        <f ca="1">IFERROR(__xludf.DUMMYFUNCTION("""COMPUTED_VALUE"""),"PWR-C1-715WAC-P")</f>
        <v>PWR-C1-715WAC-P</v>
      </c>
      <c r="T127" s="10">
        <f ca="1">IFERROR(__xludf.DUMMYFUNCTION("""COMPUTED_VALUE"""),0)</f>
        <v>0</v>
      </c>
      <c r="U127" s="2" t="e">
        <f ca="1"/>
        <v>#NAME?</v>
      </c>
      <c r="V127" s="2" t="e">
        <f ca="1"/>
        <v>#NAME?</v>
      </c>
      <c r="W127" s="2" t="e">
        <f ca="1"/>
        <v>#NAME?</v>
      </c>
      <c r="X127" s="2"/>
      <c r="Y127" s="2"/>
      <c r="Z127" s="2"/>
    </row>
    <row r="128" spans="1:26" ht="12.5" x14ac:dyDescent="0.25">
      <c r="A128" s="7">
        <v>6.1</v>
      </c>
      <c r="B128" s="6" t="s">
        <v>60</v>
      </c>
      <c r="C128" s="6" t="s">
        <v>22</v>
      </c>
      <c r="D128" s="6" t="s">
        <v>61</v>
      </c>
      <c r="E128" s="8"/>
      <c r="F128" s="6" t="s">
        <v>25</v>
      </c>
      <c r="G128" s="6">
        <v>14</v>
      </c>
      <c r="H128" s="6" t="s">
        <v>32</v>
      </c>
      <c r="I128" s="7">
        <v>1</v>
      </c>
      <c r="J128" s="8"/>
      <c r="K128" s="7">
        <v>0</v>
      </c>
      <c r="L128" s="7">
        <v>0</v>
      </c>
      <c r="M128" s="7">
        <v>0</v>
      </c>
      <c r="N128" s="7">
        <v>0</v>
      </c>
      <c r="O128" s="8"/>
      <c r="P128" s="2"/>
      <c r="Q128" s="2"/>
      <c r="R128" s="2" t="str">
        <v>C9300</v>
      </c>
      <c r="S128" s="2" t="str">
        <f ca="1">IFERROR(__xludf.DUMMYFUNCTION("""COMPUTED_VALUE"""),"C9300L-SPS-NONE")</f>
        <v>C9300L-SPS-NONE</v>
      </c>
      <c r="T128" s="10">
        <f ca="1">IFERROR(__xludf.DUMMYFUNCTION("""COMPUTED_VALUE"""),0)</f>
        <v>0</v>
      </c>
      <c r="U128" s="2" t="e">
        <f ca="1"/>
        <v>#NAME?</v>
      </c>
      <c r="V128" s="2" t="e">
        <f ca="1"/>
        <v>#NAME?</v>
      </c>
      <c r="W128" s="2" t="e">
        <f ca="1"/>
        <v>#NAME?</v>
      </c>
      <c r="X128" s="2"/>
      <c r="Y128" s="2"/>
      <c r="Z128" s="2"/>
    </row>
    <row r="129" spans="1:26" ht="12.5" x14ac:dyDescent="0.25">
      <c r="A129" s="7">
        <v>6.11</v>
      </c>
      <c r="B129" s="6" t="s">
        <v>62</v>
      </c>
      <c r="C129" s="6" t="s">
        <v>22</v>
      </c>
      <c r="D129" s="6" t="s">
        <v>63</v>
      </c>
      <c r="E129" s="8"/>
      <c r="F129" s="6" t="s">
        <v>25</v>
      </c>
      <c r="G129" s="6">
        <v>14</v>
      </c>
      <c r="H129" s="6" t="s">
        <v>26</v>
      </c>
      <c r="I129" s="7">
        <v>1</v>
      </c>
      <c r="J129" s="8"/>
      <c r="K129" s="7">
        <v>0</v>
      </c>
      <c r="L129" s="7">
        <v>0</v>
      </c>
      <c r="M129" s="7">
        <v>0</v>
      </c>
      <c r="N129" s="7">
        <v>0</v>
      </c>
      <c r="O129" s="8"/>
      <c r="P129" s="2"/>
      <c r="Q129" s="2"/>
      <c r="R129" s="2" t="str">
        <v>C9300</v>
      </c>
      <c r="S129" s="2" t="str">
        <f ca="1">IFERROR(__xludf.DUMMYFUNCTION("""COMPUTED_VALUE"""),"CAB-TA-EU")</f>
        <v>CAB-TA-EU</v>
      </c>
      <c r="T129" s="10">
        <f ca="1">IFERROR(__xludf.DUMMYFUNCTION("""COMPUTED_VALUE"""),0)</f>
        <v>0</v>
      </c>
      <c r="U129" s="2" t="e">
        <f ca="1"/>
        <v>#NAME?</v>
      </c>
      <c r="V129" s="2" t="e">
        <f ca="1"/>
        <v>#NAME?</v>
      </c>
      <c r="W129" s="2" t="e">
        <f ca="1"/>
        <v>#NAME?</v>
      </c>
      <c r="X129" s="2"/>
      <c r="Y129" s="2"/>
      <c r="Z129" s="2"/>
    </row>
    <row r="130" spans="1:26" ht="12.5" x14ac:dyDescent="0.25">
      <c r="A130" s="7">
        <v>6.12</v>
      </c>
      <c r="B130" s="6" t="s">
        <v>64</v>
      </c>
      <c r="C130" s="6" t="s">
        <v>22</v>
      </c>
      <c r="D130" s="6" t="s">
        <v>65</v>
      </c>
      <c r="E130" s="8"/>
      <c r="F130" s="6" t="s">
        <v>25</v>
      </c>
      <c r="G130" s="6">
        <v>14</v>
      </c>
      <c r="H130" s="6" t="s">
        <v>26</v>
      </c>
      <c r="I130" s="7">
        <v>1</v>
      </c>
      <c r="J130" s="8"/>
      <c r="K130" s="9">
        <v>3162.96</v>
      </c>
      <c r="L130" s="9">
        <v>3162.96</v>
      </c>
      <c r="M130" s="7">
        <v>0</v>
      </c>
      <c r="N130" s="9">
        <v>3162.96</v>
      </c>
      <c r="O130" s="8"/>
      <c r="P130" s="2"/>
      <c r="Q130" s="2"/>
      <c r="R130" s="2" t="str">
        <v>C9300</v>
      </c>
      <c r="S130" s="2" t="str">
        <f ca="1">IFERROR(__xludf.DUMMYFUNCTION("""COMPUTED_VALUE"""),"SSD-240G")</f>
        <v>SSD-240G</v>
      </c>
      <c r="T130" s="10">
        <f ca="1">IFERROR(__xludf.DUMMYFUNCTION("""COMPUTED_VALUE"""),0)</f>
        <v>0</v>
      </c>
      <c r="U130" s="2" t="e">
        <f ca="1"/>
        <v>#NAME?</v>
      </c>
      <c r="V130" s="2" t="e">
        <f ca="1"/>
        <v>#NAME?</v>
      </c>
      <c r="W130" s="2" t="e">
        <f ca="1"/>
        <v>#NAME?</v>
      </c>
      <c r="X130" s="2"/>
      <c r="Y130" s="2"/>
      <c r="Z130" s="2"/>
    </row>
    <row r="131" spans="1:26" ht="12.5" x14ac:dyDescent="0.25">
      <c r="A131" s="7">
        <v>6.13</v>
      </c>
      <c r="B131" s="6" t="s">
        <v>90</v>
      </c>
      <c r="C131" s="6" t="s">
        <v>22</v>
      </c>
      <c r="D131" s="6" t="s">
        <v>91</v>
      </c>
      <c r="E131" s="8"/>
      <c r="F131" s="6" t="s">
        <v>25</v>
      </c>
      <c r="G131" s="6">
        <v>14</v>
      </c>
      <c r="H131" s="6" t="s">
        <v>26</v>
      </c>
      <c r="I131" s="7">
        <v>1</v>
      </c>
      <c r="J131" s="8"/>
      <c r="K131" s="9">
        <v>0</v>
      </c>
      <c r="L131" s="9">
        <v>0</v>
      </c>
      <c r="M131" s="7">
        <v>0</v>
      </c>
      <c r="N131" s="9">
        <v>0</v>
      </c>
      <c r="O131" s="8"/>
      <c r="P131" s="2"/>
      <c r="Q131" s="2"/>
      <c r="R131" s="2" t="str">
        <v>C9300</v>
      </c>
      <c r="S131" s="2" t="str">
        <f ca="1">IFERROR(__xludf.DUMMYFUNCTION("""COMPUTED_VALUE"""),"C9300-ACCKIT-NONE")</f>
        <v>C9300-ACCKIT-NONE</v>
      </c>
      <c r="T131" s="10">
        <f ca="1">IFERROR(__xludf.DUMMYFUNCTION("""COMPUTED_VALUE"""),0)</f>
        <v>0</v>
      </c>
      <c r="U131" s="2" t="e">
        <f ca="1"/>
        <v>#NAME?</v>
      </c>
      <c r="V131" s="2" t="e">
        <f ca="1"/>
        <v>#NAME?</v>
      </c>
      <c r="W131" s="2" t="e">
        <f ca="1"/>
        <v>#NAME?</v>
      </c>
      <c r="X131" s="2"/>
      <c r="Y131" s="2"/>
      <c r="Z131" s="2"/>
    </row>
    <row r="132" spans="1:26" ht="12.5" x14ac:dyDescent="0.25">
      <c r="A132" s="7">
        <v>6.14</v>
      </c>
      <c r="B132" s="6" t="s">
        <v>72</v>
      </c>
      <c r="C132" s="6" t="s">
        <v>32</v>
      </c>
      <c r="D132" s="6" t="s">
        <v>73</v>
      </c>
      <c r="E132" s="8"/>
      <c r="F132" s="6" t="s">
        <v>25</v>
      </c>
      <c r="G132" s="6">
        <v>2</v>
      </c>
      <c r="H132" s="6" t="s">
        <v>32</v>
      </c>
      <c r="I132" s="7">
        <v>1</v>
      </c>
      <c r="J132" s="8"/>
      <c r="K132" s="7">
        <v>0</v>
      </c>
      <c r="L132" s="7">
        <v>0</v>
      </c>
      <c r="M132" s="7">
        <v>0</v>
      </c>
      <c r="N132" s="7">
        <v>0</v>
      </c>
      <c r="O132" s="8"/>
      <c r="P132" s="2"/>
      <c r="Q132" s="2"/>
      <c r="R132" s="2" t="str">
        <v>C9300</v>
      </c>
      <c r="S132" s="2" t="str">
        <f ca="1">IFERROR(__xludf.DUMMYFUNCTION("""COMPUTED_VALUE"""),"NETWORK-PNP-LIC")</f>
        <v>NETWORK-PNP-LIC</v>
      </c>
      <c r="T132" s="10">
        <f ca="1">IFERROR(__xludf.DUMMYFUNCTION("""COMPUTED_VALUE"""),0)</f>
        <v>0</v>
      </c>
      <c r="U132" s="2" t="e">
        <f ca="1"/>
        <v>#NAME?</v>
      </c>
      <c r="V132" s="2" t="e">
        <f ca="1"/>
        <v>#NAME?</v>
      </c>
      <c r="W132" s="2" t="e">
        <f ca="1"/>
        <v>#NAME?</v>
      </c>
      <c r="X132" s="2"/>
      <c r="Y132" s="2"/>
      <c r="Z132" s="2"/>
    </row>
    <row r="133" spans="1:26" ht="12.5" x14ac:dyDescent="0.25">
      <c r="A133" s="7">
        <v>6.15</v>
      </c>
      <c r="B133" s="6" t="s">
        <v>74</v>
      </c>
      <c r="C133" s="6" t="s">
        <v>22</v>
      </c>
      <c r="D133" s="6" t="s">
        <v>75</v>
      </c>
      <c r="E133" s="8"/>
      <c r="F133" s="6" t="s">
        <v>25</v>
      </c>
      <c r="G133" s="6">
        <v>14</v>
      </c>
      <c r="H133" s="6" t="s">
        <v>32</v>
      </c>
      <c r="I133" s="7">
        <v>1</v>
      </c>
      <c r="J133" s="8"/>
      <c r="K133" s="7">
        <v>0</v>
      </c>
      <c r="L133" s="7">
        <v>0</v>
      </c>
      <c r="M133" s="7">
        <v>0</v>
      </c>
      <c r="N133" s="7">
        <v>0</v>
      </c>
      <c r="O133" s="8"/>
      <c r="P133" s="2"/>
      <c r="Q133" s="2"/>
      <c r="R133" s="2" t="str">
        <v>C9300</v>
      </c>
      <c r="S133" s="2" t="str">
        <f ca="1">IFERROR(__xludf.DUMMYFUNCTION("""COMPUTED_VALUE"""),"S9300LUK9-1718")</f>
        <v>S9300LUK9-1718</v>
      </c>
      <c r="T133" s="10">
        <f ca="1">IFERROR(__xludf.DUMMYFUNCTION("""COMPUTED_VALUE"""),0)</f>
        <v>0</v>
      </c>
      <c r="U133" s="2" t="e">
        <f ca="1"/>
        <v>#NAME?</v>
      </c>
      <c r="V133" s="2" t="e">
        <f ca="1"/>
        <v>#NAME?</v>
      </c>
      <c r="W133" s="2" t="e">
        <f ca="1"/>
        <v>#NAME?</v>
      </c>
      <c r="X133" s="2"/>
      <c r="Y133" s="2"/>
      <c r="Z133" s="2"/>
    </row>
    <row r="134" spans="1:26" ht="12.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2" t="s">
        <v>76</v>
      </c>
      <c r="N134" s="13">
        <v>22545.48</v>
      </c>
      <c r="O134" s="14"/>
      <c r="P134" s="2"/>
      <c r="Q134" s="2"/>
      <c r="R134" s="2" t="str">
        <v/>
      </c>
      <c r="S134" s="2" t="str">
        <f ca="1">IFERROR(__xludf.DUMMYFUNCTION("""COMPUTED_VALUE"""),"")</f>
        <v/>
      </c>
      <c r="T134" s="2" t="str">
        <f ca="1">IFERROR(__xludf.DUMMYFUNCTION("""COMPUTED_VALUE"""),"")</f>
        <v/>
      </c>
      <c r="U134" s="2" t="e">
        <f ca="1"/>
        <v>#NAME?</v>
      </c>
      <c r="V134" s="2" t="e">
        <f ca="1"/>
        <v>#NAME?</v>
      </c>
      <c r="W134" s="2" t="str">
        <f ca="1"/>
        <v/>
      </c>
      <c r="X134" s="2"/>
      <c r="Y134" s="2"/>
      <c r="Z134" s="2"/>
    </row>
    <row r="135" spans="1:26" ht="12.5" x14ac:dyDescent="0.25">
      <c r="A135" s="5">
        <v>7</v>
      </c>
      <c r="B135" s="5" t="s">
        <v>133</v>
      </c>
      <c r="C135" s="6" t="s">
        <v>22</v>
      </c>
      <c r="D135" s="6" t="s">
        <v>134</v>
      </c>
      <c r="E135" s="6" t="s">
        <v>24</v>
      </c>
      <c r="F135" s="6" t="s">
        <v>25</v>
      </c>
      <c r="G135" s="6">
        <v>14</v>
      </c>
      <c r="H135" s="6" t="s">
        <v>26</v>
      </c>
      <c r="I135" s="7">
        <v>1</v>
      </c>
      <c r="J135" s="8"/>
      <c r="K135" s="9">
        <v>12103.28</v>
      </c>
      <c r="L135" s="9">
        <v>12103.28</v>
      </c>
      <c r="M135" s="7">
        <v>0</v>
      </c>
      <c r="N135" s="9">
        <v>12103.28</v>
      </c>
      <c r="O135" s="8"/>
      <c r="P135" s="2"/>
      <c r="Q135" s="2"/>
      <c r="R135" s="2" t="str">
        <v>C9300</v>
      </c>
      <c r="S135" s="2" t="str">
        <f ca="1">IFERROR(__xludf.DUMMYFUNCTION("""COMPUTED_VALUE"""),"C9300L-48T-4X-A")</f>
        <v>C9300L-48T-4X-A</v>
      </c>
      <c r="T135" s="10">
        <f ca="1">IFERROR(__xludf.DUMMYFUNCTION("""COMPUTED_VALUE"""),1)</f>
        <v>1</v>
      </c>
      <c r="U135" s="2" t="e">
        <f ca="1"/>
        <v>#NAME?</v>
      </c>
      <c r="V135" s="2" t="e">
        <f ca="1"/>
        <v>#NAME?</v>
      </c>
      <c r="W135" s="2" t="e">
        <f ca="1"/>
        <v>#NAME?</v>
      </c>
      <c r="X135" s="2"/>
      <c r="Y135" s="2"/>
      <c r="Z135" s="2"/>
    </row>
    <row r="136" spans="1:26" ht="12.5" x14ac:dyDescent="0.25">
      <c r="A136" s="7" t="s">
        <v>135</v>
      </c>
      <c r="B136" s="6" t="s">
        <v>136</v>
      </c>
      <c r="C136" s="6" t="s">
        <v>22</v>
      </c>
      <c r="D136" s="6" t="s">
        <v>112</v>
      </c>
      <c r="E136" s="8"/>
      <c r="F136" s="6">
        <v>24</v>
      </c>
      <c r="G136" s="6" t="s">
        <v>25</v>
      </c>
      <c r="H136" s="6" t="s">
        <v>26</v>
      </c>
      <c r="I136" s="7">
        <v>1</v>
      </c>
      <c r="J136" s="8"/>
      <c r="K136" s="9">
        <v>2422.7600000000002</v>
      </c>
      <c r="L136" s="9">
        <v>2422.7600000000002</v>
      </c>
      <c r="M136" s="7">
        <v>0</v>
      </c>
      <c r="N136" s="9">
        <v>2422.7600000000002</v>
      </c>
      <c r="O136" s="6" t="s">
        <v>30</v>
      </c>
      <c r="P136" s="2"/>
      <c r="Q136" s="2"/>
      <c r="R136" s="2" t="str">
        <v>C9300</v>
      </c>
      <c r="S136" s="2" t="str">
        <f ca="1">IFERROR(__xludf.DUMMYFUNCTION("""COMPUTED_VALUE"""),"CON-L1NBD-CX9300L4")</f>
        <v>CON-L1NBD-CX9300L4</v>
      </c>
      <c r="T136" s="10">
        <f ca="1">IFERROR(__xludf.DUMMYFUNCTION("""COMPUTED_VALUE"""),0)</f>
        <v>0</v>
      </c>
      <c r="U136" s="2" t="e">
        <f ca="1"/>
        <v>#NAME?</v>
      </c>
      <c r="V136" s="2" t="e">
        <f ca="1"/>
        <v>#NAME?</v>
      </c>
      <c r="W136" s="2" t="e">
        <f ca="1"/>
        <v>#NAME?</v>
      </c>
      <c r="X136" s="2"/>
      <c r="Y136" s="2"/>
      <c r="Z136" s="2"/>
    </row>
    <row r="137" spans="1:26" ht="12.5" x14ac:dyDescent="0.25">
      <c r="A137" s="7">
        <v>7.1</v>
      </c>
      <c r="B137" s="6" t="s">
        <v>113</v>
      </c>
      <c r="C137" s="6" t="s">
        <v>32</v>
      </c>
      <c r="D137" s="6" t="s">
        <v>114</v>
      </c>
      <c r="E137" s="8"/>
      <c r="F137" s="6" t="s">
        <v>25</v>
      </c>
      <c r="G137" s="6">
        <v>14</v>
      </c>
      <c r="H137" s="6" t="s">
        <v>26</v>
      </c>
      <c r="I137" s="7">
        <v>1</v>
      </c>
      <c r="J137" s="8"/>
      <c r="K137" s="7">
        <v>0</v>
      </c>
      <c r="L137" s="7">
        <v>0</v>
      </c>
      <c r="M137" s="7">
        <v>0</v>
      </c>
      <c r="N137" s="7">
        <v>0</v>
      </c>
      <c r="O137" s="8"/>
      <c r="P137" s="2"/>
      <c r="Q137" s="2"/>
      <c r="R137" s="2" t="str">
        <v>C9300</v>
      </c>
      <c r="S137" s="2" t="str">
        <f ca="1">IFERROR(__xludf.DUMMYFUNCTION("""COMPUTED_VALUE"""),"C9300L-DNA-A-48")</f>
        <v>C9300L-DNA-A-48</v>
      </c>
      <c r="T137" s="10">
        <f ca="1">IFERROR(__xludf.DUMMYFUNCTION("""COMPUTED_VALUE"""),0)</f>
        <v>0</v>
      </c>
      <c r="U137" s="2" t="e">
        <f ca="1"/>
        <v>#NAME?</v>
      </c>
      <c r="V137" s="2" t="e">
        <f ca="1"/>
        <v>#NAME?</v>
      </c>
      <c r="W137" s="2" t="e">
        <f ca="1"/>
        <v>#NAME?</v>
      </c>
      <c r="X137" s="2"/>
      <c r="Y137" s="2"/>
      <c r="Z137" s="2"/>
    </row>
    <row r="138" spans="1:26" ht="12.5" x14ac:dyDescent="0.25">
      <c r="A138" s="7" t="s">
        <v>137</v>
      </c>
      <c r="B138" s="6" t="s">
        <v>116</v>
      </c>
      <c r="C138" s="6" t="s">
        <v>22</v>
      </c>
      <c r="D138" s="6" t="s">
        <v>36</v>
      </c>
      <c r="E138" s="8"/>
      <c r="F138" s="6">
        <v>24</v>
      </c>
      <c r="G138" s="6" t="s">
        <v>25</v>
      </c>
      <c r="H138" s="6" t="s">
        <v>26</v>
      </c>
      <c r="I138" s="7">
        <v>1</v>
      </c>
      <c r="J138" s="8"/>
      <c r="K138" s="7">
        <v>610.5</v>
      </c>
      <c r="L138" s="7">
        <v>610.5</v>
      </c>
      <c r="M138" s="7">
        <v>0</v>
      </c>
      <c r="N138" s="7">
        <v>610.5</v>
      </c>
      <c r="O138" s="6" t="s">
        <v>30</v>
      </c>
      <c r="P138" s="2"/>
      <c r="Q138" s="2"/>
      <c r="R138" s="2" t="str">
        <v>C9300</v>
      </c>
      <c r="S138" s="2" t="str">
        <f ca="1">IFERROR(__xludf.DUMMYFUNCTION("""COMPUTED_VALUE"""),"CON-L1SWT-C93LA48")</f>
        <v>CON-L1SWT-C93LA48</v>
      </c>
      <c r="T138" s="10">
        <f ca="1">IFERROR(__xludf.DUMMYFUNCTION("""COMPUTED_VALUE"""),0)</f>
        <v>0</v>
      </c>
      <c r="U138" s="2" t="e">
        <f ca="1"/>
        <v>#NAME?</v>
      </c>
      <c r="V138" s="2" t="e">
        <f ca="1"/>
        <v>#NAME?</v>
      </c>
      <c r="W138" s="2" t="e">
        <f ca="1"/>
        <v>#NAME?</v>
      </c>
      <c r="X138" s="2"/>
      <c r="Y138" s="2"/>
      <c r="Z138" s="2"/>
    </row>
    <row r="139" spans="1:26" ht="12.5" x14ac:dyDescent="0.25">
      <c r="A139" s="7" t="s">
        <v>138</v>
      </c>
      <c r="B139" s="6" t="s">
        <v>118</v>
      </c>
      <c r="C139" s="6" t="s">
        <v>22</v>
      </c>
      <c r="D139" s="6" t="s">
        <v>119</v>
      </c>
      <c r="E139" s="8"/>
      <c r="F139" s="6">
        <v>36</v>
      </c>
      <c r="G139" s="6" t="s">
        <v>25</v>
      </c>
      <c r="H139" s="6" t="s">
        <v>26</v>
      </c>
      <c r="I139" s="7">
        <v>1</v>
      </c>
      <c r="J139" s="8"/>
      <c r="K139" s="9">
        <v>4437.29</v>
      </c>
      <c r="L139" s="9">
        <v>4437.29</v>
      </c>
      <c r="M139" s="7">
        <v>0</v>
      </c>
      <c r="N139" s="9">
        <v>4437.29</v>
      </c>
      <c r="O139" s="8"/>
      <c r="P139" s="2"/>
      <c r="Q139" s="2"/>
      <c r="R139" s="2" t="str">
        <v>C9300</v>
      </c>
      <c r="S139" s="2" t="str">
        <f ca="1">IFERROR(__xludf.DUMMYFUNCTION("""COMPUTED_VALUE"""),"C9300L-DNA-A-48-3Y")</f>
        <v>C9300L-DNA-A-48-3Y</v>
      </c>
      <c r="T139" s="10">
        <f ca="1">IFERROR(__xludf.DUMMYFUNCTION("""COMPUTED_VALUE"""),0)</f>
        <v>0</v>
      </c>
      <c r="U139" s="2" t="e">
        <f ca="1"/>
        <v>#NAME?</v>
      </c>
      <c r="V139" s="2" t="e">
        <f ca="1"/>
        <v>#NAME?</v>
      </c>
      <c r="W139" s="2" t="e">
        <f ca="1"/>
        <v>#NAME?</v>
      </c>
      <c r="X139" s="2"/>
      <c r="Y139" s="2"/>
      <c r="Z139" s="2"/>
    </row>
    <row r="140" spans="1:26" ht="12.5" x14ac:dyDescent="0.25">
      <c r="A140" s="7">
        <v>7.2</v>
      </c>
      <c r="B140" s="6" t="s">
        <v>40</v>
      </c>
      <c r="C140" s="6" t="s">
        <v>32</v>
      </c>
      <c r="D140" s="6" t="s">
        <v>41</v>
      </c>
      <c r="E140" s="8"/>
      <c r="F140" s="6" t="s">
        <v>25</v>
      </c>
      <c r="G140" s="6">
        <v>14</v>
      </c>
      <c r="H140" s="6" t="s">
        <v>32</v>
      </c>
      <c r="I140" s="7">
        <v>1</v>
      </c>
      <c r="J140" s="8"/>
      <c r="K140" s="7">
        <v>0</v>
      </c>
      <c r="L140" s="7">
        <v>0</v>
      </c>
      <c r="M140" s="7">
        <v>0</v>
      </c>
      <c r="N140" s="7">
        <v>0</v>
      </c>
      <c r="O140" s="8"/>
      <c r="P140" s="2"/>
      <c r="Q140" s="2"/>
      <c r="R140" s="2" t="str">
        <v>C9300</v>
      </c>
      <c r="S140" s="2" t="str">
        <f ca="1">IFERROR(__xludf.DUMMYFUNCTION("""COMPUTED_VALUE"""),"TE-EMBEDDED-T")</f>
        <v>TE-EMBEDDED-T</v>
      </c>
      <c r="T140" s="10">
        <f ca="1">IFERROR(__xludf.DUMMYFUNCTION("""COMPUTED_VALUE"""),0)</f>
        <v>0</v>
      </c>
      <c r="U140" s="2" t="e">
        <f ca="1"/>
        <v>#NAME?</v>
      </c>
      <c r="V140" s="2" t="e">
        <f ca="1"/>
        <v>#NAME?</v>
      </c>
      <c r="W140" s="2" t="e">
        <f ca="1"/>
        <v>#NAME?</v>
      </c>
      <c r="X140" s="2"/>
      <c r="Y140" s="2"/>
      <c r="Z140" s="2"/>
    </row>
    <row r="141" spans="1:26" ht="12.5" x14ac:dyDescent="0.25">
      <c r="A141" s="7" t="s">
        <v>139</v>
      </c>
      <c r="B141" s="6" t="s">
        <v>43</v>
      </c>
      <c r="C141" s="6" t="s">
        <v>22</v>
      </c>
      <c r="D141" s="6" t="s">
        <v>44</v>
      </c>
      <c r="E141" s="8"/>
      <c r="F141" s="6">
        <v>36</v>
      </c>
      <c r="G141" s="6" t="s">
        <v>25</v>
      </c>
      <c r="H141" s="6" t="s">
        <v>26</v>
      </c>
      <c r="I141" s="7">
        <v>1</v>
      </c>
      <c r="J141" s="8"/>
      <c r="K141" s="7">
        <v>0</v>
      </c>
      <c r="L141" s="7">
        <v>0</v>
      </c>
      <c r="M141" s="7">
        <v>0</v>
      </c>
      <c r="N141" s="7">
        <v>0</v>
      </c>
      <c r="O141" s="8"/>
      <c r="P141" s="2"/>
      <c r="Q141" s="2"/>
      <c r="R141" s="2" t="str">
        <v>C9300</v>
      </c>
      <c r="S141" s="2" t="str">
        <f ca="1">IFERROR(__xludf.DUMMYFUNCTION("""COMPUTED_VALUE"""),"TE-EMBEDDED-T-3Y")</f>
        <v>TE-EMBEDDED-T-3Y</v>
      </c>
      <c r="T141" s="10">
        <f ca="1">IFERROR(__xludf.DUMMYFUNCTION("""COMPUTED_VALUE"""),0)</f>
        <v>0</v>
      </c>
      <c r="U141" s="2" t="e">
        <f ca="1"/>
        <v>#NAME?</v>
      </c>
      <c r="V141" s="2" t="e">
        <f ca="1"/>
        <v>#NAME?</v>
      </c>
      <c r="W141" s="2" t="e">
        <f ca="1"/>
        <v>#NAME?</v>
      </c>
      <c r="X141" s="2"/>
      <c r="Y141" s="2"/>
      <c r="Z141" s="2"/>
    </row>
    <row r="142" spans="1:26" ht="12.5" x14ac:dyDescent="0.25">
      <c r="A142" s="7">
        <v>7.3</v>
      </c>
      <c r="B142" s="6" t="s">
        <v>45</v>
      </c>
      <c r="C142" s="6" t="s">
        <v>32</v>
      </c>
      <c r="D142" s="6" t="s">
        <v>46</v>
      </c>
      <c r="E142" s="8"/>
      <c r="F142" s="6" t="s">
        <v>25</v>
      </c>
      <c r="G142" s="6">
        <v>14</v>
      </c>
      <c r="H142" s="6" t="s">
        <v>32</v>
      </c>
      <c r="I142" s="7">
        <v>1</v>
      </c>
      <c r="J142" s="8"/>
      <c r="K142" s="7">
        <v>0</v>
      </c>
      <c r="L142" s="7">
        <v>0</v>
      </c>
      <c r="M142" s="7">
        <v>0</v>
      </c>
      <c r="N142" s="7">
        <v>0</v>
      </c>
      <c r="O142" s="8"/>
      <c r="P142" s="2"/>
      <c r="Q142" s="2"/>
      <c r="R142" s="2" t="str">
        <v>C9300</v>
      </c>
      <c r="S142" s="2" t="str">
        <f ca="1">IFERROR(__xludf.DUMMYFUNCTION("""COMPUTED_VALUE"""),"D-DNAS-EXT-S-T")</f>
        <v>D-DNAS-EXT-S-T</v>
      </c>
      <c r="T142" s="10">
        <f ca="1">IFERROR(__xludf.DUMMYFUNCTION("""COMPUTED_VALUE"""),0)</f>
        <v>0</v>
      </c>
      <c r="U142" s="2" t="e">
        <f ca="1"/>
        <v>#NAME?</v>
      </c>
      <c r="V142" s="2" t="e">
        <f ca="1"/>
        <v>#NAME?</v>
      </c>
      <c r="W142" s="2" t="e">
        <f ca="1"/>
        <v>#NAME?</v>
      </c>
      <c r="X142" s="2"/>
      <c r="Y142" s="2"/>
      <c r="Z142" s="2"/>
    </row>
    <row r="143" spans="1:26" ht="12.5" x14ac:dyDescent="0.25">
      <c r="A143" s="7" t="s">
        <v>140</v>
      </c>
      <c r="B143" s="6" t="s">
        <v>48</v>
      </c>
      <c r="C143" s="6" t="s">
        <v>22</v>
      </c>
      <c r="D143" s="6" t="s">
        <v>49</v>
      </c>
      <c r="E143" s="8"/>
      <c r="F143" s="6">
        <v>36</v>
      </c>
      <c r="G143" s="6" t="s">
        <v>25</v>
      </c>
      <c r="H143" s="6" t="s">
        <v>26</v>
      </c>
      <c r="I143" s="7">
        <v>1</v>
      </c>
      <c r="J143" s="8"/>
      <c r="K143" s="7">
        <v>0</v>
      </c>
      <c r="L143" s="7">
        <v>0</v>
      </c>
      <c r="M143" s="7">
        <v>0</v>
      </c>
      <c r="N143" s="7">
        <v>0</v>
      </c>
      <c r="O143" s="8"/>
      <c r="P143" s="2"/>
      <c r="Q143" s="2"/>
      <c r="R143" s="2" t="str">
        <v>C9300</v>
      </c>
      <c r="S143" s="2" t="str">
        <f ca="1">IFERROR(__xludf.DUMMYFUNCTION("""COMPUTED_VALUE"""),"D-DNAS-EXT-S-3Y")</f>
        <v>D-DNAS-EXT-S-3Y</v>
      </c>
      <c r="T143" s="10">
        <f ca="1">IFERROR(__xludf.DUMMYFUNCTION("""COMPUTED_VALUE"""),0)</f>
        <v>0</v>
      </c>
      <c r="U143" s="2" t="e">
        <f ca="1"/>
        <v>#NAME?</v>
      </c>
      <c r="V143" s="2" t="e">
        <f ca="1"/>
        <v>#NAME?</v>
      </c>
      <c r="W143" s="2" t="e">
        <f ca="1"/>
        <v>#NAME?</v>
      </c>
      <c r="X143" s="2"/>
      <c r="Y143" s="2"/>
      <c r="Z143" s="2"/>
    </row>
    <row r="144" spans="1:26" ht="12.5" x14ac:dyDescent="0.25">
      <c r="A144" s="7">
        <v>7.4</v>
      </c>
      <c r="B144" s="6" t="s">
        <v>122</v>
      </c>
      <c r="C144" s="6" t="s">
        <v>32</v>
      </c>
      <c r="D144" s="6" t="s">
        <v>123</v>
      </c>
      <c r="E144" s="8"/>
      <c r="F144" s="6" t="s">
        <v>25</v>
      </c>
      <c r="G144" s="6">
        <v>14</v>
      </c>
      <c r="H144" s="6" t="s">
        <v>32</v>
      </c>
      <c r="I144" s="7">
        <v>1</v>
      </c>
      <c r="J144" s="8"/>
      <c r="K144" s="7">
        <v>0</v>
      </c>
      <c r="L144" s="7">
        <v>0</v>
      </c>
      <c r="M144" s="7">
        <v>0</v>
      </c>
      <c r="N144" s="7">
        <v>0</v>
      </c>
      <c r="O144" s="8"/>
      <c r="P144" s="2"/>
      <c r="Q144" s="2"/>
      <c r="R144" s="2" t="str">
        <v>C9300</v>
      </c>
      <c r="S144" s="2" t="str">
        <f ca="1">IFERROR(__xludf.DUMMYFUNCTION("""COMPUTED_VALUE"""),"C9300L-NW-A-48")</f>
        <v>C9300L-NW-A-48</v>
      </c>
      <c r="T144" s="10">
        <f ca="1">IFERROR(__xludf.DUMMYFUNCTION("""COMPUTED_VALUE"""),0)</f>
        <v>0</v>
      </c>
      <c r="U144" s="2" t="e">
        <f ca="1"/>
        <v>#NAME?</v>
      </c>
      <c r="V144" s="2" t="e">
        <f ca="1"/>
        <v>#NAME?</v>
      </c>
      <c r="W144" s="2" t="e">
        <f ca="1"/>
        <v>#NAME?</v>
      </c>
      <c r="X144" s="2"/>
      <c r="Y144" s="2"/>
      <c r="Z144" s="2"/>
    </row>
    <row r="145" spans="1:26" ht="12.5" x14ac:dyDescent="0.25">
      <c r="A145" s="7">
        <v>7.5</v>
      </c>
      <c r="B145" s="6" t="s">
        <v>52</v>
      </c>
      <c r="C145" s="6" t="s">
        <v>22</v>
      </c>
      <c r="D145" s="6" t="s">
        <v>53</v>
      </c>
      <c r="E145" s="8"/>
      <c r="F145" s="6" t="s">
        <v>25</v>
      </c>
      <c r="G145" s="6">
        <v>14</v>
      </c>
      <c r="H145" s="6" t="s">
        <v>32</v>
      </c>
      <c r="I145" s="7">
        <v>1</v>
      </c>
      <c r="J145" s="8"/>
      <c r="K145" s="7">
        <v>0</v>
      </c>
      <c r="L145" s="7">
        <v>0</v>
      </c>
      <c r="M145" s="7">
        <v>0</v>
      </c>
      <c r="N145" s="7">
        <v>0</v>
      </c>
      <c r="O145" s="8"/>
      <c r="P145" s="2"/>
      <c r="Q145" s="2"/>
      <c r="R145" s="2" t="str">
        <v>C9300</v>
      </c>
      <c r="S145" s="2" t="str">
        <f ca="1">IFERROR(__xludf.DUMMYFUNCTION("""COMPUTED_VALUE"""),"PWR-C1-BLANK")</f>
        <v>PWR-C1-BLANK</v>
      </c>
      <c r="T145" s="10">
        <f ca="1">IFERROR(__xludf.DUMMYFUNCTION("""COMPUTED_VALUE"""),0)</f>
        <v>0</v>
      </c>
      <c r="U145" s="2" t="e">
        <f ca="1"/>
        <v>#NAME?</v>
      </c>
      <c r="V145" s="2" t="e">
        <f ca="1"/>
        <v>#NAME?</v>
      </c>
      <c r="W145" s="2" t="e">
        <f ca="1"/>
        <v>#NAME?</v>
      </c>
      <c r="X145" s="2"/>
      <c r="Y145" s="2"/>
      <c r="Z145" s="2"/>
    </row>
    <row r="146" spans="1:26" ht="12.5" x14ac:dyDescent="0.25">
      <c r="A146" s="7">
        <v>7.6</v>
      </c>
      <c r="B146" s="6" t="s">
        <v>54</v>
      </c>
      <c r="C146" s="6" t="s">
        <v>22</v>
      </c>
      <c r="D146" s="6" t="s">
        <v>55</v>
      </c>
      <c r="E146" s="8"/>
      <c r="F146" s="6" t="s">
        <v>25</v>
      </c>
      <c r="G146" s="6">
        <v>14</v>
      </c>
      <c r="H146" s="6" t="s">
        <v>32</v>
      </c>
      <c r="I146" s="7">
        <v>2</v>
      </c>
      <c r="J146" s="8"/>
      <c r="K146" s="7">
        <v>0</v>
      </c>
      <c r="L146" s="7">
        <v>0</v>
      </c>
      <c r="M146" s="7">
        <v>0</v>
      </c>
      <c r="N146" s="7">
        <v>0</v>
      </c>
      <c r="O146" s="8"/>
      <c r="P146" s="2"/>
      <c r="Q146" s="2"/>
      <c r="R146" s="2" t="str">
        <v>C9300</v>
      </c>
      <c r="S146" s="2" t="str">
        <f ca="1">IFERROR(__xludf.DUMMYFUNCTION("""COMPUTED_VALUE"""),"C9300L-STACK-BLANK")</f>
        <v>C9300L-STACK-BLANK</v>
      </c>
      <c r="T146" s="10">
        <f ca="1">IFERROR(__xludf.DUMMYFUNCTION("""COMPUTED_VALUE"""),0)</f>
        <v>0</v>
      </c>
      <c r="U146" s="2" t="e">
        <f ca="1"/>
        <v>#NAME?</v>
      </c>
      <c r="V146" s="2" t="e">
        <f ca="1"/>
        <v>#NAME?</v>
      </c>
      <c r="W146" s="2" t="e">
        <f ca="1"/>
        <v>#NAME?</v>
      </c>
      <c r="X146" s="2"/>
      <c r="Y146" s="2"/>
      <c r="Z146" s="2"/>
    </row>
    <row r="147" spans="1:26" ht="12.5" x14ac:dyDescent="0.25">
      <c r="A147" s="7">
        <v>7.7</v>
      </c>
      <c r="B147" s="6" t="s">
        <v>86</v>
      </c>
      <c r="C147" s="6" t="s">
        <v>22</v>
      </c>
      <c r="D147" s="6" t="s">
        <v>87</v>
      </c>
      <c r="E147" s="8"/>
      <c r="F147" s="6" t="s">
        <v>25</v>
      </c>
      <c r="G147" s="6">
        <v>14</v>
      </c>
      <c r="H147" s="6" t="s">
        <v>32</v>
      </c>
      <c r="I147" s="7">
        <v>1</v>
      </c>
      <c r="J147" s="8"/>
      <c r="K147" s="7">
        <v>0</v>
      </c>
      <c r="L147" s="7">
        <v>0</v>
      </c>
      <c r="M147" s="7">
        <v>0</v>
      </c>
      <c r="N147" s="7">
        <v>0</v>
      </c>
      <c r="O147" s="8"/>
      <c r="P147" s="2"/>
      <c r="Q147" s="2"/>
      <c r="R147" s="2" t="str">
        <v>C9300</v>
      </c>
      <c r="S147" s="2" t="str">
        <f ca="1">IFERROR(__xludf.DUMMYFUNCTION("""COMPUTED_VALUE"""),"TE-C9K-SW")</f>
        <v>TE-C9K-SW</v>
      </c>
      <c r="T147" s="10">
        <f ca="1">IFERROR(__xludf.DUMMYFUNCTION("""COMPUTED_VALUE"""),0)</f>
        <v>0</v>
      </c>
      <c r="U147" s="2" t="e">
        <f ca="1"/>
        <v>#NAME?</v>
      </c>
      <c r="V147" s="2" t="e">
        <f ca="1"/>
        <v>#NAME?</v>
      </c>
      <c r="W147" s="2" t="e">
        <f ca="1"/>
        <v>#NAME?</v>
      </c>
      <c r="X147" s="2"/>
      <c r="Y147" s="2"/>
      <c r="Z147" s="2"/>
    </row>
    <row r="148" spans="1:26" ht="12.5" x14ac:dyDescent="0.25">
      <c r="A148" s="7">
        <v>7.8</v>
      </c>
      <c r="B148" s="6" t="s">
        <v>56</v>
      </c>
      <c r="C148" s="6" t="s">
        <v>22</v>
      </c>
      <c r="D148" s="6" t="s">
        <v>57</v>
      </c>
      <c r="E148" s="8"/>
      <c r="F148" s="6" t="s">
        <v>25</v>
      </c>
      <c r="G148" s="6">
        <v>14</v>
      </c>
      <c r="H148" s="6" t="s">
        <v>32</v>
      </c>
      <c r="I148" s="7">
        <v>3</v>
      </c>
      <c r="J148" s="8"/>
      <c r="K148" s="7">
        <v>0</v>
      </c>
      <c r="L148" s="7">
        <v>0</v>
      </c>
      <c r="M148" s="7">
        <v>0</v>
      </c>
      <c r="N148" s="7">
        <v>0</v>
      </c>
      <c r="O148" s="8"/>
      <c r="P148" s="2"/>
      <c r="Q148" s="2"/>
      <c r="R148" s="2" t="str">
        <v>C9300</v>
      </c>
      <c r="S148" s="2" t="str">
        <f ca="1">IFERROR(__xludf.DUMMYFUNCTION("""COMPUTED_VALUE"""),"FAN-T2")</f>
        <v>FAN-T2</v>
      </c>
      <c r="T148" s="10">
        <f ca="1">IFERROR(__xludf.DUMMYFUNCTION("""COMPUTED_VALUE"""),0)</f>
        <v>0</v>
      </c>
      <c r="U148" s="2" t="e">
        <f ca="1"/>
        <v>#NAME?</v>
      </c>
      <c r="V148" s="2" t="e">
        <f ca="1"/>
        <v>#NAME?</v>
      </c>
      <c r="W148" s="2" t="e">
        <f ca="1"/>
        <v>#NAME?</v>
      </c>
      <c r="X148" s="2"/>
      <c r="Y148" s="2"/>
      <c r="Z148" s="2"/>
    </row>
    <row r="149" spans="1:26" ht="12.5" x14ac:dyDescent="0.25">
      <c r="A149" s="7">
        <v>7.9</v>
      </c>
      <c r="B149" s="6" t="s">
        <v>58</v>
      </c>
      <c r="C149" s="6" t="s">
        <v>22</v>
      </c>
      <c r="D149" s="6" t="s">
        <v>59</v>
      </c>
      <c r="E149" s="8"/>
      <c r="F149" s="6" t="s">
        <v>25</v>
      </c>
      <c r="G149" s="6">
        <v>14</v>
      </c>
      <c r="H149" s="6" t="s">
        <v>32</v>
      </c>
      <c r="I149" s="7">
        <v>1</v>
      </c>
      <c r="J149" s="8"/>
      <c r="K149" s="7">
        <v>0</v>
      </c>
      <c r="L149" s="7">
        <v>0</v>
      </c>
      <c r="M149" s="7">
        <v>0</v>
      </c>
      <c r="N149" s="7">
        <v>0</v>
      </c>
      <c r="O149" s="8"/>
      <c r="P149" s="2"/>
      <c r="Q149" s="2"/>
      <c r="R149" s="2" t="str">
        <v>C9300</v>
      </c>
      <c r="S149" s="2" t="str">
        <f ca="1">IFERROR(__xludf.DUMMYFUNCTION("""COMPUTED_VALUE"""),"PWR-C1-350WAC-P")</f>
        <v>PWR-C1-350WAC-P</v>
      </c>
      <c r="T149" s="10">
        <f ca="1">IFERROR(__xludf.DUMMYFUNCTION("""COMPUTED_VALUE"""),0)</f>
        <v>0</v>
      </c>
      <c r="U149" s="2" t="e">
        <f ca="1"/>
        <v>#NAME?</v>
      </c>
      <c r="V149" s="2" t="e">
        <f ca="1"/>
        <v>#NAME?</v>
      </c>
      <c r="W149" s="2" t="e">
        <f ca="1"/>
        <v>#NAME?</v>
      </c>
      <c r="X149" s="2"/>
      <c r="Y149" s="2"/>
      <c r="Z149" s="2"/>
    </row>
    <row r="150" spans="1:26" ht="12.5" x14ac:dyDescent="0.25">
      <c r="A150" s="7">
        <v>7.1</v>
      </c>
      <c r="B150" s="6" t="s">
        <v>60</v>
      </c>
      <c r="C150" s="6" t="s">
        <v>22</v>
      </c>
      <c r="D150" s="6" t="s">
        <v>61</v>
      </c>
      <c r="E150" s="8"/>
      <c r="F150" s="6" t="s">
        <v>25</v>
      </c>
      <c r="G150" s="6">
        <v>14</v>
      </c>
      <c r="H150" s="6" t="s">
        <v>32</v>
      </c>
      <c r="I150" s="7">
        <v>1</v>
      </c>
      <c r="J150" s="8"/>
      <c r="K150" s="7">
        <v>0</v>
      </c>
      <c r="L150" s="7">
        <v>0</v>
      </c>
      <c r="M150" s="7">
        <v>0</v>
      </c>
      <c r="N150" s="7">
        <v>0</v>
      </c>
      <c r="O150" s="8"/>
      <c r="P150" s="2"/>
      <c r="Q150" s="2"/>
      <c r="R150" s="2" t="str">
        <v>C9300</v>
      </c>
      <c r="S150" s="2" t="str">
        <f ca="1">IFERROR(__xludf.DUMMYFUNCTION("""COMPUTED_VALUE"""),"C9300L-SPS-NONE")</f>
        <v>C9300L-SPS-NONE</v>
      </c>
      <c r="T150" s="10">
        <f ca="1">IFERROR(__xludf.DUMMYFUNCTION("""COMPUTED_VALUE"""),0)</f>
        <v>0</v>
      </c>
      <c r="U150" s="2" t="e">
        <f ca="1"/>
        <v>#NAME?</v>
      </c>
      <c r="V150" s="2" t="e">
        <f ca="1"/>
        <v>#NAME?</v>
      </c>
      <c r="W150" s="2" t="e">
        <f ca="1"/>
        <v>#NAME?</v>
      </c>
      <c r="X150" s="2"/>
      <c r="Y150" s="2"/>
      <c r="Z150" s="2"/>
    </row>
    <row r="151" spans="1:26" ht="12.5" x14ac:dyDescent="0.25">
      <c r="A151" s="7">
        <v>7.11</v>
      </c>
      <c r="B151" s="6" t="s">
        <v>62</v>
      </c>
      <c r="C151" s="6" t="s">
        <v>22</v>
      </c>
      <c r="D151" s="6" t="s">
        <v>63</v>
      </c>
      <c r="E151" s="8"/>
      <c r="F151" s="6" t="s">
        <v>25</v>
      </c>
      <c r="G151" s="6">
        <v>14</v>
      </c>
      <c r="H151" s="6" t="s">
        <v>26</v>
      </c>
      <c r="I151" s="7">
        <v>1</v>
      </c>
      <c r="J151" s="8"/>
      <c r="K151" s="7">
        <v>0</v>
      </c>
      <c r="L151" s="7">
        <v>0</v>
      </c>
      <c r="M151" s="7">
        <v>0</v>
      </c>
      <c r="N151" s="7">
        <v>0</v>
      </c>
      <c r="O151" s="8"/>
      <c r="P151" s="2"/>
      <c r="Q151" s="2"/>
      <c r="R151" s="2" t="str">
        <v>C9300</v>
      </c>
      <c r="S151" s="2" t="str">
        <f ca="1">IFERROR(__xludf.DUMMYFUNCTION("""COMPUTED_VALUE"""),"CAB-TA-EU")</f>
        <v>CAB-TA-EU</v>
      </c>
      <c r="T151" s="10">
        <f ca="1">IFERROR(__xludf.DUMMYFUNCTION("""COMPUTED_VALUE"""),0)</f>
        <v>0</v>
      </c>
      <c r="U151" s="2" t="e">
        <f ca="1"/>
        <v>#NAME?</v>
      </c>
      <c r="V151" s="2" t="e">
        <f ca="1"/>
        <v>#NAME?</v>
      </c>
      <c r="W151" s="2" t="e">
        <f ca="1"/>
        <v>#NAME?</v>
      </c>
      <c r="X151" s="2"/>
      <c r="Y151" s="2"/>
      <c r="Z151" s="2"/>
    </row>
    <row r="152" spans="1:26" ht="12.5" x14ac:dyDescent="0.25">
      <c r="A152" s="7">
        <v>7.12</v>
      </c>
      <c r="B152" s="6" t="s">
        <v>64</v>
      </c>
      <c r="C152" s="6" t="s">
        <v>22</v>
      </c>
      <c r="D152" s="6" t="s">
        <v>65</v>
      </c>
      <c r="E152" s="8"/>
      <c r="F152" s="6" t="s">
        <v>25</v>
      </c>
      <c r="G152" s="6">
        <v>14</v>
      </c>
      <c r="H152" s="6" t="s">
        <v>26</v>
      </c>
      <c r="I152" s="7">
        <v>1</v>
      </c>
      <c r="J152" s="8"/>
      <c r="K152" s="9">
        <v>3162.96</v>
      </c>
      <c r="L152" s="9">
        <v>3162.96</v>
      </c>
      <c r="M152" s="7">
        <v>0</v>
      </c>
      <c r="N152" s="9">
        <v>3162.96</v>
      </c>
      <c r="O152" s="8"/>
      <c r="P152" s="2"/>
      <c r="Q152" s="2"/>
      <c r="R152" s="2" t="str">
        <v>C9300</v>
      </c>
      <c r="S152" s="2" t="str">
        <f ca="1">IFERROR(__xludf.DUMMYFUNCTION("""COMPUTED_VALUE"""),"SSD-240G")</f>
        <v>SSD-240G</v>
      </c>
      <c r="T152" s="10">
        <f ca="1">IFERROR(__xludf.DUMMYFUNCTION("""COMPUTED_VALUE"""),0)</f>
        <v>0</v>
      </c>
      <c r="U152" s="2" t="e">
        <f ca="1"/>
        <v>#NAME?</v>
      </c>
      <c r="V152" s="2" t="e">
        <f ca="1"/>
        <v>#NAME?</v>
      </c>
      <c r="W152" s="2" t="e">
        <f ca="1"/>
        <v>#NAME?</v>
      </c>
      <c r="X152" s="2"/>
      <c r="Y152" s="2"/>
      <c r="Z152" s="2"/>
    </row>
    <row r="153" spans="1:26" ht="12.5" x14ac:dyDescent="0.25">
      <c r="A153" s="7">
        <v>7.13</v>
      </c>
      <c r="B153" s="6" t="s">
        <v>90</v>
      </c>
      <c r="C153" s="6" t="s">
        <v>22</v>
      </c>
      <c r="D153" s="6" t="s">
        <v>91</v>
      </c>
      <c r="E153" s="8"/>
      <c r="F153" s="6" t="s">
        <v>25</v>
      </c>
      <c r="G153" s="6">
        <v>14</v>
      </c>
      <c r="H153" s="6" t="s">
        <v>26</v>
      </c>
      <c r="I153" s="7">
        <v>1</v>
      </c>
      <c r="J153" s="8"/>
      <c r="K153" s="9">
        <v>0</v>
      </c>
      <c r="L153" s="9">
        <v>0</v>
      </c>
      <c r="M153" s="7">
        <v>0</v>
      </c>
      <c r="N153" s="9">
        <v>0</v>
      </c>
      <c r="O153" s="8"/>
      <c r="P153" s="2"/>
      <c r="Q153" s="2"/>
      <c r="R153" s="2" t="str">
        <v>C9300</v>
      </c>
      <c r="S153" s="2" t="str">
        <f ca="1">IFERROR(__xludf.DUMMYFUNCTION("""COMPUTED_VALUE"""),"C9300-ACCKIT-NONE")</f>
        <v>C9300-ACCKIT-NONE</v>
      </c>
      <c r="T153" s="10">
        <f ca="1">IFERROR(__xludf.DUMMYFUNCTION("""COMPUTED_VALUE"""),0)</f>
        <v>0</v>
      </c>
      <c r="U153" s="2" t="e">
        <f ca="1"/>
        <v>#NAME?</v>
      </c>
      <c r="V153" s="2" t="e">
        <f ca="1"/>
        <v>#NAME?</v>
      </c>
      <c r="W153" s="2" t="e">
        <f ca="1"/>
        <v>#NAME?</v>
      </c>
      <c r="X153" s="2"/>
      <c r="Y153" s="2"/>
      <c r="Z153" s="2"/>
    </row>
    <row r="154" spans="1:26" ht="12.5" x14ac:dyDescent="0.25">
      <c r="A154" s="7">
        <v>7.14</v>
      </c>
      <c r="B154" s="6" t="s">
        <v>72</v>
      </c>
      <c r="C154" s="6" t="s">
        <v>32</v>
      </c>
      <c r="D154" s="6" t="s">
        <v>73</v>
      </c>
      <c r="E154" s="8"/>
      <c r="F154" s="6" t="s">
        <v>25</v>
      </c>
      <c r="G154" s="6">
        <v>2</v>
      </c>
      <c r="H154" s="6" t="s">
        <v>32</v>
      </c>
      <c r="I154" s="7">
        <v>1</v>
      </c>
      <c r="J154" s="8"/>
      <c r="K154" s="7">
        <v>0</v>
      </c>
      <c r="L154" s="7">
        <v>0</v>
      </c>
      <c r="M154" s="7">
        <v>0</v>
      </c>
      <c r="N154" s="7">
        <v>0</v>
      </c>
      <c r="O154" s="8"/>
      <c r="P154" s="2"/>
      <c r="Q154" s="2"/>
      <c r="R154" s="2" t="str">
        <v>C9300</v>
      </c>
      <c r="S154" s="2" t="str">
        <f ca="1">IFERROR(__xludf.DUMMYFUNCTION("""COMPUTED_VALUE"""),"NETWORK-PNP-LIC")</f>
        <v>NETWORK-PNP-LIC</v>
      </c>
      <c r="T154" s="10">
        <f ca="1">IFERROR(__xludf.DUMMYFUNCTION("""COMPUTED_VALUE"""),0)</f>
        <v>0</v>
      </c>
      <c r="U154" s="2" t="e">
        <f ca="1"/>
        <v>#NAME?</v>
      </c>
      <c r="V154" s="2" t="e">
        <f ca="1"/>
        <v>#NAME?</v>
      </c>
      <c r="W154" s="2" t="e">
        <f ca="1"/>
        <v>#NAME?</v>
      </c>
      <c r="X154" s="2"/>
      <c r="Y154" s="2"/>
      <c r="Z154" s="2"/>
    </row>
    <row r="155" spans="1:26" ht="12.5" x14ac:dyDescent="0.25">
      <c r="A155" s="7">
        <v>7.15</v>
      </c>
      <c r="B155" s="6" t="s">
        <v>74</v>
      </c>
      <c r="C155" s="6" t="s">
        <v>22</v>
      </c>
      <c r="D155" s="6" t="s">
        <v>75</v>
      </c>
      <c r="E155" s="8"/>
      <c r="F155" s="6" t="s">
        <v>25</v>
      </c>
      <c r="G155" s="6">
        <v>14</v>
      </c>
      <c r="H155" s="6" t="s">
        <v>32</v>
      </c>
      <c r="I155" s="7">
        <v>1</v>
      </c>
      <c r="J155" s="8"/>
      <c r="K155" s="7">
        <v>0</v>
      </c>
      <c r="L155" s="7">
        <v>0</v>
      </c>
      <c r="M155" s="7">
        <v>0</v>
      </c>
      <c r="N155" s="7">
        <v>0</v>
      </c>
      <c r="O155" s="8"/>
      <c r="P155" s="2"/>
      <c r="Q155" s="2"/>
      <c r="R155" s="2" t="str">
        <v>C9300</v>
      </c>
      <c r="S155" s="2" t="str">
        <f ca="1">IFERROR(__xludf.DUMMYFUNCTION("""COMPUTED_VALUE"""),"S9300LUK9-1718")</f>
        <v>S9300LUK9-1718</v>
      </c>
      <c r="T155" s="10">
        <f ca="1">IFERROR(__xludf.DUMMYFUNCTION("""COMPUTED_VALUE"""),0)</f>
        <v>0</v>
      </c>
      <c r="U155" s="2" t="e">
        <f ca="1"/>
        <v>#NAME?</v>
      </c>
      <c r="V155" s="2" t="e">
        <f ca="1"/>
        <v>#NAME?</v>
      </c>
      <c r="W155" s="2" t="e">
        <f ca="1"/>
        <v>#NAME?</v>
      </c>
      <c r="X155" s="2"/>
      <c r="Y155" s="2"/>
      <c r="Z155" s="2"/>
    </row>
    <row r="156" spans="1:26" ht="12.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2" t="s">
        <v>76</v>
      </c>
      <c r="N156" s="13">
        <v>22736.79</v>
      </c>
      <c r="O156" s="14"/>
      <c r="P156" s="2"/>
      <c r="Q156" s="2"/>
      <c r="R156" s="2" t="str">
        <v/>
      </c>
      <c r="S156" s="2" t="str">
        <f ca="1">IFERROR(__xludf.DUMMYFUNCTION("""COMPUTED_VALUE"""),"")</f>
        <v/>
      </c>
      <c r="T156" s="2" t="str">
        <f ca="1">IFERROR(__xludf.DUMMYFUNCTION("""COMPUTED_VALUE"""),"")</f>
        <v/>
      </c>
      <c r="U156" s="2" t="e">
        <f ca="1"/>
        <v>#NAME?</v>
      </c>
      <c r="V156" s="2" t="e">
        <f ca="1"/>
        <v>#NAME?</v>
      </c>
      <c r="W156" s="2" t="str">
        <f ca="1"/>
        <v/>
      </c>
      <c r="X156" s="2"/>
      <c r="Y156" s="2"/>
      <c r="Z156" s="2"/>
    </row>
    <row r="157" spans="1:26" ht="12.5" x14ac:dyDescent="0.25">
      <c r="A157" s="5">
        <v>8</v>
      </c>
      <c r="B157" s="5" t="s">
        <v>141</v>
      </c>
      <c r="C157" s="6" t="s">
        <v>22</v>
      </c>
      <c r="D157" s="6" t="s">
        <v>142</v>
      </c>
      <c r="E157" s="6" t="s">
        <v>24</v>
      </c>
      <c r="F157" s="6" t="s">
        <v>25</v>
      </c>
      <c r="G157" s="6">
        <v>42</v>
      </c>
      <c r="H157" s="6" t="s">
        <v>26</v>
      </c>
      <c r="I157" s="7">
        <v>1</v>
      </c>
      <c r="J157" s="8"/>
      <c r="K157" s="9">
        <v>14368.4</v>
      </c>
      <c r="L157" s="9">
        <v>14368.4</v>
      </c>
      <c r="M157" s="7">
        <v>0</v>
      </c>
      <c r="N157" s="9">
        <v>14368.4</v>
      </c>
      <c r="O157" s="8"/>
      <c r="P157" s="2"/>
      <c r="Q157" s="2"/>
      <c r="R157" s="2" t="str">
        <v>C9300</v>
      </c>
      <c r="S157" s="2" t="str">
        <f ca="1">IFERROR(__xludf.DUMMYFUNCTION("""COMPUTED_VALUE"""),"C9300L-48P-4X-A")</f>
        <v>C9300L-48P-4X-A</v>
      </c>
      <c r="T157" s="10">
        <f ca="1">IFERROR(__xludf.DUMMYFUNCTION("""COMPUTED_VALUE"""),1)</f>
        <v>1</v>
      </c>
      <c r="U157" s="2" t="e">
        <f ca="1"/>
        <v>#NAME?</v>
      </c>
      <c r="V157" s="2" t="e">
        <f ca="1"/>
        <v>#NAME?</v>
      </c>
      <c r="W157" s="2" t="e">
        <f ca="1"/>
        <v>#NAME?</v>
      </c>
      <c r="X157" s="2"/>
      <c r="Y157" s="2"/>
      <c r="Z157" s="2"/>
    </row>
    <row r="158" spans="1:26" ht="12.5" x14ac:dyDescent="0.25">
      <c r="A158" s="7" t="s">
        <v>143</v>
      </c>
      <c r="B158" s="6" t="s">
        <v>144</v>
      </c>
      <c r="C158" s="6" t="s">
        <v>22</v>
      </c>
      <c r="D158" s="6" t="s">
        <v>128</v>
      </c>
      <c r="E158" s="8"/>
      <c r="F158" s="6">
        <v>24</v>
      </c>
      <c r="G158" s="6" t="s">
        <v>25</v>
      </c>
      <c r="H158" s="6" t="s">
        <v>26</v>
      </c>
      <c r="I158" s="7">
        <v>1</v>
      </c>
      <c r="J158" s="8"/>
      <c r="K158" s="9">
        <v>2876.5</v>
      </c>
      <c r="L158" s="9">
        <v>2876.5</v>
      </c>
      <c r="M158" s="7">
        <v>0</v>
      </c>
      <c r="N158" s="9">
        <v>2876.5</v>
      </c>
      <c r="O158" s="6" t="s">
        <v>30</v>
      </c>
      <c r="P158" s="2"/>
      <c r="Q158" s="2"/>
      <c r="R158" s="2" t="str">
        <v>C9300</v>
      </c>
      <c r="S158" s="2" t="str">
        <f ca="1">IFERROR(__xludf.DUMMYFUNCTION("""COMPUTED_VALUE"""),"CON-L1NBD-CA00LXL8")</f>
        <v>CON-L1NBD-CA00LXL8</v>
      </c>
      <c r="T158" s="10">
        <f ca="1">IFERROR(__xludf.DUMMYFUNCTION("""COMPUTED_VALUE"""),0)</f>
        <v>0</v>
      </c>
      <c r="U158" s="2" t="e">
        <f ca="1"/>
        <v>#NAME?</v>
      </c>
      <c r="V158" s="2" t="e">
        <f ca="1"/>
        <v>#NAME?</v>
      </c>
      <c r="W158" s="2" t="e">
        <f ca="1"/>
        <v>#NAME?</v>
      </c>
      <c r="X158" s="2"/>
      <c r="Y158" s="2"/>
      <c r="Z158" s="2"/>
    </row>
    <row r="159" spans="1:26" ht="12.5" x14ac:dyDescent="0.25">
      <c r="A159" s="7">
        <v>8.1</v>
      </c>
      <c r="B159" s="6" t="s">
        <v>113</v>
      </c>
      <c r="C159" s="6" t="s">
        <v>32</v>
      </c>
      <c r="D159" s="6" t="s">
        <v>114</v>
      </c>
      <c r="E159" s="8"/>
      <c r="F159" s="6" t="s">
        <v>25</v>
      </c>
      <c r="G159" s="6">
        <v>14</v>
      </c>
      <c r="H159" s="6" t="s">
        <v>26</v>
      </c>
      <c r="I159" s="7">
        <v>1</v>
      </c>
      <c r="J159" s="8"/>
      <c r="K159" s="7">
        <v>0</v>
      </c>
      <c r="L159" s="7">
        <v>0</v>
      </c>
      <c r="M159" s="7">
        <v>0</v>
      </c>
      <c r="N159" s="7">
        <v>0</v>
      </c>
      <c r="O159" s="8"/>
      <c r="P159" s="2"/>
      <c r="Q159" s="2"/>
      <c r="R159" s="2" t="str">
        <v>C9300</v>
      </c>
      <c r="S159" s="2" t="str">
        <f ca="1">IFERROR(__xludf.DUMMYFUNCTION("""COMPUTED_VALUE"""),"C9300L-DNA-A-48")</f>
        <v>C9300L-DNA-A-48</v>
      </c>
      <c r="T159" s="10">
        <f ca="1">IFERROR(__xludf.DUMMYFUNCTION("""COMPUTED_VALUE"""),0)</f>
        <v>0</v>
      </c>
      <c r="U159" s="2" t="e">
        <f ca="1"/>
        <v>#NAME?</v>
      </c>
      <c r="V159" s="2" t="e">
        <f ca="1"/>
        <v>#NAME?</v>
      </c>
      <c r="W159" s="2" t="e">
        <f ca="1"/>
        <v>#NAME?</v>
      </c>
      <c r="X159" s="2"/>
      <c r="Y159" s="2"/>
      <c r="Z159" s="2"/>
    </row>
    <row r="160" spans="1:26" ht="12.5" x14ac:dyDescent="0.25">
      <c r="A160" s="7" t="s">
        <v>145</v>
      </c>
      <c r="B160" s="6" t="s">
        <v>116</v>
      </c>
      <c r="C160" s="6" t="s">
        <v>22</v>
      </c>
      <c r="D160" s="6" t="s">
        <v>36</v>
      </c>
      <c r="E160" s="8"/>
      <c r="F160" s="6">
        <v>24</v>
      </c>
      <c r="G160" s="6" t="s">
        <v>25</v>
      </c>
      <c r="H160" s="6" t="s">
        <v>26</v>
      </c>
      <c r="I160" s="7">
        <v>1</v>
      </c>
      <c r="J160" s="8"/>
      <c r="K160" s="7">
        <v>610.5</v>
      </c>
      <c r="L160" s="7">
        <v>610.5</v>
      </c>
      <c r="M160" s="7">
        <v>0</v>
      </c>
      <c r="N160" s="7">
        <v>610.5</v>
      </c>
      <c r="O160" s="6" t="s">
        <v>30</v>
      </c>
      <c r="P160" s="2"/>
      <c r="Q160" s="2"/>
      <c r="R160" s="2" t="str">
        <v>C9300</v>
      </c>
      <c r="S160" s="2" t="str">
        <f ca="1">IFERROR(__xludf.DUMMYFUNCTION("""COMPUTED_VALUE"""),"CON-L1SWT-C93LA48")</f>
        <v>CON-L1SWT-C93LA48</v>
      </c>
      <c r="T160" s="10">
        <f ca="1">IFERROR(__xludf.DUMMYFUNCTION("""COMPUTED_VALUE"""),0)</f>
        <v>0</v>
      </c>
      <c r="U160" s="2" t="e">
        <f ca="1"/>
        <v>#NAME?</v>
      </c>
      <c r="V160" s="2" t="e">
        <f ca="1"/>
        <v>#NAME?</v>
      </c>
      <c r="W160" s="2" t="e">
        <f ca="1"/>
        <v>#NAME?</v>
      </c>
      <c r="X160" s="2"/>
      <c r="Y160" s="2"/>
      <c r="Z160" s="2"/>
    </row>
    <row r="161" spans="1:26" ht="12.5" x14ac:dyDescent="0.25">
      <c r="A161" s="7" t="s">
        <v>146</v>
      </c>
      <c r="B161" s="6" t="s">
        <v>118</v>
      </c>
      <c r="C161" s="6" t="s">
        <v>22</v>
      </c>
      <c r="D161" s="6" t="s">
        <v>119</v>
      </c>
      <c r="E161" s="8"/>
      <c r="F161" s="6">
        <v>36</v>
      </c>
      <c r="G161" s="6" t="s">
        <v>25</v>
      </c>
      <c r="H161" s="6" t="s">
        <v>26</v>
      </c>
      <c r="I161" s="7">
        <v>1</v>
      </c>
      <c r="J161" s="8"/>
      <c r="K161" s="9">
        <v>4437.29</v>
      </c>
      <c r="L161" s="9">
        <v>4437.29</v>
      </c>
      <c r="M161" s="7">
        <v>0</v>
      </c>
      <c r="N161" s="9">
        <v>4437.29</v>
      </c>
      <c r="O161" s="8"/>
      <c r="P161" s="2"/>
      <c r="Q161" s="2"/>
      <c r="R161" s="2" t="str">
        <v>C9300</v>
      </c>
      <c r="S161" s="2" t="str">
        <f ca="1">IFERROR(__xludf.DUMMYFUNCTION("""COMPUTED_VALUE"""),"C9300L-DNA-A-48-3Y")</f>
        <v>C9300L-DNA-A-48-3Y</v>
      </c>
      <c r="T161" s="10">
        <f ca="1">IFERROR(__xludf.DUMMYFUNCTION("""COMPUTED_VALUE"""),0)</f>
        <v>0</v>
      </c>
      <c r="U161" s="2" t="e">
        <f ca="1"/>
        <v>#NAME?</v>
      </c>
      <c r="V161" s="2" t="e">
        <f ca="1"/>
        <v>#NAME?</v>
      </c>
      <c r="W161" s="2" t="e">
        <f ca="1"/>
        <v>#NAME?</v>
      </c>
      <c r="X161" s="2"/>
      <c r="Y161" s="2"/>
      <c r="Z161" s="2"/>
    </row>
    <row r="162" spans="1:26" ht="12.5" x14ac:dyDescent="0.25">
      <c r="A162" s="7">
        <v>8.1999999999999993</v>
      </c>
      <c r="B162" s="6" t="s">
        <v>40</v>
      </c>
      <c r="C162" s="6" t="s">
        <v>32</v>
      </c>
      <c r="D162" s="6" t="s">
        <v>41</v>
      </c>
      <c r="E162" s="8"/>
      <c r="F162" s="6" t="s">
        <v>25</v>
      </c>
      <c r="G162" s="6">
        <v>14</v>
      </c>
      <c r="H162" s="6" t="s">
        <v>32</v>
      </c>
      <c r="I162" s="7">
        <v>1</v>
      </c>
      <c r="J162" s="8"/>
      <c r="K162" s="7">
        <v>0</v>
      </c>
      <c r="L162" s="7">
        <v>0</v>
      </c>
      <c r="M162" s="7">
        <v>0</v>
      </c>
      <c r="N162" s="7">
        <v>0</v>
      </c>
      <c r="O162" s="8"/>
      <c r="P162" s="2"/>
      <c r="Q162" s="2"/>
      <c r="R162" s="2" t="str">
        <v>C9300</v>
      </c>
      <c r="S162" s="2" t="str">
        <f ca="1">IFERROR(__xludf.DUMMYFUNCTION("""COMPUTED_VALUE"""),"TE-EMBEDDED-T")</f>
        <v>TE-EMBEDDED-T</v>
      </c>
      <c r="T162" s="10">
        <f ca="1">IFERROR(__xludf.DUMMYFUNCTION("""COMPUTED_VALUE"""),0)</f>
        <v>0</v>
      </c>
      <c r="U162" s="2" t="e">
        <f ca="1"/>
        <v>#NAME?</v>
      </c>
      <c r="V162" s="2" t="e">
        <f ca="1"/>
        <v>#NAME?</v>
      </c>
      <c r="W162" s="2" t="e">
        <f ca="1"/>
        <v>#NAME?</v>
      </c>
      <c r="X162" s="2"/>
      <c r="Y162" s="2"/>
      <c r="Z162" s="2"/>
    </row>
    <row r="163" spans="1:26" ht="12.5" x14ac:dyDescent="0.25">
      <c r="A163" s="7" t="s">
        <v>147</v>
      </c>
      <c r="B163" s="6" t="s">
        <v>43</v>
      </c>
      <c r="C163" s="6" t="s">
        <v>22</v>
      </c>
      <c r="D163" s="6" t="s">
        <v>44</v>
      </c>
      <c r="E163" s="8"/>
      <c r="F163" s="6">
        <v>36</v>
      </c>
      <c r="G163" s="6" t="s">
        <v>25</v>
      </c>
      <c r="H163" s="6" t="s">
        <v>26</v>
      </c>
      <c r="I163" s="7">
        <v>1</v>
      </c>
      <c r="J163" s="8"/>
      <c r="K163" s="7">
        <v>0</v>
      </c>
      <c r="L163" s="7">
        <v>0</v>
      </c>
      <c r="M163" s="7">
        <v>0</v>
      </c>
      <c r="N163" s="7">
        <v>0</v>
      </c>
      <c r="O163" s="8"/>
      <c r="P163" s="2"/>
      <c r="Q163" s="2"/>
      <c r="R163" s="2" t="str">
        <v>C9300</v>
      </c>
      <c r="S163" s="2" t="str">
        <f ca="1">IFERROR(__xludf.DUMMYFUNCTION("""COMPUTED_VALUE"""),"TE-EMBEDDED-T-3Y")</f>
        <v>TE-EMBEDDED-T-3Y</v>
      </c>
      <c r="T163" s="10">
        <f ca="1">IFERROR(__xludf.DUMMYFUNCTION("""COMPUTED_VALUE"""),0)</f>
        <v>0</v>
      </c>
      <c r="U163" s="2" t="e">
        <f ca="1"/>
        <v>#NAME?</v>
      </c>
      <c r="V163" s="2" t="e">
        <f ca="1"/>
        <v>#NAME?</v>
      </c>
      <c r="W163" s="2" t="e">
        <f ca="1"/>
        <v>#NAME?</v>
      </c>
      <c r="X163" s="2"/>
      <c r="Y163" s="2"/>
      <c r="Z163" s="2"/>
    </row>
    <row r="164" spans="1:26" ht="12.5" x14ac:dyDescent="0.25">
      <c r="A164" s="7">
        <v>8.3000000000000007</v>
      </c>
      <c r="B164" s="6" t="s">
        <v>45</v>
      </c>
      <c r="C164" s="6" t="s">
        <v>32</v>
      </c>
      <c r="D164" s="6" t="s">
        <v>46</v>
      </c>
      <c r="E164" s="8"/>
      <c r="F164" s="6" t="s">
        <v>25</v>
      </c>
      <c r="G164" s="6">
        <v>14</v>
      </c>
      <c r="H164" s="6" t="s">
        <v>32</v>
      </c>
      <c r="I164" s="7">
        <v>1</v>
      </c>
      <c r="J164" s="8"/>
      <c r="K164" s="7">
        <v>0</v>
      </c>
      <c r="L164" s="7">
        <v>0</v>
      </c>
      <c r="M164" s="7">
        <v>0</v>
      </c>
      <c r="N164" s="7">
        <v>0</v>
      </c>
      <c r="O164" s="8"/>
      <c r="P164" s="2"/>
      <c r="Q164" s="2"/>
      <c r="R164" s="2" t="str">
        <v>C9300</v>
      </c>
      <c r="S164" s="2" t="str">
        <f ca="1">IFERROR(__xludf.DUMMYFUNCTION("""COMPUTED_VALUE"""),"D-DNAS-EXT-S-T")</f>
        <v>D-DNAS-EXT-S-T</v>
      </c>
      <c r="T164" s="10">
        <f ca="1">IFERROR(__xludf.DUMMYFUNCTION("""COMPUTED_VALUE"""),0)</f>
        <v>0</v>
      </c>
      <c r="U164" s="2" t="e">
        <f ca="1"/>
        <v>#NAME?</v>
      </c>
      <c r="V164" s="2" t="e">
        <f ca="1"/>
        <v>#NAME?</v>
      </c>
      <c r="W164" s="2" t="e">
        <f ca="1"/>
        <v>#NAME?</v>
      </c>
      <c r="X164" s="2"/>
      <c r="Y164" s="2"/>
      <c r="Z164" s="2"/>
    </row>
    <row r="165" spans="1:26" ht="12.5" x14ac:dyDescent="0.25">
      <c r="A165" s="7" t="s">
        <v>148</v>
      </c>
      <c r="B165" s="6" t="s">
        <v>48</v>
      </c>
      <c r="C165" s="6" t="s">
        <v>22</v>
      </c>
      <c r="D165" s="6" t="s">
        <v>49</v>
      </c>
      <c r="E165" s="8"/>
      <c r="F165" s="6">
        <v>36</v>
      </c>
      <c r="G165" s="6" t="s">
        <v>25</v>
      </c>
      <c r="H165" s="6" t="s">
        <v>26</v>
      </c>
      <c r="I165" s="7">
        <v>1</v>
      </c>
      <c r="J165" s="8"/>
      <c r="K165" s="7">
        <v>0</v>
      </c>
      <c r="L165" s="7">
        <v>0</v>
      </c>
      <c r="M165" s="7">
        <v>0</v>
      </c>
      <c r="N165" s="7">
        <v>0</v>
      </c>
      <c r="O165" s="8"/>
      <c r="P165" s="2"/>
      <c r="Q165" s="2"/>
      <c r="R165" s="2" t="str">
        <v>C9300</v>
      </c>
      <c r="S165" s="2" t="str">
        <f ca="1">IFERROR(__xludf.DUMMYFUNCTION("""COMPUTED_VALUE"""),"D-DNAS-EXT-S-3Y")</f>
        <v>D-DNAS-EXT-S-3Y</v>
      </c>
      <c r="T165" s="10">
        <f ca="1">IFERROR(__xludf.DUMMYFUNCTION("""COMPUTED_VALUE"""),0)</f>
        <v>0</v>
      </c>
      <c r="U165" s="2" t="e">
        <f ca="1"/>
        <v>#NAME?</v>
      </c>
      <c r="V165" s="2" t="e">
        <f ca="1"/>
        <v>#NAME?</v>
      </c>
      <c r="W165" s="2" t="e">
        <f ca="1"/>
        <v>#NAME?</v>
      </c>
      <c r="X165" s="2"/>
      <c r="Y165" s="2"/>
      <c r="Z165" s="2"/>
    </row>
    <row r="166" spans="1:26" ht="12.5" x14ac:dyDescent="0.25">
      <c r="A166" s="7">
        <v>8.4</v>
      </c>
      <c r="B166" s="6" t="s">
        <v>122</v>
      </c>
      <c r="C166" s="6" t="s">
        <v>32</v>
      </c>
      <c r="D166" s="6" t="s">
        <v>123</v>
      </c>
      <c r="E166" s="8"/>
      <c r="F166" s="6" t="s">
        <v>25</v>
      </c>
      <c r="G166" s="6">
        <v>14</v>
      </c>
      <c r="H166" s="6" t="s">
        <v>32</v>
      </c>
      <c r="I166" s="7">
        <v>1</v>
      </c>
      <c r="J166" s="8"/>
      <c r="K166" s="7">
        <v>0</v>
      </c>
      <c r="L166" s="7">
        <v>0</v>
      </c>
      <c r="M166" s="7">
        <v>0</v>
      </c>
      <c r="N166" s="7">
        <v>0</v>
      </c>
      <c r="O166" s="8"/>
      <c r="P166" s="2"/>
      <c r="Q166" s="2"/>
      <c r="R166" s="2" t="str">
        <v>C9300</v>
      </c>
      <c r="S166" s="2" t="str">
        <f ca="1">IFERROR(__xludf.DUMMYFUNCTION("""COMPUTED_VALUE"""),"C9300L-NW-A-48")</f>
        <v>C9300L-NW-A-48</v>
      </c>
      <c r="T166" s="10">
        <f ca="1">IFERROR(__xludf.DUMMYFUNCTION("""COMPUTED_VALUE"""),0)</f>
        <v>0</v>
      </c>
      <c r="U166" s="2" t="e">
        <f ca="1"/>
        <v>#NAME?</v>
      </c>
      <c r="V166" s="2" t="e">
        <f ca="1"/>
        <v>#NAME?</v>
      </c>
      <c r="W166" s="2" t="e">
        <f ca="1"/>
        <v>#NAME?</v>
      </c>
      <c r="X166" s="2"/>
      <c r="Y166" s="2"/>
      <c r="Z166" s="2"/>
    </row>
    <row r="167" spans="1:26" ht="12.5" x14ac:dyDescent="0.25">
      <c r="A167" s="7">
        <v>8.5</v>
      </c>
      <c r="B167" s="6" t="s">
        <v>52</v>
      </c>
      <c r="C167" s="6" t="s">
        <v>22</v>
      </c>
      <c r="D167" s="6" t="s">
        <v>53</v>
      </c>
      <c r="E167" s="8"/>
      <c r="F167" s="6" t="s">
        <v>25</v>
      </c>
      <c r="G167" s="6">
        <v>14</v>
      </c>
      <c r="H167" s="6" t="s">
        <v>32</v>
      </c>
      <c r="I167" s="7">
        <v>1</v>
      </c>
      <c r="J167" s="8"/>
      <c r="K167" s="7">
        <v>0</v>
      </c>
      <c r="L167" s="7">
        <v>0</v>
      </c>
      <c r="M167" s="7">
        <v>0</v>
      </c>
      <c r="N167" s="7">
        <v>0</v>
      </c>
      <c r="O167" s="8"/>
      <c r="P167" s="2"/>
      <c r="Q167" s="2"/>
      <c r="R167" s="2" t="str">
        <v>C9300</v>
      </c>
      <c r="S167" s="2" t="str">
        <f ca="1">IFERROR(__xludf.DUMMYFUNCTION("""COMPUTED_VALUE"""),"PWR-C1-BLANK")</f>
        <v>PWR-C1-BLANK</v>
      </c>
      <c r="T167" s="10">
        <f ca="1">IFERROR(__xludf.DUMMYFUNCTION("""COMPUTED_VALUE"""),0)</f>
        <v>0</v>
      </c>
      <c r="U167" s="2" t="e">
        <f ca="1"/>
        <v>#NAME?</v>
      </c>
      <c r="V167" s="2" t="e">
        <f ca="1"/>
        <v>#NAME?</v>
      </c>
      <c r="W167" s="2" t="e">
        <f ca="1"/>
        <v>#NAME?</v>
      </c>
      <c r="X167" s="2"/>
      <c r="Y167" s="2"/>
      <c r="Z167" s="2"/>
    </row>
    <row r="168" spans="1:26" ht="12.5" x14ac:dyDescent="0.25">
      <c r="A168" s="7">
        <v>8.6</v>
      </c>
      <c r="B168" s="6" t="s">
        <v>54</v>
      </c>
      <c r="C168" s="6" t="s">
        <v>22</v>
      </c>
      <c r="D168" s="6" t="s">
        <v>55</v>
      </c>
      <c r="E168" s="8"/>
      <c r="F168" s="6" t="s">
        <v>25</v>
      </c>
      <c r="G168" s="6">
        <v>14</v>
      </c>
      <c r="H168" s="6" t="s">
        <v>32</v>
      </c>
      <c r="I168" s="7">
        <v>2</v>
      </c>
      <c r="J168" s="8"/>
      <c r="K168" s="7">
        <v>0</v>
      </c>
      <c r="L168" s="7">
        <v>0</v>
      </c>
      <c r="M168" s="7">
        <v>0</v>
      </c>
      <c r="N168" s="7">
        <v>0</v>
      </c>
      <c r="O168" s="8"/>
      <c r="P168" s="2"/>
      <c r="Q168" s="2"/>
      <c r="R168" s="2" t="str">
        <v>C9300</v>
      </c>
      <c r="S168" s="2" t="str">
        <f ca="1">IFERROR(__xludf.DUMMYFUNCTION("""COMPUTED_VALUE"""),"C9300L-STACK-BLANK")</f>
        <v>C9300L-STACK-BLANK</v>
      </c>
      <c r="T168" s="10">
        <f ca="1">IFERROR(__xludf.DUMMYFUNCTION("""COMPUTED_VALUE"""),0)</f>
        <v>0</v>
      </c>
      <c r="U168" s="2" t="e">
        <f ca="1"/>
        <v>#NAME?</v>
      </c>
      <c r="V168" s="2" t="e">
        <f ca="1"/>
        <v>#NAME?</v>
      </c>
      <c r="W168" s="2" t="e">
        <f ca="1"/>
        <v>#NAME?</v>
      </c>
      <c r="X168" s="2"/>
      <c r="Y168" s="2"/>
      <c r="Z168" s="2"/>
    </row>
    <row r="169" spans="1:26" ht="12.5" x14ac:dyDescent="0.25">
      <c r="A169" s="7">
        <v>8.6999999999999993</v>
      </c>
      <c r="B169" s="6" t="s">
        <v>86</v>
      </c>
      <c r="C169" s="6" t="s">
        <v>22</v>
      </c>
      <c r="D169" s="6" t="s">
        <v>87</v>
      </c>
      <c r="E169" s="8"/>
      <c r="F169" s="6" t="s">
        <v>25</v>
      </c>
      <c r="G169" s="6">
        <v>14</v>
      </c>
      <c r="H169" s="6" t="s">
        <v>32</v>
      </c>
      <c r="I169" s="7">
        <v>1</v>
      </c>
      <c r="J169" s="8"/>
      <c r="K169" s="7">
        <v>0</v>
      </c>
      <c r="L169" s="7">
        <v>0</v>
      </c>
      <c r="M169" s="7">
        <v>0</v>
      </c>
      <c r="N169" s="7">
        <v>0</v>
      </c>
      <c r="O169" s="8"/>
      <c r="P169" s="2"/>
      <c r="Q169" s="2"/>
      <c r="R169" s="2" t="str">
        <v>C9300</v>
      </c>
      <c r="S169" s="2" t="str">
        <f ca="1">IFERROR(__xludf.DUMMYFUNCTION("""COMPUTED_VALUE"""),"TE-C9K-SW")</f>
        <v>TE-C9K-SW</v>
      </c>
      <c r="T169" s="10">
        <f ca="1">IFERROR(__xludf.DUMMYFUNCTION("""COMPUTED_VALUE"""),0)</f>
        <v>0</v>
      </c>
      <c r="U169" s="2" t="e">
        <f ca="1"/>
        <v>#NAME?</v>
      </c>
      <c r="V169" s="2" t="e">
        <f ca="1"/>
        <v>#NAME?</v>
      </c>
      <c r="W169" s="2" t="e">
        <f ca="1"/>
        <v>#NAME?</v>
      </c>
      <c r="X169" s="2"/>
      <c r="Y169" s="2"/>
      <c r="Z169" s="2"/>
    </row>
    <row r="170" spans="1:26" ht="12.5" x14ac:dyDescent="0.25">
      <c r="A170" s="7">
        <v>8.8000000000000007</v>
      </c>
      <c r="B170" s="6" t="s">
        <v>56</v>
      </c>
      <c r="C170" s="6" t="s">
        <v>22</v>
      </c>
      <c r="D170" s="6" t="s">
        <v>57</v>
      </c>
      <c r="E170" s="8"/>
      <c r="F170" s="6" t="s">
        <v>25</v>
      </c>
      <c r="G170" s="6">
        <v>14</v>
      </c>
      <c r="H170" s="6" t="s">
        <v>32</v>
      </c>
      <c r="I170" s="7">
        <v>3</v>
      </c>
      <c r="J170" s="8"/>
      <c r="K170" s="7">
        <v>0</v>
      </c>
      <c r="L170" s="7">
        <v>0</v>
      </c>
      <c r="M170" s="7">
        <v>0</v>
      </c>
      <c r="N170" s="7">
        <v>0</v>
      </c>
      <c r="O170" s="8"/>
      <c r="P170" s="2"/>
      <c r="Q170" s="2"/>
      <c r="R170" s="2" t="str">
        <v>C9300</v>
      </c>
      <c r="S170" s="2" t="str">
        <f ca="1">IFERROR(__xludf.DUMMYFUNCTION("""COMPUTED_VALUE"""),"FAN-T2")</f>
        <v>FAN-T2</v>
      </c>
      <c r="T170" s="10">
        <f ca="1">IFERROR(__xludf.DUMMYFUNCTION("""COMPUTED_VALUE"""),0)</f>
        <v>0</v>
      </c>
      <c r="U170" s="2" t="e">
        <f ca="1"/>
        <v>#NAME?</v>
      </c>
      <c r="V170" s="2" t="e">
        <f ca="1"/>
        <v>#NAME?</v>
      </c>
      <c r="W170" s="2" t="e">
        <f ca="1"/>
        <v>#NAME?</v>
      </c>
      <c r="X170" s="2"/>
      <c r="Y170" s="2"/>
      <c r="Z170" s="2"/>
    </row>
    <row r="171" spans="1:26" ht="12.5" x14ac:dyDescent="0.25">
      <c r="A171" s="7">
        <v>8.9</v>
      </c>
      <c r="B171" s="6" t="s">
        <v>88</v>
      </c>
      <c r="C171" s="6" t="s">
        <v>22</v>
      </c>
      <c r="D171" s="6" t="s">
        <v>89</v>
      </c>
      <c r="E171" s="8"/>
      <c r="F171" s="6" t="s">
        <v>25</v>
      </c>
      <c r="G171" s="6">
        <v>14</v>
      </c>
      <c r="H171" s="6" t="s">
        <v>32</v>
      </c>
      <c r="I171" s="7">
        <v>1</v>
      </c>
      <c r="J171" s="8"/>
      <c r="K171" s="7">
        <v>0</v>
      </c>
      <c r="L171" s="7">
        <v>0</v>
      </c>
      <c r="M171" s="7">
        <v>0</v>
      </c>
      <c r="N171" s="7">
        <v>0</v>
      </c>
      <c r="O171" s="8"/>
      <c r="P171" s="2"/>
      <c r="Q171" s="2"/>
      <c r="R171" s="2" t="str">
        <v>C9300</v>
      </c>
      <c r="S171" s="2" t="str">
        <f ca="1">IFERROR(__xludf.DUMMYFUNCTION("""COMPUTED_VALUE"""),"PWR-C1-715WAC-P")</f>
        <v>PWR-C1-715WAC-P</v>
      </c>
      <c r="T171" s="10">
        <f ca="1">IFERROR(__xludf.DUMMYFUNCTION("""COMPUTED_VALUE"""),0)</f>
        <v>0</v>
      </c>
      <c r="U171" s="2" t="e">
        <f ca="1"/>
        <v>#NAME?</v>
      </c>
      <c r="V171" s="2" t="e">
        <f ca="1"/>
        <v>#NAME?</v>
      </c>
      <c r="W171" s="2" t="e">
        <f ca="1"/>
        <v>#NAME?</v>
      </c>
      <c r="X171" s="2"/>
      <c r="Y171" s="2"/>
      <c r="Z171" s="2"/>
    </row>
    <row r="172" spans="1:26" ht="12.5" x14ac:dyDescent="0.25">
      <c r="A172" s="7">
        <v>8.1</v>
      </c>
      <c r="B172" s="6" t="s">
        <v>60</v>
      </c>
      <c r="C172" s="6" t="s">
        <v>22</v>
      </c>
      <c r="D172" s="6" t="s">
        <v>61</v>
      </c>
      <c r="E172" s="8"/>
      <c r="F172" s="6" t="s">
        <v>25</v>
      </c>
      <c r="G172" s="6">
        <v>14</v>
      </c>
      <c r="H172" s="6" t="s">
        <v>32</v>
      </c>
      <c r="I172" s="7">
        <v>1</v>
      </c>
      <c r="J172" s="8"/>
      <c r="K172" s="7">
        <v>0</v>
      </c>
      <c r="L172" s="7">
        <v>0</v>
      </c>
      <c r="M172" s="7">
        <v>0</v>
      </c>
      <c r="N172" s="7">
        <v>0</v>
      </c>
      <c r="O172" s="8"/>
      <c r="P172" s="2"/>
      <c r="Q172" s="2"/>
      <c r="R172" s="2" t="str">
        <v>C9300</v>
      </c>
      <c r="S172" s="2" t="str">
        <f ca="1">IFERROR(__xludf.DUMMYFUNCTION("""COMPUTED_VALUE"""),"C9300L-SPS-NONE")</f>
        <v>C9300L-SPS-NONE</v>
      </c>
      <c r="T172" s="10">
        <f ca="1">IFERROR(__xludf.DUMMYFUNCTION("""COMPUTED_VALUE"""),0)</f>
        <v>0</v>
      </c>
      <c r="U172" s="2" t="e">
        <f ca="1"/>
        <v>#NAME?</v>
      </c>
      <c r="V172" s="2" t="e">
        <f ca="1"/>
        <v>#NAME?</v>
      </c>
      <c r="W172" s="2" t="e">
        <f ca="1"/>
        <v>#NAME?</v>
      </c>
      <c r="X172" s="2"/>
      <c r="Y172" s="2"/>
      <c r="Z172" s="2"/>
    </row>
    <row r="173" spans="1:26" ht="12.5" x14ac:dyDescent="0.25">
      <c r="A173" s="7">
        <v>8.11</v>
      </c>
      <c r="B173" s="6" t="s">
        <v>62</v>
      </c>
      <c r="C173" s="6" t="s">
        <v>22</v>
      </c>
      <c r="D173" s="6" t="s">
        <v>63</v>
      </c>
      <c r="E173" s="8"/>
      <c r="F173" s="6" t="s">
        <v>25</v>
      </c>
      <c r="G173" s="6">
        <v>14</v>
      </c>
      <c r="H173" s="6" t="s">
        <v>26</v>
      </c>
      <c r="I173" s="7">
        <v>1</v>
      </c>
      <c r="J173" s="8"/>
      <c r="K173" s="7">
        <v>0</v>
      </c>
      <c r="L173" s="7">
        <v>0</v>
      </c>
      <c r="M173" s="7">
        <v>0</v>
      </c>
      <c r="N173" s="7">
        <v>0</v>
      </c>
      <c r="O173" s="8"/>
      <c r="P173" s="2"/>
      <c r="Q173" s="2"/>
      <c r="R173" s="2" t="str">
        <v>C9300</v>
      </c>
      <c r="S173" s="2" t="str">
        <f ca="1">IFERROR(__xludf.DUMMYFUNCTION("""COMPUTED_VALUE"""),"CAB-TA-EU")</f>
        <v>CAB-TA-EU</v>
      </c>
      <c r="T173" s="10">
        <f ca="1">IFERROR(__xludf.DUMMYFUNCTION("""COMPUTED_VALUE"""),0)</f>
        <v>0</v>
      </c>
      <c r="U173" s="2" t="e">
        <f ca="1"/>
        <v>#NAME?</v>
      </c>
      <c r="V173" s="2" t="e">
        <f ca="1"/>
        <v>#NAME?</v>
      </c>
      <c r="W173" s="2" t="e">
        <f ca="1"/>
        <v>#NAME?</v>
      </c>
      <c r="X173" s="2"/>
      <c r="Y173" s="2"/>
      <c r="Z173" s="2"/>
    </row>
    <row r="174" spans="1:26" ht="12.5" x14ac:dyDescent="0.25">
      <c r="A174" s="7">
        <v>8.1199999999999992</v>
      </c>
      <c r="B174" s="6" t="s">
        <v>64</v>
      </c>
      <c r="C174" s="6" t="s">
        <v>22</v>
      </c>
      <c r="D174" s="6" t="s">
        <v>65</v>
      </c>
      <c r="E174" s="8"/>
      <c r="F174" s="6" t="s">
        <v>25</v>
      </c>
      <c r="G174" s="6">
        <v>14</v>
      </c>
      <c r="H174" s="6" t="s">
        <v>26</v>
      </c>
      <c r="I174" s="7">
        <v>1</v>
      </c>
      <c r="J174" s="8"/>
      <c r="K174" s="9">
        <v>3162.96</v>
      </c>
      <c r="L174" s="9">
        <v>3162.96</v>
      </c>
      <c r="M174" s="7">
        <v>0</v>
      </c>
      <c r="N174" s="9">
        <v>3162.96</v>
      </c>
      <c r="O174" s="8"/>
      <c r="P174" s="2"/>
      <c r="Q174" s="2"/>
      <c r="R174" s="2" t="str">
        <v>C9300</v>
      </c>
      <c r="S174" s="2" t="str">
        <f ca="1">IFERROR(__xludf.DUMMYFUNCTION("""COMPUTED_VALUE"""),"SSD-240G")</f>
        <v>SSD-240G</v>
      </c>
      <c r="T174" s="10">
        <f ca="1">IFERROR(__xludf.DUMMYFUNCTION("""COMPUTED_VALUE"""),0)</f>
        <v>0</v>
      </c>
      <c r="U174" s="2" t="e">
        <f ca="1"/>
        <v>#NAME?</v>
      </c>
      <c r="V174" s="2" t="e">
        <f ca="1"/>
        <v>#NAME?</v>
      </c>
      <c r="W174" s="2" t="e">
        <f ca="1"/>
        <v>#NAME?</v>
      </c>
      <c r="X174" s="2"/>
      <c r="Y174" s="2"/>
      <c r="Z174" s="2"/>
    </row>
    <row r="175" spans="1:26" ht="12.5" x14ac:dyDescent="0.25">
      <c r="A175" s="7">
        <v>8.1300000000000008</v>
      </c>
      <c r="B175" s="6" t="s">
        <v>90</v>
      </c>
      <c r="C175" s="6" t="s">
        <v>22</v>
      </c>
      <c r="D175" s="6" t="s">
        <v>91</v>
      </c>
      <c r="E175" s="8"/>
      <c r="F175" s="6" t="s">
        <v>25</v>
      </c>
      <c r="G175" s="6">
        <v>14</v>
      </c>
      <c r="H175" s="6" t="s">
        <v>26</v>
      </c>
      <c r="I175" s="7">
        <v>1</v>
      </c>
      <c r="J175" s="8"/>
      <c r="K175" s="9">
        <v>0</v>
      </c>
      <c r="L175" s="9">
        <v>0</v>
      </c>
      <c r="M175" s="7">
        <v>0</v>
      </c>
      <c r="N175" s="9">
        <v>0</v>
      </c>
      <c r="O175" s="8"/>
      <c r="P175" s="2"/>
      <c r="Q175" s="2"/>
      <c r="R175" s="2" t="str">
        <v>C9300</v>
      </c>
      <c r="S175" s="2" t="str">
        <f ca="1">IFERROR(__xludf.DUMMYFUNCTION("""COMPUTED_VALUE"""),"C9300-ACCKIT-NONE")</f>
        <v>C9300-ACCKIT-NONE</v>
      </c>
      <c r="T175" s="10">
        <f ca="1">IFERROR(__xludf.DUMMYFUNCTION("""COMPUTED_VALUE"""),0)</f>
        <v>0</v>
      </c>
      <c r="U175" s="2" t="e">
        <f ca="1"/>
        <v>#NAME?</v>
      </c>
      <c r="V175" s="2" t="e">
        <f ca="1"/>
        <v>#NAME?</v>
      </c>
      <c r="W175" s="2" t="e">
        <f ca="1"/>
        <v>#NAME?</v>
      </c>
      <c r="X175" s="2"/>
      <c r="Y175" s="2"/>
      <c r="Z175" s="2"/>
    </row>
    <row r="176" spans="1:26" ht="12.5" x14ac:dyDescent="0.25">
      <c r="A176" s="7">
        <v>8.14</v>
      </c>
      <c r="B176" s="6" t="s">
        <v>72</v>
      </c>
      <c r="C176" s="6" t="s">
        <v>32</v>
      </c>
      <c r="D176" s="6" t="s">
        <v>73</v>
      </c>
      <c r="E176" s="8"/>
      <c r="F176" s="6" t="s">
        <v>25</v>
      </c>
      <c r="G176" s="6">
        <v>2</v>
      </c>
      <c r="H176" s="6" t="s">
        <v>32</v>
      </c>
      <c r="I176" s="7">
        <v>1</v>
      </c>
      <c r="J176" s="8"/>
      <c r="K176" s="7">
        <v>0</v>
      </c>
      <c r="L176" s="7">
        <v>0</v>
      </c>
      <c r="M176" s="7">
        <v>0</v>
      </c>
      <c r="N176" s="7">
        <v>0</v>
      </c>
      <c r="O176" s="8"/>
      <c r="P176" s="2"/>
      <c r="Q176" s="2"/>
      <c r="R176" s="2" t="str">
        <v>C9300</v>
      </c>
      <c r="S176" s="2" t="str">
        <f ca="1">IFERROR(__xludf.DUMMYFUNCTION("""COMPUTED_VALUE"""),"NETWORK-PNP-LIC")</f>
        <v>NETWORK-PNP-LIC</v>
      </c>
      <c r="T176" s="10">
        <f ca="1">IFERROR(__xludf.DUMMYFUNCTION("""COMPUTED_VALUE"""),0)</f>
        <v>0</v>
      </c>
      <c r="U176" s="2" t="e">
        <f ca="1"/>
        <v>#NAME?</v>
      </c>
      <c r="V176" s="2" t="e">
        <f ca="1"/>
        <v>#NAME?</v>
      </c>
      <c r="W176" s="2" t="e">
        <f ca="1"/>
        <v>#NAME?</v>
      </c>
      <c r="X176" s="2"/>
      <c r="Y176" s="2"/>
      <c r="Z176" s="2"/>
    </row>
    <row r="177" spans="1:26" ht="12.5" x14ac:dyDescent="0.25">
      <c r="A177" s="7">
        <v>8.15</v>
      </c>
      <c r="B177" s="6" t="s">
        <v>74</v>
      </c>
      <c r="C177" s="6" t="s">
        <v>22</v>
      </c>
      <c r="D177" s="6" t="s">
        <v>75</v>
      </c>
      <c r="E177" s="8"/>
      <c r="F177" s="6" t="s">
        <v>25</v>
      </c>
      <c r="G177" s="6">
        <v>14</v>
      </c>
      <c r="H177" s="6" t="s">
        <v>32</v>
      </c>
      <c r="I177" s="7">
        <v>1</v>
      </c>
      <c r="J177" s="8"/>
      <c r="K177" s="7">
        <v>0</v>
      </c>
      <c r="L177" s="7">
        <v>0</v>
      </c>
      <c r="M177" s="7">
        <v>0</v>
      </c>
      <c r="N177" s="7">
        <v>0</v>
      </c>
      <c r="O177" s="8"/>
      <c r="P177" s="2"/>
      <c r="Q177" s="2"/>
      <c r="R177" s="2" t="str">
        <v>C9300</v>
      </c>
      <c r="S177" s="2" t="str">
        <f ca="1">IFERROR(__xludf.DUMMYFUNCTION("""COMPUTED_VALUE"""),"S9300LUK9-1718")</f>
        <v>S9300LUK9-1718</v>
      </c>
      <c r="T177" s="10">
        <f ca="1">IFERROR(__xludf.DUMMYFUNCTION("""COMPUTED_VALUE"""),0)</f>
        <v>0</v>
      </c>
      <c r="U177" s="2" t="e">
        <f ca="1"/>
        <v>#NAME?</v>
      </c>
      <c r="V177" s="2" t="e">
        <f ca="1"/>
        <v>#NAME?</v>
      </c>
      <c r="W177" s="2" t="e">
        <f ca="1"/>
        <v>#NAME?</v>
      </c>
      <c r="X177" s="2"/>
      <c r="Y177" s="2"/>
      <c r="Z177" s="2"/>
    </row>
    <row r="178" spans="1:26" ht="12.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2" t="s">
        <v>76</v>
      </c>
      <c r="N178" s="13">
        <v>25455.65</v>
      </c>
      <c r="O178" s="14"/>
      <c r="P178" s="2"/>
      <c r="Q178" s="2"/>
      <c r="R178" s="2" t="str">
        <v/>
      </c>
      <c r="S178" s="2" t="str">
        <f ca="1">IFERROR(__xludf.DUMMYFUNCTION("""COMPUTED_VALUE"""),"")</f>
        <v/>
      </c>
      <c r="T178" s="2" t="str">
        <f ca="1">IFERROR(__xludf.DUMMYFUNCTION("""COMPUTED_VALUE"""),"")</f>
        <v/>
      </c>
      <c r="U178" s="2" t="e">
        <f ca="1"/>
        <v>#NAME?</v>
      </c>
      <c r="V178" s="2" t="e">
        <f ca="1"/>
        <v>#NAME?</v>
      </c>
      <c r="W178" s="2" t="str">
        <f ca="1"/>
        <v/>
      </c>
      <c r="X178" s="2"/>
      <c r="Y178" s="2"/>
      <c r="Z178" s="2"/>
    </row>
    <row r="179" spans="1:26" ht="12.5" x14ac:dyDescent="0.25">
      <c r="A179" s="5">
        <v>9</v>
      </c>
      <c r="B179" s="5" t="s">
        <v>149</v>
      </c>
      <c r="C179" s="6" t="s">
        <v>22</v>
      </c>
      <c r="D179" s="6" t="s">
        <v>150</v>
      </c>
      <c r="E179" s="6" t="s">
        <v>24</v>
      </c>
      <c r="F179" s="6" t="s">
        <v>25</v>
      </c>
      <c r="G179" s="6">
        <v>14</v>
      </c>
      <c r="H179" s="6" t="s">
        <v>26</v>
      </c>
      <c r="I179" s="7">
        <v>1</v>
      </c>
      <c r="J179" s="8"/>
      <c r="K179" s="9">
        <v>7346.7</v>
      </c>
      <c r="L179" s="9">
        <v>7346.7</v>
      </c>
      <c r="M179" s="7">
        <v>0</v>
      </c>
      <c r="N179" s="9">
        <v>7346.7</v>
      </c>
      <c r="O179" s="8"/>
      <c r="P179" s="2"/>
      <c r="Q179" s="2"/>
      <c r="R179" s="2" t="str">
        <v>C9300</v>
      </c>
      <c r="S179" s="2" t="str">
        <f ca="1">IFERROR(__xludf.DUMMYFUNCTION("""COMPUTED_VALUE"""),"C9300-24T-A")</f>
        <v>C9300-24T-A</v>
      </c>
      <c r="T179" s="10">
        <f ca="1">IFERROR(__xludf.DUMMYFUNCTION("""COMPUTED_VALUE"""),1)</f>
        <v>1</v>
      </c>
      <c r="U179" s="2" t="e">
        <f ca="1"/>
        <v>#NAME?</v>
      </c>
      <c r="V179" s="2" t="e">
        <f ca="1"/>
        <v>#NAME?</v>
      </c>
      <c r="W179" s="2" t="e">
        <f ca="1"/>
        <v>#NAME?</v>
      </c>
      <c r="X179" s="2"/>
      <c r="Y179" s="2"/>
      <c r="Z179" s="2"/>
    </row>
    <row r="180" spans="1:26" ht="12.5" x14ac:dyDescent="0.25">
      <c r="A180" s="7" t="s">
        <v>151</v>
      </c>
      <c r="B180" s="6" t="s">
        <v>152</v>
      </c>
      <c r="C180" s="6" t="s">
        <v>22</v>
      </c>
      <c r="D180" s="6" t="s">
        <v>153</v>
      </c>
      <c r="E180" s="8"/>
      <c r="F180" s="6">
        <v>24</v>
      </c>
      <c r="G180" s="6" t="s">
        <v>25</v>
      </c>
      <c r="H180" s="6" t="s">
        <v>26</v>
      </c>
      <c r="I180" s="7">
        <v>1</v>
      </c>
      <c r="J180" s="8"/>
      <c r="K180" s="9">
        <v>1471.26</v>
      </c>
      <c r="L180" s="9">
        <v>1471.26</v>
      </c>
      <c r="M180" s="7">
        <v>0</v>
      </c>
      <c r="N180" s="9">
        <v>1471.26</v>
      </c>
      <c r="O180" s="6" t="s">
        <v>30</v>
      </c>
      <c r="P180" s="2"/>
      <c r="Q180" s="2"/>
      <c r="R180" s="2" t="str">
        <v>C9300</v>
      </c>
      <c r="S180" s="2" t="str">
        <f ca="1">IFERROR(__xludf.DUMMYFUNCTION("""COMPUTED_VALUE"""),"CON-L1NBD-C93002TA")</f>
        <v>CON-L1NBD-C93002TA</v>
      </c>
      <c r="T180" s="10">
        <f ca="1">IFERROR(__xludf.DUMMYFUNCTION("""COMPUTED_VALUE"""),0)</f>
        <v>0</v>
      </c>
      <c r="U180" s="2" t="e">
        <f ca="1"/>
        <v>#NAME?</v>
      </c>
      <c r="V180" s="2" t="e">
        <f ca="1"/>
        <v>#NAME?</v>
      </c>
      <c r="W180" s="2" t="e">
        <f ca="1"/>
        <v>#NAME?</v>
      </c>
      <c r="X180" s="2"/>
      <c r="Y180" s="2"/>
      <c r="Z180" s="2"/>
    </row>
    <row r="181" spans="1:26" ht="12.5" x14ac:dyDescent="0.25">
      <c r="A181" s="7">
        <v>9.1</v>
      </c>
      <c r="B181" s="6" t="s">
        <v>154</v>
      </c>
      <c r="C181" s="6" t="s">
        <v>32</v>
      </c>
      <c r="D181" s="6" t="s">
        <v>155</v>
      </c>
      <c r="E181" s="8"/>
      <c r="F181" s="6" t="s">
        <v>25</v>
      </c>
      <c r="G181" s="6">
        <v>14</v>
      </c>
      <c r="H181" s="6" t="s">
        <v>26</v>
      </c>
      <c r="I181" s="7">
        <v>1</v>
      </c>
      <c r="J181" s="8"/>
      <c r="K181" s="7">
        <v>0</v>
      </c>
      <c r="L181" s="7">
        <v>0</v>
      </c>
      <c r="M181" s="7">
        <v>0</v>
      </c>
      <c r="N181" s="7">
        <v>0</v>
      </c>
      <c r="O181" s="8"/>
      <c r="P181" s="2"/>
      <c r="Q181" s="2"/>
      <c r="R181" s="2" t="str">
        <v>C9300</v>
      </c>
      <c r="S181" s="2" t="str">
        <f ca="1">IFERROR(__xludf.DUMMYFUNCTION("""COMPUTED_VALUE"""),"C9300-DNA-A-24")</f>
        <v>C9300-DNA-A-24</v>
      </c>
      <c r="T181" s="10">
        <f ca="1">IFERROR(__xludf.DUMMYFUNCTION("""COMPUTED_VALUE"""),0)</f>
        <v>0</v>
      </c>
      <c r="U181" s="2" t="e">
        <f ca="1"/>
        <v>#NAME?</v>
      </c>
      <c r="V181" s="2" t="e">
        <f ca="1"/>
        <v>#NAME?</v>
      </c>
      <c r="W181" s="2" t="e">
        <f ca="1"/>
        <v>#NAME?</v>
      </c>
      <c r="X181" s="2"/>
      <c r="Y181" s="2"/>
      <c r="Z181" s="2"/>
    </row>
    <row r="182" spans="1:26" ht="12.5" x14ac:dyDescent="0.25">
      <c r="A182" s="7" t="s">
        <v>156</v>
      </c>
      <c r="B182" s="6" t="s">
        <v>157</v>
      </c>
      <c r="C182" s="6" t="s">
        <v>22</v>
      </c>
      <c r="D182" s="6" t="s">
        <v>158</v>
      </c>
      <c r="E182" s="8"/>
      <c r="F182" s="6">
        <v>24</v>
      </c>
      <c r="G182" s="6" t="s">
        <v>25</v>
      </c>
      <c r="H182" s="6" t="s">
        <v>26</v>
      </c>
      <c r="I182" s="7">
        <v>1</v>
      </c>
      <c r="J182" s="8"/>
      <c r="K182" s="7">
        <v>324.5</v>
      </c>
      <c r="L182" s="7">
        <v>324.5</v>
      </c>
      <c r="M182" s="7">
        <v>0</v>
      </c>
      <c r="N182" s="7">
        <v>324.5</v>
      </c>
      <c r="O182" s="6" t="s">
        <v>30</v>
      </c>
      <c r="P182" s="2"/>
      <c r="Q182" s="2"/>
      <c r="R182" s="2" t="str">
        <v>C9300</v>
      </c>
      <c r="S182" s="2" t="str">
        <f ca="1">IFERROR(__xludf.DUMMYFUNCTION("""COMPUTED_VALUE"""),"CON-L1SWT-C93A24")</f>
        <v>CON-L1SWT-C93A24</v>
      </c>
      <c r="T182" s="10">
        <f ca="1">IFERROR(__xludf.DUMMYFUNCTION("""COMPUTED_VALUE"""),0)</f>
        <v>0</v>
      </c>
      <c r="U182" s="2" t="e">
        <f ca="1"/>
        <v>#NAME?</v>
      </c>
      <c r="V182" s="2" t="e">
        <f ca="1"/>
        <v>#NAME?</v>
      </c>
      <c r="W182" s="2" t="e">
        <f ca="1"/>
        <v>#NAME?</v>
      </c>
      <c r="X182" s="2"/>
      <c r="Y182" s="2"/>
      <c r="Z182" s="2"/>
    </row>
    <row r="183" spans="1:26" ht="12.5" x14ac:dyDescent="0.25">
      <c r="A183" s="7" t="s">
        <v>159</v>
      </c>
      <c r="B183" s="6" t="s">
        <v>160</v>
      </c>
      <c r="C183" s="6" t="s">
        <v>22</v>
      </c>
      <c r="D183" s="6" t="s">
        <v>161</v>
      </c>
      <c r="E183" s="8"/>
      <c r="F183" s="6">
        <v>36</v>
      </c>
      <c r="G183" s="6" t="s">
        <v>25</v>
      </c>
      <c r="H183" s="6" t="s">
        <v>26</v>
      </c>
      <c r="I183" s="7">
        <v>1</v>
      </c>
      <c r="J183" s="8"/>
      <c r="K183" s="9">
        <v>2365.77</v>
      </c>
      <c r="L183" s="9">
        <v>2365.77</v>
      </c>
      <c r="M183" s="7">
        <v>0</v>
      </c>
      <c r="N183" s="9">
        <v>2365.77</v>
      </c>
      <c r="O183" s="8"/>
      <c r="P183" s="2"/>
      <c r="Q183" s="2"/>
      <c r="R183" s="2" t="str">
        <v>C9300</v>
      </c>
      <c r="S183" s="2" t="str">
        <f ca="1">IFERROR(__xludf.DUMMYFUNCTION("""COMPUTED_VALUE"""),"C9300-DNA-A-24-3Y")</f>
        <v>C9300-DNA-A-24-3Y</v>
      </c>
      <c r="T183" s="10">
        <f ca="1">IFERROR(__xludf.DUMMYFUNCTION("""COMPUTED_VALUE"""),0)</f>
        <v>0</v>
      </c>
      <c r="U183" s="2" t="e">
        <f ca="1"/>
        <v>#NAME?</v>
      </c>
      <c r="V183" s="2" t="e">
        <f ca="1"/>
        <v>#NAME?</v>
      </c>
      <c r="W183" s="2" t="e">
        <f ca="1"/>
        <v>#NAME?</v>
      </c>
      <c r="X183" s="2"/>
      <c r="Y183" s="2"/>
      <c r="Z183" s="2"/>
    </row>
    <row r="184" spans="1:26" ht="12.5" x14ac:dyDescent="0.25">
      <c r="A184" s="7">
        <v>9.1999999999999993</v>
      </c>
      <c r="B184" s="6" t="s">
        <v>45</v>
      </c>
      <c r="C184" s="6" t="s">
        <v>32</v>
      </c>
      <c r="D184" s="6" t="s">
        <v>46</v>
      </c>
      <c r="E184" s="8"/>
      <c r="F184" s="6" t="s">
        <v>25</v>
      </c>
      <c r="G184" s="6">
        <v>14</v>
      </c>
      <c r="H184" s="6" t="s">
        <v>32</v>
      </c>
      <c r="I184" s="7">
        <v>1</v>
      </c>
      <c r="J184" s="8"/>
      <c r="K184" s="7">
        <v>0</v>
      </c>
      <c r="L184" s="7">
        <v>0</v>
      </c>
      <c r="M184" s="7">
        <v>0</v>
      </c>
      <c r="N184" s="7">
        <v>0</v>
      </c>
      <c r="O184" s="8"/>
      <c r="P184" s="2"/>
      <c r="Q184" s="2"/>
      <c r="R184" s="2" t="str">
        <v>C9300</v>
      </c>
      <c r="S184" s="2" t="str">
        <f ca="1">IFERROR(__xludf.DUMMYFUNCTION("""COMPUTED_VALUE"""),"D-DNAS-EXT-S-T")</f>
        <v>D-DNAS-EXT-S-T</v>
      </c>
      <c r="T184" s="10">
        <f ca="1">IFERROR(__xludf.DUMMYFUNCTION("""COMPUTED_VALUE"""),0)</f>
        <v>0</v>
      </c>
      <c r="U184" s="2" t="e">
        <f ca="1"/>
        <v>#NAME?</v>
      </c>
      <c r="V184" s="2" t="e">
        <f ca="1"/>
        <v>#NAME?</v>
      </c>
      <c r="W184" s="2" t="e">
        <f ca="1"/>
        <v>#NAME?</v>
      </c>
      <c r="X184" s="2"/>
      <c r="Y184" s="2"/>
      <c r="Z184" s="2"/>
    </row>
    <row r="185" spans="1:26" ht="12.5" x14ac:dyDescent="0.25">
      <c r="A185" s="7" t="s">
        <v>162</v>
      </c>
      <c r="B185" s="6" t="s">
        <v>48</v>
      </c>
      <c r="C185" s="6" t="s">
        <v>22</v>
      </c>
      <c r="D185" s="6" t="s">
        <v>49</v>
      </c>
      <c r="E185" s="8"/>
      <c r="F185" s="6">
        <v>36</v>
      </c>
      <c r="G185" s="6" t="s">
        <v>25</v>
      </c>
      <c r="H185" s="6" t="s">
        <v>26</v>
      </c>
      <c r="I185" s="7">
        <v>1</v>
      </c>
      <c r="J185" s="8"/>
      <c r="K185" s="7">
        <v>0</v>
      </c>
      <c r="L185" s="7">
        <v>0</v>
      </c>
      <c r="M185" s="7">
        <v>0</v>
      </c>
      <c r="N185" s="7">
        <v>0</v>
      </c>
      <c r="O185" s="8"/>
      <c r="P185" s="2"/>
      <c r="Q185" s="2"/>
      <c r="R185" s="2" t="str">
        <v>C9300</v>
      </c>
      <c r="S185" s="2" t="str">
        <f ca="1">IFERROR(__xludf.DUMMYFUNCTION("""COMPUTED_VALUE"""),"D-DNAS-EXT-S-3Y")</f>
        <v>D-DNAS-EXT-S-3Y</v>
      </c>
      <c r="T185" s="10">
        <f ca="1">IFERROR(__xludf.DUMMYFUNCTION("""COMPUTED_VALUE"""),0)</f>
        <v>0</v>
      </c>
      <c r="U185" s="2" t="e">
        <f ca="1"/>
        <v>#NAME?</v>
      </c>
      <c r="V185" s="2" t="e">
        <f ca="1"/>
        <v>#NAME?</v>
      </c>
      <c r="W185" s="2" t="e">
        <f ca="1"/>
        <v>#NAME?</v>
      </c>
      <c r="X185" s="2"/>
      <c r="Y185" s="2"/>
      <c r="Z185" s="2"/>
    </row>
    <row r="186" spans="1:26" ht="12.5" x14ac:dyDescent="0.25">
      <c r="A186" s="7">
        <v>9.3000000000000007</v>
      </c>
      <c r="B186" s="6" t="s">
        <v>40</v>
      </c>
      <c r="C186" s="6" t="s">
        <v>32</v>
      </c>
      <c r="D186" s="6" t="s">
        <v>41</v>
      </c>
      <c r="E186" s="8"/>
      <c r="F186" s="6" t="s">
        <v>25</v>
      </c>
      <c r="G186" s="6">
        <v>14</v>
      </c>
      <c r="H186" s="6" t="s">
        <v>32</v>
      </c>
      <c r="I186" s="7">
        <v>1</v>
      </c>
      <c r="J186" s="8"/>
      <c r="K186" s="7">
        <v>0</v>
      </c>
      <c r="L186" s="7">
        <v>0</v>
      </c>
      <c r="M186" s="7">
        <v>0</v>
      </c>
      <c r="N186" s="7">
        <v>0</v>
      </c>
      <c r="O186" s="8"/>
      <c r="P186" s="2"/>
      <c r="Q186" s="2"/>
      <c r="R186" s="2" t="str">
        <v>C9300</v>
      </c>
      <c r="S186" s="2" t="str">
        <f ca="1">IFERROR(__xludf.DUMMYFUNCTION("""COMPUTED_VALUE"""),"TE-EMBEDDED-T")</f>
        <v>TE-EMBEDDED-T</v>
      </c>
      <c r="T186" s="10">
        <f ca="1">IFERROR(__xludf.DUMMYFUNCTION("""COMPUTED_VALUE"""),0)</f>
        <v>0</v>
      </c>
      <c r="U186" s="2" t="e">
        <f ca="1"/>
        <v>#NAME?</v>
      </c>
      <c r="V186" s="2" t="e">
        <f ca="1"/>
        <v>#NAME?</v>
      </c>
      <c r="W186" s="2" t="e">
        <f ca="1"/>
        <v>#NAME?</v>
      </c>
      <c r="X186" s="2"/>
      <c r="Y186" s="2"/>
      <c r="Z186" s="2"/>
    </row>
    <row r="187" spans="1:26" ht="12.5" x14ac:dyDescent="0.25">
      <c r="A187" s="7" t="s">
        <v>163</v>
      </c>
      <c r="B187" s="6" t="s">
        <v>43</v>
      </c>
      <c r="C187" s="6" t="s">
        <v>22</v>
      </c>
      <c r="D187" s="6" t="s">
        <v>44</v>
      </c>
      <c r="E187" s="8"/>
      <c r="F187" s="6">
        <v>36</v>
      </c>
      <c r="G187" s="6" t="s">
        <v>25</v>
      </c>
      <c r="H187" s="6" t="s">
        <v>26</v>
      </c>
      <c r="I187" s="7">
        <v>1</v>
      </c>
      <c r="J187" s="8"/>
      <c r="K187" s="7">
        <v>0</v>
      </c>
      <c r="L187" s="7">
        <v>0</v>
      </c>
      <c r="M187" s="7">
        <v>0</v>
      </c>
      <c r="N187" s="7">
        <v>0</v>
      </c>
      <c r="O187" s="8"/>
      <c r="P187" s="2"/>
      <c r="Q187" s="2"/>
      <c r="R187" s="2" t="str">
        <v>C9300</v>
      </c>
      <c r="S187" s="2" t="str">
        <f ca="1">IFERROR(__xludf.DUMMYFUNCTION("""COMPUTED_VALUE"""),"TE-EMBEDDED-T-3Y")</f>
        <v>TE-EMBEDDED-T-3Y</v>
      </c>
      <c r="T187" s="10">
        <f ca="1">IFERROR(__xludf.DUMMYFUNCTION("""COMPUTED_VALUE"""),0)</f>
        <v>0</v>
      </c>
      <c r="U187" s="2" t="e">
        <f ca="1"/>
        <v>#NAME?</v>
      </c>
      <c r="V187" s="2" t="e">
        <f ca="1"/>
        <v>#NAME?</v>
      </c>
      <c r="W187" s="2" t="e">
        <f ca="1"/>
        <v>#NAME?</v>
      </c>
      <c r="X187" s="2"/>
      <c r="Y187" s="2"/>
      <c r="Z187" s="2"/>
    </row>
    <row r="188" spans="1:26" ht="12.5" x14ac:dyDescent="0.25">
      <c r="A188" s="7">
        <v>9.4</v>
      </c>
      <c r="B188" s="6" t="s">
        <v>164</v>
      </c>
      <c r="C188" s="6" t="s">
        <v>32</v>
      </c>
      <c r="D188" s="6" t="s">
        <v>165</v>
      </c>
      <c r="E188" s="8"/>
      <c r="F188" s="6" t="s">
        <v>25</v>
      </c>
      <c r="G188" s="6">
        <v>14</v>
      </c>
      <c r="H188" s="6" t="s">
        <v>32</v>
      </c>
      <c r="I188" s="7">
        <v>1</v>
      </c>
      <c r="J188" s="8"/>
      <c r="K188" s="7">
        <v>0</v>
      </c>
      <c r="L188" s="7">
        <v>0</v>
      </c>
      <c r="M188" s="7">
        <v>0</v>
      </c>
      <c r="N188" s="7">
        <v>0</v>
      </c>
      <c r="O188" s="8"/>
      <c r="P188" s="2"/>
      <c r="Q188" s="2"/>
      <c r="R188" s="2" t="str">
        <v>C9300</v>
      </c>
      <c r="S188" s="2" t="str">
        <f ca="1">IFERROR(__xludf.DUMMYFUNCTION("""COMPUTED_VALUE"""),"C9300-NW-A-24")</f>
        <v>C9300-NW-A-24</v>
      </c>
      <c r="T188" s="10">
        <f ca="1">IFERROR(__xludf.DUMMYFUNCTION("""COMPUTED_VALUE"""),0)</f>
        <v>0</v>
      </c>
      <c r="U188" s="2" t="e">
        <f ca="1"/>
        <v>#NAME?</v>
      </c>
      <c r="V188" s="2" t="e">
        <f ca="1"/>
        <v>#NAME?</v>
      </c>
      <c r="W188" s="2" t="e">
        <f ca="1"/>
        <v>#NAME?</v>
      </c>
      <c r="X188" s="2"/>
      <c r="Y188" s="2"/>
      <c r="Z188" s="2"/>
    </row>
    <row r="189" spans="1:26" ht="12.5" x14ac:dyDescent="0.25">
      <c r="A189" s="7">
        <v>9.5</v>
      </c>
      <c r="B189" s="6" t="s">
        <v>166</v>
      </c>
      <c r="C189" s="6" t="s">
        <v>22</v>
      </c>
      <c r="D189" s="6" t="s">
        <v>61</v>
      </c>
      <c r="E189" s="8"/>
      <c r="F189" s="6" t="s">
        <v>25</v>
      </c>
      <c r="G189" s="6">
        <v>14</v>
      </c>
      <c r="H189" s="6" t="s">
        <v>26</v>
      </c>
      <c r="I189" s="7">
        <v>1</v>
      </c>
      <c r="J189" s="8"/>
      <c r="K189" s="7">
        <v>0</v>
      </c>
      <c r="L189" s="7">
        <v>0</v>
      </c>
      <c r="M189" s="7">
        <v>0</v>
      </c>
      <c r="N189" s="7">
        <v>0</v>
      </c>
      <c r="O189" s="8"/>
      <c r="P189" s="2"/>
      <c r="Q189" s="2"/>
      <c r="R189" s="2" t="str">
        <v>C9300</v>
      </c>
      <c r="S189" s="2" t="str">
        <f ca="1">IFERROR(__xludf.DUMMYFUNCTION("""COMPUTED_VALUE"""),"C9300-SPS-NONE")</f>
        <v>C9300-SPS-NONE</v>
      </c>
      <c r="T189" s="10">
        <f ca="1">IFERROR(__xludf.DUMMYFUNCTION("""COMPUTED_VALUE"""),0)</f>
        <v>0</v>
      </c>
      <c r="U189" s="2" t="e">
        <f ca="1"/>
        <v>#NAME?</v>
      </c>
      <c r="V189" s="2" t="e">
        <f ca="1"/>
        <v>#NAME?</v>
      </c>
      <c r="W189" s="2" t="e">
        <f ca="1"/>
        <v>#NAME?</v>
      </c>
      <c r="X189" s="2"/>
      <c r="Y189" s="2"/>
      <c r="Z189" s="2"/>
    </row>
    <row r="190" spans="1:26" ht="12.5" x14ac:dyDescent="0.25">
      <c r="A190" s="7">
        <v>9.6</v>
      </c>
      <c r="B190" s="6" t="s">
        <v>62</v>
      </c>
      <c r="C190" s="6" t="s">
        <v>22</v>
      </c>
      <c r="D190" s="6" t="s">
        <v>63</v>
      </c>
      <c r="E190" s="8"/>
      <c r="F190" s="6" t="s">
        <v>25</v>
      </c>
      <c r="G190" s="6">
        <v>14</v>
      </c>
      <c r="H190" s="6" t="s">
        <v>26</v>
      </c>
      <c r="I190" s="7">
        <v>1</v>
      </c>
      <c r="J190" s="8"/>
      <c r="K190" s="7">
        <v>0</v>
      </c>
      <c r="L190" s="7">
        <v>0</v>
      </c>
      <c r="M190" s="7">
        <v>0</v>
      </c>
      <c r="N190" s="7">
        <v>0</v>
      </c>
      <c r="O190" s="8"/>
      <c r="P190" s="2"/>
      <c r="Q190" s="2"/>
      <c r="R190" s="2" t="str">
        <v>C9300</v>
      </c>
      <c r="S190" s="2" t="str">
        <f ca="1">IFERROR(__xludf.DUMMYFUNCTION("""COMPUTED_VALUE"""),"CAB-TA-EU")</f>
        <v>CAB-TA-EU</v>
      </c>
      <c r="T190" s="10">
        <f ca="1">IFERROR(__xludf.DUMMYFUNCTION("""COMPUTED_VALUE"""),0)</f>
        <v>0</v>
      </c>
      <c r="U190" s="2" t="e">
        <f ca="1"/>
        <v>#NAME?</v>
      </c>
      <c r="V190" s="2" t="e">
        <f ca="1"/>
        <v>#NAME?</v>
      </c>
      <c r="W190" s="2" t="e">
        <f ca="1"/>
        <v>#NAME?</v>
      </c>
      <c r="X190" s="2"/>
      <c r="Y190" s="2"/>
      <c r="Z190" s="2"/>
    </row>
    <row r="191" spans="1:26" ht="12.5" x14ac:dyDescent="0.25">
      <c r="A191" s="7">
        <v>9.6999999999999993</v>
      </c>
      <c r="B191" s="6" t="s">
        <v>64</v>
      </c>
      <c r="C191" s="6" t="s">
        <v>22</v>
      </c>
      <c r="D191" s="6" t="s">
        <v>65</v>
      </c>
      <c r="E191" s="8"/>
      <c r="F191" s="6" t="s">
        <v>25</v>
      </c>
      <c r="G191" s="6">
        <v>14</v>
      </c>
      <c r="H191" s="6" t="s">
        <v>26</v>
      </c>
      <c r="I191" s="7">
        <v>1</v>
      </c>
      <c r="J191" s="8"/>
      <c r="K191" s="9">
        <v>3162.96</v>
      </c>
      <c r="L191" s="9">
        <v>3162.96</v>
      </c>
      <c r="M191" s="7">
        <v>0</v>
      </c>
      <c r="N191" s="9">
        <v>3162.96</v>
      </c>
      <c r="O191" s="8"/>
      <c r="P191" s="2"/>
      <c r="Q191" s="2"/>
      <c r="R191" s="2" t="str">
        <v>C9300</v>
      </c>
      <c r="S191" s="2" t="str">
        <f ca="1">IFERROR(__xludf.DUMMYFUNCTION("""COMPUTED_VALUE"""),"SSD-240G")</f>
        <v>SSD-240G</v>
      </c>
      <c r="T191" s="10">
        <f ca="1">IFERROR(__xludf.DUMMYFUNCTION("""COMPUTED_VALUE"""),0)</f>
        <v>0</v>
      </c>
      <c r="U191" s="2" t="e">
        <f ca="1"/>
        <v>#NAME?</v>
      </c>
      <c r="V191" s="2" t="e">
        <f ca="1"/>
        <v>#NAME?</v>
      </c>
      <c r="W191" s="2" t="e">
        <f ca="1"/>
        <v>#NAME?</v>
      </c>
      <c r="X191" s="2"/>
      <c r="Y191" s="2"/>
      <c r="Z191" s="2"/>
    </row>
    <row r="192" spans="1:26" ht="12.5" x14ac:dyDescent="0.25">
      <c r="A192" s="7">
        <v>9.8000000000000007</v>
      </c>
      <c r="B192" s="6" t="s">
        <v>167</v>
      </c>
      <c r="C192" s="6" t="s">
        <v>22</v>
      </c>
      <c r="D192" s="6" t="s">
        <v>168</v>
      </c>
      <c r="E192" s="8"/>
      <c r="F192" s="6" t="s">
        <v>25</v>
      </c>
      <c r="G192" s="6">
        <v>14</v>
      </c>
      <c r="H192" s="6" t="s">
        <v>26</v>
      </c>
      <c r="I192" s="7">
        <v>1</v>
      </c>
      <c r="J192" s="8"/>
      <c r="K192" s="7">
        <v>121.7</v>
      </c>
      <c r="L192" s="7">
        <v>121.7</v>
      </c>
      <c r="M192" s="7">
        <v>0</v>
      </c>
      <c r="N192" s="7">
        <v>121.7</v>
      </c>
      <c r="O192" s="8"/>
      <c r="P192" s="2"/>
      <c r="Q192" s="2"/>
      <c r="R192" s="2" t="str">
        <v>C9300</v>
      </c>
      <c r="S192" s="2" t="str">
        <f ca="1">IFERROR(__xludf.DUMMYFUNCTION("""COMPUTED_VALUE"""),"STACK-T1-50CM")</f>
        <v>STACK-T1-50CM</v>
      </c>
      <c r="T192" s="10">
        <f ca="1">IFERROR(__xludf.DUMMYFUNCTION("""COMPUTED_VALUE"""),0)</f>
        <v>0</v>
      </c>
      <c r="U192" s="2" t="e">
        <f ca="1"/>
        <v>#NAME?</v>
      </c>
      <c r="V192" s="2" t="e">
        <f ca="1"/>
        <v>#NAME?</v>
      </c>
      <c r="W192" s="2" t="e">
        <f ca="1"/>
        <v>#NAME?</v>
      </c>
      <c r="X192" s="2"/>
      <c r="Y192" s="2"/>
      <c r="Z192" s="2"/>
    </row>
    <row r="193" spans="1:26" ht="12.5" x14ac:dyDescent="0.25">
      <c r="A193" s="7">
        <v>9.9</v>
      </c>
      <c r="B193" s="6" t="s">
        <v>169</v>
      </c>
      <c r="C193" s="6" t="s">
        <v>22</v>
      </c>
      <c r="D193" s="6" t="s">
        <v>170</v>
      </c>
      <c r="E193" s="8"/>
      <c r="F193" s="6" t="s">
        <v>25</v>
      </c>
      <c r="G193" s="6">
        <v>14</v>
      </c>
      <c r="H193" s="6" t="s">
        <v>26</v>
      </c>
      <c r="I193" s="7">
        <v>1</v>
      </c>
      <c r="J193" s="8"/>
      <c r="K193" s="7">
        <v>115.62</v>
      </c>
      <c r="L193" s="7">
        <v>115.62</v>
      </c>
      <c r="M193" s="7">
        <v>0</v>
      </c>
      <c r="N193" s="7">
        <v>115.62</v>
      </c>
      <c r="O193" s="8"/>
      <c r="P193" s="2"/>
      <c r="Q193" s="2"/>
      <c r="R193" s="2" t="str">
        <v>C9300</v>
      </c>
      <c r="S193" s="2" t="str">
        <f ca="1">IFERROR(__xludf.DUMMYFUNCTION("""COMPUTED_VALUE"""),"CAB-SPWR-30CM")</f>
        <v>CAB-SPWR-30CM</v>
      </c>
      <c r="T193" s="10">
        <f ca="1">IFERROR(__xludf.DUMMYFUNCTION("""COMPUTED_VALUE"""),0)</f>
        <v>0</v>
      </c>
      <c r="U193" s="2" t="e">
        <f ca="1"/>
        <v>#NAME?</v>
      </c>
      <c r="V193" s="2" t="e">
        <f ca="1"/>
        <v>#NAME?</v>
      </c>
      <c r="W193" s="2" t="e">
        <f ca="1"/>
        <v>#NAME?</v>
      </c>
      <c r="X193" s="2"/>
      <c r="Y193" s="2"/>
      <c r="Z193" s="2"/>
    </row>
    <row r="194" spans="1:26" ht="12.5" x14ac:dyDescent="0.25">
      <c r="A194" s="7">
        <v>9.1</v>
      </c>
      <c r="B194" s="6" t="s">
        <v>52</v>
      </c>
      <c r="C194" s="6" t="s">
        <v>22</v>
      </c>
      <c r="D194" s="6" t="s">
        <v>53</v>
      </c>
      <c r="E194" s="8"/>
      <c r="F194" s="6" t="s">
        <v>25</v>
      </c>
      <c r="G194" s="6">
        <v>14</v>
      </c>
      <c r="H194" s="6" t="s">
        <v>32</v>
      </c>
      <c r="I194" s="7">
        <v>1</v>
      </c>
      <c r="J194" s="8"/>
      <c r="K194" s="7">
        <v>0</v>
      </c>
      <c r="L194" s="7">
        <v>0</v>
      </c>
      <c r="M194" s="7">
        <v>0</v>
      </c>
      <c r="N194" s="7">
        <v>0</v>
      </c>
      <c r="O194" s="8"/>
      <c r="P194" s="2"/>
      <c r="Q194" s="2"/>
      <c r="R194" s="2" t="str">
        <v>C9300</v>
      </c>
      <c r="S194" s="2" t="str">
        <f ca="1">IFERROR(__xludf.DUMMYFUNCTION("""COMPUTED_VALUE"""),"PWR-C1-BLANK")</f>
        <v>PWR-C1-BLANK</v>
      </c>
      <c r="T194" s="10">
        <f ca="1">IFERROR(__xludf.DUMMYFUNCTION("""COMPUTED_VALUE"""),0)</f>
        <v>0</v>
      </c>
      <c r="U194" s="2" t="e">
        <f ca="1"/>
        <v>#NAME?</v>
      </c>
      <c r="V194" s="2" t="e">
        <f ca="1"/>
        <v>#NAME?</v>
      </c>
      <c r="W194" s="2" t="e">
        <f ca="1"/>
        <v>#NAME?</v>
      </c>
      <c r="X194" s="2"/>
      <c r="Y194" s="2"/>
      <c r="Z194" s="2"/>
    </row>
    <row r="195" spans="1:26" ht="12.5" x14ac:dyDescent="0.25">
      <c r="A195" s="7">
        <v>9.11</v>
      </c>
      <c r="B195" s="6" t="s">
        <v>86</v>
      </c>
      <c r="C195" s="6" t="s">
        <v>22</v>
      </c>
      <c r="D195" s="6" t="s">
        <v>87</v>
      </c>
      <c r="E195" s="8"/>
      <c r="F195" s="6" t="s">
        <v>25</v>
      </c>
      <c r="G195" s="6">
        <v>14</v>
      </c>
      <c r="H195" s="6" t="s">
        <v>32</v>
      </c>
      <c r="I195" s="7">
        <v>1</v>
      </c>
      <c r="J195" s="8"/>
      <c r="K195" s="7">
        <v>0</v>
      </c>
      <c r="L195" s="7">
        <v>0</v>
      </c>
      <c r="M195" s="7">
        <v>0</v>
      </c>
      <c r="N195" s="7">
        <v>0</v>
      </c>
      <c r="O195" s="8"/>
      <c r="P195" s="2"/>
      <c r="Q195" s="2"/>
      <c r="R195" s="2" t="str">
        <v>C9300</v>
      </c>
      <c r="S195" s="2" t="str">
        <f ca="1">IFERROR(__xludf.DUMMYFUNCTION("""COMPUTED_VALUE"""),"TE-C9K-SW")</f>
        <v>TE-C9K-SW</v>
      </c>
      <c r="T195" s="10">
        <f ca="1">IFERROR(__xludf.DUMMYFUNCTION("""COMPUTED_VALUE"""),0)</f>
        <v>0</v>
      </c>
      <c r="U195" s="2" t="e">
        <f ca="1"/>
        <v>#NAME?</v>
      </c>
      <c r="V195" s="2" t="e">
        <f ca="1"/>
        <v>#NAME?</v>
      </c>
      <c r="W195" s="2" t="e">
        <f ca="1"/>
        <v>#NAME?</v>
      </c>
      <c r="X195" s="2"/>
      <c r="Y195" s="2"/>
      <c r="Z195" s="2"/>
    </row>
    <row r="196" spans="1:26" ht="12.5" x14ac:dyDescent="0.25">
      <c r="A196" s="7">
        <v>9.1199999999999992</v>
      </c>
      <c r="B196" s="6" t="s">
        <v>66</v>
      </c>
      <c r="C196" s="6" t="s">
        <v>22</v>
      </c>
      <c r="D196" s="6" t="s">
        <v>67</v>
      </c>
      <c r="E196" s="8"/>
      <c r="F196" s="6" t="s">
        <v>25</v>
      </c>
      <c r="G196" s="6">
        <v>14</v>
      </c>
      <c r="H196" s="6" t="s">
        <v>32</v>
      </c>
      <c r="I196" s="7">
        <v>1</v>
      </c>
      <c r="J196" s="8"/>
      <c r="K196" s="7">
        <v>0</v>
      </c>
      <c r="L196" s="7">
        <v>0</v>
      </c>
      <c r="M196" s="7">
        <v>0</v>
      </c>
      <c r="N196" s="7">
        <v>0</v>
      </c>
      <c r="O196" s="8"/>
      <c r="P196" s="2"/>
      <c r="Q196" s="2"/>
      <c r="R196" s="2" t="str">
        <v>C9300</v>
      </c>
      <c r="S196" s="2" t="str">
        <f ca="1">IFERROR(__xludf.DUMMYFUNCTION("""COMPUTED_VALUE"""),"C9K-ACC-RBFT")</f>
        <v>C9K-ACC-RBFT</v>
      </c>
      <c r="T196" s="10">
        <f ca="1">IFERROR(__xludf.DUMMYFUNCTION("""COMPUTED_VALUE"""),0)</f>
        <v>0</v>
      </c>
      <c r="U196" s="2" t="e">
        <f ca="1"/>
        <v>#NAME?</v>
      </c>
      <c r="V196" s="2" t="e">
        <f ca="1"/>
        <v>#NAME?</v>
      </c>
      <c r="W196" s="2" t="e">
        <f ca="1"/>
        <v>#NAME?</v>
      </c>
      <c r="X196" s="2"/>
      <c r="Y196" s="2"/>
      <c r="Z196" s="2"/>
    </row>
    <row r="197" spans="1:26" ht="12.5" x14ac:dyDescent="0.25">
      <c r="A197" s="7">
        <v>9.1300000000000008</v>
      </c>
      <c r="B197" s="6" t="s">
        <v>68</v>
      </c>
      <c r="C197" s="6" t="s">
        <v>22</v>
      </c>
      <c r="D197" s="6" t="s">
        <v>69</v>
      </c>
      <c r="E197" s="8"/>
      <c r="F197" s="6" t="s">
        <v>25</v>
      </c>
      <c r="G197" s="6">
        <v>14</v>
      </c>
      <c r="H197" s="6" t="s">
        <v>32</v>
      </c>
      <c r="I197" s="7">
        <v>1</v>
      </c>
      <c r="J197" s="8"/>
      <c r="K197" s="7">
        <v>0</v>
      </c>
      <c r="L197" s="7">
        <v>0</v>
      </c>
      <c r="M197" s="7">
        <v>0</v>
      </c>
      <c r="N197" s="7">
        <v>0</v>
      </c>
      <c r="O197" s="8"/>
      <c r="P197" s="2"/>
      <c r="Q197" s="2"/>
      <c r="R197" s="2" t="str">
        <v>C9300</v>
      </c>
      <c r="S197" s="2" t="str">
        <f ca="1">IFERROR(__xludf.DUMMYFUNCTION("""COMPUTED_VALUE"""),"C9K-ACC-SCR-4")</f>
        <v>C9K-ACC-SCR-4</v>
      </c>
      <c r="T197" s="10">
        <f ca="1">IFERROR(__xludf.DUMMYFUNCTION("""COMPUTED_VALUE"""),0)</f>
        <v>0</v>
      </c>
      <c r="U197" s="2" t="e">
        <f ca="1"/>
        <v>#NAME?</v>
      </c>
      <c r="V197" s="2" t="e">
        <f ca="1"/>
        <v>#NAME?</v>
      </c>
      <c r="W197" s="2" t="e">
        <f ca="1"/>
        <v>#NAME?</v>
      </c>
      <c r="X197" s="2"/>
      <c r="Y197" s="2"/>
      <c r="Z197" s="2"/>
    </row>
    <row r="198" spans="1:26" ht="12.5" x14ac:dyDescent="0.25">
      <c r="A198" s="7">
        <v>9.14</v>
      </c>
      <c r="B198" s="6" t="s">
        <v>70</v>
      </c>
      <c r="C198" s="6" t="s">
        <v>22</v>
      </c>
      <c r="D198" s="6" t="s">
        <v>71</v>
      </c>
      <c r="E198" s="8"/>
      <c r="F198" s="6" t="s">
        <v>25</v>
      </c>
      <c r="G198" s="6">
        <v>14</v>
      </c>
      <c r="H198" s="6" t="s">
        <v>32</v>
      </c>
      <c r="I198" s="7">
        <v>1</v>
      </c>
      <c r="J198" s="8"/>
      <c r="K198" s="7">
        <v>0</v>
      </c>
      <c r="L198" s="7">
        <v>0</v>
      </c>
      <c r="M198" s="7">
        <v>0</v>
      </c>
      <c r="N198" s="7">
        <v>0</v>
      </c>
      <c r="O198" s="8"/>
      <c r="P198" s="2"/>
      <c r="Q198" s="2"/>
      <c r="R198" s="2" t="str">
        <v>C9300</v>
      </c>
      <c r="S198" s="2" t="str">
        <f ca="1">IFERROR(__xludf.DUMMYFUNCTION("""COMPUTED_VALUE"""),"CAB-GUIDE-1RU")</f>
        <v>CAB-GUIDE-1RU</v>
      </c>
      <c r="T198" s="10">
        <f ca="1">IFERROR(__xludf.DUMMYFUNCTION("""COMPUTED_VALUE"""),0)</f>
        <v>0</v>
      </c>
      <c r="U198" s="2" t="e">
        <f ca="1"/>
        <v>#NAME?</v>
      </c>
      <c r="V198" s="2" t="e">
        <f ca="1"/>
        <v>#NAME?</v>
      </c>
      <c r="W198" s="2" t="e">
        <f ca="1"/>
        <v>#NAME?</v>
      </c>
      <c r="X198" s="2"/>
      <c r="Y198" s="2"/>
      <c r="Z198" s="2"/>
    </row>
    <row r="199" spans="1:26" ht="12.5" x14ac:dyDescent="0.25">
      <c r="A199" s="7">
        <v>9.15</v>
      </c>
      <c r="B199" s="6" t="s">
        <v>171</v>
      </c>
      <c r="C199" s="6" t="s">
        <v>22</v>
      </c>
      <c r="D199" s="6" t="s">
        <v>172</v>
      </c>
      <c r="E199" s="8"/>
      <c r="F199" s="6" t="s">
        <v>25</v>
      </c>
      <c r="G199" s="6">
        <v>14</v>
      </c>
      <c r="H199" s="6" t="s">
        <v>26</v>
      </c>
      <c r="I199" s="7">
        <v>1</v>
      </c>
      <c r="J199" s="8"/>
      <c r="K199" s="9">
        <v>3103.4</v>
      </c>
      <c r="L199" s="9">
        <v>3103.4</v>
      </c>
      <c r="M199" s="7">
        <v>0</v>
      </c>
      <c r="N199" s="9">
        <v>3103.4</v>
      </c>
      <c r="O199" s="8"/>
      <c r="P199" s="2"/>
      <c r="Q199" s="2"/>
      <c r="R199" s="2" t="str">
        <v>C9300</v>
      </c>
      <c r="S199" s="2" t="str">
        <f ca="1">IFERROR(__xludf.DUMMYFUNCTION("""COMPUTED_VALUE"""),"C9300-NM-8X")</f>
        <v>C9300-NM-8X</v>
      </c>
      <c r="T199" s="10">
        <f ca="1">IFERROR(__xludf.DUMMYFUNCTION("""COMPUTED_VALUE"""),0)</f>
        <v>0</v>
      </c>
      <c r="U199" s="2" t="e">
        <f ca="1"/>
        <v>#NAME?</v>
      </c>
      <c r="V199" s="2" t="e">
        <f ca="1"/>
        <v>#NAME?</v>
      </c>
      <c r="W199" s="2" t="e">
        <f ca="1"/>
        <v>#NAME?</v>
      </c>
      <c r="X199" s="2"/>
      <c r="Y199" s="2"/>
      <c r="Z199" s="2"/>
    </row>
    <row r="200" spans="1:26" ht="12.5" x14ac:dyDescent="0.25">
      <c r="A200" s="7">
        <v>9.16</v>
      </c>
      <c r="B200" s="6" t="s">
        <v>72</v>
      </c>
      <c r="C200" s="6" t="s">
        <v>32</v>
      </c>
      <c r="D200" s="6" t="s">
        <v>73</v>
      </c>
      <c r="E200" s="8"/>
      <c r="F200" s="6" t="s">
        <v>25</v>
      </c>
      <c r="G200" s="6">
        <v>2</v>
      </c>
      <c r="H200" s="6" t="s">
        <v>32</v>
      </c>
      <c r="I200" s="7">
        <v>1</v>
      </c>
      <c r="J200" s="8"/>
      <c r="K200" s="7">
        <v>0</v>
      </c>
      <c r="L200" s="7">
        <v>0</v>
      </c>
      <c r="M200" s="7">
        <v>0</v>
      </c>
      <c r="N200" s="7">
        <v>0</v>
      </c>
      <c r="O200" s="8"/>
      <c r="P200" s="2"/>
      <c r="Q200" s="2"/>
      <c r="R200" s="2" t="str">
        <v>C9300</v>
      </c>
      <c r="S200" s="2" t="str">
        <f ca="1">IFERROR(__xludf.DUMMYFUNCTION("""COMPUTED_VALUE"""),"NETWORK-PNP-LIC")</f>
        <v>NETWORK-PNP-LIC</v>
      </c>
      <c r="T200" s="10">
        <f ca="1">IFERROR(__xludf.DUMMYFUNCTION("""COMPUTED_VALUE"""),0)</f>
        <v>0</v>
      </c>
      <c r="U200" s="2" t="e">
        <f ca="1"/>
        <v>#NAME?</v>
      </c>
      <c r="V200" s="2" t="e">
        <f ca="1"/>
        <v>#NAME?</v>
      </c>
      <c r="W200" s="2" t="e">
        <f ca="1"/>
        <v>#NAME?</v>
      </c>
      <c r="X200" s="2"/>
      <c r="Y200" s="2"/>
      <c r="Z200" s="2"/>
    </row>
    <row r="201" spans="1:26" ht="12.5" x14ac:dyDescent="0.25">
      <c r="A201" s="7">
        <v>9.17</v>
      </c>
      <c r="B201" s="6" t="s">
        <v>58</v>
      </c>
      <c r="C201" s="6" t="s">
        <v>22</v>
      </c>
      <c r="D201" s="6" t="s">
        <v>59</v>
      </c>
      <c r="E201" s="8"/>
      <c r="F201" s="6" t="s">
        <v>25</v>
      </c>
      <c r="G201" s="6">
        <v>14</v>
      </c>
      <c r="H201" s="6" t="s">
        <v>32</v>
      </c>
      <c r="I201" s="7">
        <v>1</v>
      </c>
      <c r="J201" s="8"/>
      <c r="K201" s="7">
        <v>0</v>
      </c>
      <c r="L201" s="7">
        <v>0</v>
      </c>
      <c r="M201" s="7">
        <v>0</v>
      </c>
      <c r="N201" s="7">
        <v>0</v>
      </c>
      <c r="O201" s="8"/>
      <c r="P201" s="2"/>
      <c r="Q201" s="2"/>
      <c r="R201" s="2" t="str">
        <v>C9300</v>
      </c>
      <c r="S201" s="2" t="str">
        <f ca="1">IFERROR(__xludf.DUMMYFUNCTION("""COMPUTED_VALUE"""),"PWR-C1-350WAC-P")</f>
        <v>PWR-C1-350WAC-P</v>
      </c>
      <c r="T201" s="10">
        <f ca="1">IFERROR(__xludf.DUMMYFUNCTION("""COMPUTED_VALUE"""),0)</f>
        <v>0</v>
      </c>
      <c r="U201" s="2" t="e">
        <f ca="1"/>
        <v>#NAME?</v>
      </c>
      <c r="V201" s="2" t="e">
        <f ca="1"/>
        <v>#NAME?</v>
      </c>
      <c r="W201" s="2" t="e">
        <f ca="1"/>
        <v>#NAME?</v>
      </c>
      <c r="X201" s="2"/>
      <c r="Y201" s="2"/>
      <c r="Z201" s="2"/>
    </row>
    <row r="202" spans="1:26" ht="12.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 t="s">
        <v>76</v>
      </c>
      <c r="N202" s="13">
        <v>18011.91</v>
      </c>
      <c r="O202" s="14"/>
      <c r="P202" s="2"/>
      <c r="Q202" s="2"/>
      <c r="R202" s="2" t="str">
        <v/>
      </c>
      <c r="S202" s="2" t="str">
        <f ca="1">IFERROR(__xludf.DUMMYFUNCTION("""COMPUTED_VALUE"""),"")</f>
        <v/>
      </c>
      <c r="T202" s="2" t="str">
        <f ca="1">IFERROR(__xludf.DUMMYFUNCTION("""COMPUTED_VALUE"""),"")</f>
        <v/>
      </c>
      <c r="U202" s="2" t="e">
        <f ca="1"/>
        <v>#NAME?</v>
      </c>
      <c r="V202" s="2" t="e">
        <f ca="1"/>
        <v>#NAME?</v>
      </c>
      <c r="W202" s="2" t="str">
        <f ca="1"/>
        <v/>
      </c>
      <c r="X202" s="2"/>
      <c r="Y202" s="2"/>
      <c r="Z202" s="2"/>
    </row>
    <row r="203" spans="1:26" ht="12.5" x14ac:dyDescent="0.25">
      <c r="A203" s="5">
        <v>10</v>
      </c>
      <c r="B203" s="5" t="s">
        <v>173</v>
      </c>
      <c r="C203" s="6" t="s">
        <v>22</v>
      </c>
      <c r="D203" s="6" t="s">
        <v>174</v>
      </c>
      <c r="E203" s="6" t="s">
        <v>24</v>
      </c>
      <c r="F203" s="6" t="s">
        <v>25</v>
      </c>
      <c r="G203" s="6">
        <v>14</v>
      </c>
      <c r="H203" s="6" t="s">
        <v>26</v>
      </c>
      <c r="I203" s="7">
        <v>1</v>
      </c>
      <c r="J203" s="8"/>
      <c r="K203" s="9">
        <v>8626.93</v>
      </c>
      <c r="L203" s="9">
        <v>8626.93</v>
      </c>
      <c r="M203" s="7">
        <v>0</v>
      </c>
      <c r="N203" s="9">
        <v>8626.93</v>
      </c>
      <c r="O203" s="8"/>
      <c r="P203" s="2"/>
      <c r="Q203" s="2"/>
      <c r="R203" s="2" t="str">
        <v>C9300</v>
      </c>
      <c r="S203" s="2" t="str">
        <f ca="1">IFERROR(__xludf.DUMMYFUNCTION("""COMPUTED_VALUE"""),"C9300-24P-A")</f>
        <v>C9300-24P-A</v>
      </c>
      <c r="T203" s="10">
        <f ca="1">IFERROR(__xludf.DUMMYFUNCTION("""COMPUTED_VALUE"""),1)</f>
        <v>1</v>
      </c>
      <c r="U203" s="2" t="e">
        <f ca="1"/>
        <v>#NAME?</v>
      </c>
      <c r="V203" s="2" t="e">
        <f ca="1"/>
        <v>#NAME?</v>
      </c>
      <c r="W203" s="2" t="e">
        <f ca="1"/>
        <v>#NAME?</v>
      </c>
      <c r="X203" s="2"/>
      <c r="Y203" s="2"/>
      <c r="Z203" s="2"/>
    </row>
    <row r="204" spans="1:26" ht="12.5" x14ac:dyDescent="0.25">
      <c r="A204" s="7" t="s">
        <v>175</v>
      </c>
      <c r="B204" s="6" t="s">
        <v>176</v>
      </c>
      <c r="C204" s="6" t="s">
        <v>22</v>
      </c>
      <c r="D204" s="6" t="s">
        <v>177</v>
      </c>
      <c r="E204" s="8"/>
      <c r="F204" s="6">
        <v>24</v>
      </c>
      <c r="G204" s="6" t="s">
        <v>25</v>
      </c>
      <c r="H204" s="6" t="s">
        <v>26</v>
      </c>
      <c r="I204" s="7">
        <v>1</v>
      </c>
      <c r="J204" s="8"/>
      <c r="K204" s="9">
        <v>1727</v>
      </c>
      <c r="L204" s="9">
        <v>1727</v>
      </c>
      <c r="M204" s="7">
        <v>0</v>
      </c>
      <c r="N204" s="9">
        <v>1727</v>
      </c>
      <c r="O204" s="6" t="s">
        <v>30</v>
      </c>
      <c r="P204" s="2"/>
      <c r="Q204" s="2"/>
      <c r="R204" s="2" t="str">
        <v>C9300</v>
      </c>
      <c r="S204" s="2" t="str">
        <f ca="1">IFERROR(__xludf.DUMMYFUNCTION("""COMPUTED_VALUE"""),"CON-L1NBD-C93002PA")</f>
        <v>CON-L1NBD-C93002PA</v>
      </c>
      <c r="T204" s="10">
        <f ca="1">IFERROR(__xludf.DUMMYFUNCTION("""COMPUTED_VALUE"""),0)</f>
        <v>0</v>
      </c>
      <c r="U204" s="2" t="e">
        <f ca="1"/>
        <v>#NAME?</v>
      </c>
      <c r="V204" s="2" t="e">
        <f ca="1"/>
        <v>#NAME?</v>
      </c>
      <c r="W204" s="2" t="e">
        <f ca="1"/>
        <v>#NAME?</v>
      </c>
      <c r="X204" s="2"/>
      <c r="Y204" s="2"/>
      <c r="Z204" s="2"/>
    </row>
    <row r="205" spans="1:26" ht="12.5" x14ac:dyDescent="0.25">
      <c r="A205" s="7">
        <v>10.1</v>
      </c>
      <c r="B205" s="6" t="s">
        <v>154</v>
      </c>
      <c r="C205" s="6" t="s">
        <v>32</v>
      </c>
      <c r="D205" s="6" t="s">
        <v>155</v>
      </c>
      <c r="E205" s="8"/>
      <c r="F205" s="6" t="s">
        <v>25</v>
      </c>
      <c r="G205" s="6">
        <v>14</v>
      </c>
      <c r="H205" s="6" t="s">
        <v>26</v>
      </c>
      <c r="I205" s="7">
        <v>1</v>
      </c>
      <c r="J205" s="8"/>
      <c r="K205" s="9">
        <v>0</v>
      </c>
      <c r="L205" s="9">
        <v>0</v>
      </c>
      <c r="M205" s="7">
        <v>0</v>
      </c>
      <c r="N205" s="9">
        <v>0</v>
      </c>
      <c r="O205" s="8"/>
      <c r="P205" s="2"/>
      <c r="Q205" s="2"/>
      <c r="R205" s="2" t="str">
        <v>C9300</v>
      </c>
      <c r="S205" s="2" t="str">
        <f ca="1">IFERROR(__xludf.DUMMYFUNCTION("""COMPUTED_VALUE"""),"C9300-DNA-A-24")</f>
        <v>C9300-DNA-A-24</v>
      </c>
      <c r="T205" s="10">
        <f ca="1">IFERROR(__xludf.DUMMYFUNCTION("""COMPUTED_VALUE"""),0)</f>
        <v>0</v>
      </c>
      <c r="U205" s="2" t="e">
        <f ca="1"/>
        <v>#NAME?</v>
      </c>
      <c r="V205" s="2" t="e">
        <f ca="1"/>
        <v>#NAME?</v>
      </c>
      <c r="W205" s="2" t="e">
        <f ca="1"/>
        <v>#NAME?</v>
      </c>
      <c r="X205" s="2"/>
      <c r="Y205" s="2"/>
      <c r="Z205" s="2"/>
    </row>
    <row r="206" spans="1:26" ht="12.5" x14ac:dyDescent="0.25">
      <c r="A206" s="7" t="s">
        <v>178</v>
      </c>
      <c r="B206" s="6" t="s">
        <v>157</v>
      </c>
      <c r="C206" s="6" t="s">
        <v>22</v>
      </c>
      <c r="D206" s="6" t="s">
        <v>158</v>
      </c>
      <c r="E206" s="8"/>
      <c r="F206" s="6">
        <v>24</v>
      </c>
      <c r="G206" s="6" t="s">
        <v>25</v>
      </c>
      <c r="H206" s="6" t="s">
        <v>26</v>
      </c>
      <c r="I206" s="7">
        <v>1</v>
      </c>
      <c r="J206" s="8"/>
      <c r="K206" s="7">
        <v>324.5</v>
      </c>
      <c r="L206" s="7">
        <v>324.5</v>
      </c>
      <c r="M206" s="7">
        <v>0</v>
      </c>
      <c r="N206" s="7">
        <v>324.5</v>
      </c>
      <c r="O206" s="6" t="s">
        <v>30</v>
      </c>
      <c r="P206" s="2"/>
      <c r="Q206" s="2"/>
      <c r="R206" s="2" t="str">
        <v>C9300</v>
      </c>
      <c r="S206" s="2" t="str">
        <f ca="1">IFERROR(__xludf.DUMMYFUNCTION("""COMPUTED_VALUE"""),"CON-L1SWT-C93A24")</f>
        <v>CON-L1SWT-C93A24</v>
      </c>
      <c r="T206" s="10">
        <f ca="1">IFERROR(__xludf.DUMMYFUNCTION("""COMPUTED_VALUE"""),0)</f>
        <v>0</v>
      </c>
      <c r="U206" s="2" t="e">
        <f ca="1"/>
        <v>#NAME?</v>
      </c>
      <c r="V206" s="2" t="e">
        <f ca="1"/>
        <v>#NAME?</v>
      </c>
      <c r="W206" s="2" t="e">
        <f ca="1"/>
        <v>#NAME?</v>
      </c>
      <c r="X206" s="2"/>
      <c r="Y206" s="2"/>
      <c r="Z206" s="2"/>
    </row>
    <row r="207" spans="1:26" ht="12.5" x14ac:dyDescent="0.25">
      <c r="A207" s="7" t="s">
        <v>179</v>
      </c>
      <c r="B207" s="6" t="s">
        <v>160</v>
      </c>
      <c r="C207" s="6" t="s">
        <v>22</v>
      </c>
      <c r="D207" s="6" t="s">
        <v>161</v>
      </c>
      <c r="E207" s="8"/>
      <c r="F207" s="6">
        <v>36</v>
      </c>
      <c r="G207" s="6" t="s">
        <v>25</v>
      </c>
      <c r="H207" s="6" t="s">
        <v>26</v>
      </c>
      <c r="I207" s="7">
        <v>1</v>
      </c>
      <c r="J207" s="8"/>
      <c r="K207" s="9">
        <v>2365.77</v>
      </c>
      <c r="L207" s="9">
        <v>2365.77</v>
      </c>
      <c r="M207" s="7">
        <v>0</v>
      </c>
      <c r="N207" s="9">
        <v>2365.77</v>
      </c>
      <c r="O207" s="8"/>
      <c r="P207" s="2"/>
      <c r="Q207" s="2"/>
      <c r="R207" s="2" t="str">
        <v>C9300</v>
      </c>
      <c r="S207" s="2" t="str">
        <f ca="1">IFERROR(__xludf.DUMMYFUNCTION("""COMPUTED_VALUE"""),"C9300-DNA-A-24-3Y")</f>
        <v>C9300-DNA-A-24-3Y</v>
      </c>
      <c r="T207" s="10">
        <f ca="1">IFERROR(__xludf.DUMMYFUNCTION("""COMPUTED_VALUE"""),0)</f>
        <v>0</v>
      </c>
      <c r="U207" s="2" t="e">
        <f ca="1"/>
        <v>#NAME?</v>
      </c>
      <c r="V207" s="2" t="e">
        <f ca="1"/>
        <v>#NAME?</v>
      </c>
      <c r="W207" s="2" t="e">
        <f ca="1"/>
        <v>#NAME?</v>
      </c>
      <c r="X207" s="2"/>
      <c r="Y207" s="2"/>
      <c r="Z207" s="2"/>
    </row>
    <row r="208" spans="1:26" ht="12.5" x14ac:dyDescent="0.25">
      <c r="A208" s="7">
        <v>10.199999999999999</v>
      </c>
      <c r="B208" s="6" t="s">
        <v>45</v>
      </c>
      <c r="C208" s="6" t="s">
        <v>32</v>
      </c>
      <c r="D208" s="6" t="s">
        <v>46</v>
      </c>
      <c r="E208" s="8"/>
      <c r="F208" s="6" t="s">
        <v>25</v>
      </c>
      <c r="G208" s="6">
        <v>14</v>
      </c>
      <c r="H208" s="6" t="s">
        <v>32</v>
      </c>
      <c r="I208" s="7">
        <v>1</v>
      </c>
      <c r="J208" s="8"/>
      <c r="K208" s="9">
        <v>0</v>
      </c>
      <c r="L208" s="9">
        <v>0</v>
      </c>
      <c r="M208" s="7">
        <v>0</v>
      </c>
      <c r="N208" s="9">
        <v>0</v>
      </c>
      <c r="O208" s="8"/>
      <c r="P208" s="2"/>
      <c r="Q208" s="2"/>
      <c r="R208" s="2" t="str">
        <v>C9300</v>
      </c>
      <c r="S208" s="2" t="str">
        <f ca="1">IFERROR(__xludf.DUMMYFUNCTION("""COMPUTED_VALUE"""),"D-DNAS-EXT-S-T")</f>
        <v>D-DNAS-EXT-S-T</v>
      </c>
      <c r="T208" s="10">
        <f ca="1">IFERROR(__xludf.DUMMYFUNCTION("""COMPUTED_VALUE"""),0)</f>
        <v>0</v>
      </c>
      <c r="U208" s="2" t="e">
        <f ca="1"/>
        <v>#NAME?</v>
      </c>
      <c r="V208" s="2" t="e">
        <f ca="1"/>
        <v>#NAME?</v>
      </c>
      <c r="W208" s="2" t="e">
        <f ca="1"/>
        <v>#NAME?</v>
      </c>
      <c r="X208" s="2"/>
      <c r="Y208" s="2"/>
      <c r="Z208" s="2"/>
    </row>
    <row r="209" spans="1:26" ht="12.5" x14ac:dyDescent="0.25">
      <c r="A209" s="7" t="s">
        <v>180</v>
      </c>
      <c r="B209" s="6" t="s">
        <v>48</v>
      </c>
      <c r="C209" s="6" t="s">
        <v>22</v>
      </c>
      <c r="D209" s="6" t="s">
        <v>49</v>
      </c>
      <c r="E209" s="8"/>
      <c r="F209" s="6">
        <v>36</v>
      </c>
      <c r="G209" s="6" t="s">
        <v>25</v>
      </c>
      <c r="H209" s="6" t="s">
        <v>26</v>
      </c>
      <c r="I209" s="7">
        <v>1</v>
      </c>
      <c r="J209" s="8"/>
      <c r="K209" s="7">
        <v>0</v>
      </c>
      <c r="L209" s="7">
        <v>0</v>
      </c>
      <c r="M209" s="7">
        <v>0</v>
      </c>
      <c r="N209" s="7">
        <v>0</v>
      </c>
      <c r="O209" s="8"/>
      <c r="P209" s="2"/>
      <c r="Q209" s="2"/>
      <c r="R209" s="2" t="str">
        <v>C9300</v>
      </c>
      <c r="S209" s="2" t="str">
        <f ca="1">IFERROR(__xludf.DUMMYFUNCTION("""COMPUTED_VALUE"""),"D-DNAS-EXT-S-3Y")</f>
        <v>D-DNAS-EXT-S-3Y</v>
      </c>
      <c r="T209" s="10">
        <f ca="1">IFERROR(__xludf.DUMMYFUNCTION("""COMPUTED_VALUE"""),0)</f>
        <v>0</v>
      </c>
      <c r="U209" s="2" t="e">
        <f ca="1"/>
        <v>#NAME?</v>
      </c>
      <c r="V209" s="2" t="e">
        <f ca="1"/>
        <v>#NAME?</v>
      </c>
      <c r="W209" s="2" t="e">
        <f ca="1"/>
        <v>#NAME?</v>
      </c>
      <c r="X209" s="2"/>
      <c r="Y209" s="2"/>
      <c r="Z209" s="2"/>
    </row>
    <row r="210" spans="1:26" ht="12.5" x14ac:dyDescent="0.25">
      <c r="A210" s="7">
        <v>10.3</v>
      </c>
      <c r="B210" s="6" t="s">
        <v>40</v>
      </c>
      <c r="C210" s="6" t="s">
        <v>32</v>
      </c>
      <c r="D210" s="6" t="s">
        <v>41</v>
      </c>
      <c r="E210" s="8"/>
      <c r="F210" s="6" t="s">
        <v>25</v>
      </c>
      <c r="G210" s="6">
        <v>14</v>
      </c>
      <c r="H210" s="6" t="s">
        <v>32</v>
      </c>
      <c r="I210" s="7">
        <v>1</v>
      </c>
      <c r="J210" s="8"/>
      <c r="K210" s="7">
        <v>0</v>
      </c>
      <c r="L210" s="7">
        <v>0</v>
      </c>
      <c r="M210" s="7">
        <v>0</v>
      </c>
      <c r="N210" s="7">
        <v>0</v>
      </c>
      <c r="O210" s="8"/>
      <c r="P210" s="2"/>
      <c r="Q210" s="2"/>
      <c r="R210" s="2" t="str">
        <v>C9300</v>
      </c>
      <c r="S210" s="2" t="str">
        <f ca="1">IFERROR(__xludf.DUMMYFUNCTION("""COMPUTED_VALUE"""),"TE-EMBEDDED-T")</f>
        <v>TE-EMBEDDED-T</v>
      </c>
      <c r="T210" s="10">
        <f ca="1">IFERROR(__xludf.DUMMYFUNCTION("""COMPUTED_VALUE"""),0)</f>
        <v>0</v>
      </c>
      <c r="U210" s="2" t="e">
        <f ca="1"/>
        <v>#NAME?</v>
      </c>
      <c r="V210" s="2" t="e">
        <f ca="1"/>
        <v>#NAME?</v>
      </c>
      <c r="W210" s="2" t="e">
        <f ca="1"/>
        <v>#NAME?</v>
      </c>
      <c r="X210" s="2"/>
      <c r="Y210" s="2"/>
      <c r="Z210" s="2"/>
    </row>
    <row r="211" spans="1:26" ht="12.5" x14ac:dyDescent="0.25">
      <c r="A211" s="7" t="s">
        <v>181</v>
      </c>
      <c r="B211" s="6" t="s">
        <v>43</v>
      </c>
      <c r="C211" s="6" t="s">
        <v>22</v>
      </c>
      <c r="D211" s="6" t="s">
        <v>44</v>
      </c>
      <c r="E211" s="8"/>
      <c r="F211" s="6">
        <v>36</v>
      </c>
      <c r="G211" s="6" t="s">
        <v>25</v>
      </c>
      <c r="H211" s="6" t="s">
        <v>26</v>
      </c>
      <c r="I211" s="7">
        <v>1</v>
      </c>
      <c r="J211" s="8"/>
      <c r="K211" s="7">
        <v>0</v>
      </c>
      <c r="L211" s="7">
        <v>0</v>
      </c>
      <c r="M211" s="7">
        <v>0</v>
      </c>
      <c r="N211" s="7">
        <v>0</v>
      </c>
      <c r="O211" s="8"/>
      <c r="P211" s="2"/>
      <c r="Q211" s="2"/>
      <c r="R211" s="2" t="str">
        <v>C9300</v>
      </c>
      <c r="S211" s="2" t="str">
        <f ca="1">IFERROR(__xludf.DUMMYFUNCTION("""COMPUTED_VALUE"""),"TE-EMBEDDED-T-3Y")</f>
        <v>TE-EMBEDDED-T-3Y</v>
      </c>
      <c r="T211" s="10">
        <f ca="1">IFERROR(__xludf.DUMMYFUNCTION("""COMPUTED_VALUE"""),0)</f>
        <v>0</v>
      </c>
      <c r="U211" s="2" t="e">
        <f ca="1"/>
        <v>#NAME?</v>
      </c>
      <c r="V211" s="2" t="e">
        <f ca="1"/>
        <v>#NAME?</v>
      </c>
      <c r="W211" s="2" t="e">
        <f ca="1"/>
        <v>#NAME?</v>
      </c>
      <c r="X211" s="2"/>
      <c r="Y211" s="2"/>
      <c r="Z211" s="2"/>
    </row>
    <row r="212" spans="1:26" ht="12.5" x14ac:dyDescent="0.25">
      <c r="A212" s="7">
        <v>10.4</v>
      </c>
      <c r="B212" s="6" t="s">
        <v>164</v>
      </c>
      <c r="C212" s="6" t="s">
        <v>32</v>
      </c>
      <c r="D212" s="6" t="s">
        <v>165</v>
      </c>
      <c r="E212" s="8"/>
      <c r="F212" s="6" t="s">
        <v>25</v>
      </c>
      <c r="G212" s="6">
        <v>14</v>
      </c>
      <c r="H212" s="6" t="s">
        <v>32</v>
      </c>
      <c r="I212" s="7">
        <v>1</v>
      </c>
      <c r="J212" s="8"/>
      <c r="K212" s="7">
        <v>0</v>
      </c>
      <c r="L212" s="7">
        <v>0</v>
      </c>
      <c r="M212" s="7">
        <v>0</v>
      </c>
      <c r="N212" s="7">
        <v>0</v>
      </c>
      <c r="O212" s="8"/>
      <c r="P212" s="2"/>
      <c r="Q212" s="2"/>
      <c r="R212" s="2" t="str">
        <v>C9300</v>
      </c>
      <c r="S212" s="2" t="str">
        <f ca="1">IFERROR(__xludf.DUMMYFUNCTION("""COMPUTED_VALUE"""),"C9300-NW-A-24")</f>
        <v>C9300-NW-A-24</v>
      </c>
      <c r="T212" s="10">
        <f ca="1">IFERROR(__xludf.DUMMYFUNCTION("""COMPUTED_VALUE"""),0)</f>
        <v>0</v>
      </c>
      <c r="U212" s="2" t="e">
        <f ca="1"/>
        <v>#NAME?</v>
      </c>
      <c r="V212" s="2" t="e">
        <f ca="1"/>
        <v>#NAME?</v>
      </c>
      <c r="W212" s="2" t="e">
        <f ca="1"/>
        <v>#NAME?</v>
      </c>
      <c r="X212" s="2"/>
      <c r="Y212" s="2"/>
      <c r="Z212" s="2"/>
    </row>
    <row r="213" spans="1:26" ht="12.5" x14ac:dyDescent="0.25">
      <c r="A213" s="7">
        <v>10.5</v>
      </c>
      <c r="B213" s="6" t="s">
        <v>88</v>
      </c>
      <c r="C213" s="6" t="s">
        <v>22</v>
      </c>
      <c r="D213" s="6" t="s">
        <v>89</v>
      </c>
      <c r="E213" s="8"/>
      <c r="F213" s="6" t="s">
        <v>25</v>
      </c>
      <c r="G213" s="6">
        <v>14</v>
      </c>
      <c r="H213" s="6" t="s">
        <v>32</v>
      </c>
      <c r="I213" s="7">
        <v>1</v>
      </c>
      <c r="J213" s="8"/>
      <c r="K213" s="7">
        <v>0</v>
      </c>
      <c r="L213" s="7">
        <v>0</v>
      </c>
      <c r="M213" s="7">
        <v>0</v>
      </c>
      <c r="N213" s="7">
        <v>0</v>
      </c>
      <c r="O213" s="8"/>
      <c r="P213" s="2"/>
      <c r="Q213" s="2"/>
      <c r="R213" s="2" t="str">
        <v>C9300</v>
      </c>
      <c r="S213" s="2" t="str">
        <f ca="1">IFERROR(__xludf.DUMMYFUNCTION("""COMPUTED_VALUE"""),"PWR-C1-715WAC-P")</f>
        <v>PWR-C1-715WAC-P</v>
      </c>
      <c r="T213" s="10">
        <f ca="1">IFERROR(__xludf.DUMMYFUNCTION("""COMPUTED_VALUE"""),0)</f>
        <v>0</v>
      </c>
      <c r="U213" s="2" t="e">
        <f ca="1"/>
        <v>#NAME?</v>
      </c>
      <c r="V213" s="2" t="e">
        <f ca="1"/>
        <v>#NAME?</v>
      </c>
      <c r="W213" s="2" t="e">
        <f ca="1"/>
        <v>#NAME?</v>
      </c>
      <c r="X213" s="2"/>
      <c r="Y213" s="2"/>
      <c r="Z213" s="2"/>
    </row>
    <row r="214" spans="1:26" ht="12.5" x14ac:dyDescent="0.25">
      <c r="A214" s="7">
        <v>10.6</v>
      </c>
      <c r="B214" s="6" t="s">
        <v>166</v>
      </c>
      <c r="C214" s="6" t="s">
        <v>22</v>
      </c>
      <c r="D214" s="6" t="s">
        <v>61</v>
      </c>
      <c r="E214" s="8"/>
      <c r="F214" s="6" t="s">
        <v>25</v>
      </c>
      <c r="G214" s="6">
        <v>14</v>
      </c>
      <c r="H214" s="6" t="s">
        <v>26</v>
      </c>
      <c r="I214" s="7">
        <v>1</v>
      </c>
      <c r="J214" s="8"/>
      <c r="K214" s="7">
        <v>0</v>
      </c>
      <c r="L214" s="7">
        <v>0</v>
      </c>
      <c r="M214" s="7">
        <v>0</v>
      </c>
      <c r="N214" s="7">
        <v>0</v>
      </c>
      <c r="O214" s="8"/>
      <c r="P214" s="2"/>
      <c r="Q214" s="2"/>
      <c r="R214" s="2" t="str">
        <v>C9300</v>
      </c>
      <c r="S214" s="2" t="str">
        <f ca="1">IFERROR(__xludf.DUMMYFUNCTION("""COMPUTED_VALUE"""),"C9300-SPS-NONE")</f>
        <v>C9300-SPS-NONE</v>
      </c>
      <c r="T214" s="10">
        <f ca="1">IFERROR(__xludf.DUMMYFUNCTION("""COMPUTED_VALUE"""),0)</f>
        <v>0</v>
      </c>
      <c r="U214" s="2" t="e">
        <f ca="1"/>
        <v>#NAME?</v>
      </c>
      <c r="V214" s="2" t="e">
        <f ca="1"/>
        <v>#NAME?</v>
      </c>
      <c r="W214" s="2" t="e">
        <f ca="1"/>
        <v>#NAME?</v>
      </c>
      <c r="X214" s="2"/>
      <c r="Y214" s="2"/>
      <c r="Z214" s="2"/>
    </row>
    <row r="215" spans="1:26" ht="12.5" x14ac:dyDescent="0.25">
      <c r="A215" s="7">
        <v>10.7</v>
      </c>
      <c r="B215" s="6" t="s">
        <v>62</v>
      </c>
      <c r="C215" s="6" t="s">
        <v>22</v>
      </c>
      <c r="D215" s="6" t="s">
        <v>63</v>
      </c>
      <c r="E215" s="8"/>
      <c r="F215" s="6" t="s">
        <v>25</v>
      </c>
      <c r="G215" s="6">
        <v>14</v>
      </c>
      <c r="H215" s="6" t="s">
        <v>26</v>
      </c>
      <c r="I215" s="7">
        <v>1</v>
      </c>
      <c r="J215" s="8"/>
      <c r="K215" s="7">
        <v>0</v>
      </c>
      <c r="L215" s="7">
        <v>0</v>
      </c>
      <c r="M215" s="7">
        <v>0</v>
      </c>
      <c r="N215" s="7">
        <v>0</v>
      </c>
      <c r="O215" s="8"/>
      <c r="P215" s="2"/>
      <c r="Q215" s="2"/>
      <c r="R215" s="2" t="str">
        <v>C9300</v>
      </c>
      <c r="S215" s="2" t="str">
        <f ca="1">IFERROR(__xludf.DUMMYFUNCTION("""COMPUTED_VALUE"""),"CAB-TA-EU")</f>
        <v>CAB-TA-EU</v>
      </c>
      <c r="T215" s="10">
        <f ca="1">IFERROR(__xludf.DUMMYFUNCTION("""COMPUTED_VALUE"""),0)</f>
        <v>0</v>
      </c>
      <c r="U215" s="2" t="e">
        <f ca="1"/>
        <v>#NAME?</v>
      </c>
      <c r="V215" s="2" t="e">
        <f ca="1"/>
        <v>#NAME?</v>
      </c>
      <c r="W215" s="2" t="e">
        <f ca="1"/>
        <v>#NAME?</v>
      </c>
      <c r="X215" s="2"/>
      <c r="Y215" s="2"/>
      <c r="Z215" s="2"/>
    </row>
    <row r="216" spans="1:26" ht="12.5" x14ac:dyDescent="0.25">
      <c r="A216" s="7">
        <v>10.8</v>
      </c>
      <c r="B216" s="6" t="s">
        <v>64</v>
      </c>
      <c r="C216" s="6" t="s">
        <v>22</v>
      </c>
      <c r="D216" s="6" t="s">
        <v>65</v>
      </c>
      <c r="E216" s="8"/>
      <c r="F216" s="6" t="s">
        <v>25</v>
      </c>
      <c r="G216" s="6">
        <v>14</v>
      </c>
      <c r="H216" s="6" t="s">
        <v>26</v>
      </c>
      <c r="I216" s="7">
        <v>1</v>
      </c>
      <c r="J216" s="8"/>
      <c r="K216" s="9">
        <v>3162.96</v>
      </c>
      <c r="L216" s="9">
        <v>3162.96</v>
      </c>
      <c r="M216" s="7">
        <v>0</v>
      </c>
      <c r="N216" s="9">
        <v>3162.96</v>
      </c>
      <c r="O216" s="8"/>
      <c r="P216" s="2"/>
      <c r="Q216" s="2"/>
      <c r="R216" s="2" t="str">
        <v>C9300</v>
      </c>
      <c r="S216" s="2" t="str">
        <f ca="1">IFERROR(__xludf.DUMMYFUNCTION("""COMPUTED_VALUE"""),"SSD-240G")</f>
        <v>SSD-240G</v>
      </c>
      <c r="T216" s="10">
        <f ca="1">IFERROR(__xludf.DUMMYFUNCTION("""COMPUTED_VALUE"""),0)</f>
        <v>0</v>
      </c>
      <c r="U216" s="2" t="e">
        <f ca="1"/>
        <v>#NAME?</v>
      </c>
      <c r="V216" s="2" t="e">
        <f ca="1"/>
        <v>#NAME?</v>
      </c>
      <c r="W216" s="2" t="e">
        <f ca="1"/>
        <v>#NAME?</v>
      </c>
      <c r="X216" s="2"/>
      <c r="Y216" s="2"/>
      <c r="Z216" s="2"/>
    </row>
    <row r="217" spans="1:26" ht="12.5" x14ac:dyDescent="0.25">
      <c r="A217" s="7">
        <v>10.9</v>
      </c>
      <c r="B217" s="6" t="s">
        <v>167</v>
      </c>
      <c r="C217" s="6" t="s">
        <v>22</v>
      </c>
      <c r="D217" s="6" t="s">
        <v>168</v>
      </c>
      <c r="E217" s="8"/>
      <c r="F217" s="6" t="s">
        <v>25</v>
      </c>
      <c r="G217" s="6">
        <v>14</v>
      </c>
      <c r="H217" s="6" t="s">
        <v>26</v>
      </c>
      <c r="I217" s="7">
        <v>1</v>
      </c>
      <c r="J217" s="8"/>
      <c r="K217" s="7">
        <v>121.7</v>
      </c>
      <c r="L217" s="7">
        <v>121.7</v>
      </c>
      <c r="M217" s="7">
        <v>0</v>
      </c>
      <c r="N217" s="7">
        <v>121.7</v>
      </c>
      <c r="O217" s="8"/>
      <c r="P217" s="2"/>
      <c r="Q217" s="2"/>
      <c r="R217" s="2" t="str">
        <v>C9300</v>
      </c>
      <c r="S217" s="2" t="str">
        <f ca="1">IFERROR(__xludf.DUMMYFUNCTION("""COMPUTED_VALUE"""),"STACK-T1-50CM")</f>
        <v>STACK-T1-50CM</v>
      </c>
      <c r="T217" s="10">
        <f ca="1">IFERROR(__xludf.DUMMYFUNCTION("""COMPUTED_VALUE"""),0)</f>
        <v>0</v>
      </c>
      <c r="U217" s="2" t="e">
        <f ca="1"/>
        <v>#NAME?</v>
      </c>
      <c r="V217" s="2" t="e">
        <f ca="1"/>
        <v>#NAME?</v>
      </c>
      <c r="W217" s="2" t="e">
        <f ca="1"/>
        <v>#NAME?</v>
      </c>
      <c r="X217" s="2"/>
      <c r="Y217" s="2"/>
      <c r="Z217" s="2"/>
    </row>
    <row r="218" spans="1:26" ht="12.5" x14ac:dyDescent="0.25">
      <c r="A218" s="7">
        <v>10.1</v>
      </c>
      <c r="B218" s="6" t="s">
        <v>169</v>
      </c>
      <c r="C218" s="6" t="s">
        <v>22</v>
      </c>
      <c r="D218" s="6" t="s">
        <v>170</v>
      </c>
      <c r="E218" s="8"/>
      <c r="F218" s="6" t="s">
        <v>25</v>
      </c>
      <c r="G218" s="6">
        <v>14</v>
      </c>
      <c r="H218" s="6" t="s">
        <v>26</v>
      </c>
      <c r="I218" s="7">
        <v>1</v>
      </c>
      <c r="J218" s="8"/>
      <c r="K218" s="9">
        <v>115.62</v>
      </c>
      <c r="L218" s="9">
        <v>115.62</v>
      </c>
      <c r="M218" s="7">
        <v>0</v>
      </c>
      <c r="N218" s="9">
        <v>115.62</v>
      </c>
      <c r="O218" s="8"/>
      <c r="P218" s="2"/>
      <c r="Q218" s="2"/>
      <c r="R218" s="2" t="str">
        <v>C9300</v>
      </c>
      <c r="S218" s="2" t="str">
        <f ca="1">IFERROR(__xludf.DUMMYFUNCTION("""COMPUTED_VALUE"""),"CAB-SPWR-30CM")</f>
        <v>CAB-SPWR-30CM</v>
      </c>
      <c r="T218" s="10">
        <f ca="1">IFERROR(__xludf.DUMMYFUNCTION("""COMPUTED_VALUE"""),0)</f>
        <v>0</v>
      </c>
      <c r="U218" s="2" t="e">
        <f ca="1"/>
        <v>#NAME?</v>
      </c>
      <c r="V218" s="2" t="e">
        <f ca="1"/>
        <v>#NAME?</v>
      </c>
      <c r="W218" s="2" t="e">
        <f ca="1"/>
        <v>#NAME?</v>
      </c>
      <c r="X218" s="2"/>
      <c r="Y218" s="2"/>
      <c r="Z218" s="2"/>
    </row>
    <row r="219" spans="1:26" ht="12.5" x14ac:dyDescent="0.25">
      <c r="A219" s="7">
        <v>10.11</v>
      </c>
      <c r="B219" s="6" t="s">
        <v>52</v>
      </c>
      <c r="C219" s="6" t="s">
        <v>22</v>
      </c>
      <c r="D219" s="6" t="s">
        <v>53</v>
      </c>
      <c r="E219" s="8"/>
      <c r="F219" s="6" t="s">
        <v>25</v>
      </c>
      <c r="G219" s="6">
        <v>14</v>
      </c>
      <c r="H219" s="6" t="s">
        <v>32</v>
      </c>
      <c r="I219" s="7">
        <v>1</v>
      </c>
      <c r="J219" s="8"/>
      <c r="K219" s="7">
        <v>0</v>
      </c>
      <c r="L219" s="7">
        <v>0</v>
      </c>
      <c r="M219" s="7">
        <v>0</v>
      </c>
      <c r="N219" s="7">
        <v>0</v>
      </c>
      <c r="O219" s="8"/>
      <c r="P219" s="2"/>
      <c r="Q219" s="2"/>
      <c r="R219" s="2" t="str">
        <v>C9300</v>
      </c>
      <c r="S219" s="2" t="str">
        <f ca="1">IFERROR(__xludf.DUMMYFUNCTION("""COMPUTED_VALUE"""),"PWR-C1-BLANK")</f>
        <v>PWR-C1-BLANK</v>
      </c>
      <c r="T219" s="10">
        <f ca="1">IFERROR(__xludf.DUMMYFUNCTION("""COMPUTED_VALUE"""),0)</f>
        <v>0</v>
      </c>
      <c r="U219" s="2" t="e">
        <f ca="1"/>
        <v>#NAME?</v>
      </c>
      <c r="V219" s="2" t="e">
        <f ca="1"/>
        <v>#NAME?</v>
      </c>
      <c r="W219" s="2" t="e">
        <f ca="1"/>
        <v>#NAME?</v>
      </c>
      <c r="X219" s="2"/>
      <c r="Y219" s="2"/>
      <c r="Z219" s="2"/>
    </row>
    <row r="220" spans="1:26" ht="12.5" x14ac:dyDescent="0.25">
      <c r="A220" s="7">
        <v>10.119999999999999</v>
      </c>
      <c r="B220" s="6" t="s">
        <v>86</v>
      </c>
      <c r="C220" s="6" t="s">
        <v>22</v>
      </c>
      <c r="D220" s="6" t="s">
        <v>87</v>
      </c>
      <c r="E220" s="8"/>
      <c r="F220" s="6" t="s">
        <v>25</v>
      </c>
      <c r="G220" s="6">
        <v>14</v>
      </c>
      <c r="H220" s="6" t="s">
        <v>32</v>
      </c>
      <c r="I220" s="7">
        <v>1</v>
      </c>
      <c r="J220" s="8"/>
      <c r="K220" s="7">
        <v>0</v>
      </c>
      <c r="L220" s="7">
        <v>0</v>
      </c>
      <c r="M220" s="7">
        <v>0</v>
      </c>
      <c r="N220" s="7">
        <v>0</v>
      </c>
      <c r="O220" s="8"/>
      <c r="P220" s="2"/>
      <c r="Q220" s="2"/>
      <c r="R220" s="2" t="str">
        <v>C9300</v>
      </c>
      <c r="S220" s="2" t="str">
        <f ca="1">IFERROR(__xludf.DUMMYFUNCTION("""COMPUTED_VALUE"""),"TE-C9K-SW")</f>
        <v>TE-C9K-SW</v>
      </c>
      <c r="T220" s="10">
        <f ca="1">IFERROR(__xludf.DUMMYFUNCTION("""COMPUTED_VALUE"""),0)</f>
        <v>0</v>
      </c>
      <c r="U220" s="2" t="e">
        <f ca="1"/>
        <v>#NAME?</v>
      </c>
      <c r="V220" s="2" t="e">
        <f ca="1"/>
        <v>#NAME?</v>
      </c>
      <c r="W220" s="2" t="e">
        <f ca="1"/>
        <v>#NAME?</v>
      </c>
      <c r="X220" s="2"/>
      <c r="Y220" s="2"/>
      <c r="Z220" s="2"/>
    </row>
    <row r="221" spans="1:26" ht="12.5" x14ac:dyDescent="0.25">
      <c r="A221" s="7">
        <v>10.130000000000001</v>
      </c>
      <c r="B221" s="6" t="s">
        <v>66</v>
      </c>
      <c r="C221" s="6" t="s">
        <v>22</v>
      </c>
      <c r="D221" s="6" t="s">
        <v>67</v>
      </c>
      <c r="E221" s="8"/>
      <c r="F221" s="6" t="s">
        <v>25</v>
      </c>
      <c r="G221" s="6">
        <v>14</v>
      </c>
      <c r="H221" s="6" t="s">
        <v>32</v>
      </c>
      <c r="I221" s="7">
        <v>1</v>
      </c>
      <c r="J221" s="8"/>
      <c r="K221" s="7">
        <v>0</v>
      </c>
      <c r="L221" s="7">
        <v>0</v>
      </c>
      <c r="M221" s="7">
        <v>0</v>
      </c>
      <c r="N221" s="7">
        <v>0</v>
      </c>
      <c r="O221" s="8"/>
      <c r="P221" s="2"/>
      <c r="Q221" s="2"/>
      <c r="R221" s="2" t="str">
        <v>C9300</v>
      </c>
      <c r="S221" s="2" t="str">
        <f ca="1">IFERROR(__xludf.DUMMYFUNCTION("""COMPUTED_VALUE"""),"C9K-ACC-RBFT")</f>
        <v>C9K-ACC-RBFT</v>
      </c>
      <c r="T221" s="10">
        <f ca="1">IFERROR(__xludf.DUMMYFUNCTION("""COMPUTED_VALUE"""),0)</f>
        <v>0</v>
      </c>
      <c r="U221" s="2" t="e">
        <f ca="1"/>
        <v>#NAME?</v>
      </c>
      <c r="V221" s="2" t="e">
        <f ca="1"/>
        <v>#NAME?</v>
      </c>
      <c r="W221" s="2" t="e">
        <f ca="1"/>
        <v>#NAME?</v>
      </c>
      <c r="X221" s="2"/>
      <c r="Y221" s="2"/>
      <c r="Z221" s="2"/>
    </row>
    <row r="222" spans="1:26" ht="12.5" x14ac:dyDescent="0.25">
      <c r="A222" s="7">
        <v>10.14</v>
      </c>
      <c r="B222" s="6" t="s">
        <v>68</v>
      </c>
      <c r="C222" s="6" t="s">
        <v>22</v>
      </c>
      <c r="D222" s="6" t="s">
        <v>69</v>
      </c>
      <c r="E222" s="8"/>
      <c r="F222" s="6" t="s">
        <v>25</v>
      </c>
      <c r="G222" s="6">
        <v>14</v>
      </c>
      <c r="H222" s="6" t="s">
        <v>32</v>
      </c>
      <c r="I222" s="7">
        <v>1</v>
      </c>
      <c r="J222" s="8"/>
      <c r="K222" s="7">
        <v>0</v>
      </c>
      <c r="L222" s="7">
        <v>0</v>
      </c>
      <c r="M222" s="7">
        <v>0</v>
      </c>
      <c r="N222" s="7">
        <v>0</v>
      </c>
      <c r="O222" s="8"/>
      <c r="P222" s="2"/>
      <c r="Q222" s="2"/>
      <c r="R222" s="2" t="str">
        <v>C9300</v>
      </c>
      <c r="S222" s="2" t="str">
        <f ca="1">IFERROR(__xludf.DUMMYFUNCTION("""COMPUTED_VALUE"""),"C9K-ACC-SCR-4")</f>
        <v>C9K-ACC-SCR-4</v>
      </c>
      <c r="T222" s="10">
        <f ca="1">IFERROR(__xludf.DUMMYFUNCTION("""COMPUTED_VALUE"""),0)</f>
        <v>0</v>
      </c>
      <c r="U222" s="2" t="e">
        <f ca="1"/>
        <v>#NAME?</v>
      </c>
      <c r="V222" s="2" t="e">
        <f ca="1"/>
        <v>#NAME?</v>
      </c>
      <c r="W222" s="2" t="e">
        <f ca="1"/>
        <v>#NAME?</v>
      </c>
      <c r="X222" s="2"/>
      <c r="Y222" s="2"/>
      <c r="Z222" s="2"/>
    </row>
    <row r="223" spans="1:26" ht="12.5" x14ac:dyDescent="0.25">
      <c r="A223" s="7">
        <v>10.15</v>
      </c>
      <c r="B223" s="6" t="s">
        <v>70</v>
      </c>
      <c r="C223" s="6" t="s">
        <v>22</v>
      </c>
      <c r="D223" s="6" t="s">
        <v>71</v>
      </c>
      <c r="E223" s="8"/>
      <c r="F223" s="6" t="s">
        <v>25</v>
      </c>
      <c r="G223" s="6">
        <v>14</v>
      </c>
      <c r="H223" s="6" t="s">
        <v>32</v>
      </c>
      <c r="I223" s="7">
        <v>1</v>
      </c>
      <c r="J223" s="8"/>
      <c r="K223" s="7">
        <v>0</v>
      </c>
      <c r="L223" s="7">
        <v>0</v>
      </c>
      <c r="M223" s="7">
        <v>0</v>
      </c>
      <c r="N223" s="7">
        <v>0</v>
      </c>
      <c r="O223" s="8"/>
      <c r="P223" s="2"/>
      <c r="Q223" s="2"/>
      <c r="R223" s="2" t="str">
        <v>C9300</v>
      </c>
      <c r="S223" s="2" t="str">
        <f ca="1">IFERROR(__xludf.DUMMYFUNCTION("""COMPUTED_VALUE"""),"CAB-GUIDE-1RU")</f>
        <v>CAB-GUIDE-1RU</v>
      </c>
      <c r="T223" s="10">
        <f ca="1">IFERROR(__xludf.DUMMYFUNCTION("""COMPUTED_VALUE"""),0)</f>
        <v>0</v>
      </c>
      <c r="U223" s="2" t="e">
        <f ca="1"/>
        <v>#NAME?</v>
      </c>
      <c r="V223" s="2" t="e">
        <f ca="1"/>
        <v>#NAME?</v>
      </c>
      <c r="W223" s="2" t="e">
        <f ca="1"/>
        <v>#NAME?</v>
      </c>
      <c r="X223" s="2"/>
      <c r="Y223" s="2"/>
      <c r="Z223" s="2"/>
    </row>
    <row r="224" spans="1:26" ht="12.5" x14ac:dyDescent="0.25">
      <c r="A224" s="7">
        <v>10.16</v>
      </c>
      <c r="B224" s="6" t="s">
        <v>171</v>
      </c>
      <c r="C224" s="6" t="s">
        <v>22</v>
      </c>
      <c r="D224" s="6" t="s">
        <v>172</v>
      </c>
      <c r="E224" s="8"/>
      <c r="F224" s="6" t="s">
        <v>25</v>
      </c>
      <c r="G224" s="6">
        <v>14</v>
      </c>
      <c r="H224" s="6" t="s">
        <v>26</v>
      </c>
      <c r="I224" s="7">
        <v>1</v>
      </c>
      <c r="J224" s="8"/>
      <c r="K224" s="9">
        <v>3103.4</v>
      </c>
      <c r="L224" s="9">
        <v>3103.4</v>
      </c>
      <c r="M224" s="7">
        <v>0</v>
      </c>
      <c r="N224" s="9">
        <v>3103.4</v>
      </c>
      <c r="O224" s="8"/>
      <c r="P224" s="2"/>
      <c r="Q224" s="2"/>
      <c r="R224" s="2" t="str">
        <v>C9300</v>
      </c>
      <c r="S224" s="2" t="str">
        <f ca="1">IFERROR(__xludf.DUMMYFUNCTION("""COMPUTED_VALUE"""),"C9300-NM-8X")</f>
        <v>C9300-NM-8X</v>
      </c>
      <c r="T224" s="10">
        <f ca="1">IFERROR(__xludf.DUMMYFUNCTION("""COMPUTED_VALUE"""),0)</f>
        <v>0</v>
      </c>
      <c r="U224" s="2" t="e">
        <f ca="1"/>
        <v>#NAME?</v>
      </c>
      <c r="V224" s="2" t="e">
        <f ca="1"/>
        <v>#NAME?</v>
      </c>
      <c r="W224" s="2" t="e">
        <f ca="1"/>
        <v>#NAME?</v>
      </c>
      <c r="X224" s="2"/>
      <c r="Y224" s="2"/>
      <c r="Z224" s="2"/>
    </row>
    <row r="225" spans="1:26" ht="12.5" x14ac:dyDescent="0.25">
      <c r="A225" s="7">
        <v>10.17</v>
      </c>
      <c r="B225" s="6" t="s">
        <v>72</v>
      </c>
      <c r="C225" s="6" t="s">
        <v>32</v>
      </c>
      <c r="D225" s="6" t="s">
        <v>73</v>
      </c>
      <c r="E225" s="8"/>
      <c r="F225" s="6" t="s">
        <v>25</v>
      </c>
      <c r="G225" s="6">
        <v>2</v>
      </c>
      <c r="H225" s="6" t="s">
        <v>32</v>
      </c>
      <c r="I225" s="7">
        <v>1</v>
      </c>
      <c r="J225" s="8"/>
      <c r="K225" s="7">
        <v>0</v>
      </c>
      <c r="L225" s="7">
        <v>0</v>
      </c>
      <c r="M225" s="7">
        <v>0</v>
      </c>
      <c r="N225" s="7">
        <v>0</v>
      </c>
      <c r="O225" s="8"/>
      <c r="P225" s="2"/>
      <c r="Q225" s="2"/>
      <c r="R225" s="2" t="str">
        <v>C9300</v>
      </c>
      <c r="S225" s="2" t="str">
        <f ca="1">IFERROR(__xludf.DUMMYFUNCTION("""COMPUTED_VALUE"""),"NETWORK-PNP-LIC")</f>
        <v>NETWORK-PNP-LIC</v>
      </c>
      <c r="T225" s="10">
        <f ca="1">IFERROR(__xludf.DUMMYFUNCTION("""COMPUTED_VALUE"""),0)</f>
        <v>0</v>
      </c>
      <c r="U225" s="2" t="e">
        <f ca="1"/>
        <v>#NAME?</v>
      </c>
      <c r="V225" s="2" t="e">
        <f ca="1"/>
        <v>#NAME?</v>
      </c>
      <c r="W225" s="2" t="e">
        <f ca="1"/>
        <v>#NAME?</v>
      </c>
      <c r="X225" s="2"/>
      <c r="Y225" s="2"/>
      <c r="Z225" s="2"/>
    </row>
    <row r="226" spans="1:26" ht="12.5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5"/>
      <c r="L226" s="15"/>
      <c r="M226" s="12" t="s">
        <v>76</v>
      </c>
      <c r="N226" s="13">
        <v>19547.88</v>
      </c>
      <c r="O226" s="14"/>
      <c r="P226" s="2"/>
      <c r="Q226" s="2"/>
      <c r="R226" s="2" t="str">
        <v/>
      </c>
      <c r="S226" s="2" t="str">
        <f ca="1">IFERROR(__xludf.DUMMYFUNCTION("""COMPUTED_VALUE"""),"")</f>
        <v/>
      </c>
      <c r="T226" s="2" t="str">
        <f ca="1">IFERROR(__xludf.DUMMYFUNCTION("""COMPUTED_VALUE"""),"")</f>
        <v/>
      </c>
      <c r="U226" s="2" t="e">
        <f ca="1"/>
        <v>#NAME?</v>
      </c>
      <c r="V226" s="2" t="e">
        <f ca="1"/>
        <v>#NAME?</v>
      </c>
      <c r="W226" s="2" t="str">
        <f ca="1"/>
        <v/>
      </c>
      <c r="X226" s="2"/>
      <c r="Y226" s="2"/>
      <c r="Z226" s="2"/>
    </row>
    <row r="227" spans="1:26" ht="12.5" x14ac:dyDescent="0.25">
      <c r="A227" s="5">
        <v>11</v>
      </c>
      <c r="B227" s="5" t="s">
        <v>182</v>
      </c>
      <c r="C227" s="6" t="s">
        <v>22</v>
      </c>
      <c r="D227" s="6" t="s">
        <v>183</v>
      </c>
      <c r="E227" s="6" t="s">
        <v>24</v>
      </c>
      <c r="F227" s="6" t="s">
        <v>25</v>
      </c>
      <c r="G227" s="6">
        <v>14</v>
      </c>
      <c r="H227" s="6" t="s">
        <v>26</v>
      </c>
      <c r="I227" s="7">
        <v>1</v>
      </c>
      <c r="J227" s="8"/>
      <c r="K227" s="9">
        <v>9425.16</v>
      </c>
      <c r="L227" s="9">
        <v>9425.16</v>
      </c>
      <c r="M227" s="7">
        <v>0</v>
      </c>
      <c r="N227" s="9">
        <v>9425.16</v>
      </c>
      <c r="O227" s="8"/>
      <c r="P227" s="2"/>
      <c r="Q227" s="2"/>
      <c r="R227" s="2" t="str">
        <v>C9300</v>
      </c>
      <c r="S227" s="2" t="str">
        <f ca="1">IFERROR(__xludf.DUMMYFUNCTION("""COMPUTED_VALUE"""),"C9300-24U-A")</f>
        <v>C9300-24U-A</v>
      </c>
      <c r="T227" s="10">
        <f ca="1">IFERROR(__xludf.DUMMYFUNCTION("""COMPUTED_VALUE"""),1)</f>
        <v>1</v>
      </c>
      <c r="U227" s="2" t="e">
        <f ca="1"/>
        <v>#NAME?</v>
      </c>
      <c r="V227" s="2" t="e">
        <f ca="1"/>
        <v>#NAME?</v>
      </c>
      <c r="W227" s="2" t="e">
        <f ca="1"/>
        <v>#NAME?</v>
      </c>
      <c r="X227" s="2"/>
      <c r="Y227" s="2"/>
      <c r="Z227" s="2"/>
    </row>
    <row r="228" spans="1:26" ht="12.5" x14ac:dyDescent="0.25">
      <c r="A228" s="7" t="s">
        <v>184</v>
      </c>
      <c r="B228" s="6" t="s">
        <v>185</v>
      </c>
      <c r="C228" s="6" t="s">
        <v>22</v>
      </c>
      <c r="D228" s="6" t="s">
        <v>186</v>
      </c>
      <c r="E228" s="8"/>
      <c r="F228" s="6">
        <v>24</v>
      </c>
      <c r="G228" s="6" t="s">
        <v>25</v>
      </c>
      <c r="H228" s="6" t="s">
        <v>26</v>
      </c>
      <c r="I228" s="7">
        <v>1</v>
      </c>
      <c r="J228" s="8"/>
      <c r="K228" s="9">
        <v>1886.5</v>
      </c>
      <c r="L228" s="9">
        <v>1886.5</v>
      </c>
      <c r="M228" s="7">
        <v>0</v>
      </c>
      <c r="N228" s="9">
        <v>1886.5</v>
      </c>
      <c r="O228" s="6" t="s">
        <v>30</v>
      </c>
      <c r="P228" s="2"/>
      <c r="Q228" s="2"/>
      <c r="R228" s="2" t="str">
        <v>C9300</v>
      </c>
      <c r="S228" s="2" t="str">
        <f ca="1">IFERROR(__xludf.DUMMYFUNCTION("""COMPUTED_VALUE"""),"CON-L1NBD-C93002UA")</f>
        <v>CON-L1NBD-C93002UA</v>
      </c>
      <c r="T228" s="10">
        <f ca="1">IFERROR(__xludf.DUMMYFUNCTION("""COMPUTED_VALUE"""),0)</f>
        <v>0</v>
      </c>
      <c r="U228" s="2" t="e">
        <f ca="1"/>
        <v>#NAME?</v>
      </c>
      <c r="V228" s="2" t="e">
        <f ca="1"/>
        <v>#NAME?</v>
      </c>
      <c r="W228" s="2" t="e">
        <f ca="1"/>
        <v>#NAME?</v>
      </c>
      <c r="X228" s="2"/>
      <c r="Y228" s="2"/>
      <c r="Z228" s="2"/>
    </row>
    <row r="229" spans="1:26" ht="12.5" x14ac:dyDescent="0.25">
      <c r="A229" s="7">
        <v>11.1</v>
      </c>
      <c r="B229" s="6" t="s">
        <v>154</v>
      </c>
      <c r="C229" s="6" t="s">
        <v>32</v>
      </c>
      <c r="D229" s="6" t="s">
        <v>155</v>
      </c>
      <c r="E229" s="8"/>
      <c r="F229" s="6" t="s">
        <v>25</v>
      </c>
      <c r="G229" s="6">
        <v>14</v>
      </c>
      <c r="H229" s="6" t="s">
        <v>26</v>
      </c>
      <c r="I229" s="7">
        <v>1</v>
      </c>
      <c r="J229" s="8"/>
      <c r="K229" s="9">
        <v>0</v>
      </c>
      <c r="L229" s="9">
        <v>0</v>
      </c>
      <c r="M229" s="7">
        <v>0</v>
      </c>
      <c r="N229" s="9">
        <v>0</v>
      </c>
      <c r="O229" s="8"/>
      <c r="P229" s="2"/>
      <c r="Q229" s="2"/>
      <c r="R229" s="2" t="str">
        <v>C9300</v>
      </c>
      <c r="S229" s="2" t="str">
        <f ca="1">IFERROR(__xludf.DUMMYFUNCTION("""COMPUTED_VALUE"""),"C9300-DNA-A-24")</f>
        <v>C9300-DNA-A-24</v>
      </c>
      <c r="T229" s="10">
        <f ca="1">IFERROR(__xludf.DUMMYFUNCTION("""COMPUTED_VALUE"""),0)</f>
        <v>0</v>
      </c>
      <c r="U229" s="2" t="e">
        <f ca="1"/>
        <v>#NAME?</v>
      </c>
      <c r="V229" s="2" t="e">
        <f ca="1"/>
        <v>#NAME?</v>
      </c>
      <c r="W229" s="2" t="e">
        <f ca="1"/>
        <v>#NAME?</v>
      </c>
      <c r="X229" s="2"/>
      <c r="Y229" s="2"/>
      <c r="Z229" s="2"/>
    </row>
    <row r="230" spans="1:26" ht="12.5" x14ac:dyDescent="0.25">
      <c r="A230" s="7" t="s">
        <v>187</v>
      </c>
      <c r="B230" s="6" t="s">
        <v>157</v>
      </c>
      <c r="C230" s="6" t="s">
        <v>22</v>
      </c>
      <c r="D230" s="6" t="s">
        <v>158</v>
      </c>
      <c r="E230" s="8"/>
      <c r="F230" s="6">
        <v>24</v>
      </c>
      <c r="G230" s="6" t="s">
        <v>25</v>
      </c>
      <c r="H230" s="6" t="s">
        <v>26</v>
      </c>
      <c r="I230" s="7">
        <v>1</v>
      </c>
      <c r="J230" s="8"/>
      <c r="K230" s="9">
        <v>324.5</v>
      </c>
      <c r="L230" s="9">
        <v>324.5</v>
      </c>
      <c r="M230" s="7">
        <v>0</v>
      </c>
      <c r="N230" s="9">
        <v>324.5</v>
      </c>
      <c r="O230" s="6" t="s">
        <v>30</v>
      </c>
      <c r="P230" s="2"/>
      <c r="Q230" s="2"/>
      <c r="R230" s="2" t="str">
        <v>C9300</v>
      </c>
      <c r="S230" s="2" t="str">
        <f ca="1">IFERROR(__xludf.DUMMYFUNCTION("""COMPUTED_VALUE"""),"CON-L1SWT-C93A24")</f>
        <v>CON-L1SWT-C93A24</v>
      </c>
      <c r="T230" s="10">
        <f ca="1">IFERROR(__xludf.DUMMYFUNCTION("""COMPUTED_VALUE"""),0)</f>
        <v>0</v>
      </c>
      <c r="U230" s="2" t="e">
        <f ca="1"/>
        <v>#NAME?</v>
      </c>
      <c r="V230" s="2" t="e">
        <f ca="1"/>
        <v>#NAME?</v>
      </c>
      <c r="W230" s="2" t="e">
        <f ca="1"/>
        <v>#NAME?</v>
      </c>
      <c r="X230" s="2"/>
      <c r="Y230" s="2"/>
      <c r="Z230" s="2"/>
    </row>
    <row r="231" spans="1:26" ht="12.5" x14ac:dyDescent="0.25">
      <c r="A231" s="7" t="s">
        <v>188</v>
      </c>
      <c r="B231" s="6" t="s">
        <v>160</v>
      </c>
      <c r="C231" s="6" t="s">
        <v>22</v>
      </c>
      <c r="D231" s="6" t="s">
        <v>161</v>
      </c>
      <c r="E231" s="8"/>
      <c r="F231" s="6">
        <v>36</v>
      </c>
      <c r="G231" s="6" t="s">
        <v>25</v>
      </c>
      <c r="H231" s="6" t="s">
        <v>26</v>
      </c>
      <c r="I231" s="7">
        <v>1</v>
      </c>
      <c r="J231" s="8"/>
      <c r="K231" s="9">
        <v>2365.77</v>
      </c>
      <c r="L231" s="9">
        <v>2365.77</v>
      </c>
      <c r="M231" s="7">
        <v>0</v>
      </c>
      <c r="N231" s="9">
        <v>2365.77</v>
      </c>
      <c r="O231" s="8"/>
      <c r="P231" s="2"/>
      <c r="Q231" s="2"/>
      <c r="R231" s="2" t="str">
        <v>C9300</v>
      </c>
      <c r="S231" s="2" t="str">
        <f ca="1">IFERROR(__xludf.DUMMYFUNCTION("""COMPUTED_VALUE"""),"C9300-DNA-A-24-3Y")</f>
        <v>C9300-DNA-A-24-3Y</v>
      </c>
      <c r="T231" s="10">
        <f ca="1">IFERROR(__xludf.DUMMYFUNCTION("""COMPUTED_VALUE"""),0)</f>
        <v>0</v>
      </c>
      <c r="U231" s="2" t="e">
        <f ca="1"/>
        <v>#NAME?</v>
      </c>
      <c r="V231" s="2" t="e">
        <f ca="1"/>
        <v>#NAME?</v>
      </c>
      <c r="W231" s="2" t="e">
        <f ca="1"/>
        <v>#NAME?</v>
      </c>
      <c r="X231" s="2"/>
      <c r="Y231" s="2"/>
      <c r="Z231" s="2"/>
    </row>
    <row r="232" spans="1:26" ht="12.5" x14ac:dyDescent="0.25">
      <c r="A232" s="7">
        <v>11.2</v>
      </c>
      <c r="B232" s="6" t="s">
        <v>45</v>
      </c>
      <c r="C232" s="6" t="s">
        <v>32</v>
      </c>
      <c r="D232" s="6" t="s">
        <v>46</v>
      </c>
      <c r="E232" s="8"/>
      <c r="F232" s="6" t="s">
        <v>25</v>
      </c>
      <c r="G232" s="6">
        <v>14</v>
      </c>
      <c r="H232" s="6" t="s">
        <v>32</v>
      </c>
      <c r="I232" s="7">
        <v>1</v>
      </c>
      <c r="J232" s="8"/>
      <c r="K232" s="7">
        <v>0</v>
      </c>
      <c r="L232" s="7">
        <v>0</v>
      </c>
      <c r="M232" s="7">
        <v>0</v>
      </c>
      <c r="N232" s="7">
        <v>0</v>
      </c>
      <c r="O232" s="8"/>
      <c r="P232" s="2"/>
      <c r="Q232" s="2"/>
      <c r="R232" s="2" t="str">
        <v>C9300</v>
      </c>
      <c r="S232" s="2" t="str">
        <f ca="1">IFERROR(__xludf.DUMMYFUNCTION("""COMPUTED_VALUE"""),"D-DNAS-EXT-S-T")</f>
        <v>D-DNAS-EXT-S-T</v>
      </c>
      <c r="T232" s="10">
        <f ca="1">IFERROR(__xludf.DUMMYFUNCTION("""COMPUTED_VALUE"""),0)</f>
        <v>0</v>
      </c>
      <c r="U232" s="2" t="e">
        <f ca="1"/>
        <v>#NAME?</v>
      </c>
      <c r="V232" s="2" t="e">
        <f ca="1"/>
        <v>#NAME?</v>
      </c>
      <c r="W232" s="2" t="e">
        <f ca="1"/>
        <v>#NAME?</v>
      </c>
      <c r="X232" s="2"/>
      <c r="Y232" s="2"/>
      <c r="Z232" s="2"/>
    </row>
    <row r="233" spans="1:26" ht="12.5" x14ac:dyDescent="0.25">
      <c r="A233" s="7" t="s">
        <v>189</v>
      </c>
      <c r="B233" s="6" t="s">
        <v>48</v>
      </c>
      <c r="C233" s="6" t="s">
        <v>22</v>
      </c>
      <c r="D233" s="6" t="s">
        <v>49</v>
      </c>
      <c r="E233" s="8"/>
      <c r="F233" s="6">
        <v>36</v>
      </c>
      <c r="G233" s="6" t="s">
        <v>25</v>
      </c>
      <c r="H233" s="6" t="s">
        <v>26</v>
      </c>
      <c r="I233" s="7">
        <v>1</v>
      </c>
      <c r="J233" s="8"/>
      <c r="K233" s="9">
        <v>0</v>
      </c>
      <c r="L233" s="9">
        <v>0</v>
      </c>
      <c r="M233" s="7">
        <v>0</v>
      </c>
      <c r="N233" s="9">
        <v>0</v>
      </c>
      <c r="O233" s="8"/>
      <c r="P233" s="2"/>
      <c r="Q233" s="2"/>
      <c r="R233" s="2" t="str">
        <v>C9300</v>
      </c>
      <c r="S233" s="2" t="str">
        <f ca="1">IFERROR(__xludf.DUMMYFUNCTION("""COMPUTED_VALUE"""),"D-DNAS-EXT-S-3Y")</f>
        <v>D-DNAS-EXT-S-3Y</v>
      </c>
      <c r="T233" s="10">
        <f ca="1">IFERROR(__xludf.DUMMYFUNCTION("""COMPUTED_VALUE"""),0)</f>
        <v>0</v>
      </c>
      <c r="U233" s="2" t="e">
        <f ca="1"/>
        <v>#NAME?</v>
      </c>
      <c r="V233" s="2" t="e">
        <f ca="1"/>
        <v>#NAME?</v>
      </c>
      <c r="W233" s="2" t="e">
        <f ca="1"/>
        <v>#NAME?</v>
      </c>
      <c r="X233" s="2"/>
      <c r="Y233" s="2"/>
      <c r="Z233" s="2"/>
    </row>
    <row r="234" spans="1:26" ht="12.5" x14ac:dyDescent="0.25">
      <c r="A234" s="7">
        <v>11.3</v>
      </c>
      <c r="B234" s="6" t="s">
        <v>40</v>
      </c>
      <c r="C234" s="6" t="s">
        <v>32</v>
      </c>
      <c r="D234" s="6" t="s">
        <v>41</v>
      </c>
      <c r="E234" s="8"/>
      <c r="F234" s="6" t="s">
        <v>25</v>
      </c>
      <c r="G234" s="6">
        <v>14</v>
      </c>
      <c r="H234" s="6" t="s">
        <v>32</v>
      </c>
      <c r="I234" s="7">
        <v>1</v>
      </c>
      <c r="J234" s="8"/>
      <c r="K234" s="7">
        <v>0</v>
      </c>
      <c r="L234" s="7">
        <v>0</v>
      </c>
      <c r="M234" s="7">
        <v>0</v>
      </c>
      <c r="N234" s="7">
        <v>0</v>
      </c>
      <c r="O234" s="8"/>
      <c r="P234" s="2"/>
      <c r="Q234" s="2"/>
      <c r="R234" s="2" t="str">
        <v>C9300</v>
      </c>
      <c r="S234" s="2" t="str">
        <f ca="1">IFERROR(__xludf.DUMMYFUNCTION("""COMPUTED_VALUE"""),"TE-EMBEDDED-T")</f>
        <v>TE-EMBEDDED-T</v>
      </c>
      <c r="T234" s="10">
        <f ca="1">IFERROR(__xludf.DUMMYFUNCTION("""COMPUTED_VALUE"""),0)</f>
        <v>0</v>
      </c>
      <c r="U234" s="2" t="e">
        <f ca="1"/>
        <v>#NAME?</v>
      </c>
      <c r="V234" s="2" t="e">
        <f ca="1"/>
        <v>#NAME?</v>
      </c>
      <c r="W234" s="2" t="e">
        <f ca="1"/>
        <v>#NAME?</v>
      </c>
      <c r="X234" s="2"/>
      <c r="Y234" s="2"/>
      <c r="Z234" s="2"/>
    </row>
    <row r="235" spans="1:26" ht="12.5" x14ac:dyDescent="0.25">
      <c r="A235" s="7" t="s">
        <v>190</v>
      </c>
      <c r="B235" s="6" t="s">
        <v>43</v>
      </c>
      <c r="C235" s="6" t="s">
        <v>22</v>
      </c>
      <c r="D235" s="6" t="s">
        <v>44</v>
      </c>
      <c r="E235" s="8"/>
      <c r="F235" s="6">
        <v>36</v>
      </c>
      <c r="G235" s="6" t="s">
        <v>25</v>
      </c>
      <c r="H235" s="6" t="s">
        <v>26</v>
      </c>
      <c r="I235" s="7">
        <v>1</v>
      </c>
      <c r="J235" s="8"/>
      <c r="K235" s="7">
        <v>0</v>
      </c>
      <c r="L235" s="7">
        <v>0</v>
      </c>
      <c r="M235" s="7">
        <v>0</v>
      </c>
      <c r="N235" s="7">
        <v>0</v>
      </c>
      <c r="O235" s="8"/>
      <c r="P235" s="2"/>
      <c r="Q235" s="2"/>
      <c r="R235" s="2" t="str">
        <v>C9300</v>
      </c>
      <c r="S235" s="2" t="str">
        <f ca="1">IFERROR(__xludf.DUMMYFUNCTION("""COMPUTED_VALUE"""),"TE-EMBEDDED-T-3Y")</f>
        <v>TE-EMBEDDED-T-3Y</v>
      </c>
      <c r="T235" s="10">
        <f ca="1">IFERROR(__xludf.DUMMYFUNCTION("""COMPUTED_VALUE"""),0)</f>
        <v>0</v>
      </c>
      <c r="U235" s="2" t="e">
        <f ca="1"/>
        <v>#NAME?</v>
      </c>
      <c r="V235" s="2" t="e">
        <f ca="1"/>
        <v>#NAME?</v>
      </c>
      <c r="W235" s="2" t="e">
        <f ca="1"/>
        <v>#NAME?</v>
      </c>
      <c r="X235" s="2"/>
      <c r="Y235" s="2"/>
      <c r="Z235" s="2"/>
    </row>
    <row r="236" spans="1:26" ht="12.5" x14ac:dyDescent="0.25">
      <c r="A236" s="7">
        <v>11.4</v>
      </c>
      <c r="B236" s="6" t="s">
        <v>164</v>
      </c>
      <c r="C236" s="6" t="s">
        <v>32</v>
      </c>
      <c r="D236" s="6" t="s">
        <v>165</v>
      </c>
      <c r="E236" s="8"/>
      <c r="F236" s="6" t="s">
        <v>25</v>
      </c>
      <c r="G236" s="6">
        <v>14</v>
      </c>
      <c r="H236" s="6" t="s">
        <v>32</v>
      </c>
      <c r="I236" s="7">
        <v>1</v>
      </c>
      <c r="J236" s="8"/>
      <c r="K236" s="7">
        <v>0</v>
      </c>
      <c r="L236" s="7">
        <v>0</v>
      </c>
      <c r="M236" s="7">
        <v>0</v>
      </c>
      <c r="N236" s="7">
        <v>0</v>
      </c>
      <c r="O236" s="8"/>
      <c r="P236" s="2"/>
      <c r="Q236" s="2"/>
      <c r="R236" s="2" t="str">
        <v>C9300</v>
      </c>
      <c r="S236" s="2" t="str">
        <f ca="1">IFERROR(__xludf.DUMMYFUNCTION("""COMPUTED_VALUE"""),"C9300-NW-A-24")</f>
        <v>C9300-NW-A-24</v>
      </c>
      <c r="T236" s="10">
        <f ca="1">IFERROR(__xludf.DUMMYFUNCTION("""COMPUTED_VALUE"""),0)</f>
        <v>0</v>
      </c>
      <c r="U236" s="2" t="e">
        <f ca="1"/>
        <v>#NAME?</v>
      </c>
      <c r="V236" s="2" t="e">
        <f ca="1"/>
        <v>#NAME?</v>
      </c>
      <c r="W236" s="2" t="e">
        <f ca="1"/>
        <v>#NAME?</v>
      </c>
      <c r="X236" s="2"/>
      <c r="Y236" s="2"/>
      <c r="Z236" s="2"/>
    </row>
    <row r="237" spans="1:26" ht="12.5" x14ac:dyDescent="0.25">
      <c r="A237" s="7">
        <v>11.5</v>
      </c>
      <c r="B237" s="6" t="s">
        <v>191</v>
      </c>
      <c r="C237" s="6" t="s">
        <v>22</v>
      </c>
      <c r="D237" s="6" t="s">
        <v>192</v>
      </c>
      <c r="E237" s="8"/>
      <c r="F237" s="6" t="s">
        <v>25</v>
      </c>
      <c r="G237" s="6">
        <v>14</v>
      </c>
      <c r="H237" s="6" t="s">
        <v>32</v>
      </c>
      <c r="I237" s="7">
        <v>1</v>
      </c>
      <c r="J237" s="8"/>
      <c r="K237" s="7">
        <v>0</v>
      </c>
      <c r="L237" s="7">
        <v>0</v>
      </c>
      <c r="M237" s="7">
        <v>0</v>
      </c>
      <c r="N237" s="7">
        <v>0</v>
      </c>
      <c r="O237" s="8"/>
      <c r="P237" s="2"/>
      <c r="Q237" s="2"/>
      <c r="R237" s="2" t="str">
        <v>C9300</v>
      </c>
      <c r="S237" s="2" t="str">
        <f ca="1">IFERROR(__xludf.DUMMYFUNCTION("""COMPUTED_VALUE"""),"PWR-C1-1100WAC-P")</f>
        <v>PWR-C1-1100WAC-P</v>
      </c>
      <c r="T237" s="10">
        <f ca="1">IFERROR(__xludf.DUMMYFUNCTION("""COMPUTED_VALUE"""),0)</f>
        <v>0</v>
      </c>
      <c r="U237" s="2" t="e">
        <f ca="1"/>
        <v>#NAME?</v>
      </c>
      <c r="V237" s="2" t="e">
        <f ca="1"/>
        <v>#NAME?</v>
      </c>
      <c r="W237" s="2" t="e">
        <f ca="1"/>
        <v>#NAME?</v>
      </c>
      <c r="X237" s="2"/>
      <c r="Y237" s="2"/>
      <c r="Z237" s="2"/>
    </row>
    <row r="238" spans="1:26" ht="12.5" x14ac:dyDescent="0.25">
      <c r="A238" s="7">
        <v>11.6</v>
      </c>
      <c r="B238" s="6" t="s">
        <v>166</v>
      </c>
      <c r="C238" s="6" t="s">
        <v>22</v>
      </c>
      <c r="D238" s="6" t="s">
        <v>61</v>
      </c>
      <c r="E238" s="8"/>
      <c r="F238" s="6" t="s">
        <v>25</v>
      </c>
      <c r="G238" s="6">
        <v>14</v>
      </c>
      <c r="H238" s="6" t="s">
        <v>26</v>
      </c>
      <c r="I238" s="7">
        <v>1</v>
      </c>
      <c r="J238" s="8"/>
      <c r="K238" s="7">
        <v>0</v>
      </c>
      <c r="L238" s="7">
        <v>0</v>
      </c>
      <c r="M238" s="7">
        <v>0</v>
      </c>
      <c r="N238" s="7">
        <v>0</v>
      </c>
      <c r="O238" s="8"/>
      <c r="P238" s="2"/>
      <c r="Q238" s="2"/>
      <c r="R238" s="2" t="str">
        <v>C9300</v>
      </c>
      <c r="S238" s="2" t="str">
        <f ca="1">IFERROR(__xludf.DUMMYFUNCTION("""COMPUTED_VALUE"""),"C9300-SPS-NONE")</f>
        <v>C9300-SPS-NONE</v>
      </c>
      <c r="T238" s="10">
        <f ca="1">IFERROR(__xludf.DUMMYFUNCTION("""COMPUTED_VALUE"""),0)</f>
        <v>0</v>
      </c>
      <c r="U238" s="2" t="e">
        <f ca="1"/>
        <v>#NAME?</v>
      </c>
      <c r="V238" s="2" t="e">
        <f ca="1"/>
        <v>#NAME?</v>
      </c>
      <c r="W238" s="2" t="e">
        <f ca="1"/>
        <v>#NAME?</v>
      </c>
      <c r="X238" s="2"/>
      <c r="Y238" s="2"/>
      <c r="Z238" s="2"/>
    </row>
    <row r="239" spans="1:26" ht="12.5" x14ac:dyDescent="0.25">
      <c r="A239" s="7">
        <v>11.7</v>
      </c>
      <c r="B239" s="6" t="s">
        <v>62</v>
      </c>
      <c r="C239" s="6" t="s">
        <v>22</v>
      </c>
      <c r="D239" s="6" t="s">
        <v>63</v>
      </c>
      <c r="E239" s="8"/>
      <c r="F239" s="6" t="s">
        <v>25</v>
      </c>
      <c r="G239" s="6">
        <v>14</v>
      </c>
      <c r="H239" s="6" t="s">
        <v>26</v>
      </c>
      <c r="I239" s="7">
        <v>1</v>
      </c>
      <c r="J239" s="8"/>
      <c r="K239" s="7">
        <v>0</v>
      </c>
      <c r="L239" s="7">
        <v>0</v>
      </c>
      <c r="M239" s="7">
        <v>0</v>
      </c>
      <c r="N239" s="7">
        <v>0</v>
      </c>
      <c r="O239" s="8"/>
      <c r="P239" s="2"/>
      <c r="Q239" s="2"/>
      <c r="R239" s="2" t="str">
        <v>C9300</v>
      </c>
      <c r="S239" s="2" t="str">
        <f ca="1">IFERROR(__xludf.DUMMYFUNCTION("""COMPUTED_VALUE"""),"CAB-TA-EU")</f>
        <v>CAB-TA-EU</v>
      </c>
      <c r="T239" s="10">
        <f ca="1">IFERROR(__xludf.DUMMYFUNCTION("""COMPUTED_VALUE"""),0)</f>
        <v>0</v>
      </c>
      <c r="U239" s="2" t="e">
        <f ca="1"/>
        <v>#NAME?</v>
      </c>
      <c r="V239" s="2" t="e">
        <f ca="1"/>
        <v>#NAME?</v>
      </c>
      <c r="W239" s="2" t="e">
        <f ca="1"/>
        <v>#NAME?</v>
      </c>
      <c r="X239" s="2"/>
      <c r="Y239" s="2"/>
      <c r="Z239" s="2"/>
    </row>
    <row r="240" spans="1:26" ht="12.5" x14ac:dyDescent="0.25">
      <c r="A240" s="7">
        <v>11.8</v>
      </c>
      <c r="B240" s="6" t="s">
        <v>64</v>
      </c>
      <c r="C240" s="6" t="s">
        <v>22</v>
      </c>
      <c r="D240" s="6" t="s">
        <v>65</v>
      </c>
      <c r="E240" s="8"/>
      <c r="F240" s="6" t="s">
        <v>25</v>
      </c>
      <c r="G240" s="6">
        <v>14</v>
      </c>
      <c r="H240" s="6" t="s">
        <v>26</v>
      </c>
      <c r="I240" s="7">
        <v>1</v>
      </c>
      <c r="J240" s="8"/>
      <c r="K240" s="9">
        <v>3162.96</v>
      </c>
      <c r="L240" s="9">
        <v>3162.96</v>
      </c>
      <c r="M240" s="7">
        <v>0</v>
      </c>
      <c r="N240" s="9">
        <v>3162.96</v>
      </c>
      <c r="O240" s="8"/>
      <c r="P240" s="2"/>
      <c r="Q240" s="2"/>
      <c r="R240" s="2" t="str">
        <v>C9300</v>
      </c>
      <c r="S240" s="2" t="str">
        <f ca="1">IFERROR(__xludf.DUMMYFUNCTION("""COMPUTED_VALUE"""),"SSD-240G")</f>
        <v>SSD-240G</v>
      </c>
      <c r="T240" s="10">
        <f ca="1">IFERROR(__xludf.DUMMYFUNCTION("""COMPUTED_VALUE"""),0)</f>
        <v>0</v>
      </c>
      <c r="U240" s="2" t="e">
        <f ca="1"/>
        <v>#NAME?</v>
      </c>
      <c r="V240" s="2" t="e">
        <f ca="1"/>
        <v>#NAME?</v>
      </c>
      <c r="W240" s="2" t="e">
        <f ca="1"/>
        <v>#NAME?</v>
      </c>
      <c r="X240" s="2"/>
      <c r="Y240" s="2"/>
      <c r="Z240" s="2"/>
    </row>
    <row r="241" spans="1:26" ht="12.5" x14ac:dyDescent="0.25">
      <c r="A241" s="7">
        <v>11.9</v>
      </c>
      <c r="B241" s="6" t="s">
        <v>167</v>
      </c>
      <c r="C241" s="6" t="s">
        <v>22</v>
      </c>
      <c r="D241" s="6" t="s">
        <v>168</v>
      </c>
      <c r="E241" s="8"/>
      <c r="F241" s="6" t="s">
        <v>25</v>
      </c>
      <c r="G241" s="6">
        <v>14</v>
      </c>
      <c r="H241" s="6" t="s">
        <v>26</v>
      </c>
      <c r="I241" s="7">
        <v>1</v>
      </c>
      <c r="J241" s="8"/>
      <c r="K241" s="7">
        <v>121.7</v>
      </c>
      <c r="L241" s="7">
        <v>121.7</v>
      </c>
      <c r="M241" s="7">
        <v>0</v>
      </c>
      <c r="N241" s="7">
        <v>121.7</v>
      </c>
      <c r="O241" s="8"/>
      <c r="P241" s="2"/>
      <c r="Q241" s="2"/>
      <c r="R241" s="2" t="str">
        <v>C9300</v>
      </c>
      <c r="S241" s="2" t="str">
        <f ca="1">IFERROR(__xludf.DUMMYFUNCTION("""COMPUTED_VALUE"""),"STACK-T1-50CM")</f>
        <v>STACK-T1-50CM</v>
      </c>
      <c r="T241" s="10">
        <f ca="1">IFERROR(__xludf.DUMMYFUNCTION("""COMPUTED_VALUE"""),0)</f>
        <v>0</v>
      </c>
      <c r="U241" s="2" t="e">
        <f ca="1"/>
        <v>#NAME?</v>
      </c>
      <c r="V241" s="2" t="e">
        <f ca="1"/>
        <v>#NAME?</v>
      </c>
      <c r="W241" s="2" t="e">
        <f ca="1"/>
        <v>#NAME?</v>
      </c>
      <c r="X241" s="2"/>
      <c r="Y241" s="2"/>
      <c r="Z241" s="2"/>
    </row>
    <row r="242" spans="1:26" ht="12.5" x14ac:dyDescent="0.25">
      <c r="A242" s="7">
        <v>11.1</v>
      </c>
      <c r="B242" s="6" t="s">
        <v>169</v>
      </c>
      <c r="C242" s="6" t="s">
        <v>22</v>
      </c>
      <c r="D242" s="6" t="s">
        <v>170</v>
      </c>
      <c r="E242" s="8"/>
      <c r="F242" s="6" t="s">
        <v>25</v>
      </c>
      <c r="G242" s="6">
        <v>14</v>
      </c>
      <c r="H242" s="6" t="s">
        <v>26</v>
      </c>
      <c r="I242" s="7">
        <v>1</v>
      </c>
      <c r="J242" s="8"/>
      <c r="K242" s="7">
        <v>115.62</v>
      </c>
      <c r="L242" s="7">
        <v>115.62</v>
      </c>
      <c r="M242" s="7">
        <v>0</v>
      </c>
      <c r="N242" s="7">
        <v>115.62</v>
      </c>
      <c r="O242" s="8"/>
      <c r="P242" s="2"/>
      <c r="Q242" s="2"/>
      <c r="R242" s="2" t="str">
        <v>C9300</v>
      </c>
      <c r="S242" s="2" t="str">
        <f ca="1">IFERROR(__xludf.DUMMYFUNCTION("""COMPUTED_VALUE"""),"CAB-SPWR-30CM")</f>
        <v>CAB-SPWR-30CM</v>
      </c>
      <c r="T242" s="10">
        <f ca="1">IFERROR(__xludf.DUMMYFUNCTION("""COMPUTED_VALUE"""),0)</f>
        <v>0</v>
      </c>
      <c r="U242" s="2" t="e">
        <f ca="1"/>
        <v>#NAME?</v>
      </c>
      <c r="V242" s="2" t="e">
        <f ca="1"/>
        <v>#NAME?</v>
      </c>
      <c r="W242" s="2" t="e">
        <f ca="1"/>
        <v>#NAME?</v>
      </c>
      <c r="X242" s="2"/>
      <c r="Y242" s="2"/>
      <c r="Z242" s="2"/>
    </row>
    <row r="243" spans="1:26" ht="12.5" x14ac:dyDescent="0.25">
      <c r="A243" s="7">
        <v>11.11</v>
      </c>
      <c r="B243" s="6" t="s">
        <v>90</v>
      </c>
      <c r="C243" s="6" t="s">
        <v>22</v>
      </c>
      <c r="D243" s="6" t="s">
        <v>91</v>
      </c>
      <c r="E243" s="8"/>
      <c r="F243" s="6" t="s">
        <v>25</v>
      </c>
      <c r="G243" s="6">
        <v>14</v>
      </c>
      <c r="H243" s="6" t="s">
        <v>26</v>
      </c>
      <c r="I243" s="7">
        <v>1</v>
      </c>
      <c r="J243" s="8"/>
      <c r="K243" s="9">
        <v>0</v>
      </c>
      <c r="L243" s="9">
        <v>0</v>
      </c>
      <c r="M243" s="7">
        <v>0</v>
      </c>
      <c r="N243" s="9">
        <v>0</v>
      </c>
      <c r="O243" s="8"/>
      <c r="P243" s="2"/>
      <c r="Q243" s="2"/>
      <c r="R243" s="2" t="str">
        <v>C9300</v>
      </c>
      <c r="S243" s="2" t="str">
        <f ca="1">IFERROR(__xludf.DUMMYFUNCTION("""COMPUTED_VALUE"""),"C9300-ACCKIT-NONE")</f>
        <v>C9300-ACCKIT-NONE</v>
      </c>
      <c r="T243" s="10">
        <f ca="1">IFERROR(__xludf.DUMMYFUNCTION("""COMPUTED_VALUE"""),0)</f>
        <v>0</v>
      </c>
      <c r="U243" s="2" t="e">
        <f ca="1"/>
        <v>#NAME?</v>
      </c>
      <c r="V243" s="2" t="e">
        <f ca="1"/>
        <v>#NAME?</v>
      </c>
      <c r="W243" s="2" t="e">
        <f ca="1"/>
        <v>#NAME?</v>
      </c>
      <c r="X243" s="2"/>
      <c r="Y243" s="2"/>
      <c r="Z243" s="2"/>
    </row>
    <row r="244" spans="1:26" ht="12.5" x14ac:dyDescent="0.25">
      <c r="A244" s="7">
        <v>11.12</v>
      </c>
      <c r="B244" s="6" t="s">
        <v>52</v>
      </c>
      <c r="C244" s="6" t="s">
        <v>22</v>
      </c>
      <c r="D244" s="6" t="s">
        <v>53</v>
      </c>
      <c r="E244" s="8"/>
      <c r="F244" s="6" t="s">
        <v>25</v>
      </c>
      <c r="G244" s="6">
        <v>14</v>
      </c>
      <c r="H244" s="6" t="s">
        <v>32</v>
      </c>
      <c r="I244" s="7">
        <v>1</v>
      </c>
      <c r="J244" s="8"/>
      <c r="K244" s="7">
        <v>0</v>
      </c>
      <c r="L244" s="7">
        <v>0</v>
      </c>
      <c r="M244" s="7">
        <v>0</v>
      </c>
      <c r="N244" s="7">
        <v>0</v>
      </c>
      <c r="O244" s="8"/>
      <c r="P244" s="2"/>
      <c r="Q244" s="2"/>
      <c r="R244" s="2" t="str">
        <v>C9300</v>
      </c>
      <c r="S244" s="2" t="str">
        <f ca="1">IFERROR(__xludf.DUMMYFUNCTION("""COMPUTED_VALUE"""),"PWR-C1-BLANK")</f>
        <v>PWR-C1-BLANK</v>
      </c>
      <c r="T244" s="10">
        <f ca="1">IFERROR(__xludf.DUMMYFUNCTION("""COMPUTED_VALUE"""),0)</f>
        <v>0</v>
      </c>
      <c r="U244" s="2" t="e">
        <f ca="1"/>
        <v>#NAME?</v>
      </c>
      <c r="V244" s="2" t="e">
        <f ca="1"/>
        <v>#NAME?</v>
      </c>
      <c r="W244" s="2" t="e">
        <f ca="1"/>
        <v>#NAME?</v>
      </c>
      <c r="X244" s="2"/>
      <c r="Y244" s="2"/>
      <c r="Z244" s="2"/>
    </row>
    <row r="245" spans="1:26" ht="12.5" x14ac:dyDescent="0.25">
      <c r="A245" s="7">
        <v>11.13</v>
      </c>
      <c r="B245" s="6" t="s">
        <v>86</v>
      </c>
      <c r="C245" s="6" t="s">
        <v>22</v>
      </c>
      <c r="D245" s="6" t="s">
        <v>87</v>
      </c>
      <c r="E245" s="8"/>
      <c r="F245" s="6" t="s">
        <v>25</v>
      </c>
      <c r="G245" s="6">
        <v>14</v>
      </c>
      <c r="H245" s="6" t="s">
        <v>32</v>
      </c>
      <c r="I245" s="7">
        <v>1</v>
      </c>
      <c r="J245" s="8"/>
      <c r="K245" s="7">
        <v>0</v>
      </c>
      <c r="L245" s="7">
        <v>0</v>
      </c>
      <c r="M245" s="7">
        <v>0</v>
      </c>
      <c r="N245" s="7">
        <v>0</v>
      </c>
      <c r="O245" s="8"/>
      <c r="P245" s="2"/>
      <c r="Q245" s="2"/>
      <c r="R245" s="2" t="str">
        <v>C9300</v>
      </c>
      <c r="S245" s="2" t="str">
        <f ca="1">IFERROR(__xludf.DUMMYFUNCTION("""COMPUTED_VALUE"""),"TE-C9K-SW")</f>
        <v>TE-C9K-SW</v>
      </c>
      <c r="T245" s="10">
        <f ca="1">IFERROR(__xludf.DUMMYFUNCTION("""COMPUTED_VALUE"""),0)</f>
        <v>0</v>
      </c>
      <c r="U245" s="2" t="e">
        <f ca="1"/>
        <v>#NAME?</v>
      </c>
      <c r="V245" s="2" t="e">
        <f ca="1"/>
        <v>#NAME?</v>
      </c>
      <c r="W245" s="2" t="e">
        <f ca="1"/>
        <v>#NAME?</v>
      </c>
      <c r="X245" s="2"/>
      <c r="Y245" s="2"/>
      <c r="Z245" s="2"/>
    </row>
    <row r="246" spans="1:26" ht="12.5" x14ac:dyDescent="0.25">
      <c r="A246" s="7">
        <v>11.14</v>
      </c>
      <c r="B246" s="6" t="s">
        <v>171</v>
      </c>
      <c r="C246" s="6" t="s">
        <v>22</v>
      </c>
      <c r="D246" s="6" t="s">
        <v>172</v>
      </c>
      <c r="E246" s="8"/>
      <c r="F246" s="6" t="s">
        <v>25</v>
      </c>
      <c r="G246" s="6">
        <v>14</v>
      </c>
      <c r="H246" s="6" t="s">
        <v>26</v>
      </c>
      <c r="I246" s="7">
        <v>1</v>
      </c>
      <c r="J246" s="8"/>
      <c r="K246" s="9">
        <v>3103.4</v>
      </c>
      <c r="L246" s="9">
        <v>3103.4</v>
      </c>
      <c r="M246" s="7">
        <v>0</v>
      </c>
      <c r="N246" s="9">
        <v>3103.4</v>
      </c>
      <c r="O246" s="8"/>
      <c r="P246" s="2"/>
      <c r="Q246" s="2"/>
      <c r="R246" s="2" t="str">
        <v>C9300</v>
      </c>
      <c r="S246" s="2" t="str">
        <f ca="1">IFERROR(__xludf.DUMMYFUNCTION("""COMPUTED_VALUE"""),"C9300-NM-8X")</f>
        <v>C9300-NM-8X</v>
      </c>
      <c r="T246" s="10">
        <f ca="1">IFERROR(__xludf.DUMMYFUNCTION("""COMPUTED_VALUE"""),0)</f>
        <v>0</v>
      </c>
      <c r="U246" s="2" t="e">
        <f ca="1"/>
        <v>#NAME?</v>
      </c>
      <c r="V246" s="2" t="e">
        <f ca="1"/>
        <v>#NAME?</v>
      </c>
      <c r="W246" s="2" t="e">
        <f ca="1"/>
        <v>#NAME?</v>
      </c>
      <c r="X246" s="2"/>
      <c r="Y246" s="2"/>
      <c r="Z246" s="2"/>
    </row>
    <row r="247" spans="1:26" ht="12.5" x14ac:dyDescent="0.25">
      <c r="A247" s="7">
        <v>11.15</v>
      </c>
      <c r="B247" s="6" t="s">
        <v>72</v>
      </c>
      <c r="C247" s="6" t="s">
        <v>32</v>
      </c>
      <c r="D247" s="6" t="s">
        <v>73</v>
      </c>
      <c r="E247" s="8"/>
      <c r="F247" s="6" t="s">
        <v>25</v>
      </c>
      <c r="G247" s="6">
        <v>2</v>
      </c>
      <c r="H247" s="6" t="s">
        <v>32</v>
      </c>
      <c r="I247" s="7">
        <v>1</v>
      </c>
      <c r="J247" s="8"/>
      <c r="K247" s="7">
        <v>0</v>
      </c>
      <c r="L247" s="7">
        <v>0</v>
      </c>
      <c r="M247" s="7">
        <v>0</v>
      </c>
      <c r="N247" s="7">
        <v>0</v>
      </c>
      <c r="O247" s="8"/>
      <c r="P247" s="2"/>
      <c r="Q247" s="2"/>
      <c r="R247" s="2" t="str">
        <v>C9300</v>
      </c>
      <c r="S247" s="2" t="str">
        <f ca="1">IFERROR(__xludf.DUMMYFUNCTION("""COMPUTED_VALUE"""),"NETWORK-PNP-LIC")</f>
        <v>NETWORK-PNP-LIC</v>
      </c>
      <c r="T247" s="10">
        <f ca="1">IFERROR(__xludf.DUMMYFUNCTION("""COMPUTED_VALUE"""),0)</f>
        <v>0</v>
      </c>
      <c r="U247" s="2" t="e">
        <f ca="1"/>
        <v>#NAME?</v>
      </c>
      <c r="V247" s="2" t="e">
        <f ca="1"/>
        <v>#NAME?</v>
      </c>
      <c r="W247" s="2" t="e">
        <f ca="1"/>
        <v>#NAME?</v>
      </c>
      <c r="X247" s="2"/>
      <c r="Y247" s="2"/>
      <c r="Z247" s="2"/>
    </row>
    <row r="248" spans="1:26" ht="12.5" x14ac:dyDescent="0.25">
      <c r="A248" s="7">
        <v>11.16</v>
      </c>
      <c r="B248" s="6" t="s">
        <v>193</v>
      </c>
      <c r="C248" s="6" t="s">
        <v>22</v>
      </c>
      <c r="D248" s="6" t="s">
        <v>75</v>
      </c>
      <c r="E248" s="8"/>
      <c r="F248" s="6" t="s">
        <v>25</v>
      </c>
      <c r="G248" s="6">
        <v>14</v>
      </c>
      <c r="H248" s="6" t="s">
        <v>32</v>
      </c>
      <c r="I248" s="7">
        <v>1</v>
      </c>
      <c r="J248" s="8"/>
      <c r="K248" s="7">
        <v>0</v>
      </c>
      <c r="L248" s="7">
        <v>0</v>
      </c>
      <c r="M248" s="7">
        <v>0</v>
      </c>
      <c r="N248" s="7">
        <v>0</v>
      </c>
      <c r="O248" s="8"/>
      <c r="P248" s="2"/>
      <c r="Q248" s="2"/>
      <c r="R248" s="2" t="str">
        <v>C9300</v>
      </c>
      <c r="S248" s="2" t="str">
        <f ca="1">IFERROR(__xludf.DUMMYFUNCTION("""COMPUTED_VALUE"""),"SC9300UK9-1718")</f>
        <v>SC9300UK9-1718</v>
      </c>
      <c r="T248" s="10">
        <f ca="1">IFERROR(__xludf.DUMMYFUNCTION("""COMPUTED_VALUE"""),0)</f>
        <v>0</v>
      </c>
      <c r="U248" s="2" t="e">
        <f ca="1"/>
        <v>#NAME?</v>
      </c>
      <c r="V248" s="2" t="e">
        <f ca="1"/>
        <v>#NAME?</v>
      </c>
      <c r="W248" s="2" t="e">
        <f ca="1"/>
        <v>#NAME?</v>
      </c>
      <c r="X248" s="2"/>
      <c r="Y248" s="2"/>
      <c r="Z248" s="2"/>
    </row>
    <row r="249" spans="1:26" ht="12.5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5"/>
      <c r="L249" s="15"/>
      <c r="M249" s="12" t="s">
        <v>76</v>
      </c>
      <c r="N249" s="13">
        <v>20505.61</v>
      </c>
      <c r="O249" s="14"/>
      <c r="P249" s="2"/>
      <c r="Q249" s="2"/>
      <c r="R249" s="2" t="str">
        <v/>
      </c>
      <c r="S249" s="2" t="str">
        <f ca="1">IFERROR(__xludf.DUMMYFUNCTION("""COMPUTED_VALUE"""),"")</f>
        <v/>
      </c>
      <c r="T249" s="2" t="str">
        <f ca="1">IFERROR(__xludf.DUMMYFUNCTION("""COMPUTED_VALUE"""),"")</f>
        <v/>
      </c>
      <c r="U249" s="2" t="e">
        <f ca="1"/>
        <v>#NAME?</v>
      </c>
      <c r="V249" s="2" t="e">
        <f ca="1"/>
        <v>#NAME?</v>
      </c>
      <c r="W249" s="2" t="str">
        <f ca="1"/>
        <v/>
      </c>
      <c r="X249" s="2"/>
      <c r="Y249" s="2"/>
      <c r="Z249" s="2"/>
    </row>
    <row r="250" spans="1:26" ht="12.5" x14ac:dyDescent="0.25">
      <c r="A250" s="5">
        <v>12</v>
      </c>
      <c r="B250" s="5" t="s">
        <v>194</v>
      </c>
      <c r="C250" s="6" t="s">
        <v>22</v>
      </c>
      <c r="D250" s="6" t="s">
        <v>195</v>
      </c>
      <c r="E250" s="6" t="s">
        <v>24</v>
      </c>
      <c r="F250" s="6" t="s">
        <v>25</v>
      </c>
      <c r="G250" s="6">
        <v>140</v>
      </c>
      <c r="H250" s="6" t="s">
        <v>26</v>
      </c>
      <c r="I250" s="7">
        <v>1</v>
      </c>
      <c r="J250" s="8"/>
      <c r="K250" s="9">
        <v>9896.35</v>
      </c>
      <c r="L250" s="9">
        <v>9896.35</v>
      </c>
      <c r="M250" s="7">
        <v>0</v>
      </c>
      <c r="N250" s="9">
        <v>9896.35</v>
      </c>
      <c r="O250" s="8"/>
      <c r="P250" s="2"/>
      <c r="Q250" s="2"/>
      <c r="R250" s="2" t="str">
        <v>C9300</v>
      </c>
      <c r="S250" s="2" t="str">
        <f ca="1">IFERROR(__xludf.DUMMYFUNCTION("""COMPUTED_VALUE"""),"C9300-24H-A")</f>
        <v>C9300-24H-A</v>
      </c>
      <c r="T250" s="10">
        <f ca="1">IFERROR(__xludf.DUMMYFUNCTION("""COMPUTED_VALUE"""),1)</f>
        <v>1</v>
      </c>
      <c r="U250" s="2" t="e">
        <f ca="1"/>
        <v>#NAME?</v>
      </c>
      <c r="V250" s="2" t="e">
        <f ca="1"/>
        <v>#NAME?</v>
      </c>
      <c r="W250" s="2" t="e">
        <f ca="1"/>
        <v>#NAME?</v>
      </c>
      <c r="X250" s="2"/>
      <c r="Y250" s="2"/>
      <c r="Z250" s="2"/>
    </row>
    <row r="251" spans="1:26" ht="12.5" x14ac:dyDescent="0.25">
      <c r="A251" s="7" t="s">
        <v>196</v>
      </c>
      <c r="B251" s="6" t="s">
        <v>197</v>
      </c>
      <c r="C251" s="6" t="s">
        <v>22</v>
      </c>
      <c r="D251" s="6" t="s">
        <v>198</v>
      </c>
      <c r="E251" s="8"/>
      <c r="F251" s="6">
        <v>24</v>
      </c>
      <c r="G251" s="6" t="s">
        <v>25</v>
      </c>
      <c r="H251" s="6" t="s">
        <v>26</v>
      </c>
      <c r="I251" s="7">
        <v>1</v>
      </c>
      <c r="J251" s="8"/>
      <c r="K251" s="9">
        <v>1982.76</v>
      </c>
      <c r="L251" s="9">
        <v>1982.76</v>
      </c>
      <c r="M251" s="7">
        <v>0</v>
      </c>
      <c r="N251" s="9">
        <v>1982.76</v>
      </c>
      <c r="O251" s="6" t="s">
        <v>30</v>
      </c>
      <c r="P251" s="2"/>
      <c r="Q251" s="2"/>
      <c r="R251" s="2" t="str">
        <v>C9300</v>
      </c>
      <c r="S251" s="2" t="str">
        <f ca="1">IFERROR(__xludf.DUMMYFUNCTION("""COMPUTED_VALUE"""),"CON-L1NBD-C930210E")</f>
        <v>CON-L1NBD-C930210E</v>
      </c>
      <c r="T251" s="10">
        <f ca="1">IFERROR(__xludf.DUMMYFUNCTION("""COMPUTED_VALUE"""),0)</f>
        <v>0</v>
      </c>
      <c r="U251" s="2" t="e">
        <f ca="1"/>
        <v>#NAME?</v>
      </c>
      <c r="V251" s="2" t="e">
        <f ca="1"/>
        <v>#NAME?</v>
      </c>
      <c r="W251" s="2" t="e">
        <f ca="1"/>
        <v>#NAME?</v>
      </c>
      <c r="X251" s="2"/>
      <c r="Y251" s="2"/>
      <c r="Z251" s="2"/>
    </row>
    <row r="252" spans="1:26" ht="12.5" x14ac:dyDescent="0.25">
      <c r="A252" s="7">
        <v>12.1</v>
      </c>
      <c r="B252" s="6" t="s">
        <v>154</v>
      </c>
      <c r="C252" s="6" t="s">
        <v>32</v>
      </c>
      <c r="D252" s="6" t="s">
        <v>155</v>
      </c>
      <c r="E252" s="8"/>
      <c r="F252" s="6" t="s">
        <v>25</v>
      </c>
      <c r="G252" s="6">
        <v>14</v>
      </c>
      <c r="H252" s="6" t="s">
        <v>26</v>
      </c>
      <c r="I252" s="7">
        <v>1</v>
      </c>
      <c r="J252" s="8"/>
      <c r="K252" s="9">
        <v>0</v>
      </c>
      <c r="L252" s="9">
        <v>0</v>
      </c>
      <c r="M252" s="7">
        <v>0</v>
      </c>
      <c r="N252" s="9">
        <v>0</v>
      </c>
      <c r="O252" s="8"/>
      <c r="P252" s="2"/>
      <c r="Q252" s="2"/>
      <c r="R252" s="2" t="str">
        <v>C9300</v>
      </c>
      <c r="S252" s="2" t="str">
        <f ca="1">IFERROR(__xludf.DUMMYFUNCTION("""COMPUTED_VALUE"""),"C9300-DNA-A-24")</f>
        <v>C9300-DNA-A-24</v>
      </c>
      <c r="T252" s="10">
        <f ca="1">IFERROR(__xludf.DUMMYFUNCTION("""COMPUTED_VALUE"""),0)</f>
        <v>0</v>
      </c>
      <c r="U252" s="2" t="e">
        <f ca="1"/>
        <v>#NAME?</v>
      </c>
      <c r="V252" s="2" t="e">
        <f ca="1"/>
        <v>#NAME?</v>
      </c>
      <c r="W252" s="2" t="e">
        <f ca="1"/>
        <v>#NAME?</v>
      </c>
      <c r="X252" s="2"/>
      <c r="Y252" s="2"/>
      <c r="Z252" s="2"/>
    </row>
    <row r="253" spans="1:26" ht="12.5" x14ac:dyDescent="0.25">
      <c r="A253" s="7" t="s">
        <v>199</v>
      </c>
      <c r="B253" s="6" t="s">
        <v>157</v>
      </c>
      <c r="C253" s="6" t="s">
        <v>22</v>
      </c>
      <c r="D253" s="6" t="s">
        <v>158</v>
      </c>
      <c r="E253" s="8"/>
      <c r="F253" s="6">
        <v>24</v>
      </c>
      <c r="G253" s="6" t="s">
        <v>25</v>
      </c>
      <c r="H253" s="6" t="s">
        <v>26</v>
      </c>
      <c r="I253" s="7">
        <v>1</v>
      </c>
      <c r="J253" s="8"/>
      <c r="K253" s="9">
        <v>324.5</v>
      </c>
      <c r="L253" s="9">
        <v>324.5</v>
      </c>
      <c r="M253" s="7">
        <v>0</v>
      </c>
      <c r="N253" s="9">
        <v>324.5</v>
      </c>
      <c r="O253" s="6" t="s">
        <v>30</v>
      </c>
      <c r="P253" s="2"/>
      <c r="Q253" s="2"/>
      <c r="R253" s="2" t="str">
        <v>C9300</v>
      </c>
      <c r="S253" s="2" t="str">
        <f ca="1">IFERROR(__xludf.DUMMYFUNCTION("""COMPUTED_VALUE"""),"CON-L1SWT-C93A24")</f>
        <v>CON-L1SWT-C93A24</v>
      </c>
      <c r="T253" s="10">
        <f ca="1">IFERROR(__xludf.DUMMYFUNCTION("""COMPUTED_VALUE"""),0)</f>
        <v>0</v>
      </c>
      <c r="U253" s="2" t="e">
        <f ca="1"/>
        <v>#NAME?</v>
      </c>
      <c r="V253" s="2" t="e">
        <f ca="1"/>
        <v>#NAME?</v>
      </c>
      <c r="W253" s="2" t="e">
        <f ca="1"/>
        <v>#NAME?</v>
      </c>
      <c r="X253" s="2"/>
      <c r="Y253" s="2"/>
      <c r="Z253" s="2"/>
    </row>
    <row r="254" spans="1:26" ht="12.5" x14ac:dyDescent="0.25">
      <c r="A254" s="7" t="s">
        <v>200</v>
      </c>
      <c r="B254" s="6" t="s">
        <v>160</v>
      </c>
      <c r="C254" s="6" t="s">
        <v>22</v>
      </c>
      <c r="D254" s="6" t="s">
        <v>161</v>
      </c>
      <c r="E254" s="8"/>
      <c r="F254" s="6">
        <v>36</v>
      </c>
      <c r="G254" s="6" t="s">
        <v>25</v>
      </c>
      <c r="H254" s="6" t="s">
        <v>26</v>
      </c>
      <c r="I254" s="7">
        <v>1</v>
      </c>
      <c r="J254" s="8"/>
      <c r="K254" s="9">
        <v>2365.77</v>
      </c>
      <c r="L254" s="9">
        <v>2365.77</v>
      </c>
      <c r="M254" s="7">
        <v>0</v>
      </c>
      <c r="N254" s="9">
        <v>2365.77</v>
      </c>
      <c r="O254" s="8"/>
      <c r="P254" s="2"/>
      <c r="Q254" s="2"/>
      <c r="R254" s="2" t="str">
        <v>C9300</v>
      </c>
      <c r="S254" s="2" t="str">
        <f ca="1">IFERROR(__xludf.DUMMYFUNCTION("""COMPUTED_VALUE"""),"C9300-DNA-A-24-3Y")</f>
        <v>C9300-DNA-A-24-3Y</v>
      </c>
      <c r="T254" s="10">
        <f ca="1">IFERROR(__xludf.DUMMYFUNCTION("""COMPUTED_VALUE"""),0)</f>
        <v>0</v>
      </c>
      <c r="U254" s="2" t="e">
        <f ca="1"/>
        <v>#NAME?</v>
      </c>
      <c r="V254" s="2" t="e">
        <f ca="1"/>
        <v>#NAME?</v>
      </c>
      <c r="W254" s="2" t="e">
        <f ca="1"/>
        <v>#NAME?</v>
      </c>
      <c r="X254" s="2"/>
      <c r="Y254" s="2"/>
      <c r="Z254" s="2"/>
    </row>
    <row r="255" spans="1:26" ht="12.5" x14ac:dyDescent="0.25">
      <c r="A255" s="7">
        <v>12.2</v>
      </c>
      <c r="B255" s="6" t="s">
        <v>45</v>
      </c>
      <c r="C255" s="6" t="s">
        <v>32</v>
      </c>
      <c r="D255" s="6" t="s">
        <v>46</v>
      </c>
      <c r="E255" s="8"/>
      <c r="F255" s="6" t="s">
        <v>25</v>
      </c>
      <c r="G255" s="6">
        <v>14</v>
      </c>
      <c r="H255" s="6" t="s">
        <v>32</v>
      </c>
      <c r="I255" s="7">
        <v>1</v>
      </c>
      <c r="J255" s="8"/>
      <c r="K255" s="7">
        <v>0</v>
      </c>
      <c r="L255" s="7">
        <v>0</v>
      </c>
      <c r="M255" s="7">
        <v>0</v>
      </c>
      <c r="N255" s="7">
        <v>0</v>
      </c>
      <c r="O255" s="8"/>
      <c r="P255" s="2"/>
      <c r="Q255" s="2"/>
      <c r="R255" s="2" t="str">
        <v>C9300</v>
      </c>
      <c r="S255" s="2" t="str">
        <f ca="1">IFERROR(__xludf.DUMMYFUNCTION("""COMPUTED_VALUE"""),"D-DNAS-EXT-S-T")</f>
        <v>D-DNAS-EXT-S-T</v>
      </c>
      <c r="T255" s="10">
        <f ca="1">IFERROR(__xludf.DUMMYFUNCTION("""COMPUTED_VALUE"""),0)</f>
        <v>0</v>
      </c>
      <c r="U255" s="2" t="e">
        <f ca="1"/>
        <v>#NAME?</v>
      </c>
      <c r="V255" s="2" t="e">
        <f ca="1"/>
        <v>#NAME?</v>
      </c>
      <c r="W255" s="2" t="e">
        <f ca="1"/>
        <v>#NAME?</v>
      </c>
      <c r="X255" s="2"/>
      <c r="Y255" s="2"/>
      <c r="Z255" s="2"/>
    </row>
    <row r="256" spans="1:26" ht="12.5" x14ac:dyDescent="0.25">
      <c r="A256" s="7" t="s">
        <v>201</v>
      </c>
      <c r="B256" s="6" t="s">
        <v>48</v>
      </c>
      <c r="C256" s="6" t="s">
        <v>22</v>
      </c>
      <c r="D256" s="6" t="s">
        <v>49</v>
      </c>
      <c r="E256" s="8"/>
      <c r="F256" s="6">
        <v>36</v>
      </c>
      <c r="G256" s="6" t="s">
        <v>25</v>
      </c>
      <c r="H256" s="6" t="s">
        <v>26</v>
      </c>
      <c r="I256" s="7">
        <v>1</v>
      </c>
      <c r="J256" s="8"/>
      <c r="K256" s="9">
        <v>0</v>
      </c>
      <c r="L256" s="9">
        <v>0</v>
      </c>
      <c r="M256" s="7">
        <v>0</v>
      </c>
      <c r="N256" s="9">
        <v>0</v>
      </c>
      <c r="O256" s="8"/>
      <c r="P256" s="2"/>
      <c r="Q256" s="2"/>
      <c r="R256" s="2" t="str">
        <v>C9300</v>
      </c>
      <c r="S256" s="2" t="str">
        <f ca="1">IFERROR(__xludf.DUMMYFUNCTION("""COMPUTED_VALUE"""),"D-DNAS-EXT-S-3Y")</f>
        <v>D-DNAS-EXT-S-3Y</v>
      </c>
      <c r="T256" s="10">
        <f ca="1">IFERROR(__xludf.DUMMYFUNCTION("""COMPUTED_VALUE"""),0)</f>
        <v>0</v>
      </c>
      <c r="U256" s="2" t="e">
        <f ca="1"/>
        <v>#NAME?</v>
      </c>
      <c r="V256" s="2" t="e">
        <f ca="1"/>
        <v>#NAME?</v>
      </c>
      <c r="W256" s="2" t="e">
        <f ca="1"/>
        <v>#NAME?</v>
      </c>
      <c r="X256" s="2"/>
      <c r="Y256" s="2"/>
      <c r="Z256" s="2"/>
    </row>
    <row r="257" spans="1:26" ht="12.5" x14ac:dyDescent="0.25">
      <c r="A257" s="7">
        <v>12.3</v>
      </c>
      <c r="B257" s="6" t="s">
        <v>40</v>
      </c>
      <c r="C257" s="6" t="s">
        <v>32</v>
      </c>
      <c r="D257" s="6" t="s">
        <v>41</v>
      </c>
      <c r="E257" s="8"/>
      <c r="F257" s="6" t="s">
        <v>25</v>
      </c>
      <c r="G257" s="6">
        <v>14</v>
      </c>
      <c r="H257" s="6" t="s">
        <v>32</v>
      </c>
      <c r="I257" s="7">
        <v>1</v>
      </c>
      <c r="J257" s="8"/>
      <c r="K257" s="7">
        <v>0</v>
      </c>
      <c r="L257" s="7">
        <v>0</v>
      </c>
      <c r="M257" s="7">
        <v>0</v>
      </c>
      <c r="N257" s="7">
        <v>0</v>
      </c>
      <c r="O257" s="8"/>
      <c r="P257" s="2"/>
      <c r="Q257" s="2"/>
      <c r="R257" s="2" t="str">
        <v>C9300</v>
      </c>
      <c r="S257" s="2" t="str">
        <f ca="1">IFERROR(__xludf.DUMMYFUNCTION("""COMPUTED_VALUE"""),"TE-EMBEDDED-T")</f>
        <v>TE-EMBEDDED-T</v>
      </c>
      <c r="T257" s="10">
        <f ca="1">IFERROR(__xludf.DUMMYFUNCTION("""COMPUTED_VALUE"""),0)</f>
        <v>0</v>
      </c>
      <c r="U257" s="2" t="e">
        <f ca="1"/>
        <v>#NAME?</v>
      </c>
      <c r="V257" s="2" t="e">
        <f ca="1"/>
        <v>#NAME?</v>
      </c>
      <c r="W257" s="2" t="e">
        <f ca="1"/>
        <v>#NAME?</v>
      </c>
      <c r="X257" s="2"/>
      <c r="Y257" s="2"/>
      <c r="Z257" s="2"/>
    </row>
    <row r="258" spans="1:26" ht="12.5" x14ac:dyDescent="0.25">
      <c r="A258" s="7" t="s">
        <v>202</v>
      </c>
      <c r="B258" s="6" t="s">
        <v>43</v>
      </c>
      <c r="C258" s="6" t="s">
        <v>22</v>
      </c>
      <c r="D258" s="6" t="s">
        <v>44</v>
      </c>
      <c r="E258" s="8"/>
      <c r="F258" s="6">
        <v>36</v>
      </c>
      <c r="G258" s="6" t="s">
        <v>25</v>
      </c>
      <c r="H258" s="6" t="s">
        <v>26</v>
      </c>
      <c r="I258" s="7">
        <v>1</v>
      </c>
      <c r="J258" s="8"/>
      <c r="K258" s="7">
        <v>0</v>
      </c>
      <c r="L258" s="7">
        <v>0</v>
      </c>
      <c r="M258" s="7">
        <v>0</v>
      </c>
      <c r="N258" s="7">
        <v>0</v>
      </c>
      <c r="O258" s="8"/>
      <c r="P258" s="2"/>
      <c r="Q258" s="2"/>
      <c r="R258" s="2" t="str">
        <v>C9300</v>
      </c>
      <c r="S258" s="2" t="str">
        <f ca="1">IFERROR(__xludf.DUMMYFUNCTION("""COMPUTED_VALUE"""),"TE-EMBEDDED-T-3Y")</f>
        <v>TE-EMBEDDED-T-3Y</v>
      </c>
      <c r="T258" s="10">
        <f ca="1">IFERROR(__xludf.DUMMYFUNCTION("""COMPUTED_VALUE"""),0)</f>
        <v>0</v>
      </c>
      <c r="U258" s="2" t="e">
        <f ca="1"/>
        <v>#NAME?</v>
      </c>
      <c r="V258" s="2" t="e">
        <f ca="1"/>
        <v>#NAME?</v>
      </c>
      <c r="W258" s="2" t="e">
        <f ca="1"/>
        <v>#NAME?</v>
      </c>
      <c r="X258" s="2"/>
      <c r="Y258" s="2"/>
      <c r="Z258" s="2"/>
    </row>
    <row r="259" spans="1:26" ht="12.5" x14ac:dyDescent="0.25">
      <c r="A259" s="7">
        <v>12.4</v>
      </c>
      <c r="B259" s="6" t="s">
        <v>164</v>
      </c>
      <c r="C259" s="6" t="s">
        <v>32</v>
      </c>
      <c r="D259" s="6" t="s">
        <v>165</v>
      </c>
      <c r="E259" s="8"/>
      <c r="F259" s="6" t="s">
        <v>25</v>
      </c>
      <c r="G259" s="6">
        <v>14</v>
      </c>
      <c r="H259" s="6" t="s">
        <v>32</v>
      </c>
      <c r="I259" s="7">
        <v>1</v>
      </c>
      <c r="J259" s="8"/>
      <c r="K259" s="7">
        <v>0</v>
      </c>
      <c r="L259" s="7">
        <v>0</v>
      </c>
      <c r="M259" s="7">
        <v>0</v>
      </c>
      <c r="N259" s="7">
        <v>0</v>
      </c>
      <c r="O259" s="8"/>
      <c r="P259" s="2"/>
      <c r="Q259" s="2"/>
      <c r="R259" s="2" t="str">
        <v>C9300</v>
      </c>
      <c r="S259" s="2" t="str">
        <f ca="1">IFERROR(__xludf.DUMMYFUNCTION("""COMPUTED_VALUE"""),"C9300-NW-A-24")</f>
        <v>C9300-NW-A-24</v>
      </c>
      <c r="T259" s="10">
        <f ca="1">IFERROR(__xludf.DUMMYFUNCTION("""COMPUTED_VALUE"""),0)</f>
        <v>0</v>
      </c>
      <c r="U259" s="2" t="e">
        <f ca="1"/>
        <v>#NAME?</v>
      </c>
      <c r="V259" s="2" t="e">
        <f ca="1"/>
        <v>#NAME?</v>
      </c>
      <c r="W259" s="2" t="e">
        <f ca="1"/>
        <v>#NAME?</v>
      </c>
      <c r="X259" s="2"/>
      <c r="Y259" s="2"/>
      <c r="Z259" s="2"/>
    </row>
    <row r="260" spans="1:26" ht="12.5" x14ac:dyDescent="0.25">
      <c r="A260" s="7">
        <v>12.5</v>
      </c>
      <c r="B260" s="6" t="s">
        <v>191</v>
      </c>
      <c r="C260" s="6" t="s">
        <v>22</v>
      </c>
      <c r="D260" s="6" t="s">
        <v>192</v>
      </c>
      <c r="E260" s="8"/>
      <c r="F260" s="6" t="s">
        <v>25</v>
      </c>
      <c r="G260" s="6">
        <v>14</v>
      </c>
      <c r="H260" s="6" t="s">
        <v>32</v>
      </c>
      <c r="I260" s="7">
        <v>1</v>
      </c>
      <c r="J260" s="8"/>
      <c r="K260" s="7">
        <v>0</v>
      </c>
      <c r="L260" s="7">
        <v>0</v>
      </c>
      <c r="M260" s="7">
        <v>0</v>
      </c>
      <c r="N260" s="7">
        <v>0</v>
      </c>
      <c r="O260" s="8"/>
      <c r="P260" s="2"/>
      <c r="Q260" s="2"/>
      <c r="R260" s="2" t="str">
        <v>C9300</v>
      </c>
      <c r="S260" s="2" t="str">
        <f ca="1">IFERROR(__xludf.DUMMYFUNCTION("""COMPUTED_VALUE"""),"PWR-C1-1100WAC-P")</f>
        <v>PWR-C1-1100WAC-P</v>
      </c>
      <c r="T260" s="10">
        <f ca="1">IFERROR(__xludf.DUMMYFUNCTION("""COMPUTED_VALUE"""),0)</f>
        <v>0</v>
      </c>
      <c r="U260" s="2" t="e">
        <f ca="1"/>
        <v>#NAME?</v>
      </c>
      <c r="V260" s="2" t="e">
        <f ca="1"/>
        <v>#NAME?</v>
      </c>
      <c r="W260" s="2" t="e">
        <f ca="1"/>
        <v>#NAME?</v>
      </c>
      <c r="X260" s="2"/>
      <c r="Y260" s="2"/>
      <c r="Z260" s="2"/>
    </row>
    <row r="261" spans="1:26" ht="12.5" x14ac:dyDescent="0.25">
      <c r="A261" s="7">
        <v>12.6</v>
      </c>
      <c r="B261" s="6" t="s">
        <v>166</v>
      </c>
      <c r="C261" s="6" t="s">
        <v>22</v>
      </c>
      <c r="D261" s="6" t="s">
        <v>61</v>
      </c>
      <c r="E261" s="8"/>
      <c r="F261" s="6" t="s">
        <v>25</v>
      </c>
      <c r="G261" s="6">
        <v>14</v>
      </c>
      <c r="H261" s="6" t="s">
        <v>26</v>
      </c>
      <c r="I261" s="7">
        <v>1</v>
      </c>
      <c r="J261" s="8"/>
      <c r="K261" s="7">
        <v>0</v>
      </c>
      <c r="L261" s="7">
        <v>0</v>
      </c>
      <c r="M261" s="7">
        <v>0</v>
      </c>
      <c r="N261" s="7">
        <v>0</v>
      </c>
      <c r="O261" s="8"/>
      <c r="P261" s="2"/>
      <c r="Q261" s="2"/>
      <c r="R261" s="2" t="str">
        <v>C9300</v>
      </c>
      <c r="S261" s="2" t="str">
        <f ca="1">IFERROR(__xludf.DUMMYFUNCTION("""COMPUTED_VALUE"""),"C9300-SPS-NONE")</f>
        <v>C9300-SPS-NONE</v>
      </c>
      <c r="T261" s="10">
        <f ca="1">IFERROR(__xludf.DUMMYFUNCTION("""COMPUTED_VALUE"""),0)</f>
        <v>0</v>
      </c>
      <c r="U261" s="2" t="e">
        <f ca="1"/>
        <v>#NAME?</v>
      </c>
      <c r="V261" s="2" t="e">
        <f ca="1"/>
        <v>#NAME?</v>
      </c>
      <c r="W261" s="2" t="e">
        <f ca="1"/>
        <v>#NAME?</v>
      </c>
      <c r="X261" s="2"/>
      <c r="Y261" s="2"/>
      <c r="Z261" s="2"/>
    </row>
    <row r="262" spans="1:26" ht="12.5" x14ac:dyDescent="0.25">
      <c r="A262" s="7">
        <v>12.7</v>
      </c>
      <c r="B262" s="6" t="s">
        <v>62</v>
      </c>
      <c r="C262" s="6" t="s">
        <v>22</v>
      </c>
      <c r="D262" s="6" t="s">
        <v>63</v>
      </c>
      <c r="E262" s="8"/>
      <c r="F262" s="6" t="s">
        <v>25</v>
      </c>
      <c r="G262" s="6">
        <v>14</v>
      </c>
      <c r="H262" s="6" t="s">
        <v>26</v>
      </c>
      <c r="I262" s="7">
        <v>1</v>
      </c>
      <c r="J262" s="8"/>
      <c r="K262" s="7">
        <v>0</v>
      </c>
      <c r="L262" s="7">
        <v>0</v>
      </c>
      <c r="M262" s="7">
        <v>0</v>
      </c>
      <c r="N262" s="7">
        <v>0</v>
      </c>
      <c r="O262" s="8"/>
      <c r="P262" s="2"/>
      <c r="Q262" s="2"/>
      <c r="R262" s="2" t="str">
        <v>C9300</v>
      </c>
      <c r="S262" s="2" t="str">
        <f ca="1">IFERROR(__xludf.DUMMYFUNCTION("""COMPUTED_VALUE"""),"CAB-TA-EU")</f>
        <v>CAB-TA-EU</v>
      </c>
      <c r="T262" s="10">
        <f ca="1">IFERROR(__xludf.DUMMYFUNCTION("""COMPUTED_VALUE"""),0)</f>
        <v>0</v>
      </c>
      <c r="U262" s="2" t="e">
        <f ca="1"/>
        <v>#NAME?</v>
      </c>
      <c r="V262" s="2" t="e">
        <f ca="1"/>
        <v>#NAME?</v>
      </c>
      <c r="W262" s="2" t="e">
        <f ca="1"/>
        <v>#NAME?</v>
      </c>
      <c r="X262" s="2"/>
      <c r="Y262" s="2"/>
      <c r="Z262" s="2"/>
    </row>
    <row r="263" spans="1:26" ht="12.5" x14ac:dyDescent="0.25">
      <c r="A263" s="7">
        <v>12.8</v>
      </c>
      <c r="B263" s="6" t="s">
        <v>64</v>
      </c>
      <c r="C263" s="6" t="s">
        <v>22</v>
      </c>
      <c r="D263" s="6" t="s">
        <v>65</v>
      </c>
      <c r="E263" s="8"/>
      <c r="F263" s="6" t="s">
        <v>25</v>
      </c>
      <c r="G263" s="6">
        <v>14</v>
      </c>
      <c r="H263" s="6" t="s">
        <v>26</v>
      </c>
      <c r="I263" s="7">
        <v>1</v>
      </c>
      <c r="J263" s="8"/>
      <c r="K263" s="9">
        <v>3162.96</v>
      </c>
      <c r="L263" s="9">
        <v>3162.96</v>
      </c>
      <c r="M263" s="7">
        <v>0</v>
      </c>
      <c r="N263" s="9">
        <v>3162.96</v>
      </c>
      <c r="O263" s="8"/>
      <c r="P263" s="2"/>
      <c r="Q263" s="2"/>
      <c r="R263" s="2" t="str">
        <v>C9300</v>
      </c>
      <c r="S263" s="2" t="str">
        <f ca="1">IFERROR(__xludf.DUMMYFUNCTION("""COMPUTED_VALUE"""),"SSD-240G")</f>
        <v>SSD-240G</v>
      </c>
      <c r="T263" s="10">
        <f ca="1">IFERROR(__xludf.DUMMYFUNCTION("""COMPUTED_VALUE"""),0)</f>
        <v>0</v>
      </c>
      <c r="U263" s="2" t="e">
        <f ca="1"/>
        <v>#NAME?</v>
      </c>
      <c r="V263" s="2" t="e">
        <f ca="1"/>
        <v>#NAME?</v>
      </c>
      <c r="W263" s="2" t="e">
        <f ca="1"/>
        <v>#NAME?</v>
      </c>
      <c r="X263" s="2"/>
      <c r="Y263" s="2"/>
      <c r="Z263" s="2"/>
    </row>
    <row r="264" spans="1:26" ht="12.5" x14ac:dyDescent="0.25">
      <c r="A264" s="7">
        <v>12.9</v>
      </c>
      <c r="B264" s="6" t="s">
        <v>167</v>
      </c>
      <c r="C264" s="6" t="s">
        <v>22</v>
      </c>
      <c r="D264" s="6" t="s">
        <v>168</v>
      </c>
      <c r="E264" s="8"/>
      <c r="F264" s="6" t="s">
        <v>25</v>
      </c>
      <c r="G264" s="6">
        <v>14</v>
      </c>
      <c r="H264" s="6" t="s">
        <v>26</v>
      </c>
      <c r="I264" s="7">
        <v>1</v>
      </c>
      <c r="J264" s="8"/>
      <c r="K264" s="7">
        <v>121.7</v>
      </c>
      <c r="L264" s="7">
        <v>121.7</v>
      </c>
      <c r="M264" s="7">
        <v>0</v>
      </c>
      <c r="N264" s="7">
        <v>121.7</v>
      </c>
      <c r="O264" s="8"/>
      <c r="P264" s="2"/>
      <c r="Q264" s="2"/>
      <c r="R264" s="2" t="str">
        <v>C9300</v>
      </c>
      <c r="S264" s="2" t="str">
        <f ca="1">IFERROR(__xludf.DUMMYFUNCTION("""COMPUTED_VALUE"""),"STACK-T1-50CM")</f>
        <v>STACK-T1-50CM</v>
      </c>
      <c r="T264" s="10">
        <f ca="1">IFERROR(__xludf.DUMMYFUNCTION("""COMPUTED_VALUE"""),0)</f>
        <v>0</v>
      </c>
      <c r="U264" s="2" t="e">
        <f ca="1"/>
        <v>#NAME?</v>
      </c>
      <c r="V264" s="2" t="e">
        <f ca="1"/>
        <v>#NAME?</v>
      </c>
      <c r="W264" s="2" t="e">
        <f ca="1"/>
        <v>#NAME?</v>
      </c>
      <c r="X264" s="2"/>
      <c r="Y264" s="2"/>
      <c r="Z264" s="2"/>
    </row>
    <row r="265" spans="1:26" ht="12.5" x14ac:dyDescent="0.25">
      <c r="A265" s="7">
        <v>12.1</v>
      </c>
      <c r="B265" s="6" t="s">
        <v>169</v>
      </c>
      <c r="C265" s="6" t="s">
        <v>22</v>
      </c>
      <c r="D265" s="6" t="s">
        <v>170</v>
      </c>
      <c r="E265" s="8"/>
      <c r="F265" s="6" t="s">
        <v>25</v>
      </c>
      <c r="G265" s="6">
        <v>14</v>
      </c>
      <c r="H265" s="6" t="s">
        <v>26</v>
      </c>
      <c r="I265" s="7">
        <v>1</v>
      </c>
      <c r="J265" s="8"/>
      <c r="K265" s="7">
        <v>115.62</v>
      </c>
      <c r="L265" s="7">
        <v>115.62</v>
      </c>
      <c r="M265" s="7">
        <v>0</v>
      </c>
      <c r="N265" s="7">
        <v>115.62</v>
      </c>
      <c r="O265" s="8"/>
      <c r="P265" s="2"/>
      <c r="Q265" s="2"/>
      <c r="R265" s="2" t="str">
        <v>C9300</v>
      </c>
      <c r="S265" s="2" t="str">
        <f ca="1">IFERROR(__xludf.DUMMYFUNCTION("""COMPUTED_VALUE"""),"CAB-SPWR-30CM")</f>
        <v>CAB-SPWR-30CM</v>
      </c>
      <c r="T265" s="10">
        <f ca="1">IFERROR(__xludf.DUMMYFUNCTION("""COMPUTED_VALUE"""),0)</f>
        <v>0</v>
      </c>
      <c r="U265" s="2" t="e">
        <f ca="1"/>
        <v>#NAME?</v>
      </c>
      <c r="V265" s="2" t="e">
        <f ca="1"/>
        <v>#NAME?</v>
      </c>
      <c r="W265" s="2" t="e">
        <f ca="1"/>
        <v>#NAME?</v>
      </c>
      <c r="X265" s="2"/>
      <c r="Y265" s="2"/>
      <c r="Z265" s="2"/>
    </row>
    <row r="266" spans="1:26" ht="12.5" x14ac:dyDescent="0.25">
      <c r="A266" s="7">
        <v>12.11</v>
      </c>
      <c r="B266" s="6" t="s">
        <v>52</v>
      </c>
      <c r="C266" s="6" t="s">
        <v>22</v>
      </c>
      <c r="D266" s="6" t="s">
        <v>53</v>
      </c>
      <c r="E266" s="8"/>
      <c r="F266" s="6" t="s">
        <v>25</v>
      </c>
      <c r="G266" s="6">
        <v>14</v>
      </c>
      <c r="H266" s="6" t="s">
        <v>32</v>
      </c>
      <c r="I266" s="7">
        <v>1</v>
      </c>
      <c r="J266" s="8"/>
      <c r="K266" s="9">
        <v>0</v>
      </c>
      <c r="L266" s="9">
        <v>0</v>
      </c>
      <c r="M266" s="7">
        <v>0</v>
      </c>
      <c r="N266" s="9">
        <v>0</v>
      </c>
      <c r="O266" s="8"/>
      <c r="P266" s="2"/>
      <c r="Q266" s="2"/>
      <c r="R266" s="2" t="str">
        <v>C9300</v>
      </c>
      <c r="S266" s="2" t="str">
        <f ca="1">IFERROR(__xludf.DUMMYFUNCTION("""COMPUTED_VALUE"""),"PWR-C1-BLANK")</f>
        <v>PWR-C1-BLANK</v>
      </c>
      <c r="T266" s="10">
        <f ca="1">IFERROR(__xludf.DUMMYFUNCTION("""COMPUTED_VALUE"""),0)</f>
        <v>0</v>
      </c>
      <c r="U266" s="2" t="e">
        <f ca="1"/>
        <v>#NAME?</v>
      </c>
      <c r="V266" s="2" t="e">
        <f ca="1"/>
        <v>#NAME?</v>
      </c>
      <c r="W266" s="2" t="e">
        <f ca="1"/>
        <v>#NAME?</v>
      </c>
      <c r="X266" s="2"/>
      <c r="Y266" s="2"/>
      <c r="Z266" s="2"/>
    </row>
    <row r="267" spans="1:26" ht="12.5" x14ac:dyDescent="0.25">
      <c r="A267" s="7">
        <v>12.12</v>
      </c>
      <c r="B267" s="6" t="s">
        <v>86</v>
      </c>
      <c r="C267" s="6" t="s">
        <v>22</v>
      </c>
      <c r="D267" s="6" t="s">
        <v>87</v>
      </c>
      <c r="E267" s="8"/>
      <c r="F267" s="6" t="s">
        <v>25</v>
      </c>
      <c r="G267" s="6">
        <v>14</v>
      </c>
      <c r="H267" s="6" t="s">
        <v>32</v>
      </c>
      <c r="I267" s="7">
        <v>1</v>
      </c>
      <c r="J267" s="8"/>
      <c r="K267" s="7">
        <v>0</v>
      </c>
      <c r="L267" s="7">
        <v>0</v>
      </c>
      <c r="M267" s="7">
        <v>0</v>
      </c>
      <c r="N267" s="7">
        <v>0</v>
      </c>
      <c r="O267" s="8"/>
      <c r="P267" s="2"/>
      <c r="Q267" s="2"/>
      <c r="R267" s="2" t="str">
        <v>C9300</v>
      </c>
      <c r="S267" s="2" t="str">
        <f ca="1">IFERROR(__xludf.DUMMYFUNCTION("""COMPUTED_VALUE"""),"TE-C9K-SW")</f>
        <v>TE-C9K-SW</v>
      </c>
      <c r="T267" s="10">
        <f ca="1">IFERROR(__xludf.DUMMYFUNCTION("""COMPUTED_VALUE"""),0)</f>
        <v>0</v>
      </c>
      <c r="U267" s="2" t="e">
        <f ca="1"/>
        <v>#NAME?</v>
      </c>
      <c r="V267" s="2" t="e">
        <f ca="1"/>
        <v>#NAME?</v>
      </c>
      <c r="W267" s="2" t="e">
        <f ca="1"/>
        <v>#NAME?</v>
      </c>
      <c r="X267" s="2"/>
      <c r="Y267" s="2"/>
      <c r="Z267" s="2"/>
    </row>
    <row r="268" spans="1:26" ht="12.5" x14ac:dyDescent="0.25">
      <c r="A268" s="7">
        <v>12.13</v>
      </c>
      <c r="B268" s="6" t="s">
        <v>203</v>
      </c>
      <c r="C268" s="6" t="s">
        <v>22</v>
      </c>
      <c r="D268" s="6" t="s">
        <v>204</v>
      </c>
      <c r="E268" s="8"/>
      <c r="F268" s="6" t="s">
        <v>25</v>
      </c>
      <c r="G268" s="6">
        <v>14</v>
      </c>
      <c r="H268" s="6" t="s">
        <v>32</v>
      </c>
      <c r="I268" s="7">
        <v>1</v>
      </c>
      <c r="J268" s="8"/>
      <c r="K268" s="7">
        <v>0</v>
      </c>
      <c r="L268" s="7">
        <v>0</v>
      </c>
      <c r="M268" s="7">
        <v>0</v>
      </c>
      <c r="N268" s="7">
        <v>0</v>
      </c>
      <c r="O268" s="8"/>
      <c r="P268" s="2"/>
      <c r="Q268" s="2"/>
      <c r="R268" s="2" t="str">
        <v>C9300</v>
      </c>
      <c r="S268" s="2" t="str">
        <f ca="1">IFERROR(__xludf.DUMMYFUNCTION("""COMPUTED_VALUE"""),"C9K-SMART-BUILDING")</f>
        <v>C9K-SMART-BUILDING</v>
      </c>
      <c r="T268" s="10">
        <f ca="1">IFERROR(__xludf.DUMMYFUNCTION("""COMPUTED_VALUE"""),0)</f>
        <v>0</v>
      </c>
      <c r="U268" s="2" t="e">
        <f ca="1"/>
        <v>#NAME?</v>
      </c>
      <c r="V268" s="2" t="e">
        <f ca="1"/>
        <v>#NAME?</v>
      </c>
      <c r="W268" s="2" t="e">
        <f ca="1"/>
        <v>#NAME?</v>
      </c>
      <c r="X268" s="2"/>
      <c r="Y268" s="2"/>
      <c r="Z268" s="2"/>
    </row>
    <row r="269" spans="1:26" ht="12.5" x14ac:dyDescent="0.25">
      <c r="A269" s="7">
        <v>12.14</v>
      </c>
      <c r="B269" s="6" t="s">
        <v>66</v>
      </c>
      <c r="C269" s="6" t="s">
        <v>22</v>
      </c>
      <c r="D269" s="6" t="s">
        <v>67</v>
      </c>
      <c r="E269" s="8"/>
      <c r="F269" s="6" t="s">
        <v>25</v>
      </c>
      <c r="G269" s="6">
        <v>14</v>
      </c>
      <c r="H269" s="6" t="s">
        <v>32</v>
      </c>
      <c r="I269" s="7">
        <v>1</v>
      </c>
      <c r="J269" s="8"/>
      <c r="K269" s="7">
        <v>0</v>
      </c>
      <c r="L269" s="7">
        <v>0</v>
      </c>
      <c r="M269" s="7">
        <v>0</v>
      </c>
      <c r="N269" s="7">
        <v>0</v>
      </c>
      <c r="O269" s="8"/>
      <c r="P269" s="2"/>
      <c r="Q269" s="2"/>
      <c r="R269" s="2" t="str">
        <v>C9300</v>
      </c>
      <c r="S269" s="2" t="str">
        <f ca="1">IFERROR(__xludf.DUMMYFUNCTION("""COMPUTED_VALUE"""),"C9K-ACC-RBFT")</f>
        <v>C9K-ACC-RBFT</v>
      </c>
      <c r="T269" s="10">
        <f ca="1">IFERROR(__xludf.DUMMYFUNCTION("""COMPUTED_VALUE"""),0)</f>
        <v>0</v>
      </c>
      <c r="U269" s="2" t="e">
        <f ca="1"/>
        <v>#NAME?</v>
      </c>
      <c r="V269" s="2" t="e">
        <f ca="1"/>
        <v>#NAME?</v>
      </c>
      <c r="W269" s="2" t="e">
        <f ca="1"/>
        <v>#NAME?</v>
      </c>
      <c r="X269" s="2"/>
      <c r="Y269" s="2"/>
      <c r="Z269" s="2"/>
    </row>
    <row r="270" spans="1:26" ht="12.5" x14ac:dyDescent="0.25">
      <c r="A270" s="7">
        <v>12.15</v>
      </c>
      <c r="B270" s="6" t="s">
        <v>68</v>
      </c>
      <c r="C270" s="6" t="s">
        <v>22</v>
      </c>
      <c r="D270" s="6" t="s">
        <v>69</v>
      </c>
      <c r="E270" s="8"/>
      <c r="F270" s="6" t="s">
        <v>25</v>
      </c>
      <c r="G270" s="6">
        <v>14</v>
      </c>
      <c r="H270" s="6" t="s">
        <v>32</v>
      </c>
      <c r="I270" s="7">
        <v>1</v>
      </c>
      <c r="J270" s="8"/>
      <c r="K270" s="7">
        <v>0</v>
      </c>
      <c r="L270" s="7">
        <v>0</v>
      </c>
      <c r="M270" s="7">
        <v>0</v>
      </c>
      <c r="N270" s="7">
        <v>0</v>
      </c>
      <c r="O270" s="8"/>
      <c r="P270" s="2"/>
      <c r="Q270" s="2"/>
      <c r="R270" s="2" t="str">
        <v>C9300</v>
      </c>
      <c r="S270" s="2" t="str">
        <f ca="1">IFERROR(__xludf.DUMMYFUNCTION("""COMPUTED_VALUE"""),"C9K-ACC-SCR-4")</f>
        <v>C9K-ACC-SCR-4</v>
      </c>
      <c r="T270" s="10">
        <f ca="1">IFERROR(__xludf.DUMMYFUNCTION("""COMPUTED_VALUE"""),0)</f>
        <v>0</v>
      </c>
      <c r="U270" s="2" t="e">
        <f ca="1"/>
        <v>#NAME?</v>
      </c>
      <c r="V270" s="2" t="e">
        <f ca="1"/>
        <v>#NAME?</v>
      </c>
      <c r="W270" s="2" t="e">
        <f ca="1"/>
        <v>#NAME?</v>
      </c>
      <c r="X270" s="2"/>
      <c r="Y270" s="2"/>
      <c r="Z270" s="2"/>
    </row>
    <row r="271" spans="1:26" ht="12.5" x14ac:dyDescent="0.25">
      <c r="A271" s="7">
        <v>12.16</v>
      </c>
      <c r="B271" s="6" t="s">
        <v>70</v>
      </c>
      <c r="C271" s="6" t="s">
        <v>22</v>
      </c>
      <c r="D271" s="6" t="s">
        <v>71</v>
      </c>
      <c r="E271" s="8"/>
      <c r="F271" s="6" t="s">
        <v>25</v>
      </c>
      <c r="G271" s="6">
        <v>14</v>
      </c>
      <c r="H271" s="6" t="s">
        <v>32</v>
      </c>
      <c r="I271" s="7">
        <v>1</v>
      </c>
      <c r="J271" s="8"/>
      <c r="K271" s="7">
        <v>0</v>
      </c>
      <c r="L271" s="7">
        <v>0</v>
      </c>
      <c r="M271" s="7">
        <v>0</v>
      </c>
      <c r="N271" s="7">
        <v>0</v>
      </c>
      <c r="O271" s="8"/>
      <c r="P271" s="2"/>
      <c r="Q271" s="2"/>
      <c r="R271" s="2" t="str">
        <v>C9300</v>
      </c>
      <c r="S271" s="2" t="str">
        <f ca="1">IFERROR(__xludf.DUMMYFUNCTION("""COMPUTED_VALUE"""),"CAB-GUIDE-1RU")</f>
        <v>CAB-GUIDE-1RU</v>
      </c>
      <c r="T271" s="10">
        <f ca="1">IFERROR(__xludf.DUMMYFUNCTION("""COMPUTED_VALUE"""),0)</f>
        <v>0</v>
      </c>
      <c r="U271" s="2" t="e">
        <f ca="1"/>
        <v>#NAME?</v>
      </c>
      <c r="V271" s="2" t="e">
        <f ca="1"/>
        <v>#NAME?</v>
      </c>
      <c r="W271" s="2" t="e">
        <f ca="1"/>
        <v>#NAME?</v>
      </c>
      <c r="X271" s="2"/>
      <c r="Y271" s="2"/>
      <c r="Z271" s="2"/>
    </row>
    <row r="272" spans="1:26" ht="12.5" x14ac:dyDescent="0.25">
      <c r="A272" s="7">
        <v>12.17</v>
      </c>
      <c r="B272" s="6" t="s">
        <v>171</v>
      </c>
      <c r="C272" s="6" t="s">
        <v>22</v>
      </c>
      <c r="D272" s="6" t="s">
        <v>172</v>
      </c>
      <c r="E272" s="8"/>
      <c r="F272" s="6" t="s">
        <v>25</v>
      </c>
      <c r="G272" s="6">
        <v>14</v>
      </c>
      <c r="H272" s="6" t="s">
        <v>26</v>
      </c>
      <c r="I272" s="7">
        <v>1</v>
      </c>
      <c r="J272" s="8"/>
      <c r="K272" s="9">
        <v>3103.4</v>
      </c>
      <c r="L272" s="9">
        <v>3103.4</v>
      </c>
      <c r="M272" s="7">
        <v>0</v>
      </c>
      <c r="N272" s="9">
        <v>3103.4</v>
      </c>
      <c r="O272" s="8"/>
      <c r="P272" s="2"/>
      <c r="Q272" s="2"/>
      <c r="R272" s="2" t="str">
        <v>C9300</v>
      </c>
      <c r="S272" s="2" t="str">
        <f ca="1">IFERROR(__xludf.DUMMYFUNCTION("""COMPUTED_VALUE"""),"C9300-NM-8X")</f>
        <v>C9300-NM-8X</v>
      </c>
      <c r="T272" s="10">
        <f ca="1">IFERROR(__xludf.DUMMYFUNCTION("""COMPUTED_VALUE"""),0)</f>
        <v>0</v>
      </c>
      <c r="U272" s="2" t="e">
        <f ca="1"/>
        <v>#NAME?</v>
      </c>
      <c r="V272" s="2" t="e">
        <f ca="1"/>
        <v>#NAME?</v>
      </c>
      <c r="W272" s="2" t="e">
        <f ca="1"/>
        <v>#NAME?</v>
      </c>
      <c r="X272" s="2"/>
      <c r="Y272" s="2"/>
      <c r="Z272" s="2"/>
    </row>
    <row r="273" spans="1:26" ht="12.5" x14ac:dyDescent="0.25">
      <c r="A273" s="7">
        <v>12.18</v>
      </c>
      <c r="B273" s="6" t="s">
        <v>72</v>
      </c>
      <c r="C273" s="6" t="s">
        <v>32</v>
      </c>
      <c r="D273" s="6" t="s">
        <v>73</v>
      </c>
      <c r="E273" s="8"/>
      <c r="F273" s="6" t="s">
        <v>25</v>
      </c>
      <c r="G273" s="6">
        <v>2</v>
      </c>
      <c r="H273" s="6" t="s">
        <v>32</v>
      </c>
      <c r="I273" s="7">
        <v>1</v>
      </c>
      <c r="J273" s="8"/>
      <c r="K273" s="7">
        <v>0</v>
      </c>
      <c r="L273" s="7">
        <v>0</v>
      </c>
      <c r="M273" s="7">
        <v>0</v>
      </c>
      <c r="N273" s="7">
        <v>0</v>
      </c>
      <c r="O273" s="8"/>
      <c r="P273" s="2"/>
      <c r="Q273" s="2"/>
      <c r="R273" s="2" t="str">
        <v>C9300</v>
      </c>
      <c r="S273" s="2" t="str">
        <f ca="1">IFERROR(__xludf.DUMMYFUNCTION("""COMPUTED_VALUE"""),"NETWORK-PNP-LIC")</f>
        <v>NETWORK-PNP-LIC</v>
      </c>
      <c r="T273" s="10">
        <f ca="1">IFERROR(__xludf.DUMMYFUNCTION("""COMPUTED_VALUE"""),0)</f>
        <v>0</v>
      </c>
      <c r="U273" s="2" t="e">
        <f ca="1"/>
        <v>#NAME?</v>
      </c>
      <c r="V273" s="2" t="e">
        <f ca="1"/>
        <v>#NAME?</v>
      </c>
      <c r="W273" s="2" t="e">
        <f ca="1"/>
        <v>#NAME?</v>
      </c>
      <c r="X273" s="2"/>
      <c r="Y273" s="2"/>
      <c r="Z273" s="2"/>
    </row>
    <row r="274" spans="1:26" ht="12.5" x14ac:dyDescent="0.25">
      <c r="A274" s="7">
        <v>12.19</v>
      </c>
      <c r="B274" s="6" t="s">
        <v>193</v>
      </c>
      <c r="C274" s="6" t="s">
        <v>22</v>
      </c>
      <c r="D274" s="6" t="s">
        <v>75</v>
      </c>
      <c r="E274" s="8"/>
      <c r="F274" s="6" t="s">
        <v>25</v>
      </c>
      <c r="G274" s="6">
        <v>14</v>
      </c>
      <c r="H274" s="6" t="s">
        <v>32</v>
      </c>
      <c r="I274" s="7">
        <v>1</v>
      </c>
      <c r="J274" s="8"/>
      <c r="K274" s="7">
        <v>0</v>
      </c>
      <c r="L274" s="7">
        <v>0</v>
      </c>
      <c r="M274" s="7">
        <v>0</v>
      </c>
      <c r="N274" s="7">
        <v>0</v>
      </c>
      <c r="O274" s="8"/>
      <c r="P274" s="2"/>
      <c r="Q274" s="2"/>
      <c r="R274" s="2" t="str">
        <v>C9300</v>
      </c>
      <c r="S274" s="2" t="str">
        <f ca="1">IFERROR(__xludf.DUMMYFUNCTION("""COMPUTED_VALUE"""),"SC9300UK9-1718")</f>
        <v>SC9300UK9-1718</v>
      </c>
      <c r="T274" s="10">
        <f ca="1">IFERROR(__xludf.DUMMYFUNCTION("""COMPUTED_VALUE"""),0)</f>
        <v>0</v>
      </c>
      <c r="U274" s="2" t="e">
        <f ca="1"/>
        <v>#NAME?</v>
      </c>
      <c r="V274" s="2" t="e">
        <f ca="1"/>
        <v>#NAME?</v>
      </c>
      <c r="W274" s="2" t="e">
        <f ca="1"/>
        <v>#NAME?</v>
      </c>
      <c r="X274" s="2"/>
      <c r="Y274" s="2"/>
      <c r="Z274" s="2"/>
    </row>
    <row r="275" spans="1:26" ht="12.5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5"/>
      <c r="L275" s="15"/>
      <c r="M275" s="12" t="s">
        <v>76</v>
      </c>
      <c r="N275" s="13">
        <v>21073.06</v>
      </c>
      <c r="O275" s="14"/>
      <c r="P275" s="2"/>
      <c r="Q275" s="2"/>
      <c r="R275" s="2" t="str">
        <v/>
      </c>
      <c r="S275" s="2" t="str">
        <f ca="1">IFERROR(__xludf.DUMMYFUNCTION("""COMPUTED_VALUE"""),"")</f>
        <v/>
      </c>
      <c r="T275" s="2" t="str">
        <f ca="1">IFERROR(__xludf.DUMMYFUNCTION("""COMPUTED_VALUE"""),"")</f>
        <v/>
      </c>
      <c r="U275" s="2" t="e">
        <f ca="1"/>
        <v>#NAME?</v>
      </c>
      <c r="V275" s="2" t="e">
        <f ca="1"/>
        <v>#NAME?</v>
      </c>
      <c r="W275" s="2" t="str">
        <f ca="1"/>
        <v/>
      </c>
      <c r="X275" s="2"/>
      <c r="Y275" s="2"/>
      <c r="Z275" s="2"/>
    </row>
    <row r="276" spans="1:26" ht="12.5" x14ac:dyDescent="0.25">
      <c r="A276" s="5">
        <v>13</v>
      </c>
      <c r="B276" s="5" t="s">
        <v>205</v>
      </c>
      <c r="C276" s="6" t="s">
        <v>22</v>
      </c>
      <c r="D276" s="6" t="s">
        <v>206</v>
      </c>
      <c r="E276" s="6" t="s">
        <v>24</v>
      </c>
      <c r="F276" s="6" t="s">
        <v>25</v>
      </c>
      <c r="G276" s="6">
        <v>14</v>
      </c>
      <c r="H276" s="6" t="s">
        <v>26</v>
      </c>
      <c r="I276" s="7">
        <v>1</v>
      </c>
      <c r="J276" s="8"/>
      <c r="K276" s="9">
        <v>34145.08</v>
      </c>
      <c r="L276" s="9">
        <v>34145.08</v>
      </c>
      <c r="M276" s="7">
        <v>0</v>
      </c>
      <c r="N276" s="9">
        <v>34145.08</v>
      </c>
      <c r="O276" s="8"/>
      <c r="P276" s="2"/>
      <c r="Q276" s="2"/>
      <c r="R276" s="2" t="str">
        <v>C9300</v>
      </c>
      <c r="S276" s="2" t="str">
        <f ca="1">IFERROR(__xludf.DUMMYFUNCTION("""COMPUTED_VALUE"""),"C9300-24S-A")</f>
        <v>C9300-24S-A</v>
      </c>
      <c r="T276" s="10">
        <f ca="1">IFERROR(__xludf.DUMMYFUNCTION("""COMPUTED_VALUE"""),1)</f>
        <v>1</v>
      </c>
      <c r="U276" s="2" t="e">
        <f ca="1"/>
        <v>#NAME?</v>
      </c>
      <c r="V276" s="2" t="e">
        <f ca="1"/>
        <v>#NAME?</v>
      </c>
      <c r="W276" s="2" t="e">
        <f ca="1"/>
        <v>#NAME?</v>
      </c>
      <c r="X276" s="2"/>
      <c r="Y276" s="2"/>
      <c r="Z276" s="2"/>
    </row>
    <row r="277" spans="1:26" ht="12.5" x14ac:dyDescent="0.25">
      <c r="A277" s="7" t="s">
        <v>207</v>
      </c>
      <c r="B277" s="6" t="s">
        <v>208</v>
      </c>
      <c r="C277" s="6" t="s">
        <v>22</v>
      </c>
      <c r="D277" s="6" t="s">
        <v>209</v>
      </c>
      <c r="E277" s="8"/>
      <c r="F277" s="6">
        <v>24</v>
      </c>
      <c r="G277" s="6" t="s">
        <v>25</v>
      </c>
      <c r="H277" s="6" t="s">
        <v>26</v>
      </c>
      <c r="I277" s="7">
        <v>1</v>
      </c>
      <c r="J277" s="8"/>
      <c r="K277" s="9">
        <v>6839.26</v>
      </c>
      <c r="L277" s="9">
        <v>6839.26</v>
      </c>
      <c r="M277" s="7">
        <v>0</v>
      </c>
      <c r="N277" s="9">
        <v>6839.26</v>
      </c>
      <c r="O277" s="6" t="s">
        <v>30</v>
      </c>
      <c r="P277" s="2"/>
      <c r="Q277" s="2"/>
      <c r="R277" s="2" t="str">
        <v>C9300</v>
      </c>
      <c r="S277" s="2" t="str">
        <f ca="1">IFERROR(__xludf.DUMMYFUNCTION("""COMPUTED_VALUE"""),"CON-L1NBD-C930024A")</f>
        <v>CON-L1NBD-C930024A</v>
      </c>
      <c r="T277" s="10">
        <f ca="1">IFERROR(__xludf.DUMMYFUNCTION("""COMPUTED_VALUE"""),0)</f>
        <v>0</v>
      </c>
      <c r="U277" s="2" t="e">
        <f ca="1"/>
        <v>#NAME?</v>
      </c>
      <c r="V277" s="2" t="e">
        <f ca="1"/>
        <v>#NAME?</v>
      </c>
      <c r="W277" s="2" t="e">
        <f ca="1"/>
        <v>#NAME?</v>
      </c>
      <c r="X277" s="2"/>
      <c r="Y277" s="2"/>
      <c r="Z277" s="2"/>
    </row>
    <row r="278" spans="1:26" ht="12.5" x14ac:dyDescent="0.25">
      <c r="A278" s="7">
        <v>13.1</v>
      </c>
      <c r="B278" s="6" t="s">
        <v>210</v>
      </c>
      <c r="C278" s="6" t="s">
        <v>32</v>
      </c>
      <c r="D278" s="6" t="s">
        <v>211</v>
      </c>
      <c r="E278" s="8"/>
      <c r="F278" s="6" t="s">
        <v>25</v>
      </c>
      <c r="G278" s="6">
        <v>14</v>
      </c>
      <c r="H278" s="6" t="s">
        <v>26</v>
      </c>
      <c r="I278" s="7">
        <v>1</v>
      </c>
      <c r="J278" s="8"/>
      <c r="K278" s="9">
        <v>0</v>
      </c>
      <c r="L278" s="9">
        <v>0</v>
      </c>
      <c r="M278" s="7">
        <v>0</v>
      </c>
      <c r="N278" s="9">
        <v>0</v>
      </c>
      <c r="O278" s="8"/>
      <c r="P278" s="2"/>
      <c r="Q278" s="2"/>
      <c r="R278" s="2" t="str">
        <v>C9300</v>
      </c>
      <c r="S278" s="2" t="str">
        <f ca="1">IFERROR(__xludf.DUMMYFUNCTION("""COMPUTED_VALUE"""),"C9300-DNA-A-24S")</f>
        <v>C9300-DNA-A-24S</v>
      </c>
      <c r="T278" s="10">
        <f ca="1">IFERROR(__xludf.DUMMYFUNCTION("""COMPUTED_VALUE"""),0)</f>
        <v>0</v>
      </c>
      <c r="U278" s="2" t="e">
        <f ca="1"/>
        <v>#NAME?</v>
      </c>
      <c r="V278" s="2" t="e">
        <f ca="1"/>
        <v>#NAME?</v>
      </c>
      <c r="W278" s="2" t="e">
        <f ca="1"/>
        <v>#NAME?</v>
      </c>
      <c r="X278" s="2"/>
      <c r="Y278" s="2"/>
      <c r="Z278" s="2"/>
    </row>
    <row r="279" spans="1:26" ht="12.5" x14ac:dyDescent="0.25">
      <c r="A279" s="7" t="s">
        <v>212</v>
      </c>
      <c r="B279" s="6" t="s">
        <v>213</v>
      </c>
      <c r="C279" s="6" t="s">
        <v>22</v>
      </c>
      <c r="D279" s="6" t="s">
        <v>158</v>
      </c>
      <c r="E279" s="8"/>
      <c r="F279" s="6">
        <v>24</v>
      </c>
      <c r="G279" s="6" t="s">
        <v>25</v>
      </c>
      <c r="H279" s="6" t="s">
        <v>26</v>
      </c>
      <c r="I279" s="7">
        <v>1</v>
      </c>
      <c r="J279" s="8"/>
      <c r="K279" s="9">
        <v>324.5</v>
      </c>
      <c r="L279" s="9">
        <v>324.5</v>
      </c>
      <c r="M279" s="7">
        <v>0</v>
      </c>
      <c r="N279" s="9">
        <v>324.5</v>
      </c>
      <c r="O279" s="6" t="s">
        <v>30</v>
      </c>
      <c r="P279" s="2"/>
      <c r="Q279" s="2"/>
      <c r="R279" s="2" t="str">
        <v>C9300</v>
      </c>
      <c r="S279" s="2" t="str">
        <f ca="1">IFERROR(__xludf.DUMMYFUNCTION("""COMPUTED_VALUE"""),"CON-L1SWT-C93A24S")</f>
        <v>CON-L1SWT-C93A24S</v>
      </c>
      <c r="T279" s="10">
        <f ca="1">IFERROR(__xludf.DUMMYFUNCTION("""COMPUTED_VALUE"""),0)</f>
        <v>0</v>
      </c>
      <c r="U279" s="2" t="e">
        <f ca="1"/>
        <v>#NAME?</v>
      </c>
      <c r="V279" s="2" t="e">
        <f ca="1"/>
        <v>#NAME?</v>
      </c>
      <c r="W279" s="2" t="e">
        <f ca="1"/>
        <v>#NAME?</v>
      </c>
      <c r="X279" s="2"/>
      <c r="Y279" s="2"/>
      <c r="Z279" s="2"/>
    </row>
    <row r="280" spans="1:26" ht="12.5" x14ac:dyDescent="0.25">
      <c r="A280" s="7" t="s">
        <v>214</v>
      </c>
      <c r="B280" s="6" t="s">
        <v>215</v>
      </c>
      <c r="C280" s="6" t="s">
        <v>22</v>
      </c>
      <c r="D280" s="6" t="s">
        <v>216</v>
      </c>
      <c r="E280" s="8"/>
      <c r="F280" s="6">
        <v>36</v>
      </c>
      <c r="G280" s="6" t="s">
        <v>25</v>
      </c>
      <c r="H280" s="6" t="s">
        <v>26</v>
      </c>
      <c r="I280" s="7">
        <v>1</v>
      </c>
      <c r="J280" s="8"/>
      <c r="K280" s="9">
        <v>2365.77</v>
      </c>
      <c r="L280" s="9">
        <v>2365.77</v>
      </c>
      <c r="M280" s="7">
        <v>0</v>
      </c>
      <c r="N280" s="9">
        <v>2365.77</v>
      </c>
      <c r="O280" s="8"/>
      <c r="P280" s="2"/>
      <c r="Q280" s="2"/>
      <c r="R280" s="2" t="str">
        <v>C9300</v>
      </c>
      <c r="S280" s="2" t="str">
        <f ca="1">IFERROR(__xludf.DUMMYFUNCTION("""COMPUTED_VALUE"""),"C9300-DNA-A-24S-3Y")</f>
        <v>C9300-DNA-A-24S-3Y</v>
      </c>
      <c r="T280" s="10">
        <f ca="1">IFERROR(__xludf.DUMMYFUNCTION("""COMPUTED_VALUE"""),0)</f>
        <v>0</v>
      </c>
      <c r="U280" s="2" t="e">
        <f ca="1"/>
        <v>#NAME?</v>
      </c>
      <c r="V280" s="2" t="e">
        <f ca="1"/>
        <v>#NAME?</v>
      </c>
      <c r="W280" s="2" t="e">
        <f ca="1"/>
        <v>#NAME?</v>
      </c>
      <c r="X280" s="2"/>
      <c r="Y280" s="2"/>
      <c r="Z280" s="2"/>
    </row>
    <row r="281" spans="1:26" ht="12.5" x14ac:dyDescent="0.25">
      <c r="A281" s="7">
        <v>13.2</v>
      </c>
      <c r="B281" s="6" t="s">
        <v>40</v>
      </c>
      <c r="C281" s="6" t="s">
        <v>32</v>
      </c>
      <c r="D281" s="6" t="s">
        <v>41</v>
      </c>
      <c r="E281" s="8"/>
      <c r="F281" s="6" t="s">
        <v>25</v>
      </c>
      <c r="G281" s="6">
        <v>14</v>
      </c>
      <c r="H281" s="6" t="s">
        <v>32</v>
      </c>
      <c r="I281" s="7">
        <v>1</v>
      </c>
      <c r="J281" s="8"/>
      <c r="K281" s="7">
        <v>0</v>
      </c>
      <c r="L281" s="7">
        <v>0</v>
      </c>
      <c r="M281" s="7">
        <v>0</v>
      </c>
      <c r="N281" s="7">
        <v>0</v>
      </c>
      <c r="O281" s="8"/>
      <c r="P281" s="2"/>
      <c r="Q281" s="2"/>
      <c r="R281" s="2" t="str">
        <v>C9300</v>
      </c>
      <c r="S281" s="2" t="str">
        <f ca="1">IFERROR(__xludf.DUMMYFUNCTION("""COMPUTED_VALUE"""),"TE-EMBEDDED-T")</f>
        <v>TE-EMBEDDED-T</v>
      </c>
      <c r="T281" s="10">
        <f ca="1">IFERROR(__xludf.DUMMYFUNCTION("""COMPUTED_VALUE"""),0)</f>
        <v>0</v>
      </c>
      <c r="U281" s="2" t="e">
        <f ca="1"/>
        <v>#NAME?</v>
      </c>
      <c r="V281" s="2" t="e">
        <f ca="1"/>
        <v>#NAME?</v>
      </c>
      <c r="W281" s="2" t="e">
        <f ca="1"/>
        <v>#NAME?</v>
      </c>
      <c r="X281" s="2"/>
      <c r="Y281" s="2"/>
      <c r="Z281" s="2"/>
    </row>
    <row r="282" spans="1:26" ht="12.5" x14ac:dyDescent="0.25">
      <c r="A282" s="7" t="s">
        <v>217</v>
      </c>
      <c r="B282" s="6" t="s">
        <v>43</v>
      </c>
      <c r="C282" s="6" t="s">
        <v>22</v>
      </c>
      <c r="D282" s="6" t="s">
        <v>44</v>
      </c>
      <c r="E282" s="8"/>
      <c r="F282" s="6">
        <v>36</v>
      </c>
      <c r="G282" s="6" t="s">
        <v>25</v>
      </c>
      <c r="H282" s="6" t="s">
        <v>26</v>
      </c>
      <c r="I282" s="7">
        <v>1</v>
      </c>
      <c r="J282" s="8"/>
      <c r="K282" s="9">
        <v>0</v>
      </c>
      <c r="L282" s="9">
        <v>0</v>
      </c>
      <c r="M282" s="7">
        <v>0</v>
      </c>
      <c r="N282" s="9">
        <v>0</v>
      </c>
      <c r="O282" s="8"/>
      <c r="P282" s="2"/>
      <c r="Q282" s="2"/>
      <c r="R282" s="2" t="str">
        <v>C9300</v>
      </c>
      <c r="S282" s="2" t="str">
        <f ca="1">IFERROR(__xludf.DUMMYFUNCTION("""COMPUTED_VALUE"""),"TE-EMBEDDED-T-3Y")</f>
        <v>TE-EMBEDDED-T-3Y</v>
      </c>
      <c r="T282" s="10">
        <f ca="1">IFERROR(__xludf.DUMMYFUNCTION("""COMPUTED_VALUE"""),0)</f>
        <v>0</v>
      </c>
      <c r="U282" s="2" t="e">
        <f ca="1"/>
        <v>#NAME?</v>
      </c>
      <c r="V282" s="2" t="e">
        <f ca="1"/>
        <v>#NAME?</v>
      </c>
      <c r="W282" s="2" t="e">
        <f ca="1"/>
        <v>#NAME?</v>
      </c>
      <c r="X282" s="2"/>
      <c r="Y282" s="2"/>
      <c r="Z282" s="2"/>
    </row>
    <row r="283" spans="1:26" ht="12.5" x14ac:dyDescent="0.25">
      <c r="A283" s="7">
        <v>13.3</v>
      </c>
      <c r="B283" s="6" t="s">
        <v>45</v>
      </c>
      <c r="C283" s="6" t="s">
        <v>32</v>
      </c>
      <c r="D283" s="6" t="s">
        <v>46</v>
      </c>
      <c r="E283" s="8"/>
      <c r="F283" s="6" t="s">
        <v>25</v>
      </c>
      <c r="G283" s="6">
        <v>14</v>
      </c>
      <c r="H283" s="6" t="s">
        <v>32</v>
      </c>
      <c r="I283" s="7">
        <v>1</v>
      </c>
      <c r="J283" s="8"/>
      <c r="K283" s="7">
        <v>0</v>
      </c>
      <c r="L283" s="7">
        <v>0</v>
      </c>
      <c r="M283" s="7">
        <v>0</v>
      </c>
      <c r="N283" s="7">
        <v>0</v>
      </c>
      <c r="O283" s="8"/>
      <c r="P283" s="2"/>
      <c r="Q283" s="2"/>
      <c r="R283" s="2" t="str">
        <v>C9300</v>
      </c>
      <c r="S283" s="2" t="str">
        <f ca="1">IFERROR(__xludf.DUMMYFUNCTION("""COMPUTED_VALUE"""),"D-DNAS-EXT-S-T")</f>
        <v>D-DNAS-EXT-S-T</v>
      </c>
      <c r="T283" s="10">
        <f ca="1">IFERROR(__xludf.DUMMYFUNCTION("""COMPUTED_VALUE"""),0)</f>
        <v>0</v>
      </c>
      <c r="U283" s="2" t="e">
        <f ca="1"/>
        <v>#NAME?</v>
      </c>
      <c r="V283" s="2" t="e">
        <f ca="1"/>
        <v>#NAME?</v>
      </c>
      <c r="W283" s="2" t="e">
        <f ca="1"/>
        <v>#NAME?</v>
      </c>
      <c r="X283" s="2"/>
      <c r="Y283" s="2"/>
      <c r="Z283" s="2"/>
    </row>
    <row r="284" spans="1:26" ht="12.5" x14ac:dyDescent="0.25">
      <c r="A284" s="7" t="s">
        <v>218</v>
      </c>
      <c r="B284" s="6" t="s">
        <v>48</v>
      </c>
      <c r="C284" s="6" t="s">
        <v>22</v>
      </c>
      <c r="D284" s="6" t="s">
        <v>49</v>
      </c>
      <c r="E284" s="8"/>
      <c r="F284" s="6">
        <v>36</v>
      </c>
      <c r="G284" s="6" t="s">
        <v>25</v>
      </c>
      <c r="H284" s="6" t="s">
        <v>26</v>
      </c>
      <c r="I284" s="7">
        <v>1</v>
      </c>
      <c r="J284" s="8"/>
      <c r="K284" s="7">
        <v>0</v>
      </c>
      <c r="L284" s="7">
        <v>0</v>
      </c>
      <c r="M284" s="7">
        <v>0</v>
      </c>
      <c r="N284" s="7">
        <v>0</v>
      </c>
      <c r="O284" s="8"/>
      <c r="P284" s="2"/>
      <c r="Q284" s="2"/>
      <c r="R284" s="2" t="str">
        <v>C9300</v>
      </c>
      <c r="S284" s="2" t="str">
        <f ca="1">IFERROR(__xludf.DUMMYFUNCTION("""COMPUTED_VALUE"""),"D-DNAS-EXT-S-3Y")</f>
        <v>D-DNAS-EXT-S-3Y</v>
      </c>
      <c r="T284" s="10">
        <f ca="1">IFERROR(__xludf.DUMMYFUNCTION("""COMPUTED_VALUE"""),0)</f>
        <v>0</v>
      </c>
      <c r="U284" s="2" t="e">
        <f ca="1"/>
        <v>#NAME?</v>
      </c>
      <c r="V284" s="2" t="e">
        <f ca="1"/>
        <v>#NAME?</v>
      </c>
      <c r="W284" s="2" t="e">
        <f ca="1"/>
        <v>#NAME?</v>
      </c>
      <c r="X284" s="2"/>
      <c r="Y284" s="2"/>
      <c r="Z284" s="2"/>
    </row>
    <row r="285" spans="1:26" ht="12.5" x14ac:dyDescent="0.25">
      <c r="A285" s="7">
        <v>13.4</v>
      </c>
      <c r="B285" s="6" t="s">
        <v>164</v>
      </c>
      <c r="C285" s="6" t="s">
        <v>32</v>
      </c>
      <c r="D285" s="6" t="s">
        <v>165</v>
      </c>
      <c r="E285" s="8"/>
      <c r="F285" s="6" t="s">
        <v>25</v>
      </c>
      <c r="G285" s="6">
        <v>14</v>
      </c>
      <c r="H285" s="6" t="s">
        <v>32</v>
      </c>
      <c r="I285" s="7">
        <v>1</v>
      </c>
      <c r="J285" s="8"/>
      <c r="K285" s="7">
        <v>0</v>
      </c>
      <c r="L285" s="7">
        <v>0</v>
      </c>
      <c r="M285" s="7">
        <v>0</v>
      </c>
      <c r="N285" s="7">
        <v>0</v>
      </c>
      <c r="O285" s="8"/>
      <c r="P285" s="2"/>
      <c r="Q285" s="2"/>
      <c r="R285" s="2" t="str">
        <v>C9300</v>
      </c>
      <c r="S285" s="2" t="str">
        <f ca="1">IFERROR(__xludf.DUMMYFUNCTION("""COMPUTED_VALUE"""),"C9300-NW-A-24")</f>
        <v>C9300-NW-A-24</v>
      </c>
      <c r="T285" s="10">
        <f ca="1">IFERROR(__xludf.DUMMYFUNCTION("""COMPUTED_VALUE"""),0)</f>
        <v>0</v>
      </c>
      <c r="U285" s="2" t="e">
        <f ca="1"/>
        <v>#NAME?</v>
      </c>
      <c r="V285" s="2" t="e">
        <f ca="1"/>
        <v>#NAME?</v>
      </c>
      <c r="W285" s="2" t="e">
        <f ca="1"/>
        <v>#NAME?</v>
      </c>
      <c r="X285" s="2"/>
      <c r="Y285" s="2"/>
      <c r="Z285" s="2"/>
    </row>
    <row r="286" spans="1:26" ht="12.5" x14ac:dyDescent="0.25">
      <c r="A286" s="7">
        <v>13.5</v>
      </c>
      <c r="B286" s="6" t="s">
        <v>193</v>
      </c>
      <c r="C286" s="6" t="s">
        <v>22</v>
      </c>
      <c r="D286" s="6" t="s">
        <v>75</v>
      </c>
      <c r="E286" s="8"/>
      <c r="F286" s="6" t="s">
        <v>25</v>
      </c>
      <c r="G286" s="6">
        <v>14</v>
      </c>
      <c r="H286" s="6" t="s">
        <v>32</v>
      </c>
      <c r="I286" s="7">
        <v>1</v>
      </c>
      <c r="J286" s="8"/>
      <c r="K286" s="7">
        <v>0</v>
      </c>
      <c r="L286" s="7">
        <v>0</v>
      </c>
      <c r="M286" s="7">
        <v>0</v>
      </c>
      <c r="N286" s="7">
        <v>0</v>
      </c>
      <c r="O286" s="8"/>
      <c r="P286" s="2"/>
      <c r="Q286" s="2"/>
      <c r="R286" s="2" t="str">
        <v>C9300</v>
      </c>
      <c r="S286" s="2" t="str">
        <f ca="1">IFERROR(__xludf.DUMMYFUNCTION("""COMPUTED_VALUE"""),"SC9300UK9-1718")</f>
        <v>SC9300UK9-1718</v>
      </c>
      <c r="T286" s="10">
        <f ca="1">IFERROR(__xludf.DUMMYFUNCTION("""COMPUTED_VALUE"""),0)</f>
        <v>0</v>
      </c>
      <c r="U286" s="2" t="e">
        <f ca="1"/>
        <v>#NAME?</v>
      </c>
      <c r="V286" s="2" t="e">
        <f ca="1"/>
        <v>#NAME?</v>
      </c>
      <c r="W286" s="2" t="e">
        <f ca="1"/>
        <v>#NAME?</v>
      </c>
      <c r="X286" s="2"/>
      <c r="Y286" s="2"/>
      <c r="Z286" s="2"/>
    </row>
    <row r="287" spans="1:26" ht="12.5" x14ac:dyDescent="0.25">
      <c r="A287" s="7">
        <v>13.6</v>
      </c>
      <c r="B287" s="6" t="s">
        <v>52</v>
      </c>
      <c r="C287" s="6" t="s">
        <v>22</v>
      </c>
      <c r="D287" s="6" t="s">
        <v>53</v>
      </c>
      <c r="E287" s="8"/>
      <c r="F287" s="6" t="s">
        <v>25</v>
      </c>
      <c r="G287" s="6">
        <v>14</v>
      </c>
      <c r="H287" s="6" t="s">
        <v>32</v>
      </c>
      <c r="I287" s="7">
        <v>1</v>
      </c>
      <c r="J287" s="8"/>
      <c r="K287" s="7">
        <v>0</v>
      </c>
      <c r="L287" s="7">
        <v>0</v>
      </c>
      <c r="M287" s="7">
        <v>0</v>
      </c>
      <c r="N287" s="7">
        <v>0</v>
      </c>
      <c r="O287" s="8"/>
      <c r="P287" s="2"/>
      <c r="Q287" s="2"/>
      <c r="R287" s="2" t="str">
        <v>C9300</v>
      </c>
      <c r="S287" s="2" t="str">
        <f ca="1">IFERROR(__xludf.DUMMYFUNCTION("""COMPUTED_VALUE"""),"PWR-C1-BLANK")</f>
        <v>PWR-C1-BLANK</v>
      </c>
      <c r="T287" s="10">
        <f ca="1">IFERROR(__xludf.DUMMYFUNCTION("""COMPUTED_VALUE"""),0)</f>
        <v>0</v>
      </c>
      <c r="U287" s="2" t="e">
        <f ca="1"/>
        <v>#NAME?</v>
      </c>
      <c r="V287" s="2" t="e">
        <f ca="1"/>
        <v>#NAME?</v>
      </c>
      <c r="W287" s="2" t="e">
        <f ca="1"/>
        <v>#NAME?</v>
      </c>
      <c r="X287" s="2"/>
      <c r="Y287" s="2"/>
      <c r="Z287" s="2"/>
    </row>
    <row r="288" spans="1:26" ht="12.5" x14ac:dyDescent="0.25">
      <c r="A288" s="7">
        <v>13.7</v>
      </c>
      <c r="B288" s="6" t="s">
        <v>86</v>
      </c>
      <c r="C288" s="6" t="s">
        <v>22</v>
      </c>
      <c r="D288" s="6" t="s">
        <v>87</v>
      </c>
      <c r="E288" s="8"/>
      <c r="F288" s="6" t="s">
        <v>25</v>
      </c>
      <c r="G288" s="6">
        <v>14</v>
      </c>
      <c r="H288" s="6" t="s">
        <v>32</v>
      </c>
      <c r="I288" s="7">
        <v>1</v>
      </c>
      <c r="J288" s="8"/>
      <c r="K288" s="7">
        <v>0</v>
      </c>
      <c r="L288" s="7">
        <v>0</v>
      </c>
      <c r="M288" s="7">
        <v>0</v>
      </c>
      <c r="N288" s="7">
        <v>0</v>
      </c>
      <c r="O288" s="8"/>
      <c r="P288" s="2"/>
      <c r="Q288" s="2"/>
      <c r="R288" s="2" t="str">
        <v>C9300</v>
      </c>
      <c r="S288" s="2" t="str">
        <f ca="1">IFERROR(__xludf.DUMMYFUNCTION("""COMPUTED_VALUE"""),"TE-C9K-SW")</f>
        <v>TE-C9K-SW</v>
      </c>
      <c r="T288" s="10">
        <f ca="1">IFERROR(__xludf.DUMMYFUNCTION("""COMPUTED_VALUE"""),0)</f>
        <v>0</v>
      </c>
      <c r="U288" s="2" t="e">
        <f ca="1"/>
        <v>#NAME?</v>
      </c>
      <c r="V288" s="2" t="e">
        <f ca="1"/>
        <v>#NAME?</v>
      </c>
      <c r="W288" s="2" t="e">
        <f ca="1"/>
        <v>#NAME?</v>
      </c>
      <c r="X288" s="2"/>
      <c r="Y288" s="2"/>
      <c r="Z288" s="2"/>
    </row>
    <row r="289" spans="1:26" ht="12.5" x14ac:dyDescent="0.25">
      <c r="A289" s="7">
        <v>13.8</v>
      </c>
      <c r="B289" s="6" t="s">
        <v>88</v>
      </c>
      <c r="C289" s="6" t="s">
        <v>22</v>
      </c>
      <c r="D289" s="6" t="s">
        <v>89</v>
      </c>
      <c r="E289" s="8"/>
      <c r="F289" s="6" t="s">
        <v>25</v>
      </c>
      <c r="G289" s="6">
        <v>14</v>
      </c>
      <c r="H289" s="6" t="s">
        <v>32</v>
      </c>
      <c r="I289" s="7">
        <v>1</v>
      </c>
      <c r="J289" s="8"/>
      <c r="K289" s="7">
        <v>0</v>
      </c>
      <c r="L289" s="7">
        <v>0</v>
      </c>
      <c r="M289" s="7">
        <v>0</v>
      </c>
      <c r="N289" s="7">
        <v>0</v>
      </c>
      <c r="O289" s="8"/>
      <c r="P289" s="2"/>
      <c r="Q289" s="2"/>
      <c r="R289" s="2" t="str">
        <v>C9300</v>
      </c>
      <c r="S289" s="2" t="str">
        <f ca="1">IFERROR(__xludf.DUMMYFUNCTION("""COMPUTED_VALUE"""),"PWR-C1-715WAC-P")</f>
        <v>PWR-C1-715WAC-P</v>
      </c>
      <c r="T289" s="10">
        <f ca="1">IFERROR(__xludf.DUMMYFUNCTION("""COMPUTED_VALUE"""),0)</f>
        <v>0</v>
      </c>
      <c r="U289" s="2" t="e">
        <f ca="1"/>
        <v>#NAME?</v>
      </c>
      <c r="V289" s="2" t="e">
        <f ca="1"/>
        <v>#NAME?</v>
      </c>
      <c r="W289" s="2" t="e">
        <f ca="1"/>
        <v>#NAME?</v>
      </c>
      <c r="X289" s="2"/>
      <c r="Y289" s="2"/>
      <c r="Z289" s="2"/>
    </row>
    <row r="290" spans="1:26" ht="12.5" x14ac:dyDescent="0.25">
      <c r="A290" s="7">
        <v>13.9</v>
      </c>
      <c r="B290" s="6" t="s">
        <v>166</v>
      </c>
      <c r="C290" s="6" t="s">
        <v>22</v>
      </c>
      <c r="D290" s="6" t="s">
        <v>61</v>
      </c>
      <c r="E290" s="8"/>
      <c r="F290" s="6" t="s">
        <v>25</v>
      </c>
      <c r="G290" s="6">
        <v>14</v>
      </c>
      <c r="H290" s="6" t="s">
        <v>32</v>
      </c>
      <c r="I290" s="7">
        <v>1</v>
      </c>
      <c r="J290" s="8"/>
      <c r="K290" s="7">
        <v>0</v>
      </c>
      <c r="L290" s="7">
        <v>0</v>
      </c>
      <c r="M290" s="7">
        <v>0</v>
      </c>
      <c r="N290" s="7">
        <v>0</v>
      </c>
      <c r="O290" s="8"/>
      <c r="P290" s="2"/>
      <c r="Q290" s="2"/>
      <c r="R290" s="2" t="str">
        <v>C9300</v>
      </c>
      <c r="S290" s="2" t="str">
        <f ca="1">IFERROR(__xludf.DUMMYFUNCTION("""COMPUTED_VALUE"""),"C9300-SPS-NONE")</f>
        <v>C9300-SPS-NONE</v>
      </c>
      <c r="T290" s="10">
        <f ca="1">IFERROR(__xludf.DUMMYFUNCTION("""COMPUTED_VALUE"""),0)</f>
        <v>0</v>
      </c>
      <c r="U290" s="2" t="e">
        <f ca="1"/>
        <v>#NAME?</v>
      </c>
      <c r="V290" s="2" t="e">
        <f ca="1"/>
        <v>#NAME?</v>
      </c>
      <c r="W290" s="2" t="e">
        <f ca="1"/>
        <v>#NAME?</v>
      </c>
      <c r="X290" s="2"/>
      <c r="Y290" s="2"/>
      <c r="Z290" s="2"/>
    </row>
    <row r="291" spans="1:26" ht="12.5" x14ac:dyDescent="0.25">
      <c r="A291" s="7">
        <v>13.1</v>
      </c>
      <c r="B291" s="6" t="s">
        <v>62</v>
      </c>
      <c r="C291" s="6" t="s">
        <v>22</v>
      </c>
      <c r="D291" s="6" t="s">
        <v>63</v>
      </c>
      <c r="E291" s="8"/>
      <c r="F291" s="6" t="s">
        <v>25</v>
      </c>
      <c r="G291" s="6">
        <v>14</v>
      </c>
      <c r="H291" s="6" t="s">
        <v>26</v>
      </c>
      <c r="I291" s="7">
        <v>1</v>
      </c>
      <c r="J291" s="8"/>
      <c r="K291" s="7">
        <v>0</v>
      </c>
      <c r="L291" s="7">
        <v>0</v>
      </c>
      <c r="M291" s="7">
        <v>0</v>
      </c>
      <c r="N291" s="7">
        <v>0</v>
      </c>
      <c r="O291" s="8"/>
      <c r="P291" s="2"/>
      <c r="Q291" s="2"/>
      <c r="R291" s="2" t="str">
        <v>C9300</v>
      </c>
      <c r="S291" s="2" t="str">
        <f ca="1">IFERROR(__xludf.DUMMYFUNCTION("""COMPUTED_VALUE"""),"CAB-TA-EU")</f>
        <v>CAB-TA-EU</v>
      </c>
      <c r="T291" s="10">
        <f ca="1">IFERROR(__xludf.DUMMYFUNCTION("""COMPUTED_VALUE"""),0)</f>
        <v>0</v>
      </c>
      <c r="U291" s="2" t="e">
        <f ca="1"/>
        <v>#NAME?</v>
      </c>
      <c r="V291" s="2" t="e">
        <f ca="1"/>
        <v>#NAME?</v>
      </c>
      <c r="W291" s="2" t="e">
        <f ca="1"/>
        <v>#NAME?</v>
      </c>
      <c r="X291" s="2"/>
      <c r="Y291" s="2"/>
      <c r="Z291" s="2"/>
    </row>
    <row r="292" spans="1:26" ht="12.5" x14ac:dyDescent="0.25">
      <c r="A292" s="7">
        <v>13.11</v>
      </c>
      <c r="B292" s="6" t="s">
        <v>171</v>
      </c>
      <c r="C292" s="6" t="s">
        <v>22</v>
      </c>
      <c r="D292" s="6" t="s">
        <v>172</v>
      </c>
      <c r="E292" s="8"/>
      <c r="F292" s="6" t="s">
        <v>25</v>
      </c>
      <c r="G292" s="6">
        <v>14</v>
      </c>
      <c r="H292" s="6" t="s">
        <v>26</v>
      </c>
      <c r="I292" s="7">
        <v>1</v>
      </c>
      <c r="J292" s="8"/>
      <c r="K292" s="9">
        <v>3103.4</v>
      </c>
      <c r="L292" s="9">
        <v>3103.4</v>
      </c>
      <c r="M292" s="7">
        <v>0</v>
      </c>
      <c r="N292" s="9">
        <v>3103.4</v>
      </c>
      <c r="O292" s="8"/>
      <c r="P292" s="2"/>
      <c r="Q292" s="2"/>
      <c r="R292" s="2" t="str">
        <v>C9300</v>
      </c>
      <c r="S292" s="2" t="str">
        <f ca="1">IFERROR(__xludf.DUMMYFUNCTION("""COMPUTED_VALUE"""),"C9300-NM-8X")</f>
        <v>C9300-NM-8X</v>
      </c>
      <c r="T292" s="10">
        <f ca="1">IFERROR(__xludf.DUMMYFUNCTION("""COMPUTED_VALUE"""),0)</f>
        <v>0</v>
      </c>
      <c r="U292" s="2" t="e">
        <f ca="1"/>
        <v>#NAME?</v>
      </c>
      <c r="V292" s="2" t="e">
        <f ca="1"/>
        <v>#NAME?</v>
      </c>
      <c r="W292" s="2" t="e">
        <f ca="1"/>
        <v>#NAME?</v>
      </c>
      <c r="X292" s="2"/>
      <c r="Y292" s="2"/>
      <c r="Z292" s="2"/>
    </row>
    <row r="293" spans="1:26" ht="12.5" x14ac:dyDescent="0.25">
      <c r="A293" s="7">
        <v>13.12</v>
      </c>
      <c r="B293" s="6" t="s">
        <v>167</v>
      </c>
      <c r="C293" s="6" t="s">
        <v>22</v>
      </c>
      <c r="D293" s="6" t="s">
        <v>168</v>
      </c>
      <c r="E293" s="8"/>
      <c r="F293" s="6" t="s">
        <v>25</v>
      </c>
      <c r="G293" s="6">
        <v>14</v>
      </c>
      <c r="H293" s="6" t="s">
        <v>26</v>
      </c>
      <c r="I293" s="7">
        <v>1</v>
      </c>
      <c r="J293" s="8"/>
      <c r="K293" s="7">
        <v>121.7</v>
      </c>
      <c r="L293" s="7">
        <v>121.7</v>
      </c>
      <c r="M293" s="7">
        <v>0</v>
      </c>
      <c r="N293" s="7">
        <v>121.7</v>
      </c>
      <c r="O293" s="8"/>
      <c r="P293" s="2"/>
      <c r="Q293" s="2"/>
      <c r="R293" s="2" t="str">
        <v>C9300</v>
      </c>
      <c r="S293" s="2" t="str">
        <f ca="1">IFERROR(__xludf.DUMMYFUNCTION("""COMPUTED_VALUE"""),"STACK-T1-50CM")</f>
        <v>STACK-T1-50CM</v>
      </c>
      <c r="T293" s="10">
        <f ca="1">IFERROR(__xludf.DUMMYFUNCTION("""COMPUTED_VALUE"""),0)</f>
        <v>0</v>
      </c>
      <c r="U293" s="2" t="e">
        <f ca="1"/>
        <v>#NAME?</v>
      </c>
      <c r="V293" s="2" t="e">
        <f ca="1"/>
        <v>#NAME?</v>
      </c>
      <c r="W293" s="2" t="e">
        <f ca="1"/>
        <v>#NAME?</v>
      </c>
      <c r="X293" s="2"/>
      <c r="Y293" s="2"/>
      <c r="Z293" s="2"/>
    </row>
    <row r="294" spans="1:26" ht="12.5" x14ac:dyDescent="0.25">
      <c r="A294" s="7">
        <v>13.13</v>
      </c>
      <c r="B294" s="6" t="s">
        <v>219</v>
      </c>
      <c r="C294" s="6" t="s">
        <v>22</v>
      </c>
      <c r="D294" s="6" t="s">
        <v>220</v>
      </c>
      <c r="E294" s="8"/>
      <c r="F294" s="6" t="s">
        <v>25</v>
      </c>
      <c r="G294" s="6">
        <v>14</v>
      </c>
      <c r="H294" s="6" t="s">
        <v>26</v>
      </c>
      <c r="I294" s="7">
        <v>1</v>
      </c>
      <c r="J294" s="8"/>
      <c r="K294" s="9">
        <v>121.7</v>
      </c>
      <c r="L294" s="9">
        <v>121.7</v>
      </c>
      <c r="M294" s="7">
        <v>0</v>
      </c>
      <c r="N294" s="9">
        <v>121.7</v>
      </c>
      <c r="O294" s="8"/>
      <c r="P294" s="2"/>
      <c r="Q294" s="2"/>
      <c r="R294" s="2" t="str">
        <v>C9300</v>
      </c>
      <c r="S294" s="2" t="str">
        <f ca="1">IFERROR(__xludf.DUMMYFUNCTION("""COMPUTED_VALUE"""),"CAB-SPWR-150CM")</f>
        <v>CAB-SPWR-150CM</v>
      </c>
      <c r="T294" s="10">
        <f ca="1">IFERROR(__xludf.DUMMYFUNCTION("""COMPUTED_VALUE"""),0)</f>
        <v>0</v>
      </c>
      <c r="U294" s="2" t="e">
        <f ca="1"/>
        <v>#NAME?</v>
      </c>
      <c r="V294" s="2" t="e">
        <f ca="1"/>
        <v>#NAME?</v>
      </c>
      <c r="W294" s="2" t="e">
        <f ca="1"/>
        <v>#NAME?</v>
      </c>
      <c r="X294" s="2"/>
      <c r="Y294" s="2"/>
      <c r="Z294" s="2"/>
    </row>
    <row r="295" spans="1:26" ht="12.5" x14ac:dyDescent="0.25">
      <c r="A295" s="7">
        <v>13.14</v>
      </c>
      <c r="B295" s="6" t="s">
        <v>64</v>
      </c>
      <c r="C295" s="6" t="s">
        <v>22</v>
      </c>
      <c r="D295" s="6" t="s">
        <v>65</v>
      </c>
      <c r="E295" s="8"/>
      <c r="F295" s="6" t="s">
        <v>25</v>
      </c>
      <c r="G295" s="6">
        <v>14</v>
      </c>
      <c r="H295" s="6" t="s">
        <v>26</v>
      </c>
      <c r="I295" s="7">
        <v>1</v>
      </c>
      <c r="J295" s="8"/>
      <c r="K295" s="9">
        <v>3162.96</v>
      </c>
      <c r="L295" s="9">
        <v>3162.96</v>
      </c>
      <c r="M295" s="7">
        <v>0</v>
      </c>
      <c r="N295" s="9">
        <v>3162.96</v>
      </c>
      <c r="O295" s="8"/>
      <c r="P295" s="2"/>
      <c r="Q295" s="2"/>
      <c r="R295" s="2" t="str">
        <v>C9300</v>
      </c>
      <c r="S295" s="2" t="str">
        <f ca="1">IFERROR(__xludf.DUMMYFUNCTION("""COMPUTED_VALUE"""),"SSD-240G")</f>
        <v>SSD-240G</v>
      </c>
      <c r="T295" s="10">
        <f ca="1">IFERROR(__xludf.DUMMYFUNCTION("""COMPUTED_VALUE"""),0)</f>
        <v>0</v>
      </c>
      <c r="U295" s="2" t="e">
        <f ca="1"/>
        <v>#NAME?</v>
      </c>
      <c r="V295" s="2" t="e">
        <f ca="1"/>
        <v>#NAME?</v>
      </c>
      <c r="W295" s="2" t="e">
        <f ca="1"/>
        <v>#NAME?</v>
      </c>
      <c r="X295" s="2"/>
      <c r="Y295" s="2"/>
      <c r="Z295" s="2"/>
    </row>
    <row r="296" spans="1:26" ht="12.5" x14ac:dyDescent="0.25">
      <c r="A296" s="7">
        <v>13.15</v>
      </c>
      <c r="B296" s="6" t="s">
        <v>90</v>
      </c>
      <c r="C296" s="6" t="s">
        <v>22</v>
      </c>
      <c r="D296" s="6" t="s">
        <v>91</v>
      </c>
      <c r="E296" s="8"/>
      <c r="F296" s="6" t="s">
        <v>25</v>
      </c>
      <c r="G296" s="6">
        <v>14</v>
      </c>
      <c r="H296" s="6" t="s">
        <v>26</v>
      </c>
      <c r="I296" s="7">
        <v>1</v>
      </c>
      <c r="J296" s="8"/>
      <c r="K296" s="7">
        <v>0</v>
      </c>
      <c r="L296" s="7">
        <v>0</v>
      </c>
      <c r="M296" s="7">
        <v>0</v>
      </c>
      <c r="N296" s="7">
        <v>0</v>
      </c>
      <c r="O296" s="8"/>
      <c r="P296" s="2"/>
      <c r="Q296" s="2"/>
      <c r="R296" s="2" t="str">
        <v>C9300</v>
      </c>
      <c r="S296" s="2" t="str">
        <f ca="1">IFERROR(__xludf.DUMMYFUNCTION("""COMPUTED_VALUE"""),"C9300-ACCKIT-NONE")</f>
        <v>C9300-ACCKIT-NONE</v>
      </c>
      <c r="T296" s="10">
        <f ca="1">IFERROR(__xludf.DUMMYFUNCTION("""COMPUTED_VALUE"""),0)</f>
        <v>0</v>
      </c>
      <c r="U296" s="2" t="e">
        <f ca="1"/>
        <v>#NAME?</v>
      </c>
      <c r="V296" s="2" t="e">
        <f ca="1"/>
        <v>#NAME?</v>
      </c>
      <c r="W296" s="2" t="e">
        <f ca="1"/>
        <v>#NAME?</v>
      </c>
      <c r="X296" s="2"/>
      <c r="Y296" s="2"/>
      <c r="Z296" s="2"/>
    </row>
    <row r="297" spans="1:26" ht="12.5" x14ac:dyDescent="0.25">
      <c r="A297" s="7">
        <v>13.16</v>
      </c>
      <c r="B297" s="6" t="s">
        <v>72</v>
      </c>
      <c r="C297" s="6" t="s">
        <v>32</v>
      </c>
      <c r="D297" s="6" t="s">
        <v>73</v>
      </c>
      <c r="E297" s="8"/>
      <c r="F297" s="6" t="s">
        <v>25</v>
      </c>
      <c r="G297" s="6">
        <v>2</v>
      </c>
      <c r="H297" s="6" t="s">
        <v>32</v>
      </c>
      <c r="I297" s="7">
        <v>1</v>
      </c>
      <c r="J297" s="8"/>
      <c r="K297" s="9">
        <v>0</v>
      </c>
      <c r="L297" s="9">
        <v>0</v>
      </c>
      <c r="M297" s="7">
        <v>0</v>
      </c>
      <c r="N297" s="9">
        <v>0</v>
      </c>
      <c r="O297" s="8"/>
      <c r="P297" s="2"/>
      <c r="Q297" s="2"/>
      <c r="R297" s="2" t="str">
        <v>C9300</v>
      </c>
      <c r="S297" s="2" t="str">
        <f ca="1">IFERROR(__xludf.DUMMYFUNCTION("""COMPUTED_VALUE"""),"NETWORK-PNP-LIC")</f>
        <v>NETWORK-PNP-LIC</v>
      </c>
      <c r="T297" s="10">
        <f ca="1">IFERROR(__xludf.DUMMYFUNCTION("""COMPUTED_VALUE"""),0)</f>
        <v>0</v>
      </c>
      <c r="U297" s="2" t="e">
        <f ca="1"/>
        <v>#NAME?</v>
      </c>
      <c r="V297" s="2" t="e">
        <f ca="1"/>
        <v>#NAME?</v>
      </c>
      <c r="W297" s="2" t="e">
        <f ca="1"/>
        <v>#NAME?</v>
      </c>
      <c r="X297" s="2"/>
      <c r="Y297" s="2"/>
      <c r="Z297" s="2"/>
    </row>
    <row r="298" spans="1:26" ht="12.5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2" t="s">
        <v>76</v>
      </c>
      <c r="N298" s="13">
        <v>50184.37</v>
      </c>
      <c r="O298" s="14"/>
      <c r="P298" s="2"/>
      <c r="Q298" s="2"/>
      <c r="R298" s="2" t="str">
        <v/>
      </c>
      <c r="S298" s="2" t="str">
        <f ca="1">IFERROR(__xludf.DUMMYFUNCTION("""COMPUTED_VALUE"""),"")</f>
        <v/>
      </c>
      <c r="T298" s="2" t="str">
        <f ca="1">IFERROR(__xludf.DUMMYFUNCTION("""COMPUTED_VALUE"""),"")</f>
        <v/>
      </c>
      <c r="U298" s="2" t="e">
        <f ca="1"/>
        <v>#NAME?</v>
      </c>
      <c r="V298" s="2" t="e">
        <f ca="1"/>
        <v>#NAME?</v>
      </c>
      <c r="W298" s="2" t="str">
        <f ca="1"/>
        <v/>
      </c>
      <c r="X298" s="2"/>
      <c r="Y298" s="2"/>
      <c r="Z298" s="2"/>
    </row>
    <row r="299" spans="1:26" ht="12.5" x14ac:dyDescent="0.25">
      <c r="A299" s="5">
        <v>14</v>
      </c>
      <c r="B299" s="5" t="s">
        <v>221</v>
      </c>
      <c r="C299" s="6" t="s">
        <v>22</v>
      </c>
      <c r="D299" s="6" t="s">
        <v>222</v>
      </c>
      <c r="E299" s="6" t="s">
        <v>24</v>
      </c>
      <c r="F299" s="6" t="s">
        <v>25</v>
      </c>
      <c r="G299" s="6">
        <v>14</v>
      </c>
      <c r="H299" s="6" t="s">
        <v>26</v>
      </c>
      <c r="I299" s="7">
        <v>1</v>
      </c>
      <c r="J299" s="8"/>
      <c r="K299" s="9">
        <v>11314.52</v>
      </c>
      <c r="L299" s="9">
        <v>11314.52</v>
      </c>
      <c r="M299" s="7">
        <v>0</v>
      </c>
      <c r="N299" s="9">
        <v>11314.52</v>
      </c>
      <c r="O299" s="8"/>
      <c r="P299" s="2"/>
      <c r="Q299" s="2"/>
      <c r="R299" s="2" t="str">
        <v>C9300</v>
      </c>
      <c r="S299" s="2" t="str">
        <f ca="1">IFERROR(__xludf.DUMMYFUNCTION("""COMPUTED_VALUE"""),"C9300-24UB-A")</f>
        <v>C9300-24UB-A</v>
      </c>
      <c r="T299" s="10">
        <f ca="1">IFERROR(__xludf.DUMMYFUNCTION("""COMPUTED_VALUE"""),1)</f>
        <v>1</v>
      </c>
      <c r="U299" s="2" t="e">
        <f ca="1"/>
        <v>#NAME?</v>
      </c>
      <c r="V299" s="2" t="e">
        <f ca="1"/>
        <v>#NAME?</v>
      </c>
      <c r="W299" s="2" t="e">
        <f ca="1"/>
        <v>#NAME?</v>
      </c>
      <c r="X299" s="2"/>
      <c r="Y299" s="2"/>
      <c r="Z299" s="2"/>
    </row>
    <row r="300" spans="1:26" ht="12.5" x14ac:dyDescent="0.25">
      <c r="A300" s="7" t="s">
        <v>223</v>
      </c>
      <c r="B300" s="6" t="s">
        <v>224</v>
      </c>
      <c r="C300" s="6" t="s">
        <v>22</v>
      </c>
      <c r="D300" s="6" t="s">
        <v>225</v>
      </c>
      <c r="E300" s="8"/>
      <c r="F300" s="6">
        <v>24</v>
      </c>
      <c r="G300" s="6" t="s">
        <v>25</v>
      </c>
      <c r="H300" s="6" t="s">
        <v>26</v>
      </c>
      <c r="I300" s="7">
        <v>1</v>
      </c>
      <c r="J300" s="8"/>
      <c r="K300" s="9">
        <v>2266</v>
      </c>
      <c r="L300" s="9">
        <v>2266</v>
      </c>
      <c r="M300" s="7">
        <v>0</v>
      </c>
      <c r="N300" s="9">
        <v>2266</v>
      </c>
      <c r="O300" s="6" t="s">
        <v>30</v>
      </c>
      <c r="P300" s="2"/>
      <c r="Q300" s="2"/>
      <c r="R300" s="2" t="str">
        <v>C9300</v>
      </c>
      <c r="S300" s="2" t="str">
        <f ca="1">IFERROR(__xludf.DUMMYFUNCTION("""COMPUTED_VALUE"""),"CON-L1NBD-C930U2A4")</f>
        <v>CON-L1NBD-C930U2A4</v>
      </c>
      <c r="T300" s="10">
        <f ca="1">IFERROR(__xludf.DUMMYFUNCTION("""COMPUTED_VALUE"""),0)</f>
        <v>0</v>
      </c>
      <c r="U300" s="2" t="e">
        <f ca="1"/>
        <v>#NAME?</v>
      </c>
      <c r="V300" s="2" t="e">
        <f ca="1"/>
        <v>#NAME?</v>
      </c>
      <c r="W300" s="2" t="e">
        <f ca="1"/>
        <v>#NAME?</v>
      </c>
      <c r="X300" s="2"/>
      <c r="Y300" s="2"/>
      <c r="Z300" s="2"/>
    </row>
    <row r="301" spans="1:26" ht="12.5" x14ac:dyDescent="0.25">
      <c r="A301" s="7">
        <v>14.1</v>
      </c>
      <c r="B301" s="6" t="s">
        <v>154</v>
      </c>
      <c r="C301" s="6" t="s">
        <v>32</v>
      </c>
      <c r="D301" s="6" t="s">
        <v>155</v>
      </c>
      <c r="E301" s="8"/>
      <c r="F301" s="6" t="s">
        <v>25</v>
      </c>
      <c r="G301" s="6">
        <v>14</v>
      </c>
      <c r="H301" s="6" t="s">
        <v>26</v>
      </c>
      <c r="I301" s="7">
        <v>1</v>
      </c>
      <c r="J301" s="8"/>
      <c r="K301" s="9">
        <v>0</v>
      </c>
      <c r="L301" s="9">
        <v>0</v>
      </c>
      <c r="M301" s="7">
        <v>0</v>
      </c>
      <c r="N301" s="9">
        <v>0</v>
      </c>
      <c r="O301" s="8"/>
      <c r="P301" s="2"/>
      <c r="Q301" s="2"/>
      <c r="R301" s="2" t="str">
        <v>C9300</v>
      </c>
      <c r="S301" s="2" t="str">
        <f ca="1">IFERROR(__xludf.DUMMYFUNCTION("""COMPUTED_VALUE"""),"C9300-DNA-A-24")</f>
        <v>C9300-DNA-A-24</v>
      </c>
      <c r="T301" s="10">
        <f ca="1">IFERROR(__xludf.DUMMYFUNCTION("""COMPUTED_VALUE"""),0)</f>
        <v>0</v>
      </c>
      <c r="U301" s="2" t="e">
        <f ca="1"/>
        <v>#NAME?</v>
      </c>
      <c r="V301" s="2" t="e">
        <f ca="1"/>
        <v>#NAME?</v>
      </c>
      <c r="W301" s="2" t="e">
        <f ca="1"/>
        <v>#NAME?</v>
      </c>
      <c r="X301" s="2"/>
      <c r="Y301" s="2"/>
      <c r="Z301" s="2"/>
    </row>
    <row r="302" spans="1:26" ht="12.5" x14ac:dyDescent="0.25">
      <c r="A302" s="7" t="s">
        <v>226</v>
      </c>
      <c r="B302" s="6" t="s">
        <v>157</v>
      </c>
      <c r="C302" s="6" t="s">
        <v>22</v>
      </c>
      <c r="D302" s="6" t="s">
        <v>158</v>
      </c>
      <c r="E302" s="8"/>
      <c r="F302" s="6">
        <v>24</v>
      </c>
      <c r="G302" s="6" t="s">
        <v>25</v>
      </c>
      <c r="H302" s="6" t="s">
        <v>26</v>
      </c>
      <c r="I302" s="7">
        <v>1</v>
      </c>
      <c r="J302" s="8"/>
      <c r="K302" s="9">
        <v>324.5</v>
      </c>
      <c r="L302" s="9">
        <v>324.5</v>
      </c>
      <c r="M302" s="7">
        <v>0</v>
      </c>
      <c r="N302" s="9">
        <v>324.5</v>
      </c>
      <c r="O302" s="6" t="s">
        <v>30</v>
      </c>
      <c r="P302" s="2"/>
      <c r="Q302" s="2"/>
      <c r="R302" s="2" t="str">
        <v>C9300</v>
      </c>
      <c r="S302" s="2" t="str">
        <f ca="1">IFERROR(__xludf.DUMMYFUNCTION("""COMPUTED_VALUE"""),"CON-L1SWT-C93A24")</f>
        <v>CON-L1SWT-C93A24</v>
      </c>
      <c r="T302" s="10">
        <f ca="1">IFERROR(__xludf.DUMMYFUNCTION("""COMPUTED_VALUE"""),0)</f>
        <v>0</v>
      </c>
      <c r="U302" s="2" t="e">
        <f ca="1"/>
        <v>#NAME?</v>
      </c>
      <c r="V302" s="2" t="e">
        <f ca="1"/>
        <v>#NAME?</v>
      </c>
      <c r="W302" s="2" t="e">
        <f ca="1"/>
        <v>#NAME?</v>
      </c>
      <c r="X302" s="2"/>
      <c r="Y302" s="2"/>
      <c r="Z302" s="2"/>
    </row>
    <row r="303" spans="1:26" ht="12.5" x14ac:dyDescent="0.25">
      <c r="A303" s="7" t="s">
        <v>227</v>
      </c>
      <c r="B303" s="6" t="s">
        <v>160</v>
      </c>
      <c r="C303" s="6" t="s">
        <v>22</v>
      </c>
      <c r="D303" s="6" t="s">
        <v>161</v>
      </c>
      <c r="E303" s="8"/>
      <c r="F303" s="6">
        <v>36</v>
      </c>
      <c r="G303" s="6" t="s">
        <v>25</v>
      </c>
      <c r="H303" s="6" t="s">
        <v>26</v>
      </c>
      <c r="I303" s="7">
        <v>1</v>
      </c>
      <c r="J303" s="8"/>
      <c r="K303" s="9">
        <v>2365.77</v>
      </c>
      <c r="L303" s="9">
        <v>2365.77</v>
      </c>
      <c r="M303" s="7">
        <v>0</v>
      </c>
      <c r="N303" s="9">
        <v>2365.77</v>
      </c>
      <c r="O303" s="8"/>
      <c r="P303" s="2"/>
      <c r="Q303" s="2"/>
      <c r="R303" s="2" t="str">
        <v>C9300</v>
      </c>
      <c r="S303" s="2" t="str">
        <f ca="1">IFERROR(__xludf.DUMMYFUNCTION("""COMPUTED_VALUE"""),"C9300-DNA-A-24-3Y")</f>
        <v>C9300-DNA-A-24-3Y</v>
      </c>
      <c r="T303" s="10">
        <f ca="1">IFERROR(__xludf.DUMMYFUNCTION("""COMPUTED_VALUE"""),0)</f>
        <v>0</v>
      </c>
      <c r="U303" s="2" t="e">
        <f ca="1"/>
        <v>#NAME?</v>
      </c>
      <c r="V303" s="2" t="e">
        <f ca="1"/>
        <v>#NAME?</v>
      </c>
      <c r="W303" s="2" t="e">
        <f ca="1"/>
        <v>#NAME?</v>
      </c>
      <c r="X303" s="2"/>
      <c r="Y303" s="2"/>
      <c r="Z303" s="2"/>
    </row>
    <row r="304" spans="1:26" ht="12.5" x14ac:dyDescent="0.25">
      <c r="A304" s="7">
        <v>14.2</v>
      </c>
      <c r="B304" s="6" t="s">
        <v>40</v>
      </c>
      <c r="C304" s="6" t="s">
        <v>32</v>
      </c>
      <c r="D304" s="6" t="s">
        <v>41</v>
      </c>
      <c r="E304" s="8"/>
      <c r="F304" s="6" t="s">
        <v>25</v>
      </c>
      <c r="G304" s="6">
        <v>14</v>
      </c>
      <c r="H304" s="6" t="s">
        <v>32</v>
      </c>
      <c r="I304" s="7">
        <v>1</v>
      </c>
      <c r="J304" s="8"/>
      <c r="K304" s="7">
        <v>0</v>
      </c>
      <c r="L304" s="7">
        <v>0</v>
      </c>
      <c r="M304" s="7">
        <v>0</v>
      </c>
      <c r="N304" s="7">
        <v>0</v>
      </c>
      <c r="O304" s="8"/>
      <c r="P304" s="2"/>
      <c r="Q304" s="2"/>
      <c r="R304" s="2" t="str">
        <v>C9300</v>
      </c>
      <c r="S304" s="2" t="str">
        <f ca="1">IFERROR(__xludf.DUMMYFUNCTION("""COMPUTED_VALUE"""),"TE-EMBEDDED-T")</f>
        <v>TE-EMBEDDED-T</v>
      </c>
      <c r="T304" s="10">
        <f ca="1">IFERROR(__xludf.DUMMYFUNCTION("""COMPUTED_VALUE"""),0)</f>
        <v>0</v>
      </c>
      <c r="U304" s="2" t="e">
        <f ca="1"/>
        <v>#NAME?</v>
      </c>
      <c r="V304" s="2" t="e">
        <f ca="1"/>
        <v>#NAME?</v>
      </c>
      <c r="W304" s="2" t="e">
        <f ca="1"/>
        <v>#NAME?</v>
      </c>
      <c r="X304" s="2"/>
      <c r="Y304" s="2"/>
      <c r="Z304" s="2"/>
    </row>
    <row r="305" spans="1:26" ht="12.5" x14ac:dyDescent="0.25">
      <c r="A305" s="7" t="s">
        <v>228</v>
      </c>
      <c r="B305" s="6" t="s">
        <v>43</v>
      </c>
      <c r="C305" s="6" t="s">
        <v>22</v>
      </c>
      <c r="D305" s="6" t="s">
        <v>44</v>
      </c>
      <c r="E305" s="8"/>
      <c r="F305" s="6">
        <v>36</v>
      </c>
      <c r="G305" s="6" t="s">
        <v>25</v>
      </c>
      <c r="H305" s="6" t="s">
        <v>26</v>
      </c>
      <c r="I305" s="7">
        <v>1</v>
      </c>
      <c r="J305" s="8"/>
      <c r="K305" s="9">
        <v>0</v>
      </c>
      <c r="L305" s="9">
        <v>0</v>
      </c>
      <c r="M305" s="7">
        <v>0</v>
      </c>
      <c r="N305" s="9">
        <v>0</v>
      </c>
      <c r="O305" s="8"/>
      <c r="P305" s="2"/>
      <c r="Q305" s="2"/>
      <c r="R305" s="2" t="str">
        <v>C9300</v>
      </c>
      <c r="S305" s="2" t="str">
        <f ca="1">IFERROR(__xludf.DUMMYFUNCTION("""COMPUTED_VALUE"""),"TE-EMBEDDED-T-3Y")</f>
        <v>TE-EMBEDDED-T-3Y</v>
      </c>
      <c r="T305" s="10">
        <f ca="1">IFERROR(__xludf.DUMMYFUNCTION("""COMPUTED_VALUE"""),0)</f>
        <v>0</v>
      </c>
      <c r="U305" s="2" t="e">
        <f ca="1"/>
        <v>#NAME?</v>
      </c>
      <c r="V305" s="2" t="e">
        <f ca="1"/>
        <v>#NAME?</v>
      </c>
      <c r="W305" s="2" t="e">
        <f ca="1"/>
        <v>#NAME?</v>
      </c>
      <c r="X305" s="2"/>
      <c r="Y305" s="2"/>
      <c r="Z305" s="2"/>
    </row>
    <row r="306" spans="1:26" ht="12.5" x14ac:dyDescent="0.25">
      <c r="A306" s="7">
        <v>14.3</v>
      </c>
      <c r="B306" s="6" t="s">
        <v>45</v>
      </c>
      <c r="C306" s="6" t="s">
        <v>32</v>
      </c>
      <c r="D306" s="6" t="s">
        <v>46</v>
      </c>
      <c r="E306" s="8"/>
      <c r="F306" s="6" t="s">
        <v>25</v>
      </c>
      <c r="G306" s="6">
        <v>14</v>
      </c>
      <c r="H306" s="6" t="s">
        <v>32</v>
      </c>
      <c r="I306" s="7">
        <v>1</v>
      </c>
      <c r="J306" s="8"/>
      <c r="K306" s="7">
        <v>0</v>
      </c>
      <c r="L306" s="7">
        <v>0</v>
      </c>
      <c r="M306" s="7">
        <v>0</v>
      </c>
      <c r="N306" s="7">
        <v>0</v>
      </c>
      <c r="O306" s="8"/>
      <c r="P306" s="2"/>
      <c r="Q306" s="2"/>
      <c r="R306" s="2" t="str">
        <v>C9300</v>
      </c>
      <c r="S306" s="2" t="str">
        <f ca="1">IFERROR(__xludf.DUMMYFUNCTION("""COMPUTED_VALUE"""),"D-DNAS-EXT-S-T")</f>
        <v>D-DNAS-EXT-S-T</v>
      </c>
      <c r="T306" s="10">
        <f ca="1">IFERROR(__xludf.DUMMYFUNCTION("""COMPUTED_VALUE"""),0)</f>
        <v>0</v>
      </c>
      <c r="U306" s="2" t="e">
        <f ca="1"/>
        <v>#NAME?</v>
      </c>
      <c r="V306" s="2" t="e">
        <f ca="1"/>
        <v>#NAME?</v>
      </c>
      <c r="W306" s="2" t="e">
        <f ca="1"/>
        <v>#NAME?</v>
      </c>
      <c r="X306" s="2"/>
      <c r="Y306" s="2"/>
      <c r="Z306" s="2"/>
    </row>
    <row r="307" spans="1:26" ht="12.5" x14ac:dyDescent="0.25">
      <c r="A307" s="7" t="s">
        <v>229</v>
      </c>
      <c r="B307" s="6" t="s">
        <v>48</v>
      </c>
      <c r="C307" s="6" t="s">
        <v>22</v>
      </c>
      <c r="D307" s="6" t="s">
        <v>49</v>
      </c>
      <c r="E307" s="8"/>
      <c r="F307" s="6">
        <v>36</v>
      </c>
      <c r="G307" s="6" t="s">
        <v>25</v>
      </c>
      <c r="H307" s="6" t="s">
        <v>26</v>
      </c>
      <c r="I307" s="7">
        <v>1</v>
      </c>
      <c r="J307" s="8"/>
      <c r="K307" s="7">
        <v>0</v>
      </c>
      <c r="L307" s="7">
        <v>0</v>
      </c>
      <c r="M307" s="7">
        <v>0</v>
      </c>
      <c r="N307" s="7">
        <v>0</v>
      </c>
      <c r="O307" s="8"/>
      <c r="P307" s="2"/>
      <c r="Q307" s="2"/>
      <c r="R307" s="2" t="str">
        <v>C9300</v>
      </c>
      <c r="S307" s="2" t="str">
        <f ca="1">IFERROR(__xludf.DUMMYFUNCTION("""COMPUTED_VALUE"""),"D-DNAS-EXT-S-3Y")</f>
        <v>D-DNAS-EXT-S-3Y</v>
      </c>
      <c r="T307" s="10">
        <f ca="1">IFERROR(__xludf.DUMMYFUNCTION("""COMPUTED_VALUE"""),0)</f>
        <v>0</v>
      </c>
      <c r="U307" s="2" t="e">
        <f ca="1"/>
        <v>#NAME?</v>
      </c>
      <c r="V307" s="2" t="e">
        <f ca="1"/>
        <v>#NAME?</v>
      </c>
      <c r="W307" s="2" t="e">
        <f ca="1"/>
        <v>#NAME?</v>
      </c>
      <c r="X307" s="2"/>
      <c r="Y307" s="2"/>
      <c r="Z307" s="2"/>
    </row>
    <row r="308" spans="1:26" ht="12.5" x14ac:dyDescent="0.25">
      <c r="A308" s="7">
        <v>14.4</v>
      </c>
      <c r="B308" s="6" t="s">
        <v>164</v>
      </c>
      <c r="C308" s="6" t="s">
        <v>32</v>
      </c>
      <c r="D308" s="6" t="s">
        <v>165</v>
      </c>
      <c r="E308" s="8"/>
      <c r="F308" s="6" t="s">
        <v>25</v>
      </c>
      <c r="G308" s="6">
        <v>14</v>
      </c>
      <c r="H308" s="6" t="s">
        <v>32</v>
      </c>
      <c r="I308" s="7">
        <v>1</v>
      </c>
      <c r="J308" s="8"/>
      <c r="K308" s="7">
        <v>0</v>
      </c>
      <c r="L308" s="7">
        <v>0</v>
      </c>
      <c r="M308" s="7">
        <v>0</v>
      </c>
      <c r="N308" s="7">
        <v>0</v>
      </c>
      <c r="O308" s="8"/>
      <c r="P308" s="2"/>
      <c r="Q308" s="2"/>
      <c r="R308" s="2" t="str">
        <v>C9300</v>
      </c>
      <c r="S308" s="2" t="str">
        <f ca="1">IFERROR(__xludf.DUMMYFUNCTION("""COMPUTED_VALUE"""),"C9300-NW-A-24")</f>
        <v>C9300-NW-A-24</v>
      </c>
      <c r="T308" s="10">
        <f ca="1">IFERROR(__xludf.DUMMYFUNCTION("""COMPUTED_VALUE"""),0)</f>
        <v>0</v>
      </c>
      <c r="U308" s="2" t="e">
        <f ca="1"/>
        <v>#NAME?</v>
      </c>
      <c r="V308" s="2" t="e">
        <f ca="1"/>
        <v>#NAME?</v>
      </c>
      <c r="W308" s="2" t="e">
        <f ca="1"/>
        <v>#NAME?</v>
      </c>
      <c r="X308" s="2"/>
      <c r="Y308" s="2"/>
      <c r="Z308" s="2"/>
    </row>
    <row r="309" spans="1:26" ht="12.5" x14ac:dyDescent="0.25">
      <c r="A309" s="7">
        <v>14.5</v>
      </c>
      <c r="B309" s="6" t="s">
        <v>193</v>
      </c>
      <c r="C309" s="6" t="s">
        <v>22</v>
      </c>
      <c r="D309" s="6" t="s">
        <v>75</v>
      </c>
      <c r="E309" s="8"/>
      <c r="F309" s="6" t="s">
        <v>25</v>
      </c>
      <c r="G309" s="6">
        <v>14</v>
      </c>
      <c r="H309" s="6" t="s">
        <v>32</v>
      </c>
      <c r="I309" s="7">
        <v>1</v>
      </c>
      <c r="J309" s="8"/>
      <c r="K309" s="7">
        <v>0</v>
      </c>
      <c r="L309" s="7">
        <v>0</v>
      </c>
      <c r="M309" s="7">
        <v>0</v>
      </c>
      <c r="N309" s="7">
        <v>0</v>
      </c>
      <c r="O309" s="8"/>
      <c r="P309" s="2"/>
      <c r="Q309" s="2"/>
      <c r="R309" s="2" t="str">
        <v>C9300</v>
      </c>
      <c r="S309" s="2" t="str">
        <f ca="1">IFERROR(__xludf.DUMMYFUNCTION("""COMPUTED_VALUE"""),"SC9300UK9-1718")</f>
        <v>SC9300UK9-1718</v>
      </c>
      <c r="T309" s="10">
        <f ca="1">IFERROR(__xludf.DUMMYFUNCTION("""COMPUTED_VALUE"""),0)</f>
        <v>0</v>
      </c>
      <c r="U309" s="2" t="e">
        <f ca="1"/>
        <v>#NAME?</v>
      </c>
      <c r="V309" s="2" t="e">
        <f ca="1"/>
        <v>#NAME?</v>
      </c>
      <c r="W309" s="2" t="e">
        <f ca="1"/>
        <v>#NAME?</v>
      </c>
      <c r="X309" s="2"/>
      <c r="Y309" s="2"/>
      <c r="Z309" s="2"/>
    </row>
    <row r="310" spans="1:26" ht="12.5" x14ac:dyDescent="0.25">
      <c r="A310" s="7">
        <v>14.6</v>
      </c>
      <c r="B310" s="6" t="s">
        <v>86</v>
      </c>
      <c r="C310" s="6" t="s">
        <v>22</v>
      </c>
      <c r="D310" s="6" t="s">
        <v>87</v>
      </c>
      <c r="E310" s="8"/>
      <c r="F310" s="6" t="s">
        <v>25</v>
      </c>
      <c r="G310" s="6">
        <v>14</v>
      </c>
      <c r="H310" s="6" t="s">
        <v>32</v>
      </c>
      <c r="I310" s="7">
        <v>1</v>
      </c>
      <c r="J310" s="8"/>
      <c r="K310" s="7">
        <v>0</v>
      </c>
      <c r="L310" s="7">
        <v>0</v>
      </c>
      <c r="M310" s="7">
        <v>0</v>
      </c>
      <c r="N310" s="7">
        <v>0</v>
      </c>
      <c r="O310" s="8"/>
      <c r="P310" s="2"/>
      <c r="Q310" s="2"/>
      <c r="R310" s="2" t="str">
        <v>C9300</v>
      </c>
      <c r="S310" s="2" t="str">
        <f ca="1">IFERROR(__xludf.DUMMYFUNCTION("""COMPUTED_VALUE"""),"TE-C9K-SW")</f>
        <v>TE-C9K-SW</v>
      </c>
      <c r="T310" s="10">
        <f ca="1">IFERROR(__xludf.DUMMYFUNCTION("""COMPUTED_VALUE"""),0)</f>
        <v>0</v>
      </c>
      <c r="U310" s="2" t="e">
        <f ca="1"/>
        <v>#NAME?</v>
      </c>
      <c r="V310" s="2" t="e">
        <f ca="1"/>
        <v>#NAME?</v>
      </c>
      <c r="W310" s="2" t="e">
        <f ca="1"/>
        <v>#NAME?</v>
      </c>
      <c r="X310" s="2"/>
      <c r="Y310" s="2"/>
      <c r="Z310" s="2"/>
    </row>
    <row r="311" spans="1:26" ht="12.5" x14ac:dyDescent="0.25">
      <c r="A311" s="7">
        <v>14.7</v>
      </c>
      <c r="B311" s="6" t="s">
        <v>191</v>
      </c>
      <c r="C311" s="6" t="s">
        <v>22</v>
      </c>
      <c r="D311" s="6" t="s">
        <v>192</v>
      </c>
      <c r="E311" s="8"/>
      <c r="F311" s="6" t="s">
        <v>25</v>
      </c>
      <c r="G311" s="6">
        <v>14</v>
      </c>
      <c r="H311" s="6" t="s">
        <v>32</v>
      </c>
      <c r="I311" s="7">
        <v>1</v>
      </c>
      <c r="J311" s="8"/>
      <c r="K311" s="7">
        <v>0</v>
      </c>
      <c r="L311" s="7">
        <v>0</v>
      </c>
      <c r="M311" s="7">
        <v>0</v>
      </c>
      <c r="N311" s="7">
        <v>0</v>
      </c>
      <c r="O311" s="8"/>
      <c r="P311" s="2"/>
      <c r="Q311" s="2"/>
      <c r="R311" s="2" t="str">
        <v>C9300</v>
      </c>
      <c r="S311" s="2" t="str">
        <f ca="1">IFERROR(__xludf.DUMMYFUNCTION("""COMPUTED_VALUE"""),"PWR-C1-1100WAC-P")</f>
        <v>PWR-C1-1100WAC-P</v>
      </c>
      <c r="T311" s="10">
        <f ca="1">IFERROR(__xludf.DUMMYFUNCTION("""COMPUTED_VALUE"""),0)</f>
        <v>0</v>
      </c>
      <c r="U311" s="2" t="e">
        <f ca="1"/>
        <v>#NAME?</v>
      </c>
      <c r="V311" s="2" t="e">
        <f ca="1"/>
        <v>#NAME?</v>
      </c>
      <c r="W311" s="2" t="e">
        <f ca="1"/>
        <v>#NAME?</v>
      </c>
      <c r="X311" s="2"/>
      <c r="Y311" s="2"/>
      <c r="Z311" s="2"/>
    </row>
    <row r="312" spans="1:26" ht="12.5" x14ac:dyDescent="0.25">
      <c r="A312" s="7">
        <v>14.8</v>
      </c>
      <c r="B312" s="6" t="s">
        <v>230</v>
      </c>
      <c r="C312" s="6" t="s">
        <v>22</v>
      </c>
      <c r="D312" s="6" t="s">
        <v>231</v>
      </c>
      <c r="E312" s="8"/>
      <c r="F312" s="6" t="s">
        <v>25</v>
      </c>
      <c r="G312" s="6">
        <v>14</v>
      </c>
      <c r="H312" s="6" t="s">
        <v>26</v>
      </c>
      <c r="I312" s="7">
        <v>1</v>
      </c>
      <c r="J312" s="8"/>
      <c r="K312" s="9">
        <v>2312.33</v>
      </c>
      <c r="L312" s="9">
        <v>2312.33</v>
      </c>
      <c r="M312" s="7">
        <v>0</v>
      </c>
      <c r="N312" s="9">
        <v>2312.33</v>
      </c>
      <c r="O312" s="8"/>
      <c r="P312" s="2"/>
      <c r="Q312" s="2"/>
      <c r="R312" s="2" t="str">
        <v>C9300</v>
      </c>
      <c r="S312" s="2" t="str">
        <f ca="1">IFERROR(__xludf.DUMMYFUNCTION("""COMPUTED_VALUE"""),"PWR-C1-1100WAC-P/2")</f>
        <v>PWR-C1-1100WAC-P/2</v>
      </c>
      <c r="T312" s="10">
        <f ca="1">IFERROR(__xludf.DUMMYFUNCTION("""COMPUTED_VALUE"""),0)</f>
        <v>0</v>
      </c>
      <c r="U312" s="2" t="e">
        <f ca="1"/>
        <v>#NAME?</v>
      </c>
      <c r="V312" s="2" t="e">
        <f ca="1"/>
        <v>#NAME?</v>
      </c>
      <c r="W312" s="2" t="e">
        <f ca="1"/>
        <v>#NAME?</v>
      </c>
      <c r="X312" s="2"/>
      <c r="Y312" s="2"/>
      <c r="Z312" s="2"/>
    </row>
    <row r="313" spans="1:26" ht="12.5" x14ac:dyDescent="0.25">
      <c r="A313" s="7">
        <v>14.9</v>
      </c>
      <c r="B313" s="6" t="s">
        <v>62</v>
      </c>
      <c r="C313" s="6" t="s">
        <v>22</v>
      </c>
      <c r="D313" s="6" t="s">
        <v>63</v>
      </c>
      <c r="E313" s="8"/>
      <c r="F313" s="6" t="s">
        <v>25</v>
      </c>
      <c r="G313" s="6">
        <v>14</v>
      </c>
      <c r="H313" s="6" t="s">
        <v>26</v>
      </c>
      <c r="I313" s="7">
        <v>2</v>
      </c>
      <c r="J313" s="8"/>
      <c r="K313" s="7">
        <v>0</v>
      </c>
      <c r="L313" s="7">
        <v>0</v>
      </c>
      <c r="M313" s="7">
        <v>0</v>
      </c>
      <c r="N313" s="7">
        <v>0</v>
      </c>
      <c r="O313" s="8"/>
      <c r="P313" s="2"/>
      <c r="Q313" s="2"/>
      <c r="R313" s="2" t="str">
        <v>C9300</v>
      </c>
      <c r="S313" s="2" t="str">
        <f ca="1">IFERROR(__xludf.DUMMYFUNCTION("""COMPUTED_VALUE"""),"CAB-TA-EU")</f>
        <v>CAB-TA-EU</v>
      </c>
      <c r="T313" s="10">
        <f ca="1">IFERROR(__xludf.DUMMYFUNCTION("""COMPUTED_VALUE"""),0)</f>
        <v>0</v>
      </c>
      <c r="U313" s="2" t="e">
        <f ca="1"/>
        <v>#NAME?</v>
      </c>
      <c r="V313" s="2" t="e">
        <f ca="1"/>
        <v>#NAME?</v>
      </c>
      <c r="W313" s="2" t="e">
        <f ca="1"/>
        <v>#NAME?</v>
      </c>
      <c r="X313" s="2"/>
      <c r="Y313" s="2"/>
      <c r="Z313" s="2"/>
    </row>
    <row r="314" spans="1:26" ht="12.5" x14ac:dyDescent="0.25">
      <c r="A314" s="7">
        <v>14.1</v>
      </c>
      <c r="B314" s="6" t="s">
        <v>167</v>
      </c>
      <c r="C314" s="6" t="s">
        <v>22</v>
      </c>
      <c r="D314" s="6" t="s">
        <v>168</v>
      </c>
      <c r="E314" s="8"/>
      <c r="F314" s="6" t="s">
        <v>25</v>
      </c>
      <c r="G314" s="6">
        <v>14</v>
      </c>
      <c r="H314" s="6" t="s">
        <v>26</v>
      </c>
      <c r="I314" s="7">
        <v>1</v>
      </c>
      <c r="J314" s="8"/>
      <c r="K314" s="9">
        <v>121.7</v>
      </c>
      <c r="L314" s="9">
        <v>121.7</v>
      </c>
      <c r="M314" s="7">
        <v>0</v>
      </c>
      <c r="N314" s="9">
        <v>121.7</v>
      </c>
      <c r="O314" s="8"/>
      <c r="P314" s="2"/>
      <c r="Q314" s="2"/>
      <c r="R314" s="2" t="str">
        <v>C9300</v>
      </c>
      <c r="S314" s="2" t="str">
        <f ca="1">IFERROR(__xludf.DUMMYFUNCTION("""COMPUTED_VALUE"""),"STACK-T1-50CM")</f>
        <v>STACK-T1-50CM</v>
      </c>
      <c r="T314" s="10">
        <f ca="1">IFERROR(__xludf.DUMMYFUNCTION("""COMPUTED_VALUE"""),0)</f>
        <v>0</v>
      </c>
      <c r="U314" s="2" t="e">
        <f ca="1"/>
        <v>#NAME?</v>
      </c>
      <c r="V314" s="2" t="e">
        <f ca="1"/>
        <v>#NAME?</v>
      </c>
      <c r="W314" s="2" t="e">
        <f ca="1"/>
        <v>#NAME?</v>
      </c>
      <c r="X314" s="2"/>
      <c r="Y314" s="2"/>
      <c r="Z314" s="2"/>
    </row>
    <row r="315" spans="1:26" ht="12.5" x14ac:dyDescent="0.25">
      <c r="A315" s="7">
        <v>14.11</v>
      </c>
      <c r="B315" s="6" t="s">
        <v>169</v>
      </c>
      <c r="C315" s="6" t="s">
        <v>22</v>
      </c>
      <c r="D315" s="6" t="s">
        <v>170</v>
      </c>
      <c r="E315" s="8"/>
      <c r="F315" s="6" t="s">
        <v>25</v>
      </c>
      <c r="G315" s="6">
        <v>14</v>
      </c>
      <c r="H315" s="6" t="s">
        <v>26</v>
      </c>
      <c r="I315" s="7">
        <v>1</v>
      </c>
      <c r="J315" s="8"/>
      <c r="K315" s="7">
        <v>115.62</v>
      </c>
      <c r="L315" s="7">
        <v>115.62</v>
      </c>
      <c r="M315" s="7">
        <v>0</v>
      </c>
      <c r="N315" s="7">
        <v>115.62</v>
      </c>
      <c r="O315" s="8"/>
      <c r="P315" s="2"/>
      <c r="Q315" s="2"/>
      <c r="R315" s="2" t="str">
        <v>C9300</v>
      </c>
      <c r="S315" s="2" t="str">
        <f ca="1">IFERROR(__xludf.DUMMYFUNCTION("""COMPUTED_VALUE"""),"CAB-SPWR-30CM")</f>
        <v>CAB-SPWR-30CM</v>
      </c>
      <c r="T315" s="10">
        <f ca="1">IFERROR(__xludf.DUMMYFUNCTION("""COMPUTED_VALUE"""),0)</f>
        <v>0</v>
      </c>
      <c r="U315" s="2" t="e">
        <f ca="1"/>
        <v>#NAME?</v>
      </c>
      <c r="V315" s="2" t="e">
        <f ca="1"/>
        <v>#NAME?</v>
      </c>
      <c r="W315" s="2" t="e">
        <f ca="1"/>
        <v>#NAME?</v>
      </c>
      <c r="X315" s="2"/>
      <c r="Y315" s="2"/>
      <c r="Z315" s="2"/>
    </row>
    <row r="316" spans="1:26" ht="12.5" x14ac:dyDescent="0.25">
      <c r="A316" s="7">
        <v>14.12</v>
      </c>
      <c r="B316" s="6" t="s">
        <v>64</v>
      </c>
      <c r="C316" s="6" t="s">
        <v>22</v>
      </c>
      <c r="D316" s="6" t="s">
        <v>65</v>
      </c>
      <c r="E316" s="8"/>
      <c r="F316" s="6" t="s">
        <v>25</v>
      </c>
      <c r="G316" s="6">
        <v>14</v>
      </c>
      <c r="H316" s="6" t="s">
        <v>26</v>
      </c>
      <c r="I316" s="7">
        <v>1</v>
      </c>
      <c r="J316" s="8"/>
      <c r="K316" s="9">
        <v>3162.96</v>
      </c>
      <c r="L316" s="9">
        <v>3162.96</v>
      </c>
      <c r="M316" s="7">
        <v>0</v>
      </c>
      <c r="N316" s="9">
        <v>3162.96</v>
      </c>
      <c r="O316" s="8"/>
      <c r="P316" s="2"/>
      <c r="Q316" s="2"/>
      <c r="R316" s="2" t="str">
        <v>C9300</v>
      </c>
      <c r="S316" s="2" t="str">
        <f ca="1">IFERROR(__xludf.DUMMYFUNCTION("""COMPUTED_VALUE"""),"SSD-240G")</f>
        <v>SSD-240G</v>
      </c>
      <c r="T316" s="10">
        <f ca="1">IFERROR(__xludf.DUMMYFUNCTION("""COMPUTED_VALUE"""),0)</f>
        <v>0</v>
      </c>
      <c r="U316" s="2" t="e">
        <f ca="1"/>
        <v>#NAME?</v>
      </c>
      <c r="V316" s="2" t="e">
        <f ca="1"/>
        <v>#NAME?</v>
      </c>
      <c r="W316" s="2" t="e">
        <f ca="1"/>
        <v>#NAME?</v>
      </c>
      <c r="X316" s="2"/>
      <c r="Y316" s="2"/>
      <c r="Z316" s="2"/>
    </row>
    <row r="317" spans="1:26" ht="12.5" x14ac:dyDescent="0.25">
      <c r="A317" s="7">
        <v>14.13</v>
      </c>
      <c r="B317" s="6" t="s">
        <v>90</v>
      </c>
      <c r="C317" s="6" t="s">
        <v>22</v>
      </c>
      <c r="D317" s="6" t="s">
        <v>91</v>
      </c>
      <c r="E317" s="8"/>
      <c r="F317" s="6" t="s">
        <v>25</v>
      </c>
      <c r="G317" s="6">
        <v>14</v>
      </c>
      <c r="H317" s="6" t="s">
        <v>26</v>
      </c>
      <c r="I317" s="7">
        <v>1</v>
      </c>
      <c r="J317" s="8"/>
      <c r="K317" s="7">
        <v>0</v>
      </c>
      <c r="L317" s="7">
        <v>0</v>
      </c>
      <c r="M317" s="7">
        <v>0</v>
      </c>
      <c r="N317" s="7">
        <v>0</v>
      </c>
      <c r="O317" s="8"/>
      <c r="P317" s="2"/>
      <c r="Q317" s="2"/>
      <c r="R317" s="2" t="str">
        <v>C9300</v>
      </c>
      <c r="S317" s="2" t="str">
        <f ca="1">IFERROR(__xludf.DUMMYFUNCTION("""COMPUTED_VALUE"""),"C9300-ACCKIT-NONE")</f>
        <v>C9300-ACCKIT-NONE</v>
      </c>
      <c r="T317" s="10">
        <f ca="1">IFERROR(__xludf.DUMMYFUNCTION("""COMPUTED_VALUE"""),0)</f>
        <v>0</v>
      </c>
      <c r="U317" s="2" t="e">
        <f ca="1"/>
        <v>#NAME?</v>
      </c>
      <c r="V317" s="2" t="e">
        <f ca="1"/>
        <v>#NAME?</v>
      </c>
      <c r="W317" s="2" t="e">
        <f ca="1"/>
        <v>#NAME?</v>
      </c>
      <c r="X317" s="2"/>
      <c r="Y317" s="2"/>
      <c r="Z317" s="2"/>
    </row>
    <row r="318" spans="1:26" ht="12.5" x14ac:dyDescent="0.25">
      <c r="A318" s="7">
        <v>14.14</v>
      </c>
      <c r="B318" s="6" t="s">
        <v>171</v>
      </c>
      <c r="C318" s="6" t="s">
        <v>22</v>
      </c>
      <c r="D318" s="6" t="s">
        <v>172</v>
      </c>
      <c r="E318" s="8"/>
      <c r="F318" s="6" t="s">
        <v>25</v>
      </c>
      <c r="G318" s="6">
        <v>14</v>
      </c>
      <c r="H318" s="6" t="s">
        <v>26</v>
      </c>
      <c r="I318" s="7">
        <v>1</v>
      </c>
      <c r="J318" s="8"/>
      <c r="K318" s="9">
        <v>3103.4</v>
      </c>
      <c r="L318" s="9">
        <v>3103.4</v>
      </c>
      <c r="M318" s="7">
        <v>0</v>
      </c>
      <c r="N318" s="9">
        <v>3103.4</v>
      </c>
      <c r="O318" s="8"/>
      <c r="P318" s="2"/>
      <c r="Q318" s="2"/>
      <c r="R318" s="2" t="str">
        <v>C9300</v>
      </c>
      <c r="S318" s="2" t="str">
        <f ca="1">IFERROR(__xludf.DUMMYFUNCTION("""COMPUTED_VALUE"""),"C9300-NM-8X")</f>
        <v>C9300-NM-8X</v>
      </c>
      <c r="T318" s="10">
        <f ca="1">IFERROR(__xludf.DUMMYFUNCTION("""COMPUTED_VALUE"""),0)</f>
        <v>0</v>
      </c>
      <c r="U318" s="2" t="e">
        <f ca="1"/>
        <v>#NAME?</v>
      </c>
      <c r="V318" s="2" t="e">
        <f ca="1"/>
        <v>#NAME?</v>
      </c>
      <c r="W318" s="2" t="e">
        <f ca="1"/>
        <v>#NAME?</v>
      </c>
      <c r="X318" s="2"/>
      <c r="Y318" s="2"/>
      <c r="Z318" s="2"/>
    </row>
    <row r="319" spans="1:26" ht="12.5" x14ac:dyDescent="0.25">
      <c r="A319" s="7">
        <v>14.15</v>
      </c>
      <c r="B319" s="6" t="s">
        <v>72</v>
      </c>
      <c r="C319" s="6" t="s">
        <v>32</v>
      </c>
      <c r="D319" s="6" t="s">
        <v>73</v>
      </c>
      <c r="E319" s="8"/>
      <c r="F319" s="6" t="s">
        <v>25</v>
      </c>
      <c r="G319" s="6">
        <v>2</v>
      </c>
      <c r="H319" s="6" t="s">
        <v>32</v>
      </c>
      <c r="I319" s="7">
        <v>1</v>
      </c>
      <c r="J319" s="8"/>
      <c r="K319" s="7">
        <v>0</v>
      </c>
      <c r="L319" s="7">
        <v>0</v>
      </c>
      <c r="M319" s="7">
        <v>0</v>
      </c>
      <c r="N319" s="7">
        <v>0</v>
      </c>
      <c r="O319" s="8"/>
      <c r="P319" s="2"/>
      <c r="Q319" s="2"/>
      <c r="R319" s="2" t="str">
        <v>C9300</v>
      </c>
      <c r="S319" s="2" t="str">
        <f ca="1">IFERROR(__xludf.DUMMYFUNCTION("""COMPUTED_VALUE"""),"NETWORK-PNP-LIC")</f>
        <v>NETWORK-PNP-LIC</v>
      </c>
      <c r="T319" s="10">
        <f ca="1">IFERROR(__xludf.DUMMYFUNCTION("""COMPUTED_VALUE"""),0)</f>
        <v>0</v>
      </c>
      <c r="U319" s="2" t="e">
        <f ca="1"/>
        <v>#NAME?</v>
      </c>
      <c r="V319" s="2" t="e">
        <f ca="1"/>
        <v>#NAME?</v>
      </c>
      <c r="W319" s="2" t="e">
        <f ca="1"/>
        <v>#NAME?</v>
      </c>
      <c r="X319" s="2"/>
      <c r="Y319" s="2"/>
      <c r="Z319" s="2"/>
    </row>
    <row r="320" spans="1:26" ht="12.5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5"/>
      <c r="L320" s="15"/>
      <c r="M320" s="12" t="s">
        <v>76</v>
      </c>
      <c r="N320" s="13">
        <v>25086.799999999999</v>
      </c>
      <c r="O320" s="14"/>
      <c r="P320" s="2"/>
      <c r="Q320" s="2"/>
      <c r="R320" s="2" t="str">
        <v/>
      </c>
      <c r="S320" s="2" t="str">
        <f ca="1">IFERROR(__xludf.DUMMYFUNCTION("""COMPUTED_VALUE"""),"")</f>
        <v/>
      </c>
      <c r="T320" s="2" t="str">
        <f ca="1">IFERROR(__xludf.DUMMYFUNCTION("""COMPUTED_VALUE"""),"")</f>
        <v/>
      </c>
      <c r="U320" s="2" t="e">
        <f ca="1"/>
        <v>#NAME?</v>
      </c>
      <c r="V320" s="2" t="e">
        <f ca="1"/>
        <v>#NAME?</v>
      </c>
      <c r="W320" s="2" t="str">
        <f ca="1"/>
        <v/>
      </c>
      <c r="X320" s="2"/>
      <c r="Y320" s="2"/>
      <c r="Z320" s="2"/>
    </row>
    <row r="321" spans="1:26" ht="12.5" x14ac:dyDescent="0.25">
      <c r="A321" s="5">
        <v>15</v>
      </c>
      <c r="B321" s="5" t="s">
        <v>232</v>
      </c>
      <c r="C321" s="6" t="s">
        <v>22</v>
      </c>
      <c r="D321" s="6" t="s">
        <v>233</v>
      </c>
      <c r="E321" s="6" t="s">
        <v>24</v>
      </c>
      <c r="F321" s="6" t="s">
        <v>25</v>
      </c>
      <c r="G321" s="6">
        <v>14</v>
      </c>
      <c r="H321" s="6" t="s">
        <v>26</v>
      </c>
      <c r="I321" s="7">
        <v>1</v>
      </c>
      <c r="J321" s="8"/>
      <c r="K321" s="9">
        <v>12337.48</v>
      </c>
      <c r="L321" s="9">
        <v>12337.48</v>
      </c>
      <c r="M321" s="7">
        <v>0</v>
      </c>
      <c r="N321" s="9">
        <v>12337.48</v>
      </c>
      <c r="O321" s="8"/>
      <c r="P321" s="2"/>
      <c r="Q321" s="2"/>
      <c r="R321" s="2" t="str">
        <v>C9300</v>
      </c>
      <c r="S321" s="2" t="str">
        <f ca="1">IFERROR(__xludf.DUMMYFUNCTION("""COMPUTED_VALUE"""),"C9300-48T-A")</f>
        <v>C9300-48T-A</v>
      </c>
      <c r="T321" s="10">
        <f ca="1">IFERROR(__xludf.DUMMYFUNCTION("""COMPUTED_VALUE"""),1)</f>
        <v>1</v>
      </c>
      <c r="U321" s="2" t="e">
        <f ca="1"/>
        <v>#NAME?</v>
      </c>
      <c r="V321" s="2" t="e">
        <f ca="1"/>
        <v>#NAME?</v>
      </c>
      <c r="W321" s="2" t="e">
        <f ca="1"/>
        <v>#NAME?</v>
      </c>
      <c r="X321" s="2"/>
      <c r="Y321" s="2"/>
      <c r="Z321" s="2"/>
    </row>
    <row r="322" spans="1:26" ht="12.5" x14ac:dyDescent="0.25">
      <c r="A322" s="7" t="s">
        <v>234</v>
      </c>
      <c r="B322" s="6" t="s">
        <v>235</v>
      </c>
      <c r="C322" s="6" t="s">
        <v>22</v>
      </c>
      <c r="D322" s="6" t="s">
        <v>236</v>
      </c>
      <c r="E322" s="8"/>
      <c r="F322" s="6">
        <v>24</v>
      </c>
      <c r="G322" s="6" t="s">
        <v>25</v>
      </c>
      <c r="H322" s="6" t="s">
        <v>26</v>
      </c>
      <c r="I322" s="7">
        <v>1</v>
      </c>
      <c r="J322" s="8"/>
      <c r="K322" s="9">
        <v>2472.2600000000002</v>
      </c>
      <c r="L322" s="9">
        <v>2472.2600000000002</v>
      </c>
      <c r="M322" s="7">
        <v>0</v>
      </c>
      <c r="N322" s="9">
        <v>2472.2600000000002</v>
      </c>
      <c r="O322" s="6" t="s">
        <v>30</v>
      </c>
      <c r="P322" s="2"/>
      <c r="Q322" s="2"/>
      <c r="R322" s="2" t="str">
        <v>C9300</v>
      </c>
      <c r="S322" s="2" t="str">
        <f ca="1">IFERROR(__xludf.DUMMYFUNCTION("""COMPUTED_VALUE"""),"CON-L1NBD-C93004TA")</f>
        <v>CON-L1NBD-C93004TA</v>
      </c>
      <c r="T322" s="10">
        <f ca="1">IFERROR(__xludf.DUMMYFUNCTION("""COMPUTED_VALUE"""),0)</f>
        <v>0</v>
      </c>
      <c r="U322" s="2" t="e">
        <f ca="1"/>
        <v>#NAME?</v>
      </c>
      <c r="V322" s="2" t="e">
        <f ca="1"/>
        <v>#NAME?</v>
      </c>
      <c r="W322" s="2" t="e">
        <f ca="1"/>
        <v>#NAME?</v>
      </c>
      <c r="X322" s="2"/>
      <c r="Y322" s="2"/>
      <c r="Z322" s="2"/>
    </row>
    <row r="323" spans="1:26" ht="12.5" x14ac:dyDescent="0.25">
      <c r="A323" s="7">
        <v>15.1</v>
      </c>
      <c r="B323" s="6" t="s">
        <v>237</v>
      </c>
      <c r="C323" s="6" t="s">
        <v>32</v>
      </c>
      <c r="D323" s="6" t="s">
        <v>238</v>
      </c>
      <c r="E323" s="8"/>
      <c r="F323" s="6" t="s">
        <v>25</v>
      </c>
      <c r="G323" s="6">
        <v>14</v>
      </c>
      <c r="H323" s="6" t="s">
        <v>26</v>
      </c>
      <c r="I323" s="7">
        <v>1</v>
      </c>
      <c r="J323" s="8"/>
      <c r="K323" s="9">
        <v>0</v>
      </c>
      <c r="L323" s="9">
        <v>0</v>
      </c>
      <c r="M323" s="7">
        <v>0</v>
      </c>
      <c r="N323" s="9">
        <v>0</v>
      </c>
      <c r="O323" s="8"/>
      <c r="P323" s="2"/>
      <c r="Q323" s="2"/>
      <c r="R323" s="2" t="str">
        <v>C9300</v>
      </c>
      <c r="S323" s="2" t="str">
        <f ca="1">IFERROR(__xludf.DUMMYFUNCTION("""COMPUTED_VALUE"""),"C9300-DNA-A-48")</f>
        <v>C9300-DNA-A-48</v>
      </c>
      <c r="T323" s="10">
        <f ca="1">IFERROR(__xludf.DUMMYFUNCTION("""COMPUTED_VALUE"""),0)</f>
        <v>0</v>
      </c>
      <c r="U323" s="2" t="e">
        <f ca="1"/>
        <v>#NAME?</v>
      </c>
      <c r="V323" s="2" t="e">
        <f ca="1"/>
        <v>#NAME?</v>
      </c>
      <c r="W323" s="2" t="e">
        <f ca="1"/>
        <v>#NAME?</v>
      </c>
      <c r="X323" s="2"/>
      <c r="Y323" s="2"/>
      <c r="Z323" s="2"/>
    </row>
    <row r="324" spans="1:26" ht="12.5" x14ac:dyDescent="0.25">
      <c r="A324" s="7" t="s">
        <v>239</v>
      </c>
      <c r="B324" s="6" t="s">
        <v>240</v>
      </c>
      <c r="C324" s="6" t="s">
        <v>22</v>
      </c>
      <c r="D324" s="6" t="s">
        <v>158</v>
      </c>
      <c r="E324" s="8"/>
      <c r="F324" s="6">
        <v>24</v>
      </c>
      <c r="G324" s="6" t="s">
        <v>25</v>
      </c>
      <c r="H324" s="6" t="s">
        <v>26</v>
      </c>
      <c r="I324" s="7">
        <v>1</v>
      </c>
      <c r="J324" s="8"/>
      <c r="K324" s="9">
        <v>610.5</v>
      </c>
      <c r="L324" s="9">
        <v>610.5</v>
      </c>
      <c r="M324" s="7">
        <v>0</v>
      </c>
      <c r="N324" s="9">
        <v>610.5</v>
      </c>
      <c r="O324" s="6" t="s">
        <v>30</v>
      </c>
      <c r="P324" s="2"/>
      <c r="Q324" s="2"/>
      <c r="R324" s="2" t="str">
        <v>C9300</v>
      </c>
      <c r="S324" s="2" t="str">
        <f ca="1">IFERROR(__xludf.DUMMYFUNCTION("""COMPUTED_VALUE"""),"CON-L1SWT-C93A48")</f>
        <v>CON-L1SWT-C93A48</v>
      </c>
      <c r="T324" s="10">
        <f ca="1">IFERROR(__xludf.DUMMYFUNCTION("""COMPUTED_VALUE"""),0)</f>
        <v>0</v>
      </c>
      <c r="U324" s="2" t="e">
        <f ca="1"/>
        <v>#NAME?</v>
      </c>
      <c r="V324" s="2" t="e">
        <f ca="1"/>
        <v>#NAME?</v>
      </c>
      <c r="W324" s="2" t="e">
        <f ca="1"/>
        <v>#NAME?</v>
      </c>
      <c r="X324" s="2"/>
      <c r="Y324" s="2"/>
      <c r="Z324" s="2"/>
    </row>
    <row r="325" spans="1:26" ht="12.5" x14ac:dyDescent="0.25">
      <c r="A325" s="7" t="s">
        <v>241</v>
      </c>
      <c r="B325" s="6" t="s">
        <v>242</v>
      </c>
      <c r="C325" s="6" t="s">
        <v>22</v>
      </c>
      <c r="D325" s="6" t="s">
        <v>243</v>
      </c>
      <c r="E325" s="8"/>
      <c r="F325" s="6">
        <v>36</v>
      </c>
      <c r="G325" s="6" t="s">
        <v>25</v>
      </c>
      <c r="H325" s="6" t="s">
        <v>26</v>
      </c>
      <c r="I325" s="7">
        <v>1</v>
      </c>
      <c r="J325" s="8"/>
      <c r="K325" s="9">
        <v>4437.29</v>
      </c>
      <c r="L325" s="9">
        <v>4437.29</v>
      </c>
      <c r="M325" s="7">
        <v>0</v>
      </c>
      <c r="N325" s="9">
        <v>4437.29</v>
      </c>
      <c r="O325" s="8"/>
      <c r="P325" s="2"/>
      <c r="Q325" s="2"/>
      <c r="R325" s="2" t="str">
        <v>C9300</v>
      </c>
      <c r="S325" s="2" t="str">
        <f ca="1">IFERROR(__xludf.DUMMYFUNCTION("""COMPUTED_VALUE"""),"C9300-DNA-A-48-3Y")</f>
        <v>C9300-DNA-A-48-3Y</v>
      </c>
      <c r="T325" s="10">
        <f ca="1">IFERROR(__xludf.DUMMYFUNCTION("""COMPUTED_VALUE"""),0)</f>
        <v>0</v>
      </c>
      <c r="U325" s="2" t="e">
        <f ca="1"/>
        <v>#NAME?</v>
      </c>
      <c r="V325" s="2" t="e">
        <f ca="1"/>
        <v>#NAME?</v>
      </c>
      <c r="W325" s="2" t="e">
        <f ca="1"/>
        <v>#NAME?</v>
      </c>
      <c r="X325" s="2"/>
      <c r="Y325" s="2"/>
      <c r="Z325" s="2"/>
    </row>
    <row r="326" spans="1:26" ht="12.5" x14ac:dyDescent="0.25">
      <c r="A326" s="7">
        <v>15.2</v>
      </c>
      <c r="B326" s="6" t="s">
        <v>45</v>
      </c>
      <c r="C326" s="6" t="s">
        <v>32</v>
      </c>
      <c r="D326" s="6" t="s">
        <v>46</v>
      </c>
      <c r="E326" s="8"/>
      <c r="F326" s="6" t="s">
        <v>25</v>
      </c>
      <c r="G326" s="6">
        <v>14</v>
      </c>
      <c r="H326" s="6" t="s">
        <v>32</v>
      </c>
      <c r="I326" s="7">
        <v>1</v>
      </c>
      <c r="J326" s="8"/>
      <c r="K326" s="7">
        <v>0</v>
      </c>
      <c r="L326" s="7">
        <v>0</v>
      </c>
      <c r="M326" s="7">
        <v>0</v>
      </c>
      <c r="N326" s="7">
        <v>0</v>
      </c>
      <c r="O326" s="8"/>
      <c r="P326" s="2"/>
      <c r="Q326" s="2"/>
      <c r="R326" s="2" t="str">
        <v>C9300</v>
      </c>
      <c r="S326" s="2" t="str">
        <f ca="1">IFERROR(__xludf.DUMMYFUNCTION("""COMPUTED_VALUE"""),"D-DNAS-EXT-S-T")</f>
        <v>D-DNAS-EXT-S-T</v>
      </c>
      <c r="T326" s="10">
        <f ca="1">IFERROR(__xludf.DUMMYFUNCTION("""COMPUTED_VALUE"""),0)</f>
        <v>0</v>
      </c>
      <c r="U326" s="2" t="e">
        <f ca="1"/>
        <v>#NAME?</v>
      </c>
      <c r="V326" s="2" t="e">
        <f ca="1"/>
        <v>#NAME?</v>
      </c>
      <c r="W326" s="2" t="e">
        <f ca="1"/>
        <v>#NAME?</v>
      </c>
      <c r="X326" s="2"/>
      <c r="Y326" s="2"/>
      <c r="Z326" s="2"/>
    </row>
    <row r="327" spans="1:26" ht="12.5" x14ac:dyDescent="0.25">
      <c r="A327" s="7" t="s">
        <v>244</v>
      </c>
      <c r="B327" s="6" t="s">
        <v>48</v>
      </c>
      <c r="C327" s="6" t="s">
        <v>22</v>
      </c>
      <c r="D327" s="6" t="s">
        <v>49</v>
      </c>
      <c r="E327" s="8"/>
      <c r="F327" s="6">
        <v>36</v>
      </c>
      <c r="G327" s="6" t="s">
        <v>25</v>
      </c>
      <c r="H327" s="6" t="s">
        <v>26</v>
      </c>
      <c r="I327" s="7">
        <v>1</v>
      </c>
      <c r="J327" s="8"/>
      <c r="K327" s="9">
        <v>0</v>
      </c>
      <c r="L327" s="9">
        <v>0</v>
      </c>
      <c r="M327" s="7">
        <v>0</v>
      </c>
      <c r="N327" s="9">
        <v>0</v>
      </c>
      <c r="O327" s="8"/>
      <c r="P327" s="2"/>
      <c r="Q327" s="2"/>
      <c r="R327" s="2" t="str">
        <v>C9300</v>
      </c>
      <c r="S327" s="2" t="str">
        <f ca="1">IFERROR(__xludf.DUMMYFUNCTION("""COMPUTED_VALUE"""),"D-DNAS-EXT-S-3Y")</f>
        <v>D-DNAS-EXT-S-3Y</v>
      </c>
      <c r="T327" s="10">
        <f ca="1">IFERROR(__xludf.DUMMYFUNCTION("""COMPUTED_VALUE"""),0)</f>
        <v>0</v>
      </c>
      <c r="U327" s="2" t="e">
        <f ca="1"/>
        <v>#NAME?</v>
      </c>
      <c r="V327" s="2" t="e">
        <f ca="1"/>
        <v>#NAME?</v>
      </c>
      <c r="W327" s="2" t="e">
        <f ca="1"/>
        <v>#NAME?</v>
      </c>
      <c r="X327" s="2"/>
      <c r="Y327" s="2"/>
      <c r="Z327" s="2"/>
    </row>
    <row r="328" spans="1:26" ht="12.5" x14ac:dyDescent="0.25">
      <c r="A328" s="7">
        <v>15.3</v>
      </c>
      <c r="B328" s="6" t="s">
        <v>40</v>
      </c>
      <c r="C328" s="6" t="s">
        <v>32</v>
      </c>
      <c r="D328" s="6" t="s">
        <v>41</v>
      </c>
      <c r="E328" s="8"/>
      <c r="F328" s="6" t="s">
        <v>25</v>
      </c>
      <c r="G328" s="6">
        <v>14</v>
      </c>
      <c r="H328" s="6" t="s">
        <v>32</v>
      </c>
      <c r="I328" s="7">
        <v>1</v>
      </c>
      <c r="J328" s="8"/>
      <c r="K328" s="7">
        <v>0</v>
      </c>
      <c r="L328" s="7">
        <v>0</v>
      </c>
      <c r="M328" s="7">
        <v>0</v>
      </c>
      <c r="N328" s="7">
        <v>0</v>
      </c>
      <c r="O328" s="8"/>
      <c r="P328" s="2"/>
      <c r="Q328" s="2"/>
      <c r="R328" s="2" t="str">
        <v>C9300</v>
      </c>
      <c r="S328" s="2" t="str">
        <f ca="1">IFERROR(__xludf.DUMMYFUNCTION("""COMPUTED_VALUE"""),"TE-EMBEDDED-T")</f>
        <v>TE-EMBEDDED-T</v>
      </c>
      <c r="T328" s="10">
        <f ca="1">IFERROR(__xludf.DUMMYFUNCTION("""COMPUTED_VALUE"""),0)</f>
        <v>0</v>
      </c>
      <c r="U328" s="2" t="e">
        <f ca="1"/>
        <v>#NAME?</v>
      </c>
      <c r="V328" s="2" t="e">
        <f ca="1"/>
        <v>#NAME?</v>
      </c>
      <c r="W328" s="2" t="e">
        <f ca="1"/>
        <v>#NAME?</v>
      </c>
      <c r="X328" s="2"/>
      <c r="Y328" s="2"/>
      <c r="Z328" s="2"/>
    </row>
    <row r="329" spans="1:26" ht="12.5" x14ac:dyDescent="0.25">
      <c r="A329" s="7" t="s">
        <v>245</v>
      </c>
      <c r="B329" s="6" t="s">
        <v>43</v>
      </c>
      <c r="C329" s="6" t="s">
        <v>22</v>
      </c>
      <c r="D329" s="6" t="s">
        <v>44</v>
      </c>
      <c r="E329" s="8"/>
      <c r="F329" s="6">
        <v>36</v>
      </c>
      <c r="G329" s="6" t="s">
        <v>25</v>
      </c>
      <c r="H329" s="6" t="s">
        <v>26</v>
      </c>
      <c r="I329" s="7">
        <v>1</v>
      </c>
      <c r="J329" s="8"/>
      <c r="K329" s="7">
        <v>0</v>
      </c>
      <c r="L329" s="7">
        <v>0</v>
      </c>
      <c r="M329" s="7">
        <v>0</v>
      </c>
      <c r="N329" s="7">
        <v>0</v>
      </c>
      <c r="O329" s="8"/>
      <c r="P329" s="2"/>
      <c r="Q329" s="2"/>
      <c r="R329" s="2" t="str">
        <v>C9300</v>
      </c>
      <c r="S329" s="2" t="str">
        <f ca="1">IFERROR(__xludf.DUMMYFUNCTION("""COMPUTED_VALUE"""),"TE-EMBEDDED-T-3Y")</f>
        <v>TE-EMBEDDED-T-3Y</v>
      </c>
      <c r="T329" s="10">
        <f ca="1">IFERROR(__xludf.DUMMYFUNCTION("""COMPUTED_VALUE"""),0)</f>
        <v>0</v>
      </c>
      <c r="U329" s="2" t="e">
        <f ca="1"/>
        <v>#NAME?</v>
      </c>
      <c r="V329" s="2" t="e">
        <f ca="1"/>
        <v>#NAME?</v>
      </c>
      <c r="W329" s="2" t="e">
        <f ca="1"/>
        <v>#NAME?</v>
      </c>
      <c r="X329" s="2"/>
      <c r="Y329" s="2"/>
      <c r="Z329" s="2"/>
    </row>
    <row r="330" spans="1:26" ht="12.5" x14ac:dyDescent="0.25">
      <c r="A330" s="7">
        <v>15.4</v>
      </c>
      <c r="B330" s="6" t="s">
        <v>246</v>
      </c>
      <c r="C330" s="6" t="s">
        <v>32</v>
      </c>
      <c r="D330" s="6" t="s">
        <v>247</v>
      </c>
      <c r="E330" s="8"/>
      <c r="F330" s="6" t="s">
        <v>25</v>
      </c>
      <c r="G330" s="6">
        <v>14</v>
      </c>
      <c r="H330" s="6" t="s">
        <v>32</v>
      </c>
      <c r="I330" s="7">
        <v>1</v>
      </c>
      <c r="J330" s="8"/>
      <c r="K330" s="7">
        <v>0</v>
      </c>
      <c r="L330" s="7">
        <v>0</v>
      </c>
      <c r="M330" s="7">
        <v>0</v>
      </c>
      <c r="N330" s="7">
        <v>0</v>
      </c>
      <c r="O330" s="8"/>
      <c r="P330" s="2"/>
      <c r="Q330" s="2"/>
      <c r="R330" s="2" t="str">
        <v>C9300</v>
      </c>
      <c r="S330" s="2" t="str">
        <f ca="1">IFERROR(__xludf.DUMMYFUNCTION("""COMPUTED_VALUE"""),"C9300-NW-A-48")</f>
        <v>C9300-NW-A-48</v>
      </c>
      <c r="T330" s="10">
        <f ca="1">IFERROR(__xludf.DUMMYFUNCTION("""COMPUTED_VALUE"""),0)</f>
        <v>0</v>
      </c>
      <c r="U330" s="2" t="e">
        <f ca="1"/>
        <v>#NAME?</v>
      </c>
      <c r="V330" s="2" t="e">
        <f ca="1"/>
        <v>#NAME?</v>
      </c>
      <c r="W330" s="2" t="e">
        <f ca="1"/>
        <v>#NAME?</v>
      </c>
      <c r="X330" s="2"/>
      <c r="Y330" s="2"/>
      <c r="Z330" s="2"/>
    </row>
    <row r="331" spans="1:26" ht="12.5" x14ac:dyDescent="0.25">
      <c r="A331" s="7">
        <v>15.5</v>
      </c>
      <c r="B331" s="6" t="s">
        <v>58</v>
      </c>
      <c r="C331" s="6" t="s">
        <v>22</v>
      </c>
      <c r="D331" s="6" t="s">
        <v>59</v>
      </c>
      <c r="E331" s="8"/>
      <c r="F331" s="6" t="s">
        <v>25</v>
      </c>
      <c r="G331" s="6">
        <v>14</v>
      </c>
      <c r="H331" s="6" t="s">
        <v>32</v>
      </c>
      <c r="I331" s="7">
        <v>1</v>
      </c>
      <c r="J331" s="8"/>
      <c r="K331" s="7">
        <v>0</v>
      </c>
      <c r="L331" s="7">
        <v>0</v>
      </c>
      <c r="M331" s="7">
        <v>0</v>
      </c>
      <c r="N331" s="7">
        <v>0</v>
      </c>
      <c r="O331" s="8"/>
      <c r="P331" s="2"/>
      <c r="Q331" s="2"/>
      <c r="R331" s="2" t="str">
        <v>C9300</v>
      </c>
      <c r="S331" s="2" t="str">
        <f ca="1">IFERROR(__xludf.DUMMYFUNCTION("""COMPUTED_VALUE"""),"PWR-C1-350WAC-P")</f>
        <v>PWR-C1-350WAC-P</v>
      </c>
      <c r="T331" s="10">
        <f ca="1">IFERROR(__xludf.DUMMYFUNCTION("""COMPUTED_VALUE"""),0)</f>
        <v>0</v>
      </c>
      <c r="U331" s="2" t="e">
        <f ca="1"/>
        <v>#NAME?</v>
      </c>
      <c r="V331" s="2" t="e">
        <f ca="1"/>
        <v>#NAME?</v>
      </c>
      <c r="W331" s="2" t="e">
        <f ca="1"/>
        <v>#NAME?</v>
      </c>
      <c r="X331" s="2"/>
      <c r="Y331" s="2"/>
      <c r="Z331" s="2"/>
    </row>
    <row r="332" spans="1:26" ht="12.5" x14ac:dyDescent="0.25">
      <c r="A332" s="7">
        <v>15.6</v>
      </c>
      <c r="B332" s="6" t="s">
        <v>166</v>
      </c>
      <c r="C332" s="6" t="s">
        <v>22</v>
      </c>
      <c r="D332" s="6" t="s">
        <v>61</v>
      </c>
      <c r="E332" s="8"/>
      <c r="F332" s="6" t="s">
        <v>25</v>
      </c>
      <c r="G332" s="6">
        <v>14</v>
      </c>
      <c r="H332" s="6" t="s">
        <v>26</v>
      </c>
      <c r="I332" s="7">
        <v>1</v>
      </c>
      <c r="J332" s="8"/>
      <c r="K332" s="7">
        <v>0</v>
      </c>
      <c r="L332" s="7">
        <v>0</v>
      </c>
      <c r="M332" s="7">
        <v>0</v>
      </c>
      <c r="N332" s="7">
        <v>0</v>
      </c>
      <c r="O332" s="8"/>
      <c r="P332" s="2"/>
      <c r="Q332" s="2"/>
      <c r="R332" s="2" t="str">
        <v>C9300</v>
      </c>
      <c r="S332" s="2" t="str">
        <f ca="1">IFERROR(__xludf.DUMMYFUNCTION("""COMPUTED_VALUE"""),"C9300-SPS-NONE")</f>
        <v>C9300-SPS-NONE</v>
      </c>
      <c r="T332" s="10">
        <f ca="1">IFERROR(__xludf.DUMMYFUNCTION("""COMPUTED_VALUE"""),0)</f>
        <v>0</v>
      </c>
      <c r="U332" s="2" t="e">
        <f ca="1"/>
        <v>#NAME?</v>
      </c>
      <c r="V332" s="2" t="e">
        <f ca="1"/>
        <v>#NAME?</v>
      </c>
      <c r="W332" s="2" t="e">
        <f ca="1"/>
        <v>#NAME?</v>
      </c>
      <c r="X332" s="2"/>
      <c r="Y332" s="2"/>
      <c r="Z332" s="2"/>
    </row>
    <row r="333" spans="1:26" ht="12.5" x14ac:dyDescent="0.25">
      <c r="A333" s="7">
        <v>15.7</v>
      </c>
      <c r="B333" s="6" t="s">
        <v>62</v>
      </c>
      <c r="C333" s="6" t="s">
        <v>22</v>
      </c>
      <c r="D333" s="6" t="s">
        <v>63</v>
      </c>
      <c r="E333" s="8"/>
      <c r="F333" s="6" t="s">
        <v>25</v>
      </c>
      <c r="G333" s="6">
        <v>14</v>
      </c>
      <c r="H333" s="6" t="s">
        <v>26</v>
      </c>
      <c r="I333" s="7">
        <v>1</v>
      </c>
      <c r="J333" s="8"/>
      <c r="K333" s="7">
        <v>0</v>
      </c>
      <c r="L333" s="7">
        <v>0</v>
      </c>
      <c r="M333" s="7">
        <v>0</v>
      </c>
      <c r="N333" s="7">
        <v>0</v>
      </c>
      <c r="O333" s="8"/>
      <c r="P333" s="2"/>
      <c r="Q333" s="2"/>
      <c r="R333" s="2" t="str">
        <v>C9300</v>
      </c>
      <c r="S333" s="2" t="str">
        <f ca="1">IFERROR(__xludf.DUMMYFUNCTION("""COMPUTED_VALUE"""),"CAB-TA-EU")</f>
        <v>CAB-TA-EU</v>
      </c>
      <c r="T333" s="10">
        <f ca="1">IFERROR(__xludf.DUMMYFUNCTION("""COMPUTED_VALUE"""),0)</f>
        <v>0</v>
      </c>
      <c r="U333" s="2" t="e">
        <f ca="1"/>
        <v>#NAME?</v>
      </c>
      <c r="V333" s="2" t="e">
        <f ca="1"/>
        <v>#NAME?</v>
      </c>
      <c r="W333" s="2" t="e">
        <f ca="1"/>
        <v>#NAME?</v>
      </c>
      <c r="X333" s="2"/>
      <c r="Y333" s="2"/>
      <c r="Z333" s="2"/>
    </row>
    <row r="334" spans="1:26" ht="12.5" x14ac:dyDescent="0.25">
      <c r="A334" s="7">
        <v>15.8</v>
      </c>
      <c r="B334" s="6" t="s">
        <v>64</v>
      </c>
      <c r="C334" s="6" t="s">
        <v>22</v>
      </c>
      <c r="D334" s="6" t="s">
        <v>65</v>
      </c>
      <c r="E334" s="8"/>
      <c r="F334" s="6" t="s">
        <v>25</v>
      </c>
      <c r="G334" s="6">
        <v>14</v>
      </c>
      <c r="H334" s="6" t="s">
        <v>26</v>
      </c>
      <c r="I334" s="7">
        <v>1</v>
      </c>
      <c r="J334" s="8"/>
      <c r="K334" s="9">
        <v>3162.96</v>
      </c>
      <c r="L334" s="9">
        <v>3162.96</v>
      </c>
      <c r="M334" s="7">
        <v>0</v>
      </c>
      <c r="N334" s="9">
        <v>3162.96</v>
      </c>
      <c r="O334" s="8"/>
      <c r="P334" s="2"/>
      <c r="Q334" s="2"/>
      <c r="R334" s="2" t="str">
        <v>C9300</v>
      </c>
      <c r="S334" s="2" t="str">
        <f ca="1">IFERROR(__xludf.DUMMYFUNCTION("""COMPUTED_VALUE"""),"SSD-240G")</f>
        <v>SSD-240G</v>
      </c>
      <c r="T334" s="10">
        <f ca="1">IFERROR(__xludf.DUMMYFUNCTION("""COMPUTED_VALUE"""),0)</f>
        <v>0</v>
      </c>
      <c r="U334" s="2" t="e">
        <f ca="1"/>
        <v>#NAME?</v>
      </c>
      <c r="V334" s="2" t="e">
        <f ca="1"/>
        <v>#NAME?</v>
      </c>
      <c r="W334" s="2" t="e">
        <f ca="1"/>
        <v>#NAME?</v>
      </c>
      <c r="X334" s="2"/>
      <c r="Y334" s="2"/>
      <c r="Z334" s="2"/>
    </row>
    <row r="335" spans="1:26" ht="12.5" x14ac:dyDescent="0.25">
      <c r="A335" s="7">
        <v>15.9</v>
      </c>
      <c r="B335" s="6" t="s">
        <v>167</v>
      </c>
      <c r="C335" s="6" t="s">
        <v>22</v>
      </c>
      <c r="D335" s="6" t="s">
        <v>168</v>
      </c>
      <c r="E335" s="8"/>
      <c r="F335" s="6" t="s">
        <v>25</v>
      </c>
      <c r="G335" s="6">
        <v>14</v>
      </c>
      <c r="H335" s="6" t="s">
        <v>26</v>
      </c>
      <c r="I335" s="7">
        <v>1</v>
      </c>
      <c r="J335" s="8"/>
      <c r="K335" s="7">
        <v>121.7</v>
      </c>
      <c r="L335" s="7">
        <v>121.7</v>
      </c>
      <c r="M335" s="7">
        <v>0</v>
      </c>
      <c r="N335" s="7">
        <v>121.7</v>
      </c>
      <c r="O335" s="8"/>
      <c r="P335" s="2"/>
      <c r="Q335" s="2"/>
      <c r="R335" s="2" t="str">
        <v>C9300</v>
      </c>
      <c r="S335" s="2" t="str">
        <f ca="1">IFERROR(__xludf.DUMMYFUNCTION("""COMPUTED_VALUE"""),"STACK-T1-50CM")</f>
        <v>STACK-T1-50CM</v>
      </c>
      <c r="T335" s="10">
        <f ca="1">IFERROR(__xludf.DUMMYFUNCTION("""COMPUTED_VALUE"""),0)</f>
        <v>0</v>
      </c>
      <c r="U335" s="2" t="e">
        <f ca="1"/>
        <v>#NAME?</v>
      </c>
      <c r="V335" s="2" t="e">
        <f ca="1"/>
        <v>#NAME?</v>
      </c>
      <c r="W335" s="2" t="e">
        <f ca="1"/>
        <v>#NAME?</v>
      </c>
      <c r="X335" s="2"/>
      <c r="Y335" s="2"/>
      <c r="Z335" s="2"/>
    </row>
    <row r="336" spans="1:26" ht="12.5" x14ac:dyDescent="0.25">
      <c r="A336" s="7">
        <v>15.1</v>
      </c>
      <c r="B336" s="6" t="s">
        <v>169</v>
      </c>
      <c r="C336" s="6" t="s">
        <v>22</v>
      </c>
      <c r="D336" s="6" t="s">
        <v>170</v>
      </c>
      <c r="E336" s="8"/>
      <c r="F336" s="6" t="s">
        <v>25</v>
      </c>
      <c r="G336" s="6">
        <v>14</v>
      </c>
      <c r="H336" s="6" t="s">
        <v>26</v>
      </c>
      <c r="I336" s="7">
        <v>1</v>
      </c>
      <c r="J336" s="8"/>
      <c r="K336" s="7">
        <v>115.62</v>
      </c>
      <c r="L336" s="7">
        <v>115.62</v>
      </c>
      <c r="M336" s="7">
        <v>0</v>
      </c>
      <c r="N336" s="7">
        <v>115.62</v>
      </c>
      <c r="O336" s="8"/>
      <c r="P336" s="2"/>
      <c r="Q336" s="2"/>
      <c r="R336" s="2" t="str">
        <v>C9300</v>
      </c>
      <c r="S336" s="2" t="str">
        <f ca="1">IFERROR(__xludf.DUMMYFUNCTION("""COMPUTED_VALUE"""),"CAB-SPWR-30CM")</f>
        <v>CAB-SPWR-30CM</v>
      </c>
      <c r="T336" s="10">
        <f ca="1">IFERROR(__xludf.DUMMYFUNCTION("""COMPUTED_VALUE"""),0)</f>
        <v>0</v>
      </c>
      <c r="U336" s="2" t="e">
        <f ca="1"/>
        <v>#NAME?</v>
      </c>
      <c r="V336" s="2" t="e">
        <f ca="1"/>
        <v>#NAME?</v>
      </c>
      <c r="W336" s="2" t="e">
        <f ca="1"/>
        <v>#NAME?</v>
      </c>
      <c r="X336" s="2"/>
      <c r="Y336" s="2"/>
      <c r="Z336" s="2"/>
    </row>
    <row r="337" spans="1:26" ht="12.5" x14ac:dyDescent="0.25">
      <c r="A337" s="7">
        <v>15.11</v>
      </c>
      <c r="B337" s="6" t="s">
        <v>90</v>
      </c>
      <c r="C337" s="6" t="s">
        <v>22</v>
      </c>
      <c r="D337" s="6" t="s">
        <v>91</v>
      </c>
      <c r="E337" s="8"/>
      <c r="F337" s="6" t="s">
        <v>25</v>
      </c>
      <c r="G337" s="6">
        <v>14</v>
      </c>
      <c r="H337" s="6" t="s">
        <v>26</v>
      </c>
      <c r="I337" s="7">
        <v>1</v>
      </c>
      <c r="J337" s="8"/>
      <c r="K337" s="9">
        <v>0</v>
      </c>
      <c r="L337" s="9">
        <v>0</v>
      </c>
      <c r="M337" s="7">
        <v>0</v>
      </c>
      <c r="N337" s="9">
        <v>0</v>
      </c>
      <c r="O337" s="8"/>
      <c r="P337" s="2"/>
      <c r="Q337" s="2"/>
      <c r="R337" s="2" t="str">
        <v>C9300</v>
      </c>
      <c r="S337" s="2" t="str">
        <f ca="1">IFERROR(__xludf.DUMMYFUNCTION("""COMPUTED_VALUE"""),"C9300-ACCKIT-NONE")</f>
        <v>C9300-ACCKIT-NONE</v>
      </c>
      <c r="T337" s="10">
        <f ca="1">IFERROR(__xludf.DUMMYFUNCTION("""COMPUTED_VALUE"""),0)</f>
        <v>0</v>
      </c>
      <c r="U337" s="2" t="e">
        <f ca="1"/>
        <v>#NAME?</v>
      </c>
      <c r="V337" s="2" t="e">
        <f ca="1"/>
        <v>#NAME?</v>
      </c>
      <c r="W337" s="2" t="e">
        <f ca="1"/>
        <v>#NAME?</v>
      </c>
      <c r="X337" s="2"/>
      <c r="Y337" s="2"/>
      <c r="Z337" s="2"/>
    </row>
    <row r="338" spans="1:26" ht="12.5" x14ac:dyDescent="0.25">
      <c r="A338" s="7">
        <v>15.12</v>
      </c>
      <c r="B338" s="6" t="s">
        <v>52</v>
      </c>
      <c r="C338" s="6" t="s">
        <v>22</v>
      </c>
      <c r="D338" s="6" t="s">
        <v>53</v>
      </c>
      <c r="E338" s="8"/>
      <c r="F338" s="6" t="s">
        <v>25</v>
      </c>
      <c r="G338" s="6">
        <v>14</v>
      </c>
      <c r="H338" s="6" t="s">
        <v>32</v>
      </c>
      <c r="I338" s="7">
        <v>1</v>
      </c>
      <c r="J338" s="8"/>
      <c r="K338" s="7">
        <v>0</v>
      </c>
      <c r="L338" s="7">
        <v>0</v>
      </c>
      <c r="M338" s="7">
        <v>0</v>
      </c>
      <c r="N338" s="7">
        <v>0</v>
      </c>
      <c r="O338" s="8"/>
      <c r="P338" s="2"/>
      <c r="Q338" s="2"/>
      <c r="R338" s="2" t="str">
        <v>C9300</v>
      </c>
      <c r="S338" s="2" t="str">
        <f ca="1">IFERROR(__xludf.DUMMYFUNCTION("""COMPUTED_VALUE"""),"PWR-C1-BLANK")</f>
        <v>PWR-C1-BLANK</v>
      </c>
      <c r="T338" s="10">
        <f ca="1">IFERROR(__xludf.DUMMYFUNCTION("""COMPUTED_VALUE"""),0)</f>
        <v>0</v>
      </c>
      <c r="U338" s="2" t="e">
        <f ca="1"/>
        <v>#NAME?</v>
      </c>
      <c r="V338" s="2" t="e">
        <f ca="1"/>
        <v>#NAME?</v>
      </c>
      <c r="W338" s="2" t="e">
        <f ca="1"/>
        <v>#NAME?</v>
      </c>
      <c r="X338" s="2"/>
      <c r="Y338" s="2"/>
      <c r="Z338" s="2"/>
    </row>
    <row r="339" spans="1:26" ht="12.5" x14ac:dyDescent="0.25">
      <c r="A339" s="7">
        <v>15.13</v>
      </c>
      <c r="B339" s="6" t="s">
        <v>86</v>
      </c>
      <c r="C339" s="6" t="s">
        <v>22</v>
      </c>
      <c r="D339" s="6" t="s">
        <v>87</v>
      </c>
      <c r="E339" s="8"/>
      <c r="F339" s="6" t="s">
        <v>25</v>
      </c>
      <c r="G339" s="6">
        <v>14</v>
      </c>
      <c r="H339" s="6" t="s">
        <v>32</v>
      </c>
      <c r="I339" s="7">
        <v>1</v>
      </c>
      <c r="J339" s="8"/>
      <c r="K339" s="7">
        <v>0</v>
      </c>
      <c r="L339" s="7">
        <v>0</v>
      </c>
      <c r="M339" s="7">
        <v>0</v>
      </c>
      <c r="N339" s="7">
        <v>0</v>
      </c>
      <c r="O339" s="8"/>
      <c r="P339" s="2"/>
      <c r="Q339" s="2"/>
      <c r="R339" s="2" t="str">
        <v>C9300</v>
      </c>
      <c r="S339" s="2" t="str">
        <f ca="1">IFERROR(__xludf.DUMMYFUNCTION("""COMPUTED_VALUE"""),"TE-C9K-SW")</f>
        <v>TE-C9K-SW</v>
      </c>
      <c r="T339" s="10">
        <f ca="1">IFERROR(__xludf.DUMMYFUNCTION("""COMPUTED_VALUE"""),0)</f>
        <v>0</v>
      </c>
      <c r="U339" s="2" t="e">
        <f ca="1"/>
        <v>#NAME?</v>
      </c>
      <c r="V339" s="2" t="e">
        <f ca="1"/>
        <v>#NAME?</v>
      </c>
      <c r="W339" s="2" t="e">
        <f ca="1"/>
        <v>#NAME?</v>
      </c>
      <c r="X339" s="2"/>
      <c r="Y339" s="2"/>
      <c r="Z339" s="2"/>
    </row>
    <row r="340" spans="1:26" ht="12.5" x14ac:dyDescent="0.25">
      <c r="A340" s="7">
        <v>15.14</v>
      </c>
      <c r="B340" s="6" t="s">
        <v>171</v>
      </c>
      <c r="C340" s="6" t="s">
        <v>22</v>
      </c>
      <c r="D340" s="6" t="s">
        <v>172</v>
      </c>
      <c r="E340" s="8"/>
      <c r="F340" s="6" t="s">
        <v>25</v>
      </c>
      <c r="G340" s="6">
        <v>14</v>
      </c>
      <c r="H340" s="6" t="s">
        <v>26</v>
      </c>
      <c r="I340" s="7">
        <v>1</v>
      </c>
      <c r="J340" s="8"/>
      <c r="K340" s="9">
        <v>3103.4</v>
      </c>
      <c r="L340" s="9">
        <v>3103.4</v>
      </c>
      <c r="M340" s="7">
        <v>0</v>
      </c>
      <c r="N340" s="9">
        <v>3103.4</v>
      </c>
      <c r="O340" s="8"/>
      <c r="P340" s="2"/>
      <c r="Q340" s="2"/>
      <c r="R340" s="2" t="str">
        <v>C9300</v>
      </c>
      <c r="S340" s="2" t="str">
        <f ca="1">IFERROR(__xludf.DUMMYFUNCTION("""COMPUTED_VALUE"""),"C9300-NM-8X")</f>
        <v>C9300-NM-8X</v>
      </c>
      <c r="T340" s="10">
        <f ca="1">IFERROR(__xludf.DUMMYFUNCTION("""COMPUTED_VALUE"""),0)</f>
        <v>0</v>
      </c>
      <c r="U340" s="2" t="e">
        <f ca="1"/>
        <v>#NAME?</v>
      </c>
      <c r="V340" s="2" t="e">
        <f ca="1"/>
        <v>#NAME?</v>
      </c>
      <c r="W340" s="2" t="e">
        <f ca="1"/>
        <v>#NAME?</v>
      </c>
      <c r="X340" s="2"/>
      <c r="Y340" s="2"/>
      <c r="Z340" s="2"/>
    </row>
    <row r="341" spans="1:26" ht="12.5" x14ac:dyDescent="0.25">
      <c r="A341" s="7">
        <v>15.15</v>
      </c>
      <c r="B341" s="6" t="s">
        <v>72</v>
      </c>
      <c r="C341" s="6" t="s">
        <v>32</v>
      </c>
      <c r="D341" s="6" t="s">
        <v>73</v>
      </c>
      <c r="E341" s="8"/>
      <c r="F341" s="6" t="s">
        <v>25</v>
      </c>
      <c r="G341" s="6">
        <v>2</v>
      </c>
      <c r="H341" s="6" t="s">
        <v>32</v>
      </c>
      <c r="I341" s="7">
        <v>1</v>
      </c>
      <c r="J341" s="8"/>
      <c r="K341" s="7">
        <v>0</v>
      </c>
      <c r="L341" s="7">
        <v>0</v>
      </c>
      <c r="M341" s="7">
        <v>0</v>
      </c>
      <c r="N341" s="7">
        <v>0</v>
      </c>
      <c r="O341" s="8"/>
      <c r="P341" s="2"/>
      <c r="Q341" s="2"/>
      <c r="R341" s="2" t="str">
        <v>C9300</v>
      </c>
      <c r="S341" s="2" t="str">
        <f ca="1">IFERROR(__xludf.DUMMYFUNCTION("""COMPUTED_VALUE"""),"NETWORK-PNP-LIC")</f>
        <v>NETWORK-PNP-LIC</v>
      </c>
      <c r="T341" s="10">
        <f ca="1">IFERROR(__xludf.DUMMYFUNCTION("""COMPUTED_VALUE"""),0)</f>
        <v>0</v>
      </c>
      <c r="U341" s="2" t="e">
        <f ca="1"/>
        <v>#NAME?</v>
      </c>
      <c r="V341" s="2" t="e">
        <f ca="1"/>
        <v>#NAME?</v>
      </c>
      <c r="W341" s="2" t="e">
        <f ca="1"/>
        <v>#NAME?</v>
      </c>
      <c r="X341" s="2"/>
      <c r="Y341" s="2"/>
      <c r="Z341" s="2"/>
    </row>
    <row r="342" spans="1:26" ht="12.5" x14ac:dyDescent="0.25">
      <c r="A342" s="7">
        <v>15.16</v>
      </c>
      <c r="B342" s="6" t="s">
        <v>193</v>
      </c>
      <c r="C342" s="6" t="s">
        <v>22</v>
      </c>
      <c r="D342" s="6" t="s">
        <v>75</v>
      </c>
      <c r="E342" s="8"/>
      <c r="F342" s="6" t="s">
        <v>25</v>
      </c>
      <c r="G342" s="6">
        <v>14</v>
      </c>
      <c r="H342" s="6" t="s">
        <v>32</v>
      </c>
      <c r="I342" s="7">
        <v>1</v>
      </c>
      <c r="J342" s="8"/>
      <c r="K342" s="7">
        <v>0</v>
      </c>
      <c r="L342" s="7">
        <v>0</v>
      </c>
      <c r="M342" s="7">
        <v>0</v>
      </c>
      <c r="N342" s="7">
        <v>0</v>
      </c>
      <c r="O342" s="8"/>
      <c r="P342" s="2"/>
      <c r="Q342" s="2"/>
      <c r="R342" s="2" t="str">
        <v>C9300</v>
      </c>
      <c r="S342" s="2" t="str">
        <f ca="1">IFERROR(__xludf.DUMMYFUNCTION("""COMPUTED_VALUE"""),"SC9300UK9-1718")</f>
        <v>SC9300UK9-1718</v>
      </c>
      <c r="T342" s="10">
        <f ca="1">IFERROR(__xludf.DUMMYFUNCTION("""COMPUTED_VALUE"""),0)</f>
        <v>0</v>
      </c>
      <c r="U342" s="2" t="e">
        <f ca="1"/>
        <v>#NAME?</v>
      </c>
      <c r="V342" s="2" t="e">
        <f ca="1"/>
        <v>#NAME?</v>
      </c>
      <c r="W342" s="2" t="e">
        <f ca="1"/>
        <v>#NAME?</v>
      </c>
      <c r="X342" s="2"/>
      <c r="Y342" s="2"/>
      <c r="Z342" s="2"/>
    </row>
    <row r="343" spans="1:26" ht="12.5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5"/>
      <c r="L343" s="15"/>
      <c r="M343" s="12" t="s">
        <v>76</v>
      </c>
      <c r="N343" s="13">
        <v>26361.21</v>
      </c>
      <c r="O343" s="14"/>
      <c r="P343" s="2"/>
      <c r="Q343" s="2"/>
      <c r="R343" s="2" t="str">
        <v/>
      </c>
      <c r="S343" s="2" t="str">
        <f ca="1">IFERROR(__xludf.DUMMYFUNCTION("""COMPUTED_VALUE"""),"")</f>
        <v/>
      </c>
      <c r="T343" s="2" t="str">
        <f ca="1">IFERROR(__xludf.DUMMYFUNCTION("""COMPUTED_VALUE"""),"")</f>
        <v/>
      </c>
      <c r="U343" s="2" t="e">
        <f ca="1"/>
        <v>#NAME?</v>
      </c>
      <c r="V343" s="2" t="e">
        <f ca="1"/>
        <v>#NAME?</v>
      </c>
      <c r="W343" s="2" t="str">
        <f ca="1"/>
        <v/>
      </c>
      <c r="X343" s="2"/>
      <c r="Y343" s="2"/>
      <c r="Z343" s="2"/>
    </row>
    <row r="344" spans="1:26" ht="12.5" x14ac:dyDescent="0.25">
      <c r="A344" s="5">
        <v>16</v>
      </c>
      <c r="B344" s="5" t="s">
        <v>248</v>
      </c>
      <c r="C344" s="6" t="s">
        <v>22</v>
      </c>
      <c r="D344" s="6" t="s">
        <v>249</v>
      </c>
      <c r="E344" s="6" t="s">
        <v>24</v>
      </c>
      <c r="F344" s="6" t="s">
        <v>25</v>
      </c>
      <c r="G344" s="6">
        <v>14</v>
      </c>
      <c r="H344" s="6" t="s">
        <v>26</v>
      </c>
      <c r="I344" s="7">
        <v>1</v>
      </c>
      <c r="J344" s="8"/>
      <c r="K344" s="9">
        <v>14849.93</v>
      </c>
      <c r="L344" s="9">
        <v>14849.93</v>
      </c>
      <c r="M344" s="7">
        <v>0</v>
      </c>
      <c r="N344" s="9">
        <v>14849.93</v>
      </c>
      <c r="O344" s="8"/>
      <c r="P344" s="2"/>
      <c r="Q344" s="2"/>
      <c r="R344" s="2" t="str">
        <v>C9300</v>
      </c>
      <c r="S344" s="2" t="str">
        <f ca="1">IFERROR(__xludf.DUMMYFUNCTION("""COMPUTED_VALUE"""),"C9300-48P-A")</f>
        <v>C9300-48P-A</v>
      </c>
      <c r="T344" s="10">
        <f ca="1">IFERROR(__xludf.DUMMYFUNCTION("""COMPUTED_VALUE"""),1)</f>
        <v>1</v>
      </c>
      <c r="U344" s="2" t="e">
        <f ca="1"/>
        <v>#NAME?</v>
      </c>
      <c r="V344" s="2" t="e">
        <f ca="1"/>
        <v>#NAME?</v>
      </c>
      <c r="W344" s="2" t="e">
        <f ca="1"/>
        <v>#NAME?</v>
      </c>
      <c r="X344" s="2"/>
      <c r="Y344" s="2"/>
      <c r="Z344" s="2"/>
    </row>
    <row r="345" spans="1:26" ht="12.5" x14ac:dyDescent="0.25">
      <c r="A345" s="7" t="s">
        <v>250</v>
      </c>
      <c r="B345" s="6" t="s">
        <v>251</v>
      </c>
      <c r="C345" s="6" t="s">
        <v>22</v>
      </c>
      <c r="D345" s="6" t="s">
        <v>252</v>
      </c>
      <c r="E345" s="8"/>
      <c r="F345" s="6">
        <v>24</v>
      </c>
      <c r="G345" s="6" t="s">
        <v>25</v>
      </c>
      <c r="H345" s="6" t="s">
        <v>26</v>
      </c>
      <c r="I345" s="7">
        <v>1</v>
      </c>
      <c r="J345" s="8"/>
      <c r="K345" s="9">
        <v>2972.76</v>
      </c>
      <c r="L345" s="9">
        <v>2972.76</v>
      </c>
      <c r="M345" s="7">
        <v>0</v>
      </c>
      <c r="N345" s="9">
        <v>2972.76</v>
      </c>
      <c r="O345" s="6" t="s">
        <v>30</v>
      </c>
      <c r="P345" s="2"/>
      <c r="Q345" s="2"/>
      <c r="R345" s="2" t="str">
        <v>C9300</v>
      </c>
      <c r="S345" s="2" t="str">
        <f ca="1">IFERROR(__xludf.DUMMYFUNCTION("""COMPUTED_VALUE"""),"CON-L1NBD-C93004PA")</f>
        <v>CON-L1NBD-C93004PA</v>
      </c>
      <c r="T345" s="10">
        <f ca="1">IFERROR(__xludf.DUMMYFUNCTION("""COMPUTED_VALUE"""),0)</f>
        <v>0</v>
      </c>
      <c r="U345" s="2" t="e">
        <f ca="1"/>
        <v>#NAME?</v>
      </c>
      <c r="V345" s="2" t="e">
        <f ca="1"/>
        <v>#NAME?</v>
      </c>
      <c r="W345" s="2" t="e">
        <f ca="1"/>
        <v>#NAME?</v>
      </c>
      <c r="X345" s="2"/>
      <c r="Y345" s="2"/>
      <c r="Z345" s="2"/>
    </row>
    <row r="346" spans="1:26" ht="12.5" x14ac:dyDescent="0.25">
      <c r="A346" s="7">
        <v>16.100000000000001</v>
      </c>
      <c r="B346" s="6" t="s">
        <v>237</v>
      </c>
      <c r="C346" s="6" t="s">
        <v>32</v>
      </c>
      <c r="D346" s="6" t="s">
        <v>238</v>
      </c>
      <c r="E346" s="8"/>
      <c r="F346" s="6" t="s">
        <v>25</v>
      </c>
      <c r="G346" s="6">
        <v>14</v>
      </c>
      <c r="H346" s="6" t="s">
        <v>26</v>
      </c>
      <c r="I346" s="7">
        <v>1</v>
      </c>
      <c r="J346" s="8"/>
      <c r="K346" s="9">
        <v>0</v>
      </c>
      <c r="L346" s="9">
        <v>0</v>
      </c>
      <c r="M346" s="7">
        <v>0</v>
      </c>
      <c r="N346" s="9">
        <v>0</v>
      </c>
      <c r="O346" s="8"/>
      <c r="P346" s="2"/>
      <c r="Q346" s="2"/>
      <c r="R346" s="2" t="str">
        <v>C9300</v>
      </c>
      <c r="S346" s="2" t="str">
        <f ca="1">IFERROR(__xludf.DUMMYFUNCTION("""COMPUTED_VALUE"""),"C9300-DNA-A-48")</f>
        <v>C9300-DNA-A-48</v>
      </c>
      <c r="T346" s="10">
        <f ca="1">IFERROR(__xludf.DUMMYFUNCTION("""COMPUTED_VALUE"""),0)</f>
        <v>0</v>
      </c>
      <c r="U346" s="2" t="e">
        <f ca="1"/>
        <v>#NAME?</v>
      </c>
      <c r="V346" s="2" t="e">
        <f ca="1"/>
        <v>#NAME?</v>
      </c>
      <c r="W346" s="2" t="e">
        <f ca="1"/>
        <v>#NAME?</v>
      </c>
      <c r="X346" s="2"/>
      <c r="Y346" s="2"/>
      <c r="Z346" s="2"/>
    </row>
    <row r="347" spans="1:26" ht="12.5" x14ac:dyDescent="0.25">
      <c r="A347" s="7" t="s">
        <v>253</v>
      </c>
      <c r="B347" s="6" t="s">
        <v>240</v>
      </c>
      <c r="C347" s="6" t="s">
        <v>22</v>
      </c>
      <c r="D347" s="6" t="s">
        <v>158</v>
      </c>
      <c r="E347" s="8"/>
      <c r="F347" s="6">
        <v>24</v>
      </c>
      <c r="G347" s="6" t="s">
        <v>25</v>
      </c>
      <c r="H347" s="6" t="s">
        <v>26</v>
      </c>
      <c r="I347" s="7">
        <v>1</v>
      </c>
      <c r="J347" s="8"/>
      <c r="K347" s="9">
        <v>610.5</v>
      </c>
      <c r="L347" s="9">
        <v>610.5</v>
      </c>
      <c r="M347" s="7">
        <v>0</v>
      </c>
      <c r="N347" s="9">
        <v>610.5</v>
      </c>
      <c r="O347" s="6" t="s">
        <v>30</v>
      </c>
      <c r="P347" s="2"/>
      <c r="Q347" s="2"/>
      <c r="R347" s="2" t="str">
        <v>C9300</v>
      </c>
      <c r="S347" s="2" t="str">
        <f ca="1">IFERROR(__xludf.DUMMYFUNCTION("""COMPUTED_VALUE"""),"CON-L1SWT-C93A48")</f>
        <v>CON-L1SWT-C93A48</v>
      </c>
      <c r="T347" s="10">
        <f ca="1">IFERROR(__xludf.DUMMYFUNCTION("""COMPUTED_VALUE"""),0)</f>
        <v>0</v>
      </c>
      <c r="U347" s="2" t="e">
        <f ca="1"/>
        <v>#NAME?</v>
      </c>
      <c r="V347" s="2" t="e">
        <f ca="1"/>
        <v>#NAME?</v>
      </c>
      <c r="W347" s="2" t="e">
        <f ca="1"/>
        <v>#NAME?</v>
      </c>
      <c r="X347" s="2"/>
      <c r="Y347" s="2"/>
      <c r="Z347" s="2"/>
    </row>
    <row r="348" spans="1:26" ht="12.5" x14ac:dyDescent="0.25">
      <c r="A348" s="7" t="s">
        <v>254</v>
      </c>
      <c r="B348" s="6" t="s">
        <v>242</v>
      </c>
      <c r="C348" s="6" t="s">
        <v>22</v>
      </c>
      <c r="D348" s="6" t="s">
        <v>243</v>
      </c>
      <c r="E348" s="8"/>
      <c r="F348" s="6">
        <v>36</v>
      </c>
      <c r="G348" s="6" t="s">
        <v>25</v>
      </c>
      <c r="H348" s="6" t="s">
        <v>26</v>
      </c>
      <c r="I348" s="7">
        <v>1</v>
      </c>
      <c r="J348" s="8"/>
      <c r="K348" s="9">
        <v>4437.29</v>
      </c>
      <c r="L348" s="9">
        <v>4437.29</v>
      </c>
      <c r="M348" s="7">
        <v>0</v>
      </c>
      <c r="N348" s="9">
        <v>4437.29</v>
      </c>
      <c r="O348" s="8"/>
      <c r="P348" s="2"/>
      <c r="Q348" s="2"/>
      <c r="R348" s="2" t="str">
        <v>C9300</v>
      </c>
      <c r="S348" s="2" t="str">
        <f ca="1">IFERROR(__xludf.DUMMYFUNCTION("""COMPUTED_VALUE"""),"C9300-DNA-A-48-3Y")</f>
        <v>C9300-DNA-A-48-3Y</v>
      </c>
      <c r="T348" s="10">
        <f ca="1">IFERROR(__xludf.DUMMYFUNCTION("""COMPUTED_VALUE"""),0)</f>
        <v>0</v>
      </c>
      <c r="U348" s="2" t="e">
        <f ca="1"/>
        <v>#NAME?</v>
      </c>
      <c r="V348" s="2" t="e">
        <f ca="1"/>
        <v>#NAME?</v>
      </c>
      <c r="W348" s="2" t="e">
        <f ca="1"/>
        <v>#NAME?</v>
      </c>
      <c r="X348" s="2"/>
      <c r="Y348" s="2"/>
      <c r="Z348" s="2"/>
    </row>
    <row r="349" spans="1:26" ht="12.5" x14ac:dyDescent="0.25">
      <c r="A349" s="7">
        <v>16.2</v>
      </c>
      <c r="B349" s="6" t="s">
        <v>45</v>
      </c>
      <c r="C349" s="6" t="s">
        <v>32</v>
      </c>
      <c r="D349" s="6" t="s">
        <v>46</v>
      </c>
      <c r="E349" s="8"/>
      <c r="F349" s="6" t="s">
        <v>25</v>
      </c>
      <c r="G349" s="6">
        <v>14</v>
      </c>
      <c r="H349" s="6" t="s">
        <v>32</v>
      </c>
      <c r="I349" s="7">
        <v>1</v>
      </c>
      <c r="J349" s="8"/>
      <c r="K349" s="7">
        <v>0</v>
      </c>
      <c r="L349" s="7">
        <v>0</v>
      </c>
      <c r="M349" s="7">
        <v>0</v>
      </c>
      <c r="N349" s="7">
        <v>0</v>
      </c>
      <c r="O349" s="8"/>
      <c r="P349" s="2"/>
      <c r="Q349" s="2"/>
      <c r="R349" s="2" t="str">
        <v>C9300</v>
      </c>
      <c r="S349" s="2" t="str">
        <f ca="1">IFERROR(__xludf.DUMMYFUNCTION("""COMPUTED_VALUE"""),"D-DNAS-EXT-S-T")</f>
        <v>D-DNAS-EXT-S-T</v>
      </c>
      <c r="T349" s="10">
        <f ca="1">IFERROR(__xludf.DUMMYFUNCTION("""COMPUTED_VALUE"""),0)</f>
        <v>0</v>
      </c>
      <c r="U349" s="2" t="e">
        <f ca="1"/>
        <v>#NAME?</v>
      </c>
      <c r="V349" s="2" t="e">
        <f ca="1"/>
        <v>#NAME?</v>
      </c>
      <c r="W349" s="2" t="e">
        <f ca="1"/>
        <v>#NAME?</v>
      </c>
      <c r="X349" s="2"/>
      <c r="Y349" s="2"/>
      <c r="Z349" s="2"/>
    </row>
    <row r="350" spans="1:26" ht="12.5" x14ac:dyDescent="0.25">
      <c r="A350" s="7" t="s">
        <v>255</v>
      </c>
      <c r="B350" s="6" t="s">
        <v>48</v>
      </c>
      <c r="C350" s="6" t="s">
        <v>22</v>
      </c>
      <c r="D350" s="6" t="s">
        <v>49</v>
      </c>
      <c r="E350" s="8"/>
      <c r="F350" s="6">
        <v>36</v>
      </c>
      <c r="G350" s="6" t="s">
        <v>25</v>
      </c>
      <c r="H350" s="6" t="s">
        <v>26</v>
      </c>
      <c r="I350" s="7">
        <v>1</v>
      </c>
      <c r="J350" s="8"/>
      <c r="K350" s="9">
        <v>0</v>
      </c>
      <c r="L350" s="9">
        <v>0</v>
      </c>
      <c r="M350" s="7">
        <v>0</v>
      </c>
      <c r="N350" s="9">
        <v>0</v>
      </c>
      <c r="O350" s="8"/>
      <c r="P350" s="2"/>
      <c r="Q350" s="2"/>
      <c r="R350" s="2" t="str">
        <v>C9300</v>
      </c>
      <c r="S350" s="2" t="str">
        <f ca="1">IFERROR(__xludf.DUMMYFUNCTION("""COMPUTED_VALUE"""),"D-DNAS-EXT-S-3Y")</f>
        <v>D-DNAS-EXT-S-3Y</v>
      </c>
      <c r="T350" s="10">
        <f ca="1">IFERROR(__xludf.DUMMYFUNCTION("""COMPUTED_VALUE"""),0)</f>
        <v>0</v>
      </c>
      <c r="U350" s="2" t="e">
        <f ca="1"/>
        <v>#NAME?</v>
      </c>
      <c r="V350" s="2" t="e">
        <f ca="1"/>
        <v>#NAME?</v>
      </c>
      <c r="W350" s="2" t="e">
        <f ca="1"/>
        <v>#NAME?</v>
      </c>
      <c r="X350" s="2"/>
      <c r="Y350" s="2"/>
      <c r="Z350" s="2"/>
    </row>
    <row r="351" spans="1:26" ht="12.5" x14ac:dyDescent="0.25">
      <c r="A351" s="7">
        <v>16.3</v>
      </c>
      <c r="B351" s="6" t="s">
        <v>40</v>
      </c>
      <c r="C351" s="6" t="s">
        <v>32</v>
      </c>
      <c r="D351" s="6" t="s">
        <v>41</v>
      </c>
      <c r="E351" s="8"/>
      <c r="F351" s="6" t="s">
        <v>25</v>
      </c>
      <c r="G351" s="6">
        <v>14</v>
      </c>
      <c r="H351" s="6" t="s">
        <v>32</v>
      </c>
      <c r="I351" s="7">
        <v>1</v>
      </c>
      <c r="J351" s="8"/>
      <c r="K351" s="7">
        <v>0</v>
      </c>
      <c r="L351" s="7">
        <v>0</v>
      </c>
      <c r="M351" s="7">
        <v>0</v>
      </c>
      <c r="N351" s="7">
        <v>0</v>
      </c>
      <c r="O351" s="8"/>
      <c r="P351" s="2"/>
      <c r="Q351" s="2"/>
      <c r="R351" s="2" t="str">
        <v>C9300</v>
      </c>
      <c r="S351" s="2" t="str">
        <f ca="1">IFERROR(__xludf.DUMMYFUNCTION("""COMPUTED_VALUE"""),"TE-EMBEDDED-T")</f>
        <v>TE-EMBEDDED-T</v>
      </c>
      <c r="T351" s="10">
        <f ca="1">IFERROR(__xludf.DUMMYFUNCTION("""COMPUTED_VALUE"""),0)</f>
        <v>0</v>
      </c>
      <c r="U351" s="2" t="e">
        <f ca="1"/>
        <v>#NAME?</v>
      </c>
      <c r="V351" s="2" t="e">
        <f ca="1"/>
        <v>#NAME?</v>
      </c>
      <c r="W351" s="2" t="e">
        <f ca="1"/>
        <v>#NAME?</v>
      </c>
      <c r="X351" s="2"/>
      <c r="Y351" s="2"/>
      <c r="Z351" s="2"/>
    </row>
    <row r="352" spans="1:26" ht="12.5" x14ac:dyDescent="0.25">
      <c r="A352" s="7" t="s">
        <v>256</v>
      </c>
      <c r="B352" s="6" t="s">
        <v>43</v>
      </c>
      <c r="C352" s="6" t="s">
        <v>22</v>
      </c>
      <c r="D352" s="6" t="s">
        <v>44</v>
      </c>
      <c r="E352" s="8"/>
      <c r="F352" s="6">
        <v>36</v>
      </c>
      <c r="G352" s="6" t="s">
        <v>25</v>
      </c>
      <c r="H352" s="6" t="s">
        <v>26</v>
      </c>
      <c r="I352" s="7">
        <v>1</v>
      </c>
      <c r="J352" s="8"/>
      <c r="K352" s="7">
        <v>0</v>
      </c>
      <c r="L352" s="7">
        <v>0</v>
      </c>
      <c r="M352" s="7">
        <v>0</v>
      </c>
      <c r="N352" s="7">
        <v>0</v>
      </c>
      <c r="O352" s="8"/>
      <c r="P352" s="2"/>
      <c r="Q352" s="2"/>
      <c r="R352" s="2" t="str">
        <v>C9300</v>
      </c>
      <c r="S352" s="2" t="str">
        <f ca="1">IFERROR(__xludf.DUMMYFUNCTION("""COMPUTED_VALUE"""),"TE-EMBEDDED-T-3Y")</f>
        <v>TE-EMBEDDED-T-3Y</v>
      </c>
      <c r="T352" s="10">
        <f ca="1">IFERROR(__xludf.DUMMYFUNCTION("""COMPUTED_VALUE"""),0)</f>
        <v>0</v>
      </c>
      <c r="U352" s="2" t="e">
        <f ca="1"/>
        <v>#NAME?</v>
      </c>
      <c r="V352" s="2" t="e">
        <f ca="1"/>
        <v>#NAME?</v>
      </c>
      <c r="W352" s="2" t="e">
        <f ca="1"/>
        <v>#NAME?</v>
      </c>
      <c r="X352" s="2"/>
      <c r="Y352" s="2"/>
      <c r="Z352" s="2"/>
    </row>
    <row r="353" spans="1:26" ht="12.5" x14ac:dyDescent="0.25">
      <c r="A353" s="7">
        <v>16.399999999999999</v>
      </c>
      <c r="B353" s="6" t="s">
        <v>246</v>
      </c>
      <c r="C353" s="6" t="s">
        <v>32</v>
      </c>
      <c r="D353" s="6" t="s">
        <v>247</v>
      </c>
      <c r="E353" s="8"/>
      <c r="F353" s="6" t="s">
        <v>25</v>
      </c>
      <c r="G353" s="6">
        <v>14</v>
      </c>
      <c r="H353" s="6" t="s">
        <v>32</v>
      </c>
      <c r="I353" s="7">
        <v>1</v>
      </c>
      <c r="J353" s="8"/>
      <c r="K353" s="7">
        <v>0</v>
      </c>
      <c r="L353" s="7">
        <v>0</v>
      </c>
      <c r="M353" s="7">
        <v>0</v>
      </c>
      <c r="N353" s="7">
        <v>0</v>
      </c>
      <c r="O353" s="8"/>
      <c r="P353" s="2"/>
      <c r="Q353" s="2"/>
      <c r="R353" s="2" t="str">
        <v>C9300</v>
      </c>
      <c r="S353" s="2" t="str">
        <f ca="1">IFERROR(__xludf.DUMMYFUNCTION("""COMPUTED_VALUE"""),"C9300-NW-A-48")</f>
        <v>C9300-NW-A-48</v>
      </c>
      <c r="T353" s="10">
        <f ca="1">IFERROR(__xludf.DUMMYFUNCTION("""COMPUTED_VALUE"""),0)</f>
        <v>0</v>
      </c>
      <c r="U353" s="2" t="e">
        <f ca="1"/>
        <v>#NAME?</v>
      </c>
      <c r="V353" s="2" t="e">
        <f ca="1"/>
        <v>#NAME?</v>
      </c>
      <c r="W353" s="2" t="e">
        <f ca="1"/>
        <v>#NAME?</v>
      </c>
      <c r="X353" s="2"/>
      <c r="Y353" s="2"/>
      <c r="Z353" s="2"/>
    </row>
    <row r="354" spans="1:26" ht="12.5" x14ac:dyDescent="0.25">
      <c r="A354" s="7">
        <v>16.5</v>
      </c>
      <c r="B354" s="6" t="s">
        <v>88</v>
      </c>
      <c r="C354" s="6" t="s">
        <v>22</v>
      </c>
      <c r="D354" s="6" t="s">
        <v>89</v>
      </c>
      <c r="E354" s="8"/>
      <c r="F354" s="6" t="s">
        <v>25</v>
      </c>
      <c r="G354" s="6">
        <v>14</v>
      </c>
      <c r="H354" s="6" t="s">
        <v>32</v>
      </c>
      <c r="I354" s="7">
        <v>1</v>
      </c>
      <c r="J354" s="8"/>
      <c r="K354" s="7">
        <v>0</v>
      </c>
      <c r="L354" s="7">
        <v>0</v>
      </c>
      <c r="M354" s="7">
        <v>0</v>
      </c>
      <c r="N354" s="7">
        <v>0</v>
      </c>
      <c r="O354" s="8"/>
      <c r="P354" s="2"/>
      <c r="Q354" s="2"/>
      <c r="R354" s="2" t="str">
        <v>C9300</v>
      </c>
      <c r="S354" s="2" t="str">
        <f ca="1">IFERROR(__xludf.DUMMYFUNCTION("""COMPUTED_VALUE"""),"PWR-C1-715WAC-P")</f>
        <v>PWR-C1-715WAC-P</v>
      </c>
      <c r="T354" s="10">
        <f ca="1">IFERROR(__xludf.DUMMYFUNCTION("""COMPUTED_VALUE"""),0)</f>
        <v>0</v>
      </c>
      <c r="U354" s="2" t="e">
        <f ca="1"/>
        <v>#NAME?</v>
      </c>
      <c r="V354" s="2" t="e">
        <f ca="1"/>
        <v>#NAME?</v>
      </c>
      <c r="W354" s="2" t="e">
        <f ca="1"/>
        <v>#NAME?</v>
      </c>
      <c r="X354" s="2"/>
      <c r="Y354" s="2"/>
      <c r="Z354" s="2"/>
    </row>
    <row r="355" spans="1:26" ht="12.5" x14ac:dyDescent="0.25">
      <c r="A355" s="7">
        <v>16.600000000000001</v>
      </c>
      <c r="B355" s="6" t="s">
        <v>166</v>
      </c>
      <c r="C355" s="6" t="s">
        <v>22</v>
      </c>
      <c r="D355" s="6" t="s">
        <v>61</v>
      </c>
      <c r="E355" s="8"/>
      <c r="F355" s="6" t="s">
        <v>25</v>
      </c>
      <c r="G355" s="6">
        <v>14</v>
      </c>
      <c r="H355" s="6" t="s">
        <v>26</v>
      </c>
      <c r="I355" s="7">
        <v>1</v>
      </c>
      <c r="J355" s="8"/>
      <c r="K355" s="7">
        <v>0</v>
      </c>
      <c r="L355" s="7">
        <v>0</v>
      </c>
      <c r="M355" s="7">
        <v>0</v>
      </c>
      <c r="N355" s="7">
        <v>0</v>
      </c>
      <c r="O355" s="8"/>
      <c r="P355" s="2"/>
      <c r="Q355" s="2"/>
      <c r="R355" s="2" t="str">
        <v>C9300</v>
      </c>
      <c r="S355" s="2" t="str">
        <f ca="1">IFERROR(__xludf.DUMMYFUNCTION("""COMPUTED_VALUE"""),"C9300-SPS-NONE")</f>
        <v>C9300-SPS-NONE</v>
      </c>
      <c r="T355" s="10">
        <f ca="1">IFERROR(__xludf.DUMMYFUNCTION("""COMPUTED_VALUE"""),0)</f>
        <v>0</v>
      </c>
      <c r="U355" s="2" t="e">
        <f ca="1"/>
        <v>#NAME?</v>
      </c>
      <c r="V355" s="2" t="e">
        <f ca="1"/>
        <v>#NAME?</v>
      </c>
      <c r="W355" s="2" t="e">
        <f ca="1"/>
        <v>#NAME?</v>
      </c>
      <c r="X355" s="2"/>
      <c r="Y355" s="2"/>
      <c r="Z355" s="2"/>
    </row>
    <row r="356" spans="1:26" ht="12.5" x14ac:dyDescent="0.25">
      <c r="A356" s="7">
        <v>16.7</v>
      </c>
      <c r="B356" s="6" t="s">
        <v>62</v>
      </c>
      <c r="C356" s="6" t="s">
        <v>22</v>
      </c>
      <c r="D356" s="6" t="s">
        <v>63</v>
      </c>
      <c r="E356" s="8"/>
      <c r="F356" s="6" t="s">
        <v>25</v>
      </c>
      <c r="G356" s="6">
        <v>14</v>
      </c>
      <c r="H356" s="6" t="s">
        <v>26</v>
      </c>
      <c r="I356" s="7">
        <v>1</v>
      </c>
      <c r="J356" s="8"/>
      <c r="K356" s="7">
        <v>0</v>
      </c>
      <c r="L356" s="7">
        <v>0</v>
      </c>
      <c r="M356" s="7">
        <v>0</v>
      </c>
      <c r="N356" s="7">
        <v>0</v>
      </c>
      <c r="O356" s="8"/>
      <c r="P356" s="2"/>
      <c r="Q356" s="2"/>
      <c r="R356" s="2" t="str">
        <v>C9300</v>
      </c>
      <c r="S356" s="2" t="str">
        <f ca="1">IFERROR(__xludf.DUMMYFUNCTION("""COMPUTED_VALUE"""),"CAB-TA-EU")</f>
        <v>CAB-TA-EU</v>
      </c>
      <c r="T356" s="10">
        <f ca="1">IFERROR(__xludf.DUMMYFUNCTION("""COMPUTED_VALUE"""),0)</f>
        <v>0</v>
      </c>
      <c r="U356" s="2" t="e">
        <f ca="1"/>
        <v>#NAME?</v>
      </c>
      <c r="V356" s="2" t="e">
        <f ca="1"/>
        <v>#NAME?</v>
      </c>
      <c r="W356" s="2" t="e">
        <f ca="1"/>
        <v>#NAME?</v>
      </c>
      <c r="X356" s="2"/>
      <c r="Y356" s="2"/>
      <c r="Z356" s="2"/>
    </row>
    <row r="357" spans="1:26" ht="12.5" x14ac:dyDescent="0.25">
      <c r="A357" s="7">
        <v>16.8</v>
      </c>
      <c r="B357" s="6" t="s">
        <v>64</v>
      </c>
      <c r="C357" s="6" t="s">
        <v>22</v>
      </c>
      <c r="D357" s="6" t="s">
        <v>65</v>
      </c>
      <c r="E357" s="8"/>
      <c r="F357" s="6" t="s">
        <v>25</v>
      </c>
      <c r="G357" s="6">
        <v>14</v>
      </c>
      <c r="H357" s="6" t="s">
        <v>26</v>
      </c>
      <c r="I357" s="7">
        <v>1</v>
      </c>
      <c r="J357" s="8"/>
      <c r="K357" s="9">
        <v>3162.96</v>
      </c>
      <c r="L357" s="9">
        <v>3162.96</v>
      </c>
      <c r="M357" s="7">
        <v>0</v>
      </c>
      <c r="N357" s="9">
        <v>3162.96</v>
      </c>
      <c r="O357" s="8"/>
      <c r="P357" s="2"/>
      <c r="Q357" s="2"/>
      <c r="R357" s="2" t="str">
        <v>C9300</v>
      </c>
      <c r="S357" s="2" t="str">
        <f ca="1">IFERROR(__xludf.DUMMYFUNCTION("""COMPUTED_VALUE"""),"SSD-240G")</f>
        <v>SSD-240G</v>
      </c>
      <c r="T357" s="10">
        <f ca="1">IFERROR(__xludf.DUMMYFUNCTION("""COMPUTED_VALUE"""),0)</f>
        <v>0</v>
      </c>
      <c r="U357" s="2" t="e">
        <f ca="1"/>
        <v>#NAME?</v>
      </c>
      <c r="V357" s="2" t="e">
        <f ca="1"/>
        <v>#NAME?</v>
      </c>
      <c r="W357" s="2" t="e">
        <f ca="1"/>
        <v>#NAME?</v>
      </c>
      <c r="X357" s="2"/>
      <c r="Y357" s="2"/>
      <c r="Z357" s="2"/>
    </row>
    <row r="358" spans="1:26" ht="12.5" x14ac:dyDescent="0.25">
      <c r="A358" s="7">
        <v>16.899999999999999</v>
      </c>
      <c r="B358" s="6" t="s">
        <v>167</v>
      </c>
      <c r="C358" s="6" t="s">
        <v>22</v>
      </c>
      <c r="D358" s="6" t="s">
        <v>168</v>
      </c>
      <c r="E358" s="8"/>
      <c r="F358" s="6" t="s">
        <v>25</v>
      </c>
      <c r="G358" s="6">
        <v>14</v>
      </c>
      <c r="H358" s="6" t="s">
        <v>26</v>
      </c>
      <c r="I358" s="7">
        <v>1</v>
      </c>
      <c r="J358" s="8"/>
      <c r="K358" s="7">
        <v>121.7</v>
      </c>
      <c r="L358" s="7">
        <v>121.7</v>
      </c>
      <c r="M358" s="7">
        <v>0</v>
      </c>
      <c r="N358" s="7">
        <v>121.7</v>
      </c>
      <c r="O358" s="8"/>
      <c r="P358" s="2"/>
      <c r="Q358" s="2"/>
      <c r="R358" s="2" t="str">
        <v>C9300</v>
      </c>
      <c r="S358" s="2" t="str">
        <f ca="1">IFERROR(__xludf.DUMMYFUNCTION("""COMPUTED_VALUE"""),"STACK-T1-50CM")</f>
        <v>STACK-T1-50CM</v>
      </c>
      <c r="T358" s="10">
        <f ca="1">IFERROR(__xludf.DUMMYFUNCTION("""COMPUTED_VALUE"""),0)</f>
        <v>0</v>
      </c>
      <c r="U358" s="2" t="e">
        <f ca="1"/>
        <v>#NAME?</v>
      </c>
      <c r="V358" s="2" t="e">
        <f ca="1"/>
        <v>#NAME?</v>
      </c>
      <c r="W358" s="2" t="e">
        <f ca="1"/>
        <v>#NAME?</v>
      </c>
      <c r="X358" s="2"/>
      <c r="Y358" s="2"/>
      <c r="Z358" s="2"/>
    </row>
    <row r="359" spans="1:26" ht="12.5" x14ac:dyDescent="0.25">
      <c r="A359" s="7">
        <v>16.100000000000001</v>
      </c>
      <c r="B359" s="6" t="s">
        <v>169</v>
      </c>
      <c r="C359" s="6" t="s">
        <v>22</v>
      </c>
      <c r="D359" s="6" t="s">
        <v>170</v>
      </c>
      <c r="E359" s="8"/>
      <c r="F359" s="6" t="s">
        <v>25</v>
      </c>
      <c r="G359" s="6">
        <v>14</v>
      </c>
      <c r="H359" s="6" t="s">
        <v>26</v>
      </c>
      <c r="I359" s="7">
        <v>1</v>
      </c>
      <c r="J359" s="8"/>
      <c r="K359" s="9">
        <v>115.62</v>
      </c>
      <c r="L359" s="9">
        <v>115.62</v>
      </c>
      <c r="M359" s="7">
        <v>0</v>
      </c>
      <c r="N359" s="9">
        <v>115.62</v>
      </c>
      <c r="O359" s="8"/>
      <c r="P359" s="2"/>
      <c r="Q359" s="2"/>
      <c r="R359" s="2" t="str">
        <v>C9300</v>
      </c>
      <c r="S359" s="2" t="str">
        <f ca="1">IFERROR(__xludf.DUMMYFUNCTION("""COMPUTED_VALUE"""),"CAB-SPWR-30CM")</f>
        <v>CAB-SPWR-30CM</v>
      </c>
      <c r="T359" s="10">
        <f ca="1">IFERROR(__xludf.DUMMYFUNCTION("""COMPUTED_VALUE"""),0)</f>
        <v>0</v>
      </c>
      <c r="U359" s="2" t="e">
        <f ca="1"/>
        <v>#NAME?</v>
      </c>
      <c r="V359" s="2" t="e">
        <f ca="1"/>
        <v>#NAME?</v>
      </c>
      <c r="W359" s="2" t="e">
        <f ca="1"/>
        <v>#NAME?</v>
      </c>
      <c r="X359" s="2"/>
      <c r="Y359" s="2"/>
      <c r="Z359" s="2"/>
    </row>
    <row r="360" spans="1:26" ht="12.5" x14ac:dyDescent="0.25">
      <c r="A360" s="7">
        <v>16.11</v>
      </c>
      <c r="B360" s="6" t="s">
        <v>90</v>
      </c>
      <c r="C360" s="6" t="s">
        <v>22</v>
      </c>
      <c r="D360" s="6" t="s">
        <v>91</v>
      </c>
      <c r="E360" s="8"/>
      <c r="F360" s="6" t="s">
        <v>25</v>
      </c>
      <c r="G360" s="6">
        <v>14</v>
      </c>
      <c r="H360" s="6" t="s">
        <v>26</v>
      </c>
      <c r="I360" s="7">
        <v>1</v>
      </c>
      <c r="J360" s="8"/>
      <c r="K360" s="7">
        <v>0</v>
      </c>
      <c r="L360" s="7">
        <v>0</v>
      </c>
      <c r="M360" s="7">
        <v>0</v>
      </c>
      <c r="N360" s="7">
        <v>0</v>
      </c>
      <c r="O360" s="8"/>
      <c r="P360" s="2"/>
      <c r="Q360" s="2"/>
      <c r="R360" s="2" t="str">
        <v>C9300</v>
      </c>
      <c r="S360" s="2" t="str">
        <f ca="1">IFERROR(__xludf.DUMMYFUNCTION("""COMPUTED_VALUE"""),"C9300-ACCKIT-NONE")</f>
        <v>C9300-ACCKIT-NONE</v>
      </c>
      <c r="T360" s="10">
        <f ca="1">IFERROR(__xludf.DUMMYFUNCTION("""COMPUTED_VALUE"""),0)</f>
        <v>0</v>
      </c>
      <c r="U360" s="2" t="e">
        <f ca="1"/>
        <v>#NAME?</v>
      </c>
      <c r="V360" s="2" t="e">
        <f ca="1"/>
        <v>#NAME?</v>
      </c>
      <c r="W360" s="2" t="e">
        <f ca="1"/>
        <v>#NAME?</v>
      </c>
      <c r="X360" s="2"/>
      <c r="Y360" s="2"/>
      <c r="Z360" s="2"/>
    </row>
    <row r="361" spans="1:26" ht="12.5" x14ac:dyDescent="0.25">
      <c r="A361" s="7">
        <v>16.12</v>
      </c>
      <c r="B361" s="6" t="s">
        <v>52</v>
      </c>
      <c r="C361" s="6" t="s">
        <v>22</v>
      </c>
      <c r="D361" s="6" t="s">
        <v>53</v>
      </c>
      <c r="E361" s="8"/>
      <c r="F361" s="6" t="s">
        <v>25</v>
      </c>
      <c r="G361" s="6">
        <v>14</v>
      </c>
      <c r="H361" s="6" t="s">
        <v>32</v>
      </c>
      <c r="I361" s="7">
        <v>1</v>
      </c>
      <c r="J361" s="8"/>
      <c r="K361" s="7">
        <v>0</v>
      </c>
      <c r="L361" s="7">
        <v>0</v>
      </c>
      <c r="M361" s="7">
        <v>0</v>
      </c>
      <c r="N361" s="7">
        <v>0</v>
      </c>
      <c r="O361" s="8"/>
      <c r="P361" s="2"/>
      <c r="Q361" s="2"/>
      <c r="R361" s="2" t="str">
        <v>C9300</v>
      </c>
      <c r="S361" s="2" t="str">
        <f ca="1">IFERROR(__xludf.DUMMYFUNCTION("""COMPUTED_VALUE"""),"PWR-C1-BLANK")</f>
        <v>PWR-C1-BLANK</v>
      </c>
      <c r="T361" s="10">
        <f ca="1">IFERROR(__xludf.DUMMYFUNCTION("""COMPUTED_VALUE"""),0)</f>
        <v>0</v>
      </c>
      <c r="U361" s="2" t="e">
        <f ca="1"/>
        <v>#NAME?</v>
      </c>
      <c r="V361" s="2" t="e">
        <f ca="1"/>
        <v>#NAME?</v>
      </c>
      <c r="W361" s="2" t="e">
        <f ca="1"/>
        <v>#NAME?</v>
      </c>
      <c r="X361" s="2"/>
      <c r="Y361" s="2"/>
      <c r="Z361" s="2"/>
    </row>
    <row r="362" spans="1:26" ht="12.5" x14ac:dyDescent="0.25">
      <c r="A362" s="7">
        <v>16.13</v>
      </c>
      <c r="B362" s="6" t="s">
        <v>86</v>
      </c>
      <c r="C362" s="6" t="s">
        <v>22</v>
      </c>
      <c r="D362" s="6" t="s">
        <v>87</v>
      </c>
      <c r="E362" s="8"/>
      <c r="F362" s="6" t="s">
        <v>25</v>
      </c>
      <c r="G362" s="6">
        <v>14</v>
      </c>
      <c r="H362" s="6" t="s">
        <v>32</v>
      </c>
      <c r="I362" s="7">
        <v>1</v>
      </c>
      <c r="J362" s="8"/>
      <c r="K362" s="7">
        <v>0</v>
      </c>
      <c r="L362" s="7">
        <v>0</v>
      </c>
      <c r="M362" s="7">
        <v>0</v>
      </c>
      <c r="N362" s="7">
        <v>0</v>
      </c>
      <c r="O362" s="8"/>
      <c r="P362" s="2"/>
      <c r="Q362" s="2"/>
      <c r="R362" s="2" t="str">
        <v>C9300</v>
      </c>
      <c r="S362" s="2" t="str">
        <f ca="1">IFERROR(__xludf.DUMMYFUNCTION("""COMPUTED_VALUE"""),"TE-C9K-SW")</f>
        <v>TE-C9K-SW</v>
      </c>
      <c r="T362" s="10">
        <f ca="1">IFERROR(__xludf.DUMMYFUNCTION("""COMPUTED_VALUE"""),0)</f>
        <v>0</v>
      </c>
      <c r="U362" s="2" t="e">
        <f ca="1"/>
        <v>#NAME?</v>
      </c>
      <c r="V362" s="2" t="e">
        <f ca="1"/>
        <v>#NAME?</v>
      </c>
      <c r="W362" s="2" t="e">
        <f ca="1"/>
        <v>#NAME?</v>
      </c>
      <c r="X362" s="2"/>
      <c r="Y362" s="2"/>
      <c r="Z362" s="2"/>
    </row>
    <row r="363" spans="1:26" ht="12.5" x14ac:dyDescent="0.25">
      <c r="A363" s="7">
        <v>16.14</v>
      </c>
      <c r="B363" s="6" t="s">
        <v>171</v>
      </c>
      <c r="C363" s="6" t="s">
        <v>22</v>
      </c>
      <c r="D363" s="6" t="s">
        <v>172</v>
      </c>
      <c r="E363" s="8"/>
      <c r="F363" s="6" t="s">
        <v>25</v>
      </c>
      <c r="G363" s="6">
        <v>14</v>
      </c>
      <c r="H363" s="6" t="s">
        <v>26</v>
      </c>
      <c r="I363" s="7">
        <v>1</v>
      </c>
      <c r="J363" s="8"/>
      <c r="K363" s="9">
        <v>3103.4</v>
      </c>
      <c r="L363" s="9">
        <v>3103.4</v>
      </c>
      <c r="M363" s="7">
        <v>0</v>
      </c>
      <c r="N363" s="9">
        <v>3103.4</v>
      </c>
      <c r="O363" s="8"/>
      <c r="P363" s="2"/>
      <c r="Q363" s="2"/>
      <c r="R363" s="2" t="str">
        <v>C9300</v>
      </c>
      <c r="S363" s="2" t="str">
        <f ca="1">IFERROR(__xludf.DUMMYFUNCTION("""COMPUTED_VALUE"""),"C9300-NM-8X")</f>
        <v>C9300-NM-8X</v>
      </c>
      <c r="T363" s="10">
        <f ca="1">IFERROR(__xludf.DUMMYFUNCTION("""COMPUTED_VALUE"""),0)</f>
        <v>0</v>
      </c>
      <c r="U363" s="2" t="e">
        <f ca="1"/>
        <v>#NAME?</v>
      </c>
      <c r="V363" s="2" t="e">
        <f ca="1"/>
        <v>#NAME?</v>
      </c>
      <c r="W363" s="2" t="e">
        <f ca="1"/>
        <v>#NAME?</v>
      </c>
      <c r="X363" s="2"/>
      <c r="Y363" s="2"/>
      <c r="Z363" s="2"/>
    </row>
    <row r="364" spans="1:26" ht="12.5" x14ac:dyDescent="0.25">
      <c r="A364" s="7">
        <v>16.149999999999999</v>
      </c>
      <c r="B364" s="6" t="s">
        <v>72</v>
      </c>
      <c r="C364" s="6" t="s">
        <v>32</v>
      </c>
      <c r="D364" s="6" t="s">
        <v>73</v>
      </c>
      <c r="E364" s="8"/>
      <c r="F364" s="6" t="s">
        <v>25</v>
      </c>
      <c r="G364" s="6">
        <v>2</v>
      </c>
      <c r="H364" s="6" t="s">
        <v>32</v>
      </c>
      <c r="I364" s="7">
        <v>1</v>
      </c>
      <c r="J364" s="8"/>
      <c r="K364" s="7">
        <v>0</v>
      </c>
      <c r="L364" s="7">
        <v>0</v>
      </c>
      <c r="M364" s="7">
        <v>0</v>
      </c>
      <c r="N364" s="7">
        <v>0</v>
      </c>
      <c r="O364" s="8"/>
      <c r="P364" s="2"/>
      <c r="Q364" s="2"/>
      <c r="R364" s="2" t="str">
        <v>C9300</v>
      </c>
      <c r="S364" s="2" t="str">
        <f ca="1">IFERROR(__xludf.DUMMYFUNCTION("""COMPUTED_VALUE"""),"NETWORK-PNP-LIC")</f>
        <v>NETWORK-PNP-LIC</v>
      </c>
      <c r="T364" s="10">
        <f ca="1">IFERROR(__xludf.DUMMYFUNCTION("""COMPUTED_VALUE"""),0)</f>
        <v>0</v>
      </c>
      <c r="U364" s="2" t="e">
        <f ca="1"/>
        <v>#NAME?</v>
      </c>
      <c r="V364" s="2" t="e">
        <f ca="1"/>
        <v>#NAME?</v>
      </c>
      <c r="W364" s="2" t="e">
        <f ca="1"/>
        <v>#NAME?</v>
      </c>
      <c r="X364" s="2"/>
      <c r="Y364" s="2"/>
      <c r="Z364" s="2"/>
    </row>
    <row r="365" spans="1:26" ht="12.5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5"/>
      <c r="L365" s="15"/>
      <c r="M365" s="12" t="s">
        <v>76</v>
      </c>
      <c r="N365" s="13">
        <v>29374.16</v>
      </c>
      <c r="O365" s="14"/>
      <c r="P365" s="2"/>
      <c r="Q365" s="2"/>
      <c r="R365" s="2" t="str">
        <v/>
      </c>
      <c r="S365" s="2" t="str">
        <f ca="1">IFERROR(__xludf.DUMMYFUNCTION("""COMPUTED_VALUE"""),"")</f>
        <v/>
      </c>
      <c r="T365" s="2" t="str">
        <f ca="1">IFERROR(__xludf.DUMMYFUNCTION("""COMPUTED_VALUE"""),"")</f>
        <v/>
      </c>
      <c r="U365" s="2" t="e">
        <f ca="1"/>
        <v>#NAME?</v>
      </c>
      <c r="V365" s="2" t="e">
        <f ca="1"/>
        <v>#NAME?</v>
      </c>
      <c r="W365" s="2" t="str">
        <f ca="1"/>
        <v/>
      </c>
      <c r="X365" s="2"/>
      <c r="Y365" s="2"/>
      <c r="Z365" s="2"/>
    </row>
    <row r="366" spans="1:26" ht="12.5" x14ac:dyDescent="0.25">
      <c r="A366" s="5">
        <v>17</v>
      </c>
      <c r="B366" s="5" t="s">
        <v>257</v>
      </c>
      <c r="C366" s="6" t="s">
        <v>22</v>
      </c>
      <c r="D366" s="6" t="s">
        <v>258</v>
      </c>
      <c r="E366" s="6" t="s">
        <v>24</v>
      </c>
      <c r="F366" s="6" t="s">
        <v>25</v>
      </c>
      <c r="G366" s="6">
        <v>14</v>
      </c>
      <c r="H366" s="6" t="s">
        <v>26</v>
      </c>
      <c r="I366" s="7">
        <v>1</v>
      </c>
      <c r="J366" s="8"/>
      <c r="K366" s="9">
        <v>16444.810000000001</v>
      </c>
      <c r="L366" s="9">
        <v>16444.810000000001</v>
      </c>
      <c r="M366" s="7">
        <v>0</v>
      </c>
      <c r="N366" s="9">
        <v>16444.810000000001</v>
      </c>
      <c r="O366" s="8"/>
      <c r="P366" s="2"/>
      <c r="Q366" s="2"/>
      <c r="R366" s="2" t="str">
        <v>C9300</v>
      </c>
      <c r="S366" s="2" t="str">
        <f ca="1">IFERROR(__xludf.DUMMYFUNCTION("""COMPUTED_VALUE"""),"C9300-48U-A")</f>
        <v>C9300-48U-A</v>
      </c>
      <c r="T366" s="10">
        <f ca="1">IFERROR(__xludf.DUMMYFUNCTION("""COMPUTED_VALUE"""),1)</f>
        <v>1</v>
      </c>
      <c r="U366" s="2" t="e">
        <f ca="1"/>
        <v>#NAME?</v>
      </c>
      <c r="V366" s="2" t="e">
        <f ca="1"/>
        <v>#NAME?</v>
      </c>
      <c r="W366" s="2" t="e">
        <f ca="1"/>
        <v>#NAME?</v>
      </c>
      <c r="X366" s="2"/>
      <c r="Y366" s="2"/>
      <c r="Z366" s="2"/>
    </row>
    <row r="367" spans="1:26" ht="12.5" x14ac:dyDescent="0.25">
      <c r="A367" s="7" t="s">
        <v>259</v>
      </c>
      <c r="B367" s="6" t="s">
        <v>260</v>
      </c>
      <c r="C367" s="6" t="s">
        <v>22</v>
      </c>
      <c r="D367" s="6" t="s">
        <v>261</v>
      </c>
      <c r="E367" s="8"/>
      <c r="F367" s="6">
        <v>24</v>
      </c>
      <c r="G367" s="6" t="s">
        <v>25</v>
      </c>
      <c r="H367" s="6" t="s">
        <v>26</v>
      </c>
      <c r="I367" s="7">
        <v>1</v>
      </c>
      <c r="J367" s="8"/>
      <c r="K367" s="9">
        <v>3294.5</v>
      </c>
      <c r="L367" s="9">
        <v>3294.5</v>
      </c>
      <c r="M367" s="7">
        <v>0</v>
      </c>
      <c r="N367" s="9">
        <v>3294.5</v>
      </c>
      <c r="O367" s="6" t="s">
        <v>30</v>
      </c>
      <c r="P367" s="2"/>
      <c r="Q367" s="2"/>
      <c r="R367" s="2" t="str">
        <v>C9300</v>
      </c>
      <c r="S367" s="2" t="str">
        <f ca="1">IFERROR(__xludf.DUMMYFUNCTION("""COMPUTED_VALUE"""),"CON-L1NBD-C93004UA")</f>
        <v>CON-L1NBD-C93004UA</v>
      </c>
      <c r="T367" s="10">
        <f ca="1">IFERROR(__xludf.DUMMYFUNCTION("""COMPUTED_VALUE"""),0)</f>
        <v>0</v>
      </c>
      <c r="U367" s="2" t="e">
        <f ca="1"/>
        <v>#NAME?</v>
      </c>
      <c r="V367" s="2" t="e">
        <f ca="1"/>
        <v>#NAME?</v>
      </c>
      <c r="W367" s="2" t="e">
        <f ca="1"/>
        <v>#NAME?</v>
      </c>
      <c r="X367" s="2"/>
      <c r="Y367" s="2"/>
      <c r="Z367" s="2"/>
    </row>
    <row r="368" spans="1:26" ht="12.5" x14ac:dyDescent="0.25">
      <c r="A368" s="7">
        <v>17.100000000000001</v>
      </c>
      <c r="B368" s="6" t="s">
        <v>237</v>
      </c>
      <c r="C368" s="6" t="s">
        <v>32</v>
      </c>
      <c r="D368" s="6" t="s">
        <v>238</v>
      </c>
      <c r="E368" s="8"/>
      <c r="F368" s="6" t="s">
        <v>25</v>
      </c>
      <c r="G368" s="6">
        <v>14</v>
      </c>
      <c r="H368" s="6" t="s">
        <v>26</v>
      </c>
      <c r="I368" s="7">
        <v>1</v>
      </c>
      <c r="J368" s="8"/>
      <c r="K368" s="7">
        <v>0</v>
      </c>
      <c r="L368" s="7">
        <v>0</v>
      </c>
      <c r="M368" s="7">
        <v>0</v>
      </c>
      <c r="N368" s="9">
        <v>0</v>
      </c>
      <c r="O368" s="8"/>
      <c r="P368" s="2"/>
      <c r="Q368" s="2"/>
      <c r="R368" s="2" t="str">
        <v>C9300</v>
      </c>
      <c r="S368" s="2" t="str">
        <f ca="1">IFERROR(__xludf.DUMMYFUNCTION("""COMPUTED_VALUE"""),"C9300-DNA-A-48")</f>
        <v>C9300-DNA-A-48</v>
      </c>
      <c r="T368" s="10">
        <f ca="1">IFERROR(__xludf.DUMMYFUNCTION("""COMPUTED_VALUE"""),0)</f>
        <v>0</v>
      </c>
      <c r="U368" s="2" t="e">
        <f ca="1"/>
        <v>#NAME?</v>
      </c>
      <c r="V368" s="2" t="e">
        <f ca="1"/>
        <v>#NAME?</v>
      </c>
      <c r="W368" s="2" t="e">
        <f ca="1"/>
        <v>#NAME?</v>
      </c>
      <c r="X368" s="2"/>
      <c r="Y368" s="2"/>
      <c r="Z368" s="2"/>
    </row>
    <row r="369" spans="1:26" ht="12.5" x14ac:dyDescent="0.25">
      <c r="A369" s="7" t="s">
        <v>262</v>
      </c>
      <c r="B369" s="6" t="s">
        <v>240</v>
      </c>
      <c r="C369" s="6" t="s">
        <v>22</v>
      </c>
      <c r="D369" s="6" t="s">
        <v>158</v>
      </c>
      <c r="E369" s="8"/>
      <c r="F369" s="6">
        <v>24</v>
      </c>
      <c r="G369" s="6" t="s">
        <v>25</v>
      </c>
      <c r="H369" s="6" t="s">
        <v>26</v>
      </c>
      <c r="I369" s="7">
        <v>1</v>
      </c>
      <c r="J369" s="8"/>
      <c r="K369" s="9">
        <v>610.5</v>
      </c>
      <c r="L369" s="9">
        <v>610.5</v>
      </c>
      <c r="M369" s="7">
        <v>0</v>
      </c>
      <c r="N369" s="9">
        <v>610.5</v>
      </c>
      <c r="O369" s="6" t="s">
        <v>30</v>
      </c>
      <c r="P369" s="2"/>
      <c r="Q369" s="2"/>
      <c r="R369" s="2" t="str">
        <v>C9300</v>
      </c>
      <c r="S369" s="2" t="str">
        <f ca="1">IFERROR(__xludf.DUMMYFUNCTION("""COMPUTED_VALUE"""),"CON-L1SWT-C93A48")</f>
        <v>CON-L1SWT-C93A48</v>
      </c>
      <c r="T369" s="10">
        <f ca="1">IFERROR(__xludf.DUMMYFUNCTION("""COMPUTED_VALUE"""),0)</f>
        <v>0</v>
      </c>
      <c r="U369" s="2" t="e">
        <f ca="1"/>
        <v>#NAME?</v>
      </c>
      <c r="V369" s="2" t="e">
        <f ca="1"/>
        <v>#NAME?</v>
      </c>
      <c r="W369" s="2" t="e">
        <f ca="1"/>
        <v>#NAME?</v>
      </c>
      <c r="X369" s="2"/>
      <c r="Y369" s="2"/>
      <c r="Z369" s="2"/>
    </row>
    <row r="370" spans="1:26" ht="12.5" x14ac:dyDescent="0.25">
      <c r="A370" s="7" t="s">
        <v>263</v>
      </c>
      <c r="B370" s="6" t="s">
        <v>242</v>
      </c>
      <c r="C370" s="6" t="s">
        <v>22</v>
      </c>
      <c r="D370" s="6" t="s">
        <v>243</v>
      </c>
      <c r="E370" s="8"/>
      <c r="F370" s="6">
        <v>36</v>
      </c>
      <c r="G370" s="6" t="s">
        <v>25</v>
      </c>
      <c r="H370" s="6" t="s">
        <v>26</v>
      </c>
      <c r="I370" s="7">
        <v>1</v>
      </c>
      <c r="J370" s="8"/>
      <c r="K370" s="9">
        <v>4437.29</v>
      </c>
      <c r="L370" s="9">
        <v>4437.29</v>
      </c>
      <c r="M370" s="7">
        <v>0</v>
      </c>
      <c r="N370" s="9">
        <v>4437.29</v>
      </c>
      <c r="O370" s="8"/>
      <c r="P370" s="2"/>
      <c r="Q370" s="2"/>
      <c r="R370" s="2" t="str">
        <v>C9300</v>
      </c>
      <c r="S370" s="2" t="str">
        <f ca="1">IFERROR(__xludf.DUMMYFUNCTION("""COMPUTED_VALUE"""),"C9300-DNA-A-48-3Y")</f>
        <v>C9300-DNA-A-48-3Y</v>
      </c>
      <c r="T370" s="10">
        <f ca="1">IFERROR(__xludf.DUMMYFUNCTION("""COMPUTED_VALUE"""),0)</f>
        <v>0</v>
      </c>
      <c r="U370" s="2" t="e">
        <f ca="1"/>
        <v>#NAME?</v>
      </c>
      <c r="V370" s="2" t="e">
        <f ca="1"/>
        <v>#NAME?</v>
      </c>
      <c r="W370" s="2" t="e">
        <f ca="1"/>
        <v>#NAME?</v>
      </c>
      <c r="X370" s="2"/>
      <c r="Y370" s="2"/>
      <c r="Z370" s="2"/>
    </row>
    <row r="371" spans="1:26" ht="12.5" x14ac:dyDescent="0.25">
      <c r="A371" s="7">
        <v>17.2</v>
      </c>
      <c r="B371" s="6" t="s">
        <v>45</v>
      </c>
      <c r="C371" s="6" t="s">
        <v>32</v>
      </c>
      <c r="D371" s="6" t="s">
        <v>46</v>
      </c>
      <c r="E371" s="8"/>
      <c r="F371" s="6" t="s">
        <v>25</v>
      </c>
      <c r="G371" s="6">
        <v>14</v>
      </c>
      <c r="H371" s="6" t="s">
        <v>32</v>
      </c>
      <c r="I371" s="7">
        <v>1</v>
      </c>
      <c r="J371" s="8"/>
      <c r="K371" s="7">
        <v>0</v>
      </c>
      <c r="L371" s="7">
        <v>0</v>
      </c>
      <c r="M371" s="7">
        <v>0</v>
      </c>
      <c r="N371" s="7">
        <v>0</v>
      </c>
      <c r="O371" s="8"/>
      <c r="P371" s="2"/>
      <c r="Q371" s="2"/>
      <c r="R371" s="2" t="str">
        <v>C9300</v>
      </c>
      <c r="S371" s="2" t="str">
        <f ca="1">IFERROR(__xludf.DUMMYFUNCTION("""COMPUTED_VALUE"""),"D-DNAS-EXT-S-T")</f>
        <v>D-DNAS-EXT-S-T</v>
      </c>
      <c r="T371" s="10">
        <f ca="1">IFERROR(__xludf.DUMMYFUNCTION("""COMPUTED_VALUE"""),0)</f>
        <v>0</v>
      </c>
      <c r="U371" s="2" t="e">
        <f ca="1"/>
        <v>#NAME?</v>
      </c>
      <c r="V371" s="2" t="e">
        <f ca="1"/>
        <v>#NAME?</v>
      </c>
      <c r="W371" s="2" t="e">
        <f ca="1"/>
        <v>#NAME?</v>
      </c>
      <c r="X371" s="2"/>
      <c r="Y371" s="2"/>
      <c r="Z371" s="2"/>
    </row>
    <row r="372" spans="1:26" ht="12.5" x14ac:dyDescent="0.25">
      <c r="A372" s="7" t="s">
        <v>264</v>
      </c>
      <c r="B372" s="6" t="s">
        <v>48</v>
      </c>
      <c r="C372" s="6" t="s">
        <v>22</v>
      </c>
      <c r="D372" s="6" t="s">
        <v>49</v>
      </c>
      <c r="E372" s="8"/>
      <c r="F372" s="6">
        <v>36</v>
      </c>
      <c r="G372" s="6" t="s">
        <v>25</v>
      </c>
      <c r="H372" s="6" t="s">
        <v>26</v>
      </c>
      <c r="I372" s="7">
        <v>1</v>
      </c>
      <c r="J372" s="8"/>
      <c r="K372" s="7">
        <v>0</v>
      </c>
      <c r="L372" s="7">
        <v>0</v>
      </c>
      <c r="M372" s="7">
        <v>0</v>
      </c>
      <c r="N372" s="7">
        <v>0</v>
      </c>
      <c r="O372" s="8"/>
      <c r="P372" s="2"/>
      <c r="Q372" s="2"/>
      <c r="R372" s="2" t="str">
        <v>C9300</v>
      </c>
      <c r="S372" s="2" t="str">
        <f ca="1">IFERROR(__xludf.DUMMYFUNCTION("""COMPUTED_VALUE"""),"D-DNAS-EXT-S-3Y")</f>
        <v>D-DNAS-EXT-S-3Y</v>
      </c>
      <c r="T372" s="10">
        <f ca="1">IFERROR(__xludf.DUMMYFUNCTION("""COMPUTED_VALUE"""),0)</f>
        <v>0</v>
      </c>
      <c r="U372" s="2" t="e">
        <f ca="1"/>
        <v>#NAME?</v>
      </c>
      <c r="V372" s="2" t="e">
        <f ca="1"/>
        <v>#NAME?</v>
      </c>
      <c r="W372" s="2" t="e">
        <f ca="1"/>
        <v>#NAME?</v>
      </c>
      <c r="X372" s="2"/>
      <c r="Y372" s="2"/>
      <c r="Z372" s="2"/>
    </row>
    <row r="373" spans="1:26" ht="12.5" x14ac:dyDescent="0.25">
      <c r="A373" s="7">
        <v>17.3</v>
      </c>
      <c r="B373" s="6" t="s">
        <v>40</v>
      </c>
      <c r="C373" s="6" t="s">
        <v>32</v>
      </c>
      <c r="D373" s="6" t="s">
        <v>41</v>
      </c>
      <c r="E373" s="8"/>
      <c r="F373" s="6" t="s">
        <v>25</v>
      </c>
      <c r="G373" s="6">
        <v>14</v>
      </c>
      <c r="H373" s="6" t="s">
        <v>32</v>
      </c>
      <c r="I373" s="7">
        <v>1</v>
      </c>
      <c r="J373" s="8"/>
      <c r="K373" s="9">
        <v>0</v>
      </c>
      <c r="L373" s="9">
        <v>0</v>
      </c>
      <c r="M373" s="7">
        <v>0</v>
      </c>
      <c r="N373" s="9">
        <v>0</v>
      </c>
      <c r="O373" s="8"/>
      <c r="P373" s="2"/>
      <c r="Q373" s="2"/>
      <c r="R373" s="2" t="str">
        <v>C9300</v>
      </c>
      <c r="S373" s="2" t="str">
        <f ca="1">IFERROR(__xludf.DUMMYFUNCTION("""COMPUTED_VALUE"""),"TE-EMBEDDED-T")</f>
        <v>TE-EMBEDDED-T</v>
      </c>
      <c r="T373" s="10">
        <f ca="1">IFERROR(__xludf.DUMMYFUNCTION("""COMPUTED_VALUE"""),0)</f>
        <v>0</v>
      </c>
      <c r="U373" s="2" t="e">
        <f ca="1"/>
        <v>#NAME?</v>
      </c>
      <c r="V373" s="2" t="e">
        <f ca="1"/>
        <v>#NAME?</v>
      </c>
      <c r="W373" s="2" t="e">
        <f ca="1"/>
        <v>#NAME?</v>
      </c>
      <c r="X373" s="2"/>
      <c r="Y373" s="2"/>
      <c r="Z373" s="2"/>
    </row>
    <row r="374" spans="1:26" ht="12.5" x14ac:dyDescent="0.25">
      <c r="A374" s="7" t="s">
        <v>265</v>
      </c>
      <c r="B374" s="6" t="s">
        <v>43</v>
      </c>
      <c r="C374" s="6" t="s">
        <v>22</v>
      </c>
      <c r="D374" s="6" t="s">
        <v>44</v>
      </c>
      <c r="E374" s="8"/>
      <c r="F374" s="6">
        <v>36</v>
      </c>
      <c r="G374" s="6" t="s">
        <v>25</v>
      </c>
      <c r="H374" s="6" t="s">
        <v>26</v>
      </c>
      <c r="I374" s="7">
        <v>1</v>
      </c>
      <c r="J374" s="8"/>
      <c r="K374" s="7">
        <v>0</v>
      </c>
      <c r="L374" s="7">
        <v>0</v>
      </c>
      <c r="M374" s="7">
        <v>0</v>
      </c>
      <c r="N374" s="7">
        <v>0</v>
      </c>
      <c r="O374" s="8"/>
      <c r="P374" s="2"/>
      <c r="Q374" s="2"/>
      <c r="R374" s="2" t="str">
        <v>C9300</v>
      </c>
      <c r="S374" s="2" t="str">
        <f ca="1">IFERROR(__xludf.DUMMYFUNCTION("""COMPUTED_VALUE"""),"TE-EMBEDDED-T-3Y")</f>
        <v>TE-EMBEDDED-T-3Y</v>
      </c>
      <c r="T374" s="10">
        <f ca="1">IFERROR(__xludf.DUMMYFUNCTION("""COMPUTED_VALUE"""),0)</f>
        <v>0</v>
      </c>
      <c r="U374" s="2" t="e">
        <f ca="1"/>
        <v>#NAME?</v>
      </c>
      <c r="V374" s="2" t="e">
        <f ca="1"/>
        <v>#NAME?</v>
      </c>
      <c r="W374" s="2" t="e">
        <f ca="1"/>
        <v>#NAME?</v>
      </c>
      <c r="X374" s="2"/>
      <c r="Y374" s="2"/>
      <c r="Z374" s="2"/>
    </row>
    <row r="375" spans="1:26" ht="12.5" x14ac:dyDescent="0.25">
      <c r="A375" s="7">
        <v>17.399999999999999</v>
      </c>
      <c r="B375" s="6" t="s">
        <v>246</v>
      </c>
      <c r="C375" s="6" t="s">
        <v>32</v>
      </c>
      <c r="D375" s="6" t="s">
        <v>247</v>
      </c>
      <c r="E375" s="8"/>
      <c r="F375" s="6" t="s">
        <v>25</v>
      </c>
      <c r="G375" s="6">
        <v>14</v>
      </c>
      <c r="H375" s="6" t="s">
        <v>32</v>
      </c>
      <c r="I375" s="7">
        <v>1</v>
      </c>
      <c r="J375" s="8"/>
      <c r="K375" s="7">
        <v>0</v>
      </c>
      <c r="L375" s="7">
        <v>0</v>
      </c>
      <c r="M375" s="7">
        <v>0</v>
      </c>
      <c r="N375" s="7">
        <v>0</v>
      </c>
      <c r="O375" s="8"/>
      <c r="P375" s="2"/>
      <c r="Q375" s="2"/>
      <c r="R375" s="2" t="str">
        <v>C9300</v>
      </c>
      <c r="S375" s="2" t="str">
        <f ca="1">IFERROR(__xludf.DUMMYFUNCTION("""COMPUTED_VALUE"""),"C9300-NW-A-48")</f>
        <v>C9300-NW-A-48</v>
      </c>
      <c r="T375" s="10">
        <f ca="1">IFERROR(__xludf.DUMMYFUNCTION("""COMPUTED_VALUE"""),0)</f>
        <v>0</v>
      </c>
      <c r="U375" s="2" t="e">
        <f ca="1"/>
        <v>#NAME?</v>
      </c>
      <c r="V375" s="2" t="e">
        <f ca="1"/>
        <v>#NAME?</v>
      </c>
      <c r="W375" s="2" t="e">
        <f ca="1"/>
        <v>#NAME?</v>
      </c>
      <c r="X375" s="2"/>
      <c r="Y375" s="2"/>
      <c r="Z375" s="2"/>
    </row>
    <row r="376" spans="1:26" ht="12.5" x14ac:dyDescent="0.25">
      <c r="A376" s="7">
        <v>17.5</v>
      </c>
      <c r="B376" s="6" t="s">
        <v>191</v>
      </c>
      <c r="C376" s="6" t="s">
        <v>22</v>
      </c>
      <c r="D376" s="6" t="s">
        <v>192</v>
      </c>
      <c r="E376" s="8"/>
      <c r="F376" s="6" t="s">
        <v>25</v>
      </c>
      <c r="G376" s="6">
        <v>14</v>
      </c>
      <c r="H376" s="6" t="s">
        <v>32</v>
      </c>
      <c r="I376" s="7">
        <v>1</v>
      </c>
      <c r="J376" s="8"/>
      <c r="K376" s="7">
        <v>0</v>
      </c>
      <c r="L376" s="7">
        <v>0</v>
      </c>
      <c r="M376" s="7">
        <v>0</v>
      </c>
      <c r="N376" s="7">
        <v>0</v>
      </c>
      <c r="O376" s="8"/>
      <c r="P376" s="2"/>
      <c r="Q376" s="2"/>
      <c r="R376" s="2" t="str">
        <v>C9300</v>
      </c>
      <c r="S376" s="2" t="str">
        <f ca="1">IFERROR(__xludf.DUMMYFUNCTION("""COMPUTED_VALUE"""),"PWR-C1-1100WAC-P")</f>
        <v>PWR-C1-1100WAC-P</v>
      </c>
      <c r="T376" s="10">
        <f ca="1">IFERROR(__xludf.DUMMYFUNCTION("""COMPUTED_VALUE"""),0)</f>
        <v>0</v>
      </c>
      <c r="U376" s="2" t="e">
        <f ca="1"/>
        <v>#NAME?</v>
      </c>
      <c r="V376" s="2" t="e">
        <f ca="1"/>
        <v>#NAME?</v>
      </c>
      <c r="W376" s="2" t="e">
        <f ca="1"/>
        <v>#NAME?</v>
      </c>
      <c r="X376" s="2"/>
      <c r="Y376" s="2"/>
      <c r="Z376" s="2"/>
    </row>
    <row r="377" spans="1:26" ht="12.5" x14ac:dyDescent="0.25">
      <c r="A377" s="7">
        <v>17.600000000000001</v>
      </c>
      <c r="B377" s="6" t="s">
        <v>166</v>
      </c>
      <c r="C377" s="6" t="s">
        <v>22</v>
      </c>
      <c r="D377" s="6" t="s">
        <v>61</v>
      </c>
      <c r="E377" s="8"/>
      <c r="F377" s="6" t="s">
        <v>25</v>
      </c>
      <c r="G377" s="6">
        <v>14</v>
      </c>
      <c r="H377" s="6" t="s">
        <v>26</v>
      </c>
      <c r="I377" s="7">
        <v>1</v>
      </c>
      <c r="J377" s="8"/>
      <c r="K377" s="7">
        <v>0</v>
      </c>
      <c r="L377" s="7">
        <v>0</v>
      </c>
      <c r="M377" s="7">
        <v>0</v>
      </c>
      <c r="N377" s="7">
        <v>0</v>
      </c>
      <c r="O377" s="8"/>
      <c r="P377" s="2"/>
      <c r="Q377" s="2"/>
      <c r="R377" s="2" t="str">
        <v>C9300</v>
      </c>
      <c r="S377" s="2" t="str">
        <f ca="1">IFERROR(__xludf.DUMMYFUNCTION("""COMPUTED_VALUE"""),"C9300-SPS-NONE")</f>
        <v>C9300-SPS-NONE</v>
      </c>
      <c r="T377" s="10">
        <f ca="1">IFERROR(__xludf.DUMMYFUNCTION("""COMPUTED_VALUE"""),0)</f>
        <v>0</v>
      </c>
      <c r="U377" s="2" t="e">
        <f ca="1"/>
        <v>#NAME?</v>
      </c>
      <c r="V377" s="2" t="e">
        <f ca="1"/>
        <v>#NAME?</v>
      </c>
      <c r="W377" s="2" t="e">
        <f ca="1"/>
        <v>#NAME?</v>
      </c>
      <c r="X377" s="2"/>
      <c r="Y377" s="2"/>
      <c r="Z377" s="2"/>
    </row>
    <row r="378" spans="1:26" ht="12.5" x14ac:dyDescent="0.25">
      <c r="A378" s="7">
        <v>17.7</v>
      </c>
      <c r="B378" s="6" t="s">
        <v>62</v>
      </c>
      <c r="C378" s="6" t="s">
        <v>22</v>
      </c>
      <c r="D378" s="6" t="s">
        <v>63</v>
      </c>
      <c r="E378" s="8"/>
      <c r="F378" s="6" t="s">
        <v>25</v>
      </c>
      <c r="G378" s="6">
        <v>14</v>
      </c>
      <c r="H378" s="6" t="s">
        <v>26</v>
      </c>
      <c r="I378" s="7">
        <v>1</v>
      </c>
      <c r="J378" s="8"/>
      <c r="K378" s="7">
        <v>0</v>
      </c>
      <c r="L378" s="7">
        <v>0</v>
      </c>
      <c r="M378" s="7">
        <v>0</v>
      </c>
      <c r="N378" s="7">
        <v>0</v>
      </c>
      <c r="O378" s="8"/>
      <c r="P378" s="2"/>
      <c r="Q378" s="2"/>
      <c r="R378" s="2" t="str">
        <v>C9300</v>
      </c>
      <c r="S378" s="2" t="str">
        <f ca="1">IFERROR(__xludf.DUMMYFUNCTION("""COMPUTED_VALUE"""),"CAB-TA-EU")</f>
        <v>CAB-TA-EU</v>
      </c>
      <c r="T378" s="10">
        <f ca="1">IFERROR(__xludf.DUMMYFUNCTION("""COMPUTED_VALUE"""),0)</f>
        <v>0</v>
      </c>
      <c r="U378" s="2" t="e">
        <f ca="1"/>
        <v>#NAME?</v>
      </c>
      <c r="V378" s="2" t="e">
        <f ca="1"/>
        <v>#NAME?</v>
      </c>
      <c r="W378" s="2" t="e">
        <f ca="1"/>
        <v>#NAME?</v>
      </c>
      <c r="X378" s="2"/>
      <c r="Y378" s="2"/>
      <c r="Z378" s="2"/>
    </row>
    <row r="379" spans="1:26" ht="12.5" x14ac:dyDescent="0.25">
      <c r="A379" s="7">
        <v>17.8</v>
      </c>
      <c r="B379" s="6" t="s">
        <v>64</v>
      </c>
      <c r="C379" s="6" t="s">
        <v>22</v>
      </c>
      <c r="D379" s="6" t="s">
        <v>65</v>
      </c>
      <c r="E379" s="8"/>
      <c r="F379" s="6" t="s">
        <v>25</v>
      </c>
      <c r="G379" s="6">
        <v>14</v>
      </c>
      <c r="H379" s="6" t="s">
        <v>26</v>
      </c>
      <c r="I379" s="7">
        <v>1</v>
      </c>
      <c r="J379" s="8"/>
      <c r="K379" s="9">
        <v>3162.96</v>
      </c>
      <c r="L379" s="9">
        <v>3162.96</v>
      </c>
      <c r="M379" s="7">
        <v>0</v>
      </c>
      <c r="N379" s="9">
        <v>3162.96</v>
      </c>
      <c r="O379" s="8"/>
      <c r="P379" s="2"/>
      <c r="Q379" s="2"/>
      <c r="R379" s="2" t="str">
        <v>C9300</v>
      </c>
      <c r="S379" s="2" t="str">
        <f ca="1">IFERROR(__xludf.DUMMYFUNCTION("""COMPUTED_VALUE"""),"SSD-240G")</f>
        <v>SSD-240G</v>
      </c>
      <c r="T379" s="10">
        <f ca="1">IFERROR(__xludf.DUMMYFUNCTION("""COMPUTED_VALUE"""),0)</f>
        <v>0</v>
      </c>
      <c r="U379" s="2" t="e">
        <f ca="1"/>
        <v>#NAME?</v>
      </c>
      <c r="V379" s="2" t="e">
        <f ca="1"/>
        <v>#NAME?</v>
      </c>
      <c r="W379" s="2" t="e">
        <f ca="1"/>
        <v>#NAME?</v>
      </c>
      <c r="X379" s="2"/>
      <c r="Y379" s="2"/>
      <c r="Z379" s="2"/>
    </row>
    <row r="380" spans="1:26" ht="12.5" x14ac:dyDescent="0.25">
      <c r="A380" s="7">
        <v>17.899999999999999</v>
      </c>
      <c r="B380" s="6" t="s">
        <v>167</v>
      </c>
      <c r="C380" s="6" t="s">
        <v>22</v>
      </c>
      <c r="D380" s="6" t="s">
        <v>168</v>
      </c>
      <c r="E380" s="8"/>
      <c r="F380" s="6" t="s">
        <v>25</v>
      </c>
      <c r="G380" s="6">
        <v>14</v>
      </c>
      <c r="H380" s="6" t="s">
        <v>26</v>
      </c>
      <c r="I380" s="7">
        <v>1</v>
      </c>
      <c r="J380" s="8"/>
      <c r="K380" s="7">
        <v>121.7</v>
      </c>
      <c r="L380" s="7">
        <v>121.7</v>
      </c>
      <c r="M380" s="7">
        <v>0</v>
      </c>
      <c r="N380" s="7">
        <v>121.7</v>
      </c>
      <c r="O380" s="8"/>
      <c r="P380" s="2"/>
      <c r="Q380" s="2"/>
      <c r="R380" s="2" t="str">
        <v>C9300</v>
      </c>
      <c r="S380" s="2" t="str">
        <f ca="1">IFERROR(__xludf.DUMMYFUNCTION("""COMPUTED_VALUE"""),"STACK-T1-50CM")</f>
        <v>STACK-T1-50CM</v>
      </c>
      <c r="T380" s="10">
        <f ca="1">IFERROR(__xludf.DUMMYFUNCTION("""COMPUTED_VALUE"""),0)</f>
        <v>0</v>
      </c>
      <c r="U380" s="2" t="e">
        <f ca="1"/>
        <v>#NAME?</v>
      </c>
      <c r="V380" s="2" t="e">
        <f ca="1"/>
        <v>#NAME?</v>
      </c>
      <c r="W380" s="2" t="e">
        <f ca="1"/>
        <v>#NAME?</v>
      </c>
      <c r="X380" s="2"/>
      <c r="Y380" s="2"/>
      <c r="Z380" s="2"/>
    </row>
    <row r="381" spans="1:26" ht="12.5" x14ac:dyDescent="0.25">
      <c r="A381" s="7">
        <v>17.100000000000001</v>
      </c>
      <c r="B381" s="6" t="s">
        <v>169</v>
      </c>
      <c r="C381" s="6" t="s">
        <v>22</v>
      </c>
      <c r="D381" s="6" t="s">
        <v>170</v>
      </c>
      <c r="E381" s="8"/>
      <c r="F381" s="6" t="s">
        <v>25</v>
      </c>
      <c r="G381" s="6">
        <v>14</v>
      </c>
      <c r="H381" s="6" t="s">
        <v>26</v>
      </c>
      <c r="I381" s="7">
        <v>1</v>
      </c>
      <c r="J381" s="8"/>
      <c r="K381" s="7">
        <v>115.62</v>
      </c>
      <c r="L381" s="7">
        <v>115.62</v>
      </c>
      <c r="M381" s="7">
        <v>0</v>
      </c>
      <c r="N381" s="7">
        <v>115.62</v>
      </c>
      <c r="O381" s="8"/>
      <c r="P381" s="2"/>
      <c r="Q381" s="2"/>
      <c r="R381" s="2" t="str">
        <v>C9300</v>
      </c>
      <c r="S381" s="2" t="str">
        <f ca="1">IFERROR(__xludf.DUMMYFUNCTION("""COMPUTED_VALUE"""),"CAB-SPWR-30CM")</f>
        <v>CAB-SPWR-30CM</v>
      </c>
      <c r="T381" s="10">
        <f ca="1">IFERROR(__xludf.DUMMYFUNCTION("""COMPUTED_VALUE"""),0)</f>
        <v>0</v>
      </c>
      <c r="U381" s="2" t="e">
        <f ca="1"/>
        <v>#NAME?</v>
      </c>
      <c r="V381" s="2" t="e">
        <f ca="1"/>
        <v>#NAME?</v>
      </c>
      <c r="W381" s="2" t="e">
        <f ca="1"/>
        <v>#NAME?</v>
      </c>
      <c r="X381" s="2"/>
      <c r="Y381" s="2"/>
      <c r="Z381" s="2"/>
    </row>
    <row r="382" spans="1:26" ht="12.5" x14ac:dyDescent="0.25">
      <c r="A382" s="7">
        <v>17.11</v>
      </c>
      <c r="B382" s="6" t="s">
        <v>52</v>
      </c>
      <c r="C382" s="6" t="s">
        <v>22</v>
      </c>
      <c r="D382" s="6" t="s">
        <v>53</v>
      </c>
      <c r="E382" s="8"/>
      <c r="F382" s="6" t="s">
        <v>25</v>
      </c>
      <c r="G382" s="6">
        <v>14</v>
      </c>
      <c r="H382" s="6" t="s">
        <v>32</v>
      </c>
      <c r="I382" s="7">
        <v>1</v>
      </c>
      <c r="J382" s="8"/>
      <c r="K382" s="7">
        <v>0</v>
      </c>
      <c r="L382" s="7">
        <v>0</v>
      </c>
      <c r="M382" s="7">
        <v>0</v>
      </c>
      <c r="N382" s="7">
        <v>0</v>
      </c>
      <c r="O382" s="8"/>
      <c r="P382" s="2"/>
      <c r="Q382" s="2"/>
      <c r="R382" s="2" t="str">
        <v>C9300</v>
      </c>
      <c r="S382" s="2" t="str">
        <f ca="1">IFERROR(__xludf.DUMMYFUNCTION("""COMPUTED_VALUE"""),"PWR-C1-BLANK")</f>
        <v>PWR-C1-BLANK</v>
      </c>
      <c r="T382" s="10">
        <f ca="1">IFERROR(__xludf.DUMMYFUNCTION("""COMPUTED_VALUE"""),0)</f>
        <v>0</v>
      </c>
      <c r="U382" s="2" t="e">
        <f ca="1"/>
        <v>#NAME?</v>
      </c>
      <c r="V382" s="2" t="e">
        <f ca="1"/>
        <v>#NAME?</v>
      </c>
      <c r="W382" s="2" t="e">
        <f ca="1"/>
        <v>#NAME?</v>
      </c>
      <c r="X382" s="2"/>
      <c r="Y382" s="2"/>
      <c r="Z382" s="2"/>
    </row>
    <row r="383" spans="1:26" ht="12.5" x14ac:dyDescent="0.25">
      <c r="A383" s="7">
        <v>17.12</v>
      </c>
      <c r="B383" s="6" t="s">
        <v>86</v>
      </c>
      <c r="C383" s="6" t="s">
        <v>22</v>
      </c>
      <c r="D383" s="6" t="s">
        <v>87</v>
      </c>
      <c r="E383" s="8"/>
      <c r="F383" s="6" t="s">
        <v>25</v>
      </c>
      <c r="G383" s="6">
        <v>14</v>
      </c>
      <c r="H383" s="6" t="s">
        <v>32</v>
      </c>
      <c r="I383" s="7">
        <v>1</v>
      </c>
      <c r="J383" s="8"/>
      <c r="K383" s="9">
        <v>0</v>
      </c>
      <c r="L383" s="9">
        <v>0</v>
      </c>
      <c r="M383" s="7">
        <v>0</v>
      </c>
      <c r="N383" s="9">
        <v>0</v>
      </c>
      <c r="O383" s="8"/>
      <c r="P383" s="2"/>
      <c r="Q383" s="2"/>
      <c r="R383" s="2" t="str">
        <v>C9300</v>
      </c>
      <c r="S383" s="2" t="str">
        <f ca="1">IFERROR(__xludf.DUMMYFUNCTION("""COMPUTED_VALUE"""),"TE-C9K-SW")</f>
        <v>TE-C9K-SW</v>
      </c>
      <c r="T383" s="10">
        <f ca="1">IFERROR(__xludf.DUMMYFUNCTION("""COMPUTED_VALUE"""),0)</f>
        <v>0</v>
      </c>
      <c r="U383" s="2" t="e">
        <f ca="1"/>
        <v>#NAME?</v>
      </c>
      <c r="V383" s="2" t="e">
        <f ca="1"/>
        <v>#NAME?</v>
      </c>
      <c r="W383" s="2" t="e">
        <f ca="1"/>
        <v>#NAME?</v>
      </c>
      <c r="X383" s="2"/>
      <c r="Y383" s="2"/>
      <c r="Z383" s="2"/>
    </row>
    <row r="384" spans="1:26" ht="12.5" x14ac:dyDescent="0.25">
      <c r="A384" s="7">
        <v>17.13</v>
      </c>
      <c r="B384" s="6" t="s">
        <v>66</v>
      </c>
      <c r="C384" s="6" t="s">
        <v>22</v>
      </c>
      <c r="D384" s="6" t="s">
        <v>67</v>
      </c>
      <c r="E384" s="8"/>
      <c r="F384" s="6" t="s">
        <v>25</v>
      </c>
      <c r="G384" s="6">
        <v>14</v>
      </c>
      <c r="H384" s="6" t="s">
        <v>32</v>
      </c>
      <c r="I384" s="7">
        <v>1</v>
      </c>
      <c r="J384" s="8"/>
      <c r="K384" s="7">
        <v>0</v>
      </c>
      <c r="L384" s="7">
        <v>0</v>
      </c>
      <c r="M384" s="7">
        <v>0</v>
      </c>
      <c r="N384" s="7">
        <v>0</v>
      </c>
      <c r="O384" s="8"/>
      <c r="P384" s="2"/>
      <c r="Q384" s="2"/>
      <c r="R384" s="2" t="str">
        <v>C9300</v>
      </c>
      <c r="S384" s="2" t="str">
        <f ca="1">IFERROR(__xludf.DUMMYFUNCTION("""COMPUTED_VALUE"""),"C9K-ACC-RBFT")</f>
        <v>C9K-ACC-RBFT</v>
      </c>
      <c r="T384" s="10">
        <f ca="1">IFERROR(__xludf.DUMMYFUNCTION("""COMPUTED_VALUE"""),0)</f>
        <v>0</v>
      </c>
      <c r="U384" s="2" t="e">
        <f ca="1"/>
        <v>#NAME?</v>
      </c>
      <c r="V384" s="2" t="e">
        <f ca="1"/>
        <v>#NAME?</v>
      </c>
      <c r="W384" s="2" t="e">
        <f ca="1"/>
        <v>#NAME?</v>
      </c>
      <c r="X384" s="2"/>
      <c r="Y384" s="2"/>
      <c r="Z384" s="2"/>
    </row>
    <row r="385" spans="1:26" ht="12.5" x14ac:dyDescent="0.25">
      <c r="A385" s="7">
        <v>17.14</v>
      </c>
      <c r="B385" s="6" t="s">
        <v>68</v>
      </c>
      <c r="C385" s="6" t="s">
        <v>22</v>
      </c>
      <c r="D385" s="6" t="s">
        <v>69</v>
      </c>
      <c r="E385" s="8"/>
      <c r="F385" s="6" t="s">
        <v>25</v>
      </c>
      <c r="G385" s="6">
        <v>14</v>
      </c>
      <c r="H385" s="6" t="s">
        <v>32</v>
      </c>
      <c r="I385" s="7">
        <v>1</v>
      </c>
      <c r="J385" s="8"/>
      <c r="K385" s="7">
        <v>0</v>
      </c>
      <c r="L385" s="7">
        <v>0</v>
      </c>
      <c r="M385" s="7">
        <v>0</v>
      </c>
      <c r="N385" s="7">
        <v>0</v>
      </c>
      <c r="O385" s="8"/>
      <c r="P385" s="2"/>
      <c r="Q385" s="2"/>
      <c r="R385" s="2" t="str">
        <v>C9300</v>
      </c>
      <c r="S385" s="2" t="str">
        <f ca="1">IFERROR(__xludf.DUMMYFUNCTION("""COMPUTED_VALUE"""),"C9K-ACC-SCR-4")</f>
        <v>C9K-ACC-SCR-4</v>
      </c>
      <c r="T385" s="10">
        <f ca="1">IFERROR(__xludf.DUMMYFUNCTION("""COMPUTED_VALUE"""),0)</f>
        <v>0</v>
      </c>
      <c r="U385" s="2" t="e">
        <f ca="1"/>
        <v>#NAME?</v>
      </c>
      <c r="V385" s="2" t="e">
        <f ca="1"/>
        <v>#NAME?</v>
      </c>
      <c r="W385" s="2" t="e">
        <f ca="1"/>
        <v>#NAME?</v>
      </c>
      <c r="X385" s="2"/>
      <c r="Y385" s="2"/>
      <c r="Z385" s="2"/>
    </row>
    <row r="386" spans="1:26" ht="12.5" x14ac:dyDescent="0.25">
      <c r="A386" s="7">
        <v>17.149999999999999</v>
      </c>
      <c r="B386" s="6" t="s">
        <v>70</v>
      </c>
      <c r="C386" s="6" t="s">
        <v>22</v>
      </c>
      <c r="D386" s="6" t="s">
        <v>71</v>
      </c>
      <c r="E386" s="8"/>
      <c r="F386" s="6" t="s">
        <v>25</v>
      </c>
      <c r="G386" s="6">
        <v>14</v>
      </c>
      <c r="H386" s="6" t="s">
        <v>32</v>
      </c>
      <c r="I386" s="7">
        <v>1</v>
      </c>
      <c r="J386" s="8"/>
      <c r="K386" s="7">
        <v>0</v>
      </c>
      <c r="L386" s="7">
        <v>0</v>
      </c>
      <c r="M386" s="7">
        <v>0</v>
      </c>
      <c r="N386" s="7">
        <v>0</v>
      </c>
      <c r="O386" s="8"/>
      <c r="P386" s="2"/>
      <c r="Q386" s="2"/>
      <c r="R386" s="2" t="str">
        <v>C9300</v>
      </c>
      <c r="S386" s="2" t="str">
        <f ca="1">IFERROR(__xludf.DUMMYFUNCTION("""COMPUTED_VALUE"""),"CAB-GUIDE-1RU")</f>
        <v>CAB-GUIDE-1RU</v>
      </c>
      <c r="T386" s="10">
        <f ca="1">IFERROR(__xludf.DUMMYFUNCTION("""COMPUTED_VALUE"""),0)</f>
        <v>0</v>
      </c>
      <c r="U386" s="2" t="e">
        <f ca="1"/>
        <v>#NAME?</v>
      </c>
      <c r="V386" s="2" t="e">
        <f ca="1"/>
        <v>#NAME?</v>
      </c>
      <c r="W386" s="2" t="e">
        <f ca="1"/>
        <v>#NAME?</v>
      </c>
      <c r="X386" s="2"/>
      <c r="Y386" s="2"/>
      <c r="Z386" s="2"/>
    </row>
    <row r="387" spans="1:26" ht="12.5" x14ac:dyDescent="0.25">
      <c r="A387" s="7">
        <v>17.16</v>
      </c>
      <c r="B387" s="6" t="s">
        <v>171</v>
      </c>
      <c r="C387" s="6" t="s">
        <v>22</v>
      </c>
      <c r="D387" s="6" t="s">
        <v>172</v>
      </c>
      <c r="E387" s="8"/>
      <c r="F387" s="6" t="s">
        <v>25</v>
      </c>
      <c r="G387" s="6">
        <v>14</v>
      </c>
      <c r="H387" s="6" t="s">
        <v>26</v>
      </c>
      <c r="I387" s="7">
        <v>1</v>
      </c>
      <c r="J387" s="8"/>
      <c r="K387" s="9">
        <v>3103.4</v>
      </c>
      <c r="L387" s="9">
        <v>3103.4</v>
      </c>
      <c r="M387" s="7">
        <v>0</v>
      </c>
      <c r="N387" s="9">
        <v>3103.4</v>
      </c>
      <c r="O387" s="8"/>
      <c r="P387" s="2"/>
      <c r="Q387" s="2"/>
      <c r="R387" s="2" t="str">
        <v>C9300</v>
      </c>
      <c r="S387" s="2" t="str">
        <f ca="1">IFERROR(__xludf.DUMMYFUNCTION("""COMPUTED_VALUE"""),"C9300-NM-8X")</f>
        <v>C9300-NM-8X</v>
      </c>
      <c r="T387" s="10">
        <f ca="1">IFERROR(__xludf.DUMMYFUNCTION("""COMPUTED_VALUE"""),0)</f>
        <v>0</v>
      </c>
      <c r="U387" s="2" t="e">
        <f ca="1"/>
        <v>#NAME?</v>
      </c>
      <c r="V387" s="2" t="e">
        <f ca="1"/>
        <v>#NAME?</v>
      </c>
      <c r="W387" s="2" t="e">
        <f ca="1"/>
        <v>#NAME?</v>
      </c>
      <c r="X387" s="2"/>
      <c r="Y387" s="2"/>
      <c r="Z387" s="2"/>
    </row>
    <row r="388" spans="1:26" ht="12.5" x14ac:dyDescent="0.25">
      <c r="A388" s="7">
        <v>17.170000000000002</v>
      </c>
      <c r="B388" s="6" t="s">
        <v>72</v>
      </c>
      <c r="C388" s="6" t="s">
        <v>32</v>
      </c>
      <c r="D388" s="6" t="s">
        <v>73</v>
      </c>
      <c r="E388" s="8"/>
      <c r="F388" s="6" t="s">
        <v>25</v>
      </c>
      <c r="G388" s="6">
        <v>2</v>
      </c>
      <c r="H388" s="6" t="s">
        <v>32</v>
      </c>
      <c r="I388" s="7">
        <v>1</v>
      </c>
      <c r="J388" s="8"/>
      <c r="K388" s="7">
        <v>0</v>
      </c>
      <c r="L388" s="7">
        <v>0</v>
      </c>
      <c r="M388" s="7">
        <v>0</v>
      </c>
      <c r="N388" s="7">
        <v>0</v>
      </c>
      <c r="O388" s="8"/>
      <c r="P388" s="2"/>
      <c r="Q388" s="2"/>
      <c r="R388" s="2" t="str">
        <v>C9300</v>
      </c>
      <c r="S388" s="2" t="str">
        <f ca="1">IFERROR(__xludf.DUMMYFUNCTION("""COMPUTED_VALUE"""),"NETWORK-PNP-LIC")</f>
        <v>NETWORK-PNP-LIC</v>
      </c>
      <c r="T388" s="10">
        <f ca="1">IFERROR(__xludf.DUMMYFUNCTION("""COMPUTED_VALUE"""),0)</f>
        <v>0</v>
      </c>
      <c r="U388" s="2" t="e">
        <f ca="1"/>
        <v>#NAME?</v>
      </c>
      <c r="V388" s="2" t="e">
        <f ca="1"/>
        <v>#NAME?</v>
      </c>
      <c r="W388" s="2" t="e">
        <f ca="1"/>
        <v>#NAME?</v>
      </c>
      <c r="X388" s="2"/>
      <c r="Y388" s="2"/>
      <c r="Z388" s="2"/>
    </row>
    <row r="389" spans="1:26" ht="12.5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2" t="s">
        <v>76</v>
      </c>
      <c r="N389" s="13">
        <v>31290.78</v>
      </c>
      <c r="O389" s="14"/>
      <c r="P389" s="2"/>
      <c r="Q389" s="2"/>
      <c r="R389" s="2" t="str">
        <v/>
      </c>
      <c r="S389" s="2" t="str">
        <f ca="1">IFERROR(__xludf.DUMMYFUNCTION("""COMPUTED_VALUE"""),"")</f>
        <v/>
      </c>
      <c r="T389" s="2" t="str">
        <f ca="1">IFERROR(__xludf.DUMMYFUNCTION("""COMPUTED_VALUE"""),"")</f>
        <v/>
      </c>
      <c r="U389" s="2" t="e">
        <f ca="1"/>
        <v>#NAME?</v>
      </c>
      <c r="V389" s="2" t="e">
        <f ca="1"/>
        <v>#NAME?</v>
      </c>
      <c r="W389" s="2" t="str">
        <f ca="1"/>
        <v/>
      </c>
      <c r="X389" s="2"/>
      <c r="Y389" s="2"/>
      <c r="Z389" s="2"/>
    </row>
    <row r="390" spans="1:26" ht="12.5" x14ac:dyDescent="0.25">
      <c r="A390" s="5">
        <v>18</v>
      </c>
      <c r="B390" s="5" t="s">
        <v>266</v>
      </c>
      <c r="C390" s="6" t="s">
        <v>22</v>
      </c>
      <c r="D390" s="6" t="s">
        <v>267</v>
      </c>
      <c r="E390" s="6" t="s">
        <v>24</v>
      </c>
      <c r="F390" s="6" t="s">
        <v>25</v>
      </c>
      <c r="G390" s="6">
        <v>14</v>
      </c>
      <c r="H390" s="6" t="s">
        <v>26</v>
      </c>
      <c r="I390" s="7">
        <v>1</v>
      </c>
      <c r="J390" s="8"/>
      <c r="K390" s="9">
        <v>17275.57</v>
      </c>
      <c r="L390" s="9">
        <v>17275.57</v>
      </c>
      <c r="M390" s="7">
        <v>0</v>
      </c>
      <c r="N390" s="9">
        <v>17275.57</v>
      </c>
      <c r="O390" s="8"/>
      <c r="P390" s="2"/>
      <c r="Q390" s="2"/>
      <c r="R390" s="2" t="str">
        <v>C9300</v>
      </c>
      <c r="S390" s="2" t="str">
        <f ca="1">IFERROR(__xludf.DUMMYFUNCTION("""COMPUTED_VALUE"""),"C9300-48H-A")</f>
        <v>C9300-48H-A</v>
      </c>
      <c r="T390" s="10">
        <f ca="1">IFERROR(__xludf.DUMMYFUNCTION("""COMPUTED_VALUE"""),1)</f>
        <v>1</v>
      </c>
      <c r="U390" s="2" t="e">
        <f ca="1"/>
        <v>#NAME?</v>
      </c>
      <c r="V390" s="2" t="e">
        <f ca="1"/>
        <v>#NAME?</v>
      </c>
      <c r="W390" s="2" t="e">
        <f ca="1"/>
        <v>#NAME?</v>
      </c>
      <c r="X390" s="2"/>
      <c r="Y390" s="2"/>
      <c r="Z390" s="2"/>
    </row>
    <row r="391" spans="1:26" ht="12.5" x14ac:dyDescent="0.25">
      <c r="A391" s="7" t="s">
        <v>268</v>
      </c>
      <c r="B391" s="6" t="s">
        <v>269</v>
      </c>
      <c r="C391" s="6" t="s">
        <v>22</v>
      </c>
      <c r="D391" s="6" t="s">
        <v>270</v>
      </c>
      <c r="E391" s="8"/>
      <c r="F391" s="6">
        <v>24</v>
      </c>
      <c r="G391" s="6" t="s">
        <v>25</v>
      </c>
      <c r="H391" s="6" t="s">
        <v>26</v>
      </c>
      <c r="I391" s="7">
        <v>1</v>
      </c>
      <c r="J391" s="8"/>
      <c r="K391" s="9">
        <v>3459.5</v>
      </c>
      <c r="L391" s="9">
        <v>3459.5</v>
      </c>
      <c r="M391" s="7">
        <v>0</v>
      </c>
      <c r="N391" s="9">
        <v>3459.5</v>
      </c>
      <c r="O391" s="6" t="s">
        <v>30</v>
      </c>
      <c r="P391" s="2"/>
      <c r="Q391" s="2"/>
      <c r="R391" s="2" t="str">
        <v>C9300</v>
      </c>
      <c r="S391" s="2" t="str">
        <f ca="1">IFERROR(__xludf.DUMMYFUNCTION("""COMPUTED_VALUE"""),"CON-L1NBD-C930210K")</f>
        <v>CON-L1NBD-C930210K</v>
      </c>
      <c r="T391" s="10">
        <f ca="1">IFERROR(__xludf.DUMMYFUNCTION("""COMPUTED_VALUE"""),0)</f>
        <v>0</v>
      </c>
      <c r="U391" s="2" t="e">
        <f ca="1"/>
        <v>#NAME?</v>
      </c>
      <c r="V391" s="2" t="e">
        <f ca="1"/>
        <v>#NAME?</v>
      </c>
      <c r="W391" s="2" t="e">
        <f ca="1"/>
        <v>#NAME?</v>
      </c>
      <c r="X391" s="2"/>
      <c r="Y391" s="2"/>
      <c r="Z391" s="2"/>
    </row>
    <row r="392" spans="1:26" ht="12.5" x14ac:dyDescent="0.25">
      <c r="A392" s="7">
        <v>18.100000000000001</v>
      </c>
      <c r="B392" s="6" t="s">
        <v>246</v>
      </c>
      <c r="C392" s="6" t="s">
        <v>32</v>
      </c>
      <c r="D392" s="6" t="s">
        <v>247</v>
      </c>
      <c r="E392" s="8"/>
      <c r="F392" s="6" t="s">
        <v>25</v>
      </c>
      <c r="G392" s="6">
        <v>14</v>
      </c>
      <c r="H392" s="6" t="s">
        <v>32</v>
      </c>
      <c r="I392" s="7">
        <v>1</v>
      </c>
      <c r="J392" s="8"/>
      <c r="K392" s="7">
        <v>0</v>
      </c>
      <c r="L392" s="7">
        <v>0</v>
      </c>
      <c r="M392" s="7">
        <v>0</v>
      </c>
      <c r="N392" s="7">
        <v>0</v>
      </c>
      <c r="O392" s="8"/>
      <c r="P392" s="2"/>
      <c r="Q392" s="2"/>
      <c r="R392" s="2" t="str">
        <v>C9300</v>
      </c>
      <c r="S392" s="2" t="str">
        <f ca="1">IFERROR(__xludf.DUMMYFUNCTION("""COMPUTED_VALUE"""),"C9300-NW-A-48")</f>
        <v>C9300-NW-A-48</v>
      </c>
      <c r="T392" s="10">
        <f ca="1">IFERROR(__xludf.DUMMYFUNCTION("""COMPUTED_VALUE"""),0)</f>
        <v>0</v>
      </c>
      <c r="U392" s="2" t="e">
        <f ca="1"/>
        <v>#NAME?</v>
      </c>
      <c r="V392" s="2" t="e">
        <f ca="1"/>
        <v>#NAME?</v>
      </c>
      <c r="W392" s="2" t="e">
        <f ca="1"/>
        <v>#NAME?</v>
      </c>
      <c r="X392" s="2"/>
      <c r="Y392" s="2"/>
      <c r="Z392" s="2"/>
    </row>
    <row r="393" spans="1:26" ht="12.5" x14ac:dyDescent="0.25">
      <c r="A393" s="7">
        <v>18.2</v>
      </c>
      <c r="B393" s="6" t="s">
        <v>191</v>
      </c>
      <c r="C393" s="6" t="s">
        <v>22</v>
      </c>
      <c r="D393" s="6" t="s">
        <v>192</v>
      </c>
      <c r="E393" s="8"/>
      <c r="F393" s="6" t="s">
        <v>25</v>
      </c>
      <c r="G393" s="6">
        <v>14</v>
      </c>
      <c r="H393" s="6" t="s">
        <v>32</v>
      </c>
      <c r="I393" s="7">
        <v>1</v>
      </c>
      <c r="J393" s="8"/>
      <c r="K393" s="7">
        <v>0</v>
      </c>
      <c r="L393" s="7">
        <v>0</v>
      </c>
      <c r="M393" s="7">
        <v>0</v>
      </c>
      <c r="N393" s="9">
        <v>0</v>
      </c>
      <c r="O393" s="8"/>
      <c r="P393" s="2"/>
      <c r="Q393" s="2"/>
      <c r="R393" s="2" t="str">
        <v>C9300</v>
      </c>
      <c r="S393" s="2" t="str">
        <f ca="1">IFERROR(__xludf.DUMMYFUNCTION("""COMPUTED_VALUE"""),"PWR-C1-1100WAC-P")</f>
        <v>PWR-C1-1100WAC-P</v>
      </c>
      <c r="T393" s="10">
        <f ca="1">IFERROR(__xludf.DUMMYFUNCTION("""COMPUTED_VALUE"""),0)</f>
        <v>0</v>
      </c>
      <c r="U393" s="2" t="e">
        <f ca="1"/>
        <v>#NAME?</v>
      </c>
      <c r="V393" s="2" t="e">
        <f ca="1"/>
        <v>#NAME?</v>
      </c>
      <c r="W393" s="2" t="e">
        <f ca="1"/>
        <v>#NAME?</v>
      </c>
      <c r="X393" s="2"/>
      <c r="Y393" s="2"/>
      <c r="Z393" s="2"/>
    </row>
    <row r="394" spans="1:26" ht="12.5" x14ac:dyDescent="0.25">
      <c r="A394" s="7">
        <v>18.3</v>
      </c>
      <c r="B394" s="6" t="s">
        <v>166</v>
      </c>
      <c r="C394" s="6" t="s">
        <v>22</v>
      </c>
      <c r="D394" s="6" t="s">
        <v>61</v>
      </c>
      <c r="E394" s="8"/>
      <c r="F394" s="6" t="s">
        <v>25</v>
      </c>
      <c r="G394" s="6">
        <v>14</v>
      </c>
      <c r="H394" s="6" t="s">
        <v>26</v>
      </c>
      <c r="I394" s="7">
        <v>1</v>
      </c>
      <c r="J394" s="8"/>
      <c r="K394" s="9">
        <v>0</v>
      </c>
      <c r="L394" s="9">
        <v>0</v>
      </c>
      <c r="M394" s="7">
        <v>0</v>
      </c>
      <c r="N394" s="9">
        <v>0</v>
      </c>
      <c r="O394" s="8"/>
      <c r="P394" s="2"/>
      <c r="Q394" s="2"/>
      <c r="R394" s="2" t="str">
        <v>C9300</v>
      </c>
      <c r="S394" s="2" t="str">
        <f ca="1">IFERROR(__xludf.DUMMYFUNCTION("""COMPUTED_VALUE"""),"C9300-SPS-NONE")</f>
        <v>C9300-SPS-NONE</v>
      </c>
      <c r="T394" s="10">
        <f ca="1">IFERROR(__xludf.DUMMYFUNCTION("""COMPUTED_VALUE"""),0)</f>
        <v>0</v>
      </c>
      <c r="U394" s="2" t="e">
        <f ca="1"/>
        <v>#NAME?</v>
      </c>
      <c r="V394" s="2" t="e">
        <f ca="1"/>
        <v>#NAME?</v>
      </c>
      <c r="W394" s="2" t="e">
        <f ca="1"/>
        <v>#NAME?</v>
      </c>
      <c r="X394" s="2"/>
      <c r="Y394" s="2"/>
      <c r="Z394" s="2"/>
    </row>
    <row r="395" spans="1:26" ht="12.5" x14ac:dyDescent="0.25">
      <c r="A395" s="7">
        <v>18.399999999999999</v>
      </c>
      <c r="B395" s="6" t="s">
        <v>62</v>
      </c>
      <c r="C395" s="6" t="s">
        <v>22</v>
      </c>
      <c r="D395" s="6" t="s">
        <v>63</v>
      </c>
      <c r="E395" s="8"/>
      <c r="F395" s="6" t="s">
        <v>25</v>
      </c>
      <c r="G395" s="6">
        <v>14</v>
      </c>
      <c r="H395" s="6" t="s">
        <v>26</v>
      </c>
      <c r="I395" s="7">
        <v>1</v>
      </c>
      <c r="J395" s="8"/>
      <c r="K395" s="9">
        <v>0</v>
      </c>
      <c r="L395" s="9">
        <v>0</v>
      </c>
      <c r="M395" s="7">
        <v>0</v>
      </c>
      <c r="N395" s="9">
        <v>0</v>
      </c>
      <c r="O395" s="8"/>
      <c r="P395" s="2"/>
      <c r="Q395" s="2"/>
      <c r="R395" s="2" t="str">
        <v>C9300</v>
      </c>
      <c r="S395" s="2" t="str">
        <f ca="1">IFERROR(__xludf.DUMMYFUNCTION("""COMPUTED_VALUE"""),"CAB-TA-EU")</f>
        <v>CAB-TA-EU</v>
      </c>
      <c r="T395" s="10">
        <f ca="1">IFERROR(__xludf.DUMMYFUNCTION("""COMPUTED_VALUE"""),0)</f>
        <v>0</v>
      </c>
      <c r="U395" s="2" t="e">
        <f ca="1"/>
        <v>#NAME?</v>
      </c>
      <c r="V395" s="2" t="e">
        <f ca="1"/>
        <v>#NAME?</v>
      </c>
      <c r="W395" s="2" t="e">
        <f ca="1"/>
        <v>#NAME?</v>
      </c>
      <c r="X395" s="2"/>
      <c r="Y395" s="2"/>
      <c r="Z395" s="2"/>
    </row>
    <row r="396" spans="1:26" ht="12.5" x14ac:dyDescent="0.25">
      <c r="A396" s="7">
        <v>18.5</v>
      </c>
      <c r="B396" s="6" t="s">
        <v>64</v>
      </c>
      <c r="C396" s="6" t="s">
        <v>22</v>
      </c>
      <c r="D396" s="6" t="s">
        <v>65</v>
      </c>
      <c r="E396" s="8"/>
      <c r="F396" s="6" t="s">
        <v>25</v>
      </c>
      <c r="G396" s="6">
        <v>14</v>
      </c>
      <c r="H396" s="6" t="s">
        <v>26</v>
      </c>
      <c r="I396" s="7">
        <v>1</v>
      </c>
      <c r="J396" s="8"/>
      <c r="K396" s="9">
        <v>3162.96</v>
      </c>
      <c r="L396" s="9">
        <v>3162.96</v>
      </c>
      <c r="M396" s="7">
        <v>0</v>
      </c>
      <c r="N396" s="9">
        <v>3162.96</v>
      </c>
      <c r="O396" s="8"/>
      <c r="P396" s="2"/>
      <c r="Q396" s="2"/>
      <c r="R396" s="2" t="str">
        <v>C9300</v>
      </c>
      <c r="S396" s="2" t="str">
        <f ca="1">IFERROR(__xludf.DUMMYFUNCTION("""COMPUTED_VALUE"""),"SSD-240G")</f>
        <v>SSD-240G</v>
      </c>
      <c r="T396" s="10">
        <f ca="1">IFERROR(__xludf.DUMMYFUNCTION("""COMPUTED_VALUE"""),0)</f>
        <v>0</v>
      </c>
      <c r="U396" s="2" t="e">
        <f ca="1"/>
        <v>#NAME?</v>
      </c>
      <c r="V396" s="2" t="e">
        <f ca="1"/>
        <v>#NAME?</v>
      </c>
      <c r="W396" s="2" t="e">
        <f ca="1"/>
        <v>#NAME?</v>
      </c>
      <c r="X396" s="2"/>
      <c r="Y396" s="2"/>
      <c r="Z396" s="2"/>
    </row>
    <row r="397" spans="1:26" ht="12.5" x14ac:dyDescent="0.25">
      <c r="A397" s="7">
        <v>18.600000000000001</v>
      </c>
      <c r="B397" s="6" t="s">
        <v>167</v>
      </c>
      <c r="C397" s="6" t="s">
        <v>22</v>
      </c>
      <c r="D397" s="6" t="s">
        <v>168</v>
      </c>
      <c r="E397" s="8"/>
      <c r="F397" s="6" t="s">
        <v>25</v>
      </c>
      <c r="G397" s="6">
        <v>14</v>
      </c>
      <c r="H397" s="6" t="s">
        <v>26</v>
      </c>
      <c r="I397" s="7">
        <v>1</v>
      </c>
      <c r="J397" s="8"/>
      <c r="K397" s="7">
        <v>121.7</v>
      </c>
      <c r="L397" s="7">
        <v>121.7</v>
      </c>
      <c r="M397" s="7">
        <v>0</v>
      </c>
      <c r="N397" s="7">
        <v>121.7</v>
      </c>
      <c r="O397" s="8"/>
      <c r="P397" s="2"/>
      <c r="Q397" s="2"/>
      <c r="R397" s="2" t="str">
        <v>C9300</v>
      </c>
      <c r="S397" s="2" t="str">
        <f ca="1">IFERROR(__xludf.DUMMYFUNCTION("""COMPUTED_VALUE"""),"STACK-T1-50CM")</f>
        <v>STACK-T1-50CM</v>
      </c>
      <c r="T397" s="10">
        <f ca="1">IFERROR(__xludf.DUMMYFUNCTION("""COMPUTED_VALUE"""),0)</f>
        <v>0</v>
      </c>
      <c r="U397" s="2" t="e">
        <f ca="1"/>
        <v>#NAME?</v>
      </c>
      <c r="V397" s="2" t="e">
        <f ca="1"/>
        <v>#NAME?</v>
      </c>
      <c r="W397" s="2" t="e">
        <f ca="1"/>
        <v>#NAME?</v>
      </c>
      <c r="X397" s="2"/>
      <c r="Y397" s="2"/>
      <c r="Z397" s="2"/>
    </row>
    <row r="398" spans="1:26" ht="12.5" x14ac:dyDescent="0.25">
      <c r="A398" s="7">
        <v>18.7</v>
      </c>
      <c r="B398" s="6" t="s">
        <v>169</v>
      </c>
      <c r="C398" s="6" t="s">
        <v>22</v>
      </c>
      <c r="D398" s="6" t="s">
        <v>170</v>
      </c>
      <c r="E398" s="8"/>
      <c r="F398" s="6" t="s">
        <v>25</v>
      </c>
      <c r="G398" s="6">
        <v>14</v>
      </c>
      <c r="H398" s="6" t="s">
        <v>26</v>
      </c>
      <c r="I398" s="7">
        <v>1</v>
      </c>
      <c r="J398" s="8"/>
      <c r="K398" s="7">
        <v>115.62</v>
      </c>
      <c r="L398" s="7">
        <v>115.62</v>
      </c>
      <c r="M398" s="7">
        <v>0</v>
      </c>
      <c r="N398" s="7">
        <v>115.62</v>
      </c>
      <c r="O398" s="8"/>
      <c r="P398" s="2"/>
      <c r="Q398" s="2"/>
      <c r="R398" s="2" t="str">
        <v>C9300</v>
      </c>
      <c r="S398" s="2" t="str">
        <f ca="1">IFERROR(__xludf.DUMMYFUNCTION("""COMPUTED_VALUE"""),"CAB-SPWR-30CM")</f>
        <v>CAB-SPWR-30CM</v>
      </c>
      <c r="T398" s="10">
        <f ca="1">IFERROR(__xludf.DUMMYFUNCTION("""COMPUTED_VALUE"""),0)</f>
        <v>0</v>
      </c>
      <c r="U398" s="2" t="e">
        <f ca="1"/>
        <v>#NAME?</v>
      </c>
      <c r="V398" s="2" t="e">
        <f ca="1"/>
        <v>#NAME?</v>
      </c>
      <c r="W398" s="2" t="e">
        <f ca="1"/>
        <v>#NAME?</v>
      </c>
      <c r="X398" s="2"/>
      <c r="Y398" s="2"/>
      <c r="Z398" s="2"/>
    </row>
    <row r="399" spans="1:26" ht="12.5" x14ac:dyDescent="0.25">
      <c r="A399" s="7">
        <v>18.8</v>
      </c>
      <c r="B399" s="6" t="s">
        <v>90</v>
      </c>
      <c r="C399" s="6" t="s">
        <v>22</v>
      </c>
      <c r="D399" s="6" t="s">
        <v>91</v>
      </c>
      <c r="E399" s="8"/>
      <c r="F399" s="6" t="s">
        <v>25</v>
      </c>
      <c r="G399" s="6">
        <v>14</v>
      </c>
      <c r="H399" s="6" t="s">
        <v>26</v>
      </c>
      <c r="I399" s="7">
        <v>1</v>
      </c>
      <c r="J399" s="8"/>
      <c r="K399" s="7">
        <v>0</v>
      </c>
      <c r="L399" s="7">
        <v>0</v>
      </c>
      <c r="M399" s="7">
        <v>0</v>
      </c>
      <c r="N399" s="7">
        <v>0</v>
      </c>
      <c r="O399" s="8"/>
      <c r="P399" s="2"/>
      <c r="Q399" s="2"/>
      <c r="R399" s="2" t="str">
        <v>C9300</v>
      </c>
      <c r="S399" s="2" t="str">
        <f ca="1">IFERROR(__xludf.DUMMYFUNCTION("""COMPUTED_VALUE"""),"C9300-ACCKIT-NONE")</f>
        <v>C9300-ACCKIT-NONE</v>
      </c>
      <c r="T399" s="10">
        <f ca="1">IFERROR(__xludf.DUMMYFUNCTION("""COMPUTED_VALUE"""),0)</f>
        <v>0</v>
      </c>
      <c r="U399" s="2" t="e">
        <f ca="1"/>
        <v>#NAME?</v>
      </c>
      <c r="V399" s="2" t="e">
        <f ca="1"/>
        <v>#NAME?</v>
      </c>
      <c r="W399" s="2" t="e">
        <f ca="1"/>
        <v>#NAME?</v>
      </c>
      <c r="X399" s="2"/>
      <c r="Y399" s="2"/>
      <c r="Z399" s="2"/>
    </row>
    <row r="400" spans="1:26" ht="12.5" x14ac:dyDescent="0.25">
      <c r="A400" s="7">
        <v>18.899999999999999</v>
      </c>
      <c r="B400" s="6" t="s">
        <v>52</v>
      </c>
      <c r="C400" s="6" t="s">
        <v>22</v>
      </c>
      <c r="D400" s="6" t="s">
        <v>53</v>
      </c>
      <c r="E400" s="8"/>
      <c r="F400" s="6" t="s">
        <v>25</v>
      </c>
      <c r="G400" s="6">
        <v>14</v>
      </c>
      <c r="H400" s="6" t="s">
        <v>32</v>
      </c>
      <c r="I400" s="7">
        <v>1</v>
      </c>
      <c r="J400" s="8"/>
      <c r="K400" s="7">
        <v>0</v>
      </c>
      <c r="L400" s="7">
        <v>0</v>
      </c>
      <c r="M400" s="7">
        <v>0</v>
      </c>
      <c r="N400" s="7">
        <v>0</v>
      </c>
      <c r="O400" s="8"/>
      <c r="P400" s="2"/>
      <c r="Q400" s="2"/>
      <c r="R400" s="2" t="str">
        <v>C9300</v>
      </c>
      <c r="S400" s="2" t="str">
        <f ca="1">IFERROR(__xludf.DUMMYFUNCTION("""COMPUTED_VALUE"""),"PWR-C1-BLANK")</f>
        <v>PWR-C1-BLANK</v>
      </c>
      <c r="T400" s="10">
        <f ca="1">IFERROR(__xludf.DUMMYFUNCTION("""COMPUTED_VALUE"""),0)</f>
        <v>0</v>
      </c>
      <c r="U400" s="2" t="e">
        <f ca="1"/>
        <v>#NAME?</v>
      </c>
      <c r="V400" s="2" t="e">
        <f ca="1"/>
        <v>#NAME?</v>
      </c>
      <c r="W400" s="2" t="e">
        <f ca="1"/>
        <v>#NAME?</v>
      </c>
      <c r="X400" s="2"/>
      <c r="Y400" s="2"/>
      <c r="Z400" s="2"/>
    </row>
    <row r="401" spans="1:26" ht="12.5" x14ac:dyDescent="0.25">
      <c r="A401" s="7">
        <v>18.100000000000001</v>
      </c>
      <c r="B401" s="6" t="s">
        <v>86</v>
      </c>
      <c r="C401" s="6" t="s">
        <v>22</v>
      </c>
      <c r="D401" s="6" t="s">
        <v>87</v>
      </c>
      <c r="E401" s="8"/>
      <c r="F401" s="6" t="s">
        <v>25</v>
      </c>
      <c r="G401" s="6">
        <v>14</v>
      </c>
      <c r="H401" s="6" t="s">
        <v>32</v>
      </c>
      <c r="I401" s="7">
        <v>1</v>
      </c>
      <c r="J401" s="8"/>
      <c r="K401" s="9">
        <v>0</v>
      </c>
      <c r="L401" s="9">
        <v>0</v>
      </c>
      <c r="M401" s="7">
        <v>0</v>
      </c>
      <c r="N401" s="9">
        <v>0</v>
      </c>
      <c r="O401" s="8"/>
      <c r="P401" s="2"/>
      <c r="Q401" s="2"/>
      <c r="R401" s="2" t="str">
        <v>C9300</v>
      </c>
      <c r="S401" s="2" t="str">
        <f ca="1">IFERROR(__xludf.DUMMYFUNCTION("""COMPUTED_VALUE"""),"TE-C9K-SW")</f>
        <v>TE-C9K-SW</v>
      </c>
      <c r="T401" s="10">
        <f ca="1">IFERROR(__xludf.DUMMYFUNCTION("""COMPUTED_VALUE"""),0)</f>
        <v>0</v>
      </c>
      <c r="U401" s="2" t="e">
        <f ca="1"/>
        <v>#NAME?</v>
      </c>
      <c r="V401" s="2" t="e">
        <f ca="1"/>
        <v>#NAME?</v>
      </c>
      <c r="W401" s="2" t="e">
        <f ca="1"/>
        <v>#NAME?</v>
      </c>
      <c r="X401" s="2"/>
      <c r="Y401" s="2"/>
      <c r="Z401" s="2"/>
    </row>
    <row r="402" spans="1:26" ht="12.5" x14ac:dyDescent="0.25">
      <c r="A402" s="7">
        <v>18.11</v>
      </c>
      <c r="B402" s="6" t="s">
        <v>203</v>
      </c>
      <c r="C402" s="6" t="s">
        <v>22</v>
      </c>
      <c r="D402" s="6" t="s">
        <v>204</v>
      </c>
      <c r="E402" s="8"/>
      <c r="F402" s="6" t="s">
        <v>25</v>
      </c>
      <c r="G402" s="6">
        <v>14</v>
      </c>
      <c r="H402" s="6" t="s">
        <v>32</v>
      </c>
      <c r="I402" s="7">
        <v>1</v>
      </c>
      <c r="J402" s="8"/>
      <c r="K402" s="7">
        <v>0</v>
      </c>
      <c r="L402" s="7">
        <v>0</v>
      </c>
      <c r="M402" s="7">
        <v>0</v>
      </c>
      <c r="N402" s="7">
        <v>0</v>
      </c>
      <c r="O402" s="8"/>
      <c r="P402" s="2"/>
      <c r="Q402" s="2"/>
      <c r="R402" s="2" t="str">
        <v>C9300</v>
      </c>
      <c r="S402" s="2" t="str">
        <f ca="1">IFERROR(__xludf.DUMMYFUNCTION("""COMPUTED_VALUE"""),"C9K-SMART-BUILDING")</f>
        <v>C9K-SMART-BUILDING</v>
      </c>
      <c r="T402" s="10">
        <f ca="1">IFERROR(__xludf.DUMMYFUNCTION("""COMPUTED_VALUE"""),0)</f>
        <v>0</v>
      </c>
      <c r="U402" s="2" t="e">
        <f ca="1"/>
        <v>#NAME?</v>
      </c>
      <c r="V402" s="2" t="e">
        <f ca="1"/>
        <v>#NAME?</v>
      </c>
      <c r="W402" s="2" t="e">
        <f ca="1"/>
        <v>#NAME?</v>
      </c>
      <c r="X402" s="2"/>
      <c r="Y402" s="2"/>
      <c r="Z402" s="2"/>
    </row>
    <row r="403" spans="1:26" ht="12.5" x14ac:dyDescent="0.25">
      <c r="A403" s="7">
        <v>18.12</v>
      </c>
      <c r="B403" s="6" t="s">
        <v>237</v>
      </c>
      <c r="C403" s="6" t="s">
        <v>32</v>
      </c>
      <c r="D403" s="6" t="s">
        <v>238</v>
      </c>
      <c r="E403" s="8"/>
      <c r="F403" s="6" t="s">
        <v>25</v>
      </c>
      <c r="G403" s="6">
        <v>14</v>
      </c>
      <c r="H403" s="6" t="s">
        <v>26</v>
      </c>
      <c r="I403" s="7">
        <v>1</v>
      </c>
      <c r="J403" s="8"/>
      <c r="K403" s="7">
        <v>0</v>
      </c>
      <c r="L403" s="7">
        <v>0</v>
      </c>
      <c r="M403" s="7">
        <v>0</v>
      </c>
      <c r="N403" s="7">
        <v>0</v>
      </c>
      <c r="O403" s="8"/>
      <c r="P403" s="2"/>
      <c r="Q403" s="2"/>
      <c r="R403" s="2" t="str">
        <v>C9300</v>
      </c>
      <c r="S403" s="2" t="str">
        <f ca="1">IFERROR(__xludf.DUMMYFUNCTION("""COMPUTED_VALUE"""),"C9300-DNA-A-48")</f>
        <v>C9300-DNA-A-48</v>
      </c>
      <c r="T403" s="10">
        <f ca="1">IFERROR(__xludf.DUMMYFUNCTION("""COMPUTED_VALUE"""),0)</f>
        <v>0</v>
      </c>
      <c r="U403" s="2" t="e">
        <f ca="1"/>
        <v>#NAME?</v>
      </c>
      <c r="V403" s="2" t="e">
        <f ca="1"/>
        <v>#NAME?</v>
      </c>
      <c r="W403" s="2" t="e">
        <f ca="1"/>
        <v>#NAME?</v>
      </c>
      <c r="X403" s="2"/>
      <c r="Y403" s="2"/>
      <c r="Z403" s="2"/>
    </row>
    <row r="404" spans="1:26" ht="12.5" x14ac:dyDescent="0.25">
      <c r="A404" s="7" t="s">
        <v>271</v>
      </c>
      <c r="B404" s="6" t="s">
        <v>240</v>
      </c>
      <c r="C404" s="6" t="s">
        <v>22</v>
      </c>
      <c r="D404" s="6" t="s">
        <v>158</v>
      </c>
      <c r="E404" s="8"/>
      <c r="F404" s="6">
        <v>24</v>
      </c>
      <c r="G404" s="6" t="s">
        <v>25</v>
      </c>
      <c r="H404" s="6" t="s">
        <v>26</v>
      </c>
      <c r="I404" s="7">
        <v>1</v>
      </c>
      <c r="J404" s="8"/>
      <c r="K404" s="7">
        <v>610.5</v>
      </c>
      <c r="L404" s="7">
        <v>610.5</v>
      </c>
      <c r="M404" s="7">
        <v>0</v>
      </c>
      <c r="N404" s="7">
        <v>610.5</v>
      </c>
      <c r="O404" s="6" t="s">
        <v>30</v>
      </c>
      <c r="P404" s="2"/>
      <c r="Q404" s="2"/>
      <c r="R404" s="2" t="str">
        <v>C9300</v>
      </c>
      <c r="S404" s="2" t="str">
        <f ca="1">IFERROR(__xludf.DUMMYFUNCTION("""COMPUTED_VALUE"""),"CON-L1SWT-C93A48")</f>
        <v>CON-L1SWT-C93A48</v>
      </c>
      <c r="T404" s="10">
        <f ca="1">IFERROR(__xludf.DUMMYFUNCTION("""COMPUTED_VALUE"""),0)</f>
        <v>0</v>
      </c>
      <c r="U404" s="2" t="e">
        <f ca="1"/>
        <v>#NAME?</v>
      </c>
      <c r="V404" s="2" t="e">
        <f ca="1"/>
        <v>#NAME?</v>
      </c>
      <c r="W404" s="2" t="e">
        <f ca="1"/>
        <v>#NAME?</v>
      </c>
      <c r="X404" s="2"/>
      <c r="Y404" s="2"/>
      <c r="Z404" s="2"/>
    </row>
    <row r="405" spans="1:26" ht="12.5" x14ac:dyDescent="0.25">
      <c r="A405" s="7" t="s">
        <v>272</v>
      </c>
      <c r="B405" s="6" t="s">
        <v>242</v>
      </c>
      <c r="C405" s="6" t="s">
        <v>22</v>
      </c>
      <c r="D405" s="6" t="s">
        <v>243</v>
      </c>
      <c r="E405" s="8"/>
      <c r="F405" s="6">
        <v>36</v>
      </c>
      <c r="G405" s="6" t="s">
        <v>25</v>
      </c>
      <c r="H405" s="6" t="s">
        <v>26</v>
      </c>
      <c r="I405" s="7">
        <v>1</v>
      </c>
      <c r="J405" s="8"/>
      <c r="K405" s="9">
        <v>4437.29</v>
      </c>
      <c r="L405" s="9">
        <v>4437.29</v>
      </c>
      <c r="M405" s="7">
        <v>0</v>
      </c>
      <c r="N405" s="9">
        <v>4437.29</v>
      </c>
      <c r="O405" s="8"/>
      <c r="P405" s="2"/>
      <c r="Q405" s="2"/>
      <c r="R405" s="2" t="str">
        <v>C9300</v>
      </c>
      <c r="S405" s="2" t="str">
        <f ca="1">IFERROR(__xludf.DUMMYFUNCTION("""COMPUTED_VALUE"""),"C9300-DNA-A-48-3Y")</f>
        <v>C9300-DNA-A-48-3Y</v>
      </c>
      <c r="T405" s="10">
        <f ca="1">IFERROR(__xludf.DUMMYFUNCTION("""COMPUTED_VALUE"""),0)</f>
        <v>0</v>
      </c>
      <c r="U405" s="2" t="e">
        <f ca="1"/>
        <v>#NAME?</v>
      </c>
      <c r="V405" s="2" t="e">
        <f ca="1"/>
        <v>#NAME?</v>
      </c>
      <c r="W405" s="2" t="e">
        <f ca="1"/>
        <v>#NAME?</v>
      </c>
      <c r="X405" s="2"/>
      <c r="Y405" s="2"/>
      <c r="Z405" s="2"/>
    </row>
    <row r="406" spans="1:26" ht="12.5" x14ac:dyDescent="0.25">
      <c r="A406" s="7">
        <v>18.13</v>
      </c>
      <c r="B406" s="6" t="s">
        <v>45</v>
      </c>
      <c r="C406" s="6" t="s">
        <v>32</v>
      </c>
      <c r="D406" s="6" t="s">
        <v>46</v>
      </c>
      <c r="E406" s="8"/>
      <c r="F406" s="6" t="s">
        <v>25</v>
      </c>
      <c r="G406" s="6">
        <v>14</v>
      </c>
      <c r="H406" s="6" t="s">
        <v>32</v>
      </c>
      <c r="I406" s="7">
        <v>1</v>
      </c>
      <c r="J406" s="8"/>
      <c r="K406" s="7">
        <v>0</v>
      </c>
      <c r="L406" s="7">
        <v>0</v>
      </c>
      <c r="M406" s="7">
        <v>0</v>
      </c>
      <c r="N406" s="7">
        <v>0</v>
      </c>
      <c r="O406" s="8"/>
      <c r="P406" s="2"/>
      <c r="Q406" s="2"/>
      <c r="R406" s="2" t="str">
        <v>C9300</v>
      </c>
      <c r="S406" s="2" t="str">
        <f ca="1">IFERROR(__xludf.DUMMYFUNCTION("""COMPUTED_VALUE"""),"D-DNAS-EXT-S-T")</f>
        <v>D-DNAS-EXT-S-T</v>
      </c>
      <c r="T406" s="10">
        <f ca="1">IFERROR(__xludf.DUMMYFUNCTION("""COMPUTED_VALUE"""),0)</f>
        <v>0</v>
      </c>
      <c r="U406" s="2" t="e">
        <f ca="1"/>
        <v>#NAME?</v>
      </c>
      <c r="V406" s="2" t="e">
        <f ca="1"/>
        <v>#NAME?</v>
      </c>
      <c r="W406" s="2" t="e">
        <f ca="1"/>
        <v>#NAME?</v>
      </c>
      <c r="X406" s="2"/>
      <c r="Y406" s="2"/>
      <c r="Z406" s="2"/>
    </row>
    <row r="407" spans="1:26" ht="12.5" x14ac:dyDescent="0.25">
      <c r="A407" s="7" t="s">
        <v>273</v>
      </c>
      <c r="B407" s="6" t="s">
        <v>48</v>
      </c>
      <c r="C407" s="6" t="s">
        <v>22</v>
      </c>
      <c r="D407" s="6" t="s">
        <v>49</v>
      </c>
      <c r="E407" s="8"/>
      <c r="F407" s="6">
        <v>36</v>
      </c>
      <c r="G407" s="6" t="s">
        <v>25</v>
      </c>
      <c r="H407" s="6" t="s">
        <v>26</v>
      </c>
      <c r="I407" s="7">
        <v>1</v>
      </c>
      <c r="J407" s="8"/>
      <c r="K407" s="7">
        <v>0</v>
      </c>
      <c r="L407" s="7">
        <v>0</v>
      </c>
      <c r="M407" s="7">
        <v>0</v>
      </c>
      <c r="N407" s="7">
        <v>0</v>
      </c>
      <c r="O407" s="8"/>
      <c r="P407" s="2"/>
      <c r="Q407" s="2"/>
      <c r="R407" s="2" t="str">
        <v>C9300</v>
      </c>
      <c r="S407" s="2" t="str">
        <f ca="1">IFERROR(__xludf.DUMMYFUNCTION("""COMPUTED_VALUE"""),"D-DNAS-EXT-S-3Y")</f>
        <v>D-DNAS-EXT-S-3Y</v>
      </c>
      <c r="T407" s="10">
        <f ca="1">IFERROR(__xludf.DUMMYFUNCTION("""COMPUTED_VALUE"""),0)</f>
        <v>0</v>
      </c>
      <c r="U407" s="2" t="e">
        <f ca="1"/>
        <v>#NAME?</v>
      </c>
      <c r="V407" s="2" t="e">
        <f ca="1"/>
        <v>#NAME?</v>
      </c>
      <c r="W407" s="2" t="e">
        <f ca="1"/>
        <v>#NAME?</v>
      </c>
      <c r="X407" s="2"/>
      <c r="Y407" s="2"/>
      <c r="Z407" s="2"/>
    </row>
    <row r="408" spans="1:26" ht="12.5" x14ac:dyDescent="0.25">
      <c r="A408" s="7">
        <v>18.14</v>
      </c>
      <c r="B408" s="6" t="s">
        <v>40</v>
      </c>
      <c r="C408" s="6" t="s">
        <v>32</v>
      </c>
      <c r="D408" s="6" t="s">
        <v>41</v>
      </c>
      <c r="E408" s="8"/>
      <c r="F408" s="6" t="s">
        <v>25</v>
      </c>
      <c r="G408" s="6">
        <v>14</v>
      </c>
      <c r="H408" s="6" t="s">
        <v>32</v>
      </c>
      <c r="I408" s="7">
        <v>1</v>
      </c>
      <c r="J408" s="8"/>
      <c r="K408" s="7">
        <v>0</v>
      </c>
      <c r="L408" s="7">
        <v>0</v>
      </c>
      <c r="M408" s="7">
        <v>0</v>
      </c>
      <c r="N408" s="7">
        <v>0</v>
      </c>
      <c r="O408" s="8"/>
      <c r="P408" s="2"/>
      <c r="Q408" s="2"/>
      <c r="R408" s="2" t="str">
        <v>C9300</v>
      </c>
      <c r="S408" s="2" t="str">
        <f ca="1">IFERROR(__xludf.DUMMYFUNCTION("""COMPUTED_VALUE"""),"TE-EMBEDDED-T")</f>
        <v>TE-EMBEDDED-T</v>
      </c>
      <c r="T408" s="10">
        <f ca="1">IFERROR(__xludf.DUMMYFUNCTION("""COMPUTED_VALUE"""),0)</f>
        <v>0</v>
      </c>
      <c r="U408" s="2" t="e">
        <f ca="1"/>
        <v>#NAME?</v>
      </c>
      <c r="V408" s="2" t="e">
        <f ca="1"/>
        <v>#NAME?</v>
      </c>
      <c r="W408" s="2" t="e">
        <f ca="1"/>
        <v>#NAME?</v>
      </c>
      <c r="X408" s="2"/>
      <c r="Y408" s="2"/>
      <c r="Z408" s="2"/>
    </row>
    <row r="409" spans="1:26" ht="12.5" x14ac:dyDescent="0.25">
      <c r="A409" s="7" t="s">
        <v>274</v>
      </c>
      <c r="B409" s="6" t="s">
        <v>43</v>
      </c>
      <c r="C409" s="6" t="s">
        <v>22</v>
      </c>
      <c r="D409" s="6" t="s">
        <v>44</v>
      </c>
      <c r="E409" s="8"/>
      <c r="F409" s="6">
        <v>36</v>
      </c>
      <c r="G409" s="6" t="s">
        <v>25</v>
      </c>
      <c r="H409" s="6" t="s">
        <v>26</v>
      </c>
      <c r="I409" s="7">
        <v>1</v>
      </c>
      <c r="J409" s="8"/>
      <c r="K409" s="7">
        <v>0</v>
      </c>
      <c r="L409" s="7">
        <v>0</v>
      </c>
      <c r="M409" s="7">
        <v>0</v>
      </c>
      <c r="N409" s="7">
        <v>0</v>
      </c>
      <c r="O409" s="8"/>
      <c r="P409" s="2"/>
      <c r="Q409" s="2"/>
      <c r="R409" s="2" t="str">
        <v>C9300</v>
      </c>
      <c r="S409" s="2" t="str">
        <f ca="1">IFERROR(__xludf.DUMMYFUNCTION("""COMPUTED_VALUE"""),"TE-EMBEDDED-T-3Y")</f>
        <v>TE-EMBEDDED-T-3Y</v>
      </c>
      <c r="T409" s="10">
        <f ca="1">IFERROR(__xludf.DUMMYFUNCTION("""COMPUTED_VALUE"""),0)</f>
        <v>0</v>
      </c>
      <c r="U409" s="2" t="e">
        <f ca="1"/>
        <v>#NAME?</v>
      </c>
      <c r="V409" s="2" t="e">
        <f ca="1"/>
        <v>#NAME?</v>
      </c>
      <c r="W409" s="2" t="e">
        <f ca="1"/>
        <v>#NAME?</v>
      </c>
      <c r="X409" s="2"/>
      <c r="Y409" s="2"/>
      <c r="Z409" s="2"/>
    </row>
    <row r="410" spans="1:26" ht="12.5" x14ac:dyDescent="0.25">
      <c r="A410" s="7">
        <v>18.149999999999999</v>
      </c>
      <c r="B410" s="6" t="s">
        <v>171</v>
      </c>
      <c r="C410" s="6" t="s">
        <v>22</v>
      </c>
      <c r="D410" s="6" t="s">
        <v>172</v>
      </c>
      <c r="E410" s="8"/>
      <c r="F410" s="6" t="s">
        <v>25</v>
      </c>
      <c r="G410" s="6">
        <v>14</v>
      </c>
      <c r="H410" s="6" t="s">
        <v>26</v>
      </c>
      <c r="I410" s="7">
        <v>1</v>
      </c>
      <c r="J410" s="8"/>
      <c r="K410" s="9">
        <v>3103.4</v>
      </c>
      <c r="L410" s="9">
        <v>3103.4</v>
      </c>
      <c r="M410" s="7">
        <v>0</v>
      </c>
      <c r="N410" s="9">
        <v>3103.4</v>
      </c>
      <c r="O410" s="8"/>
      <c r="P410" s="2"/>
      <c r="Q410" s="2"/>
      <c r="R410" s="2" t="str">
        <v>C9300</v>
      </c>
      <c r="S410" s="2" t="str">
        <f ca="1">IFERROR(__xludf.DUMMYFUNCTION("""COMPUTED_VALUE"""),"C9300-NM-8X")</f>
        <v>C9300-NM-8X</v>
      </c>
      <c r="T410" s="10">
        <f ca="1">IFERROR(__xludf.DUMMYFUNCTION("""COMPUTED_VALUE"""),0)</f>
        <v>0</v>
      </c>
      <c r="U410" s="2" t="e">
        <f ca="1"/>
        <v>#NAME?</v>
      </c>
      <c r="V410" s="2" t="e">
        <f ca="1"/>
        <v>#NAME?</v>
      </c>
      <c r="W410" s="2" t="e">
        <f ca="1"/>
        <v>#NAME?</v>
      </c>
      <c r="X410" s="2"/>
      <c r="Y410" s="2"/>
      <c r="Z410" s="2"/>
    </row>
    <row r="411" spans="1:26" ht="12.5" x14ac:dyDescent="0.25">
      <c r="A411" s="7">
        <v>18.16</v>
      </c>
      <c r="B411" s="6" t="s">
        <v>72</v>
      </c>
      <c r="C411" s="6" t="s">
        <v>32</v>
      </c>
      <c r="D411" s="6" t="s">
        <v>73</v>
      </c>
      <c r="E411" s="8"/>
      <c r="F411" s="6" t="s">
        <v>25</v>
      </c>
      <c r="G411" s="6">
        <v>2</v>
      </c>
      <c r="H411" s="6" t="s">
        <v>32</v>
      </c>
      <c r="I411" s="7">
        <v>1</v>
      </c>
      <c r="J411" s="8"/>
      <c r="K411" s="7">
        <v>0</v>
      </c>
      <c r="L411" s="7">
        <v>0</v>
      </c>
      <c r="M411" s="7">
        <v>0</v>
      </c>
      <c r="N411" s="7">
        <v>0</v>
      </c>
      <c r="O411" s="8"/>
      <c r="P411" s="2"/>
      <c r="Q411" s="2"/>
      <c r="R411" s="2" t="str">
        <v>C9300</v>
      </c>
      <c r="S411" s="2" t="str">
        <f ca="1">IFERROR(__xludf.DUMMYFUNCTION("""COMPUTED_VALUE"""),"NETWORK-PNP-LIC")</f>
        <v>NETWORK-PNP-LIC</v>
      </c>
      <c r="T411" s="10">
        <f ca="1">IFERROR(__xludf.DUMMYFUNCTION("""COMPUTED_VALUE"""),0)</f>
        <v>0</v>
      </c>
      <c r="U411" s="2" t="e">
        <f ca="1"/>
        <v>#NAME?</v>
      </c>
      <c r="V411" s="2" t="e">
        <f ca="1"/>
        <v>#NAME?</v>
      </c>
      <c r="W411" s="2" t="e">
        <f ca="1"/>
        <v>#NAME?</v>
      </c>
      <c r="X411" s="2"/>
      <c r="Y411" s="2"/>
      <c r="Z411" s="2"/>
    </row>
    <row r="412" spans="1:26" ht="12.5" x14ac:dyDescent="0.25">
      <c r="A412" s="7">
        <v>18.170000000000002</v>
      </c>
      <c r="B412" s="6" t="s">
        <v>193</v>
      </c>
      <c r="C412" s="6" t="s">
        <v>22</v>
      </c>
      <c r="D412" s="6" t="s">
        <v>75</v>
      </c>
      <c r="E412" s="8"/>
      <c r="F412" s="6" t="s">
        <v>25</v>
      </c>
      <c r="G412" s="6">
        <v>14</v>
      </c>
      <c r="H412" s="6" t="s">
        <v>32</v>
      </c>
      <c r="I412" s="7">
        <v>1</v>
      </c>
      <c r="J412" s="8"/>
      <c r="K412" s="7">
        <v>0</v>
      </c>
      <c r="L412" s="7">
        <v>0</v>
      </c>
      <c r="M412" s="7">
        <v>0</v>
      </c>
      <c r="N412" s="7">
        <v>0</v>
      </c>
      <c r="O412" s="8"/>
      <c r="P412" s="2"/>
      <c r="Q412" s="2"/>
      <c r="R412" s="2" t="str">
        <v>C9300</v>
      </c>
      <c r="S412" s="2" t="str">
        <f ca="1">IFERROR(__xludf.DUMMYFUNCTION("""COMPUTED_VALUE"""),"SC9300UK9-1718")</f>
        <v>SC9300UK9-1718</v>
      </c>
      <c r="T412" s="10">
        <f ca="1">IFERROR(__xludf.DUMMYFUNCTION("""COMPUTED_VALUE"""),0)</f>
        <v>0</v>
      </c>
      <c r="U412" s="2" t="e">
        <f ca="1"/>
        <v>#NAME?</v>
      </c>
      <c r="V412" s="2" t="e">
        <f ca="1"/>
        <v>#NAME?</v>
      </c>
      <c r="W412" s="2" t="e">
        <f ca="1"/>
        <v>#NAME?</v>
      </c>
      <c r="X412" s="2"/>
      <c r="Y412" s="2"/>
      <c r="Z412" s="2"/>
    </row>
    <row r="413" spans="1:26" ht="12.5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2" t="s">
        <v>76</v>
      </c>
      <c r="N413" s="13">
        <v>32286.54</v>
      </c>
      <c r="O413" s="14"/>
      <c r="P413" s="2"/>
      <c r="Q413" s="2"/>
      <c r="R413" s="2" t="str">
        <v/>
      </c>
      <c r="S413" s="2" t="str">
        <f ca="1">IFERROR(__xludf.DUMMYFUNCTION("""COMPUTED_VALUE"""),"")</f>
        <v/>
      </c>
      <c r="T413" s="2" t="str">
        <f ca="1">IFERROR(__xludf.DUMMYFUNCTION("""COMPUTED_VALUE"""),"")</f>
        <v/>
      </c>
      <c r="U413" s="2" t="e">
        <f ca="1"/>
        <v>#NAME?</v>
      </c>
      <c r="V413" s="2" t="e">
        <f ca="1"/>
        <v>#NAME?</v>
      </c>
      <c r="W413" s="2" t="str">
        <f ca="1"/>
        <v/>
      </c>
      <c r="X413" s="2"/>
      <c r="Y413" s="2"/>
      <c r="Z413" s="2"/>
    </row>
    <row r="414" spans="1:26" ht="12.5" x14ac:dyDescent="0.25">
      <c r="A414" s="5">
        <v>19</v>
      </c>
      <c r="B414" s="5" t="s">
        <v>275</v>
      </c>
      <c r="C414" s="6" t="s">
        <v>22</v>
      </c>
      <c r="D414" s="6" t="s">
        <v>276</v>
      </c>
      <c r="E414" s="6" t="s">
        <v>24</v>
      </c>
      <c r="F414" s="6" t="s">
        <v>25</v>
      </c>
      <c r="G414" s="6">
        <v>14</v>
      </c>
      <c r="H414" s="6" t="s">
        <v>26</v>
      </c>
      <c r="I414" s="7">
        <v>1</v>
      </c>
      <c r="J414" s="8"/>
      <c r="K414" s="9">
        <v>38128.400000000001</v>
      </c>
      <c r="L414" s="9">
        <v>38128.400000000001</v>
      </c>
      <c r="M414" s="7">
        <v>0</v>
      </c>
      <c r="N414" s="9">
        <v>38128.400000000001</v>
      </c>
      <c r="O414" s="8"/>
      <c r="P414" s="2"/>
      <c r="Q414" s="2"/>
      <c r="R414" s="2" t="str">
        <v>C9300</v>
      </c>
      <c r="S414" s="2" t="str">
        <f ca="1">IFERROR(__xludf.DUMMYFUNCTION("""COMPUTED_VALUE"""),"C9300-48S-A")</f>
        <v>C9300-48S-A</v>
      </c>
      <c r="T414" s="10">
        <f ca="1">IFERROR(__xludf.DUMMYFUNCTION("""COMPUTED_VALUE"""),1)</f>
        <v>1</v>
      </c>
      <c r="U414" s="2" t="e">
        <f ca="1"/>
        <v>#NAME?</v>
      </c>
      <c r="V414" s="2" t="e">
        <f ca="1"/>
        <v>#NAME?</v>
      </c>
      <c r="W414" s="2" t="e">
        <f ca="1"/>
        <v>#NAME?</v>
      </c>
      <c r="X414" s="2"/>
      <c r="Y414" s="2"/>
      <c r="Z414" s="2"/>
    </row>
    <row r="415" spans="1:26" ht="12.5" x14ac:dyDescent="0.25">
      <c r="A415" s="7" t="s">
        <v>277</v>
      </c>
      <c r="B415" s="6" t="s">
        <v>278</v>
      </c>
      <c r="C415" s="6" t="s">
        <v>22</v>
      </c>
      <c r="D415" s="6" t="s">
        <v>279</v>
      </c>
      <c r="E415" s="8"/>
      <c r="F415" s="6">
        <v>24</v>
      </c>
      <c r="G415" s="6" t="s">
        <v>25</v>
      </c>
      <c r="H415" s="6" t="s">
        <v>26</v>
      </c>
      <c r="I415" s="7">
        <v>1</v>
      </c>
      <c r="J415" s="8"/>
      <c r="K415" s="9">
        <v>7636.76</v>
      </c>
      <c r="L415" s="9">
        <v>7636.76</v>
      </c>
      <c r="M415" s="7">
        <v>0</v>
      </c>
      <c r="N415" s="9">
        <v>7636.76</v>
      </c>
      <c r="O415" s="6" t="s">
        <v>30</v>
      </c>
      <c r="P415" s="2"/>
      <c r="Q415" s="2"/>
      <c r="R415" s="2" t="str">
        <v>C9300</v>
      </c>
      <c r="S415" s="2" t="str">
        <f ca="1">IFERROR(__xludf.DUMMYFUNCTION("""COMPUTED_VALUE"""),"CON-L1NBD-C93004SA")</f>
        <v>CON-L1NBD-C93004SA</v>
      </c>
      <c r="T415" s="10">
        <f ca="1">IFERROR(__xludf.DUMMYFUNCTION("""COMPUTED_VALUE"""),0)</f>
        <v>0</v>
      </c>
      <c r="U415" s="2" t="e">
        <f ca="1"/>
        <v>#NAME?</v>
      </c>
      <c r="V415" s="2" t="e">
        <f ca="1"/>
        <v>#NAME?</v>
      </c>
      <c r="W415" s="2" t="e">
        <f ca="1"/>
        <v>#NAME?</v>
      </c>
      <c r="X415" s="2"/>
      <c r="Y415" s="2"/>
      <c r="Z415" s="2"/>
    </row>
    <row r="416" spans="1:26" ht="12.5" x14ac:dyDescent="0.25">
      <c r="A416" s="7">
        <v>19.100000000000001</v>
      </c>
      <c r="B416" s="6" t="s">
        <v>246</v>
      </c>
      <c r="C416" s="6" t="s">
        <v>32</v>
      </c>
      <c r="D416" s="6" t="s">
        <v>247</v>
      </c>
      <c r="E416" s="8"/>
      <c r="F416" s="6" t="s">
        <v>25</v>
      </c>
      <c r="G416" s="6">
        <v>14</v>
      </c>
      <c r="H416" s="6" t="s">
        <v>32</v>
      </c>
      <c r="I416" s="7">
        <v>1</v>
      </c>
      <c r="J416" s="8"/>
      <c r="K416" s="7">
        <v>0</v>
      </c>
      <c r="L416" s="7">
        <v>0</v>
      </c>
      <c r="M416" s="7">
        <v>0</v>
      </c>
      <c r="N416" s="7">
        <v>0</v>
      </c>
      <c r="O416" s="8"/>
      <c r="P416" s="2"/>
      <c r="Q416" s="2"/>
      <c r="R416" s="2" t="str">
        <v>C9300</v>
      </c>
      <c r="S416" s="2" t="str">
        <f ca="1">IFERROR(__xludf.DUMMYFUNCTION("""COMPUTED_VALUE"""),"C9300-NW-A-48")</f>
        <v>C9300-NW-A-48</v>
      </c>
      <c r="T416" s="10">
        <f ca="1">IFERROR(__xludf.DUMMYFUNCTION("""COMPUTED_VALUE"""),0)</f>
        <v>0</v>
      </c>
      <c r="U416" s="2" t="e">
        <f ca="1"/>
        <v>#NAME?</v>
      </c>
      <c r="V416" s="2" t="e">
        <f ca="1"/>
        <v>#NAME?</v>
      </c>
      <c r="W416" s="2" t="e">
        <f ca="1"/>
        <v>#NAME?</v>
      </c>
      <c r="X416" s="2"/>
      <c r="Y416" s="2"/>
      <c r="Z416" s="2"/>
    </row>
    <row r="417" spans="1:26" ht="12.5" x14ac:dyDescent="0.25">
      <c r="A417" s="7">
        <v>19.2</v>
      </c>
      <c r="B417" s="6" t="s">
        <v>193</v>
      </c>
      <c r="C417" s="6" t="s">
        <v>22</v>
      </c>
      <c r="D417" s="6" t="s">
        <v>75</v>
      </c>
      <c r="E417" s="8"/>
      <c r="F417" s="6" t="s">
        <v>25</v>
      </c>
      <c r="G417" s="6">
        <v>14</v>
      </c>
      <c r="H417" s="6" t="s">
        <v>32</v>
      </c>
      <c r="I417" s="7">
        <v>1</v>
      </c>
      <c r="J417" s="8"/>
      <c r="K417" s="7">
        <v>0</v>
      </c>
      <c r="L417" s="7">
        <v>0</v>
      </c>
      <c r="M417" s="7">
        <v>0</v>
      </c>
      <c r="N417" s="9">
        <v>0</v>
      </c>
      <c r="O417" s="8"/>
      <c r="P417" s="2"/>
      <c r="Q417" s="2"/>
      <c r="R417" s="2" t="str">
        <v>C9300</v>
      </c>
      <c r="S417" s="2" t="str">
        <f ca="1">IFERROR(__xludf.DUMMYFUNCTION("""COMPUTED_VALUE"""),"SC9300UK9-1718")</f>
        <v>SC9300UK9-1718</v>
      </c>
      <c r="T417" s="10">
        <f ca="1">IFERROR(__xludf.DUMMYFUNCTION("""COMPUTED_VALUE"""),0)</f>
        <v>0</v>
      </c>
      <c r="U417" s="2" t="e">
        <f ca="1"/>
        <v>#NAME?</v>
      </c>
      <c r="V417" s="2" t="e">
        <f ca="1"/>
        <v>#NAME?</v>
      </c>
      <c r="W417" s="2" t="e">
        <f ca="1"/>
        <v>#NAME?</v>
      </c>
      <c r="X417" s="2"/>
      <c r="Y417" s="2"/>
      <c r="Z417" s="2"/>
    </row>
    <row r="418" spans="1:26" ht="12.5" x14ac:dyDescent="0.25">
      <c r="A418" s="7">
        <v>19.3</v>
      </c>
      <c r="B418" s="6" t="s">
        <v>52</v>
      </c>
      <c r="C418" s="6" t="s">
        <v>22</v>
      </c>
      <c r="D418" s="6" t="s">
        <v>53</v>
      </c>
      <c r="E418" s="8"/>
      <c r="F418" s="6" t="s">
        <v>25</v>
      </c>
      <c r="G418" s="6">
        <v>14</v>
      </c>
      <c r="H418" s="6" t="s">
        <v>32</v>
      </c>
      <c r="I418" s="7">
        <v>1</v>
      </c>
      <c r="J418" s="8"/>
      <c r="K418" s="9">
        <v>0</v>
      </c>
      <c r="L418" s="9">
        <v>0</v>
      </c>
      <c r="M418" s="7">
        <v>0</v>
      </c>
      <c r="N418" s="9">
        <v>0</v>
      </c>
      <c r="O418" s="8"/>
      <c r="P418" s="2"/>
      <c r="Q418" s="2"/>
      <c r="R418" s="2" t="str">
        <v>C9300</v>
      </c>
      <c r="S418" s="2" t="str">
        <f ca="1">IFERROR(__xludf.DUMMYFUNCTION("""COMPUTED_VALUE"""),"PWR-C1-BLANK")</f>
        <v>PWR-C1-BLANK</v>
      </c>
      <c r="T418" s="10">
        <f ca="1">IFERROR(__xludf.DUMMYFUNCTION("""COMPUTED_VALUE"""),0)</f>
        <v>0</v>
      </c>
      <c r="U418" s="2" t="e">
        <f ca="1"/>
        <v>#NAME?</v>
      </c>
      <c r="V418" s="2" t="e">
        <f ca="1"/>
        <v>#NAME?</v>
      </c>
      <c r="W418" s="2" t="e">
        <f ca="1"/>
        <v>#NAME?</v>
      </c>
      <c r="X418" s="2"/>
      <c r="Y418" s="2"/>
      <c r="Z418" s="2"/>
    </row>
    <row r="419" spans="1:26" ht="12.5" x14ac:dyDescent="0.25">
      <c r="A419" s="7">
        <v>19.399999999999999</v>
      </c>
      <c r="B419" s="6" t="s">
        <v>86</v>
      </c>
      <c r="C419" s="6" t="s">
        <v>22</v>
      </c>
      <c r="D419" s="6" t="s">
        <v>87</v>
      </c>
      <c r="E419" s="8"/>
      <c r="F419" s="6" t="s">
        <v>25</v>
      </c>
      <c r="G419" s="6">
        <v>14</v>
      </c>
      <c r="H419" s="6" t="s">
        <v>32</v>
      </c>
      <c r="I419" s="7">
        <v>1</v>
      </c>
      <c r="J419" s="8"/>
      <c r="K419" s="9">
        <v>0</v>
      </c>
      <c r="L419" s="9">
        <v>0</v>
      </c>
      <c r="M419" s="7">
        <v>0</v>
      </c>
      <c r="N419" s="9">
        <v>0</v>
      </c>
      <c r="O419" s="8"/>
      <c r="P419" s="2"/>
      <c r="Q419" s="2"/>
      <c r="R419" s="2" t="str">
        <v>C9300</v>
      </c>
      <c r="S419" s="2" t="str">
        <f ca="1">IFERROR(__xludf.DUMMYFUNCTION("""COMPUTED_VALUE"""),"TE-C9K-SW")</f>
        <v>TE-C9K-SW</v>
      </c>
      <c r="T419" s="10">
        <f ca="1">IFERROR(__xludf.DUMMYFUNCTION("""COMPUTED_VALUE"""),0)</f>
        <v>0</v>
      </c>
      <c r="U419" s="2" t="e">
        <f ca="1"/>
        <v>#NAME?</v>
      </c>
      <c r="V419" s="2" t="e">
        <f ca="1"/>
        <v>#NAME?</v>
      </c>
      <c r="W419" s="2" t="e">
        <f ca="1"/>
        <v>#NAME?</v>
      </c>
      <c r="X419" s="2"/>
      <c r="Y419" s="2"/>
      <c r="Z419" s="2"/>
    </row>
    <row r="420" spans="1:26" ht="12.5" x14ac:dyDescent="0.25">
      <c r="A420" s="7">
        <v>19.5</v>
      </c>
      <c r="B420" s="6" t="s">
        <v>88</v>
      </c>
      <c r="C420" s="6" t="s">
        <v>22</v>
      </c>
      <c r="D420" s="6" t="s">
        <v>89</v>
      </c>
      <c r="E420" s="8"/>
      <c r="F420" s="6" t="s">
        <v>25</v>
      </c>
      <c r="G420" s="6">
        <v>14</v>
      </c>
      <c r="H420" s="6" t="s">
        <v>32</v>
      </c>
      <c r="I420" s="7">
        <v>1</v>
      </c>
      <c r="J420" s="8"/>
      <c r="K420" s="7">
        <v>0</v>
      </c>
      <c r="L420" s="7">
        <v>0</v>
      </c>
      <c r="M420" s="7">
        <v>0</v>
      </c>
      <c r="N420" s="7">
        <v>0</v>
      </c>
      <c r="O420" s="8"/>
      <c r="P420" s="2"/>
      <c r="Q420" s="2"/>
      <c r="R420" s="2" t="str">
        <v>C9300</v>
      </c>
      <c r="S420" s="2" t="str">
        <f ca="1">IFERROR(__xludf.DUMMYFUNCTION("""COMPUTED_VALUE"""),"PWR-C1-715WAC-P")</f>
        <v>PWR-C1-715WAC-P</v>
      </c>
      <c r="T420" s="10">
        <f ca="1">IFERROR(__xludf.DUMMYFUNCTION("""COMPUTED_VALUE"""),0)</f>
        <v>0</v>
      </c>
      <c r="U420" s="2" t="e">
        <f ca="1"/>
        <v>#NAME?</v>
      </c>
      <c r="V420" s="2" t="e">
        <f ca="1"/>
        <v>#NAME?</v>
      </c>
      <c r="W420" s="2" t="e">
        <f ca="1"/>
        <v>#NAME?</v>
      </c>
      <c r="X420" s="2"/>
      <c r="Y420" s="2"/>
      <c r="Z420" s="2"/>
    </row>
    <row r="421" spans="1:26" ht="12.5" x14ac:dyDescent="0.25">
      <c r="A421" s="7">
        <v>19.600000000000001</v>
      </c>
      <c r="B421" s="6" t="s">
        <v>166</v>
      </c>
      <c r="C421" s="6" t="s">
        <v>22</v>
      </c>
      <c r="D421" s="6" t="s">
        <v>61</v>
      </c>
      <c r="E421" s="8"/>
      <c r="F421" s="6" t="s">
        <v>25</v>
      </c>
      <c r="G421" s="6">
        <v>14</v>
      </c>
      <c r="H421" s="6" t="s">
        <v>32</v>
      </c>
      <c r="I421" s="7">
        <v>1</v>
      </c>
      <c r="J421" s="8"/>
      <c r="K421" s="7">
        <v>0</v>
      </c>
      <c r="L421" s="7">
        <v>0</v>
      </c>
      <c r="M421" s="7">
        <v>0</v>
      </c>
      <c r="N421" s="7">
        <v>0</v>
      </c>
      <c r="O421" s="8"/>
      <c r="P421" s="2"/>
      <c r="Q421" s="2"/>
      <c r="R421" s="2" t="str">
        <v>C9300</v>
      </c>
      <c r="S421" s="2" t="str">
        <f ca="1">IFERROR(__xludf.DUMMYFUNCTION("""COMPUTED_VALUE"""),"C9300-SPS-NONE")</f>
        <v>C9300-SPS-NONE</v>
      </c>
      <c r="T421" s="10">
        <f ca="1">IFERROR(__xludf.DUMMYFUNCTION("""COMPUTED_VALUE"""),0)</f>
        <v>0</v>
      </c>
      <c r="U421" s="2" t="e">
        <f ca="1"/>
        <v>#NAME?</v>
      </c>
      <c r="V421" s="2" t="e">
        <f ca="1"/>
        <v>#NAME?</v>
      </c>
      <c r="W421" s="2" t="e">
        <f ca="1"/>
        <v>#NAME?</v>
      </c>
      <c r="X421" s="2"/>
      <c r="Y421" s="2"/>
      <c r="Z421" s="2"/>
    </row>
    <row r="422" spans="1:26" ht="12.5" x14ac:dyDescent="0.25">
      <c r="A422" s="7">
        <v>19.7</v>
      </c>
      <c r="B422" s="6" t="s">
        <v>62</v>
      </c>
      <c r="C422" s="6" t="s">
        <v>22</v>
      </c>
      <c r="D422" s="6" t="s">
        <v>63</v>
      </c>
      <c r="E422" s="8"/>
      <c r="F422" s="6" t="s">
        <v>25</v>
      </c>
      <c r="G422" s="6">
        <v>14</v>
      </c>
      <c r="H422" s="6" t="s">
        <v>26</v>
      </c>
      <c r="I422" s="7">
        <v>1</v>
      </c>
      <c r="J422" s="8"/>
      <c r="K422" s="7">
        <v>0</v>
      </c>
      <c r="L422" s="7">
        <v>0</v>
      </c>
      <c r="M422" s="7">
        <v>0</v>
      </c>
      <c r="N422" s="7">
        <v>0</v>
      </c>
      <c r="O422" s="8"/>
      <c r="P422" s="2"/>
      <c r="Q422" s="2"/>
      <c r="R422" s="2" t="str">
        <v>C9300</v>
      </c>
      <c r="S422" s="2" t="str">
        <f ca="1">IFERROR(__xludf.DUMMYFUNCTION("""COMPUTED_VALUE"""),"CAB-TA-EU")</f>
        <v>CAB-TA-EU</v>
      </c>
      <c r="T422" s="10">
        <f ca="1">IFERROR(__xludf.DUMMYFUNCTION("""COMPUTED_VALUE"""),0)</f>
        <v>0</v>
      </c>
      <c r="U422" s="2" t="e">
        <f ca="1"/>
        <v>#NAME?</v>
      </c>
      <c r="V422" s="2" t="e">
        <f ca="1"/>
        <v>#NAME?</v>
      </c>
      <c r="W422" s="2" t="e">
        <f ca="1"/>
        <v>#NAME?</v>
      </c>
      <c r="X422" s="2"/>
      <c r="Y422" s="2"/>
      <c r="Z422" s="2"/>
    </row>
    <row r="423" spans="1:26" ht="12.5" x14ac:dyDescent="0.25">
      <c r="A423" s="7">
        <v>19.8</v>
      </c>
      <c r="B423" s="6" t="s">
        <v>171</v>
      </c>
      <c r="C423" s="6" t="s">
        <v>22</v>
      </c>
      <c r="D423" s="6" t="s">
        <v>172</v>
      </c>
      <c r="E423" s="8"/>
      <c r="F423" s="6" t="s">
        <v>25</v>
      </c>
      <c r="G423" s="6">
        <v>14</v>
      </c>
      <c r="H423" s="6" t="s">
        <v>26</v>
      </c>
      <c r="I423" s="7">
        <v>1</v>
      </c>
      <c r="J423" s="8"/>
      <c r="K423" s="9">
        <v>3103.4</v>
      </c>
      <c r="L423" s="9">
        <v>3103.4</v>
      </c>
      <c r="M423" s="7">
        <v>0</v>
      </c>
      <c r="N423" s="9">
        <v>3103.4</v>
      </c>
      <c r="O423" s="8"/>
      <c r="P423" s="2"/>
      <c r="Q423" s="2"/>
      <c r="R423" s="2" t="str">
        <v>C9300</v>
      </c>
      <c r="S423" s="2" t="str">
        <f ca="1">IFERROR(__xludf.DUMMYFUNCTION("""COMPUTED_VALUE"""),"C9300-NM-8X")</f>
        <v>C9300-NM-8X</v>
      </c>
      <c r="T423" s="10">
        <f ca="1">IFERROR(__xludf.DUMMYFUNCTION("""COMPUTED_VALUE"""),0)</f>
        <v>0</v>
      </c>
      <c r="U423" s="2" t="e">
        <f ca="1"/>
        <v>#NAME?</v>
      </c>
      <c r="V423" s="2" t="e">
        <f ca="1"/>
        <v>#NAME?</v>
      </c>
      <c r="W423" s="2" t="e">
        <f ca="1"/>
        <v>#NAME?</v>
      </c>
      <c r="X423" s="2"/>
      <c r="Y423" s="2"/>
      <c r="Z423" s="2"/>
    </row>
    <row r="424" spans="1:26" ht="12.5" x14ac:dyDescent="0.25">
      <c r="A424" s="7">
        <v>19.899999999999999</v>
      </c>
      <c r="B424" s="6" t="s">
        <v>167</v>
      </c>
      <c r="C424" s="6" t="s">
        <v>22</v>
      </c>
      <c r="D424" s="6" t="s">
        <v>168</v>
      </c>
      <c r="E424" s="8"/>
      <c r="F424" s="6" t="s">
        <v>25</v>
      </c>
      <c r="G424" s="6">
        <v>14</v>
      </c>
      <c r="H424" s="6" t="s">
        <v>26</v>
      </c>
      <c r="I424" s="7">
        <v>1</v>
      </c>
      <c r="J424" s="8"/>
      <c r="K424" s="7">
        <v>121.7</v>
      </c>
      <c r="L424" s="7">
        <v>121.7</v>
      </c>
      <c r="M424" s="7">
        <v>0</v>
      </c>
      <c r="N424" s="7">
        <v>121.7</v>
      </c>
      <c r="O424" s="8"/>
      <c r="P424" s="2"/>
      <c r="Q424" s="2"/>
      <c r="R424" s="2" t="str">
        <v>C9300</v>
      </c>
      <c r="S424" s="2" t="str">
        <f ca="1">IFERROR(__xludf.DUMMYFUNCTION("""COMPUTED_VALUE"""),"STACK-T1-50CM")</f>
        <v>STACK-T1-50CM</v>
      </c>
      <c r="T424" s="10">
        <f ca="1">IFERROR(__xludf.DUMMYFUNCTION("""COMPUTED_VALUE"""),0)</f>
        <v>0</v>
      </c>
      <c r="U424" s="2" t="e">
        <f ca="1"/>
        <v>#NAME?</v>
      </c>
      <c r="V424" s="2" t="e">
        <f ca="1"/>
        <v>#NAME?</v>
      </c>
      <c r="W424" s="2" t="e">
        <f ca="1"/>
        <v>#NAME?</v>
      </c>
      <c r="X424" s="2"/>
      <c r="Y424" s="2"/>
      <c r="Z424" s="2"/>
    </row>
    <row r="425" spans="1:26" ht="12.5" x14ac:dyDescent="0.25">
      <c r="A425" s="7">
        <v>19.100000000000001</v>
      </c>
      <c r="B425" s="6" t="s">
        <v>219</v>
      </c>
      <c r="C425" s="6" t="s">
        <v>22</v>
      </c>
      <c r="D425" s="6" t="s">
        <v>220</v>
      </c>
      <c r="E425" s="8"/>
      <c r="F425" s="6" t="s">
        <v>25</v>
      </c>
      <c r="G425" s="6">
        <v>14</v>
      </c>
      <c r="H425" s="6" t="s">
        <v>26</v>
      </c>
      <c r="I425" s="7">
        <v>1</v>
      </c>
      <c r="J425" s="8"/>
      <c r="K425" s="7">
        <v>121.7</v>
      </c>
      <c r="L425" s="7">
        <v>121.7</v>
      </c>
      <c r="M425" s="7">
        <v>0</v>
      </c>
      <c r="N425" s="7">
        <v>121.7</v>
      </c>
      <c r="O425" s="8"/>
      <c r="P425" s="2"/>
      <c r="Q425" s="2"/>
      <c r="R425" s="2" t="str">
        <v>C9300</v>
      </c>
      <c r="S425" s="2" t="str">
        <f ca="1">IFERROR(__xludf.DUMMYFUNCTION("""COMPUTED_VALUE"""),"CAB-SPWR-150CM")</f>
        <v>CAB-SPWR-150CM</v>
      </c>
      <c r="T425" s="10">
        <f ca="1">IFERROR(__xludf.DUMMYFUNCTION("""COMPUTED_VALUE"""),0)</f>
        <v>0</v>
      </c>
      <c r="U425" s="2" t="e">
        <f ca="1"/>
        <v>#NAME?</v>
      </c>
      <c r="V425" s="2" t="e">
        <f ca="1"/>
        <v>#NAME?</v>
      </c>
      <c r="W425" s="2" t="e">
        <f ca="1"/>
        <v>#NAME?</v>
      </c>
      <c r="X425" s="2"/>
      <c r="Y425" s="2"/>
      <c r="Z425" s="2"/>
    </row>
    <row r="426" spans="1:26" ht="12.5" x14ac:dyDescent="0.25">
      <c r="A426" s="7">
        <v>19.11</v>
      </c>
      <c r="B426" s="6" t="s">
        <v>64</v>
      </c>
      <c r="C426" s="6" t="s">
        <v>22</v>
      </c>
      <c r="D426" s="6" t="s">
        <v>65</v>
      </c>
      <c r="E426" s="8"/>
      <c r="F426" s="6" t="s">
        <v>25</v>
      </c>
      <c r="G426" s="6">
        <v>14</v>
      </c>
      <c r="H426" s="6" t="s">
        <v>26</v>
      </c>
      <c r="I426" s="7">
        <v>1</v>
      </c>
      <c r="J426" s="8"/>
      <c r="K426" s="9">
        <v>3162.96</v>
      </c>
      <c r="L426" s="9">
        <v>3162.96</v>
      </c>
      <c r="M426" s="7">
        <v>0</v>
      </c>
      <c r="N426" s="9">
        <v>3162.96</v>
      </c>
      <c r="O426" s="8"/>
      <c r="P426" s="2"/>
      <c r="Q426" s="2"/>
      <c r="R426" s="2" t="str">
        <v>C9300</v>
      </c>
      <c r="S426" s="2" t="str">
        <f ca="1">IFERROR(__xludf.DUMMYFUNCTION("""COMPUTED_VALUE"""),"SSD-240G")</f>
        <v>SSD-240G</v>
      </c>
      <c r="T426" s="10">
        <f ca="1">IFERROR(__xludf.DUMMYFUNCTION("""COMPUTED_VALUE"""),0)</f>
        <v>0</v>
      </c>
      <c r="U426" s="2" t="e">
        <f ca="1"/>
        <v>#NAME?</v>
      </c>
      <c r="V426" s="2" t="e">
        <f ca="1"/>
        <v>#NAME?</v>
      </c>
      <c r="W426" s="2" t="e">
        <f ca="1"/>
        <v>#NAME?</v>
      </c>
      <c r="X426" s="2"/>
      <c r="Y426" s="2"/>
      <c r="Z426" s="2"/>
    </row>
    <row r="427" spans="1:26" ht="12.5" x14ac:dyDescent="0.25">
      <c r="A427" s="7">
        <v>19.12</v>
      </c>
      <c r="B427" s="6" t="s">
        <v>66</v>
      </c>
      <c r="C427" s="6" t="s">
        <v>22</v>
      </c>
      <c r="D427" s="6" t="s">
        <v>67</v>
      </c>
      <c r="E427" s="8"/>
      <c r="F427" s="6" t="s">
        <v>25</v>
      </c>
      <c r="G427" s="6">
        <v>14</v>
      </c>
      <c r="H427" s="6" t="s">
        <v>32</v>
      </c>
      <c r="I427" s="7">
        <v>1</v>
      </c>
      <c r="J427" s="8"/>
      <c r="K427" s="9">
        <v>0</v>
      </c>
      <c r="L427" s="9">
        <v>0</v>
      </c>
      <c r="M427" s="7">
        <v>0</v>
      </c>
      <c r="N427" s="9">
        <v>0</v>
      </c>
      <c r="O427" s="8"/>
      <c r="P427" s="2"/>
      <c r="Q427" s="2"/>
      <c r="R427" s="2" t="str">
        <v>C9300</v>
      </c>
      <c r="S427" s="2" t="str">
        <f ca="1">IFERROR(__xludf.DUMMYFUNCTION("""COMPUTED_VALUE"""),"C9K-ACC-RBFT")</f>
        <v>C9K-ACC-RBFT</v>
      </c>
      <c r="T427" s="10">
        <f ca="1">IFERROR(__xludf.DUMMYFUNCTION("""COMPUTED_VALUE"""),0)</f>
        <v>0</v>
      </c>
      <c r="U427" s="2" t="e">
        <f ca="1"/>
        <v>#NAME?</v>
      </c>
      <c r="V427" s="2" t="e">
        <f ca="1"/>
        <v>#NAME?</v>
      </c>
      <c r="W427" s="2" t="e">
        <f ca="1"/>
        <v>#NAME?</v>
      </c>
      <c r="X427" s="2"/>
      <c r="Y427" s="2"/>
      <c r="Z427" s="2"/>
    </row>
    <row r="428" spans="1:26" ht="12.5" x14ac:dyDescent="0.25">
      <c r="A428" s="7">
        <v>19.13</v>
      </c>
      <c r="B428" s="6" t="s">
        <v>68</v>
      </c>
      <c r="C428" s="6" t="s">
        <v>22</v>
      </c>
      <c r="D428" s="6" t="s">
        <v>69</v>
      </c>
      <c r="E428" s="8"/>
      <c r="F428" s="6" t="s">
        <v>25</v>
      </c>
      <c r="G428" s="6">
        <v>14</v>
      </c>
      <c r="H428" s="6" t="s">
        <v>32</v>
      </c>
      <c r="I428" s="7">
        <v>1</v>
      </c>
      <c r="J428" s="8"/>
      <c r="K428" s="7">
        <v>0</v>
      </c>
      <c r="L428" s="7">
        <v>0</v>
      </c>
      <c r="M428" s="7">
        <v>0</v>
      </c>
      <c r="N428" s="7">
        <v>0</v>
      </c>
      <c r="O428" s="8"/>
      <c r="P428" s="2"/>
      <c r="Q428" s="2"/>
      <c r="R428" s="2" t="str">
        <v>C9300</v>
      </c>
      <c r="S428" s="2" t="str">
        <f ca="1">IFERROR(__xludf.DUMMYFUNCTION("""COMPUTED_VALUE"""),"C9K-ACC-SCR-4")</f>
        <v>C9K-ACC-SCR-4</v>
      </c>
      <c r="T428" s="10">
        <f ca="1">IFERROR(__xludf.DUMMYFUNCTION("""COMPUTED_VALUE"""),0)</f>
        <v>0</v>
      </c>
      <c r="U428" s="2" t="e">
        <f ca="1"/>
        <v>#NAME?</v>
      </c>
      <c r="V428" s="2" t="e">
        <f ca="1"/>
        <v>#NAME?</v>
      </c>
      <c r="W428" s="2" t="e">
        <f ca="1"/>
        <v>#NAME?</v>
      </c>
      <c r="X428" s="2"/>
      <c r="Y428" s="2"/>
      <c r="Z428" s="2"/>
    </row>
    <row r="429" spans="1:26" ht="12.5" x14ac:dyDescent="0.25">
      <c r="A429" s="7">
        <v>19.14</v>
      </c>
      <c r="B429" s="6" t="s">
        <v>70</v>
      </c>
      <c r="C429" s="6" t="s">
        <v>22</v>
      </c>
      <c r="D429" s="6" t="s">
        <v>71</v>
      </c>
      <c r="E429" s="8"/>
      <c r="F429" s="6" t="s">
        <v>25</v>
      </c>
      <c r="G429" s="6">
        <v>14</v>
      </c>
      <c r="H429" s="6" t="s">
        <v>32</v>
      </c>
      <c r="I429" s="7">
        <v>1</v>
      </c>
      <c r="J429" s="8"/>
      <c r="K429" s="7">
        <v>0</v>
      </c>
      <c r="L429" s="7">
        <v>0</v>
      </c>
      <c r="M429" s="7">
        <v>0</v>
      </c>
      <c r="N429" s="7">
        <v>0</v>
      </c>
      <c r="O429" s="8"/>
      <c r="P429" s="2"/>
      <c r="Q429" s="2"/>
      <c r="R429" s="2" t="str">
        <v>C9300</v>
      </c>
      <c r="S429" s="2" t="str">
        <f ca="1">IFERROR(__xludf.DUMMYFUNCTION("""COMPUTED_VALUE"""),"CAB-GUIDE-1RU")</f>
        <v>CAB-GUIDE-1RU</v>
      </c>
      <c r="T429" s="10">
        <f ca="1">IFERROR(__xludf.DUMMYFUNCTION("""COMPUTED_VALUE"""),0)</f>
        <v>0</v>
      </c>
      <c r="U429" s="2" t="e">
        <f ca="1"/>
        <v>#NAME?</v>
      </c>
      <c r="V429" s="2" t="e">
        <f ca="1"/>
        <v>#NAME?</v>
      </c>
      <c r="W429" s="2" t="e">
        <f ca="1"/>
        <v>#NAME?</v>
      </c>
      <c r="X429" s="2"/>
      <c r="Y429" s="2"/>
      <c r="Z429" s="2"/>
    </row>
    <row r="430" spans="1:26" ht="12.5" x14ac:dyDescent="0.25">
      <c r="A430" s="7">
        <v>19.149999999999999</v>
      </c>
      <c r="B430" s="6" t="s">
        <v>280</v>
      </c>
      <c r="C430" s="6" t="s">
        <v>32</v>
      </c>
      <c r="D430" s="6" t="s">
        <v>281</v>
      </c>
      <c r="E430" s="8"/>
      <c r="F430" s="6" t="s">
        <v>25</v>
      </c>
      <c r="G430" s="6">
        <v>14</v>
      </c>
      <c r="H430" s="6" t="s">
        <v>26</v>
      </c>
      <c r="I430" s="7">
        <v>1</v>
      </c>
      <c r="J430" s="8"/>
      <c r="K430" s="9">
        <v>0</v>
      </c>
      <c r="L430" s="9">
        <v>0</v>
      </c>
      <c r="M430" s="7">
        <v>0</v>
      </c>
      <c r="N430" s="9">
        <v>0</v>
      </c>
      <c r="O430" s="8"/>
      <c r="P430" s="2"/>
      <c r="Q430" s="2"/>
      <c r="R430" s="2" t="str">
        <v>C9300</v>
      </c>
      <c r="S430" s="2" t="str">
        <f ca="1">IFERROR(__xludf.DUMMYFUNCTION("""COMPUTED_VALUE"""),"C9300-DNA-A-48S")</f>
        <v>C9300-DNA-A-48S</v>
      </c>
      <c r="T430" s="10">
        <f ca="1">IFERROR(__xludf.DUMMYFUNCTION("""COMPUTED_VALUE"""),0)</f>
        <v>0</v>
      </c>
      <c r="U430" s="2" t="e">
        <f ca="1"/>
        <v>#NAME?</v>
      </c>
      <c r="V430" s="2" t="e">
        <f ca="1"/>
        <v>#NAME?</v>
      </c>
      <c r="W430" s="2" t="e">
        <f ca="1"/>
        <v>#NAME?</v>
      </c>
      <c r="X430" s="2"/>
      <c r="Y430" s="2"/>
      <c r="Z430" s="2"/>
    </row>
    <row r="431" spans="1:26" ht="12.5" x14ac:dyDescent="0.25">
      <c r="A431" s="7" t="s">
        <v>282</v>
      </c>
      <c r="B431" s="6" t="s">
        <v>283</v>
      </c>
      <c r="C431" s="6" t="s">
        <v>22</v>
      </c>
      <c r="D431" s="6" t="s">
        <v>158</v>
      </c>
      <c r="E431" s="8"/>
      <c r="F431" s="6">
        <v>24</v>
      </c>
      <c r="G431" s="6" t="s">
        <v>25</v>
      </c>
      <c r="H431" s="6" t="s">
        <v>26</v>
      </c>
      <c r="I431" s="7">
        <v>1</v>
      </c>
      <c r="J431" s="8"/>
      <c r="K431" s="7">
        <v>610.5</v>
      </c>
      <c r="L431" s="7">
        <v>610.5</v>
      </c>
      <c r="M431" s="7">
        <v>0</v>
      </c>
      <c r="N431" s="7">
        <v>610.5</v>
      </c>
      <c r="O431" s="6" t="s">
        <v>30</v>
      </c>
      <c r="P431" s="2"/>
      <c r="Q431" s="2"/>
      <c r="R431" s="2" t="str">
        <v>C9300</v>
      </c>
      <c r="S431" s="2" t="str">
        <f ca="1">IFERROR(__xludf.DUMMYFUNCTION("""COMPUTED_VALUE"""),"CON-L1SWT-C93A48S")</f>
        <v>CON-L1SWT-C93A48S</v>
      </c>
      <c r="T431" s="10">
        <f ca="1">IFERROR(__xludf.DUMMYFUNCTION("""COMPUTED_VALUE"""),0)</f>
        <v>0</v>
      </c>
      <c r="U431" s="2" t="e">
        <f ca="1"/>
        <v>#NAME?</v>
      </c>
      <c r="V431" s="2" t="e">
        <f ca="1"/>
        <v>#NAME?</v>
      </c>
      <c r="W431" s="2" t="e">
        <f ca="1"/>
        <v>#NAME?</v>
      </c>
      <c r="X431" s="2"/>
      <c r="Y431" s="2"/>
      <c r="Z431" s="2"/>
    </row>
    <row r="432" spans="1:26" ht="12.5" x14ac:dyDescent="0.25">
      <c r="A432" s="7" t="s">
        <v>284</v>
      </c>
      <c r="B432" s="6" t="s">
        <v>285</v>
      </c>
      <c r="C432" s="6" t="s">
        <v>22</v>
      </c>
      <c r="D432" s="6" t="s">
        <v>286</v>
      </c>
      <c r="E432" s="8"/>
      <c r="F432" s="6">
        <v>36</v>
      </c>
      <c r="G432" s="6" t="s">
        <v>25</v>
      </c>
      <c r="H432" s="6" t="s">
        <v>26</v>
      </c>
      <c r="I432" s="7">
        <v>1</v>
      </c>
      <c r="J432" s="8"/>
      <c r="K432" s="9">
        <v>4437.29</v>
      </c>
      <c r="L432" s="9">
        <v>4437.29</v>
      </c>
      <c r="M432" s="7">
        <v>0</v>
      </c>
      <c r="N432" s="9">
        <v>4437.29</v>
      </c>
      <c r="O432" s="8"/>
      <c r="P432" s="2"/>
      <c r="Q432" s="2"/>
      <c r="R432" s="2" t="str">
        <v>C9300</v>
      </c>
      <c r="S432" s="2" t="str">
        <f ca="1">IFERROR(__xludf.DUMMYFUNCTION("""COMPUTED_VALUE"""),"C9300-DNA-A-48S-3Y")</f>
        <v>C9300-DNA-A-48S-3Y</v>
      </c>
      <c r="T432" s="10">
        <f ca="1">IFERROR(__xludf.DUMMYFUNCTION("""COMPUTED_VALUE"""),0)</f>
        <v>0</v>
      </c>
      <c r="U432" s="2" t="e">
        <f ca="1"/>
        <v>#NAME?</v>
      </c>
      <c r="V432" s="2" t="e">
        <f ca="1"/>
        <v>#NAME?</v>
      </c>
      <c r="W432" s="2" t="e">
        <f ca="1"/>
        <v>#NAME?</v>
      </c>
      <c r="X432" s="2"/>
      <c r="Y432" s="2"/>
      <c r="Z432" s="2"/>
    </row>
    <row r="433" spans="1:26" ht="12.5" x14ac:dyDescent="0.25">
      <c r="A433" s="7">
        <v>19.16</v>
      </c>
      <c r="B433" s="6" t="s">
        <v>40</v>
      </c>
      <c r="C433" s="6" t="s">
        <v>32</v>
      </c>
      <c r="D433" s="6" t="s">
        <v>41</v>
      </c>
      <c r="E433" s="8"/>
      <c r="F433" s="6" t="s">
        <v>25</v>
      </c>
      <c r="G433" s="6">
        <v>14</v>
      </c>
      <c r="H433" s="6" t="s">
        <v>32</v>
      </c>
      <c r="I433" s="7">
        <v>1</v>
      </c>
      <c r="J433" s="8"/>
      <c r="K433" s="7">
        <v>0</v>
      </c>
      <c r="L433" s="7">
        <v>0</v>
      </c>
      <c r="M433" s="7">
        <v>0</v>
      </c>
      <c r="N433" s="7">
        <v>0</v>
      </c>
      <c r="O433" s="8"/>
      <c r="P433" s="2"/>
      <c r="Q433" s="2"/>
      <c r="R433" s="2" t="str">
        <v>C9300</v>
      </c>
      <c r="S433" s="2" t="str">
        <f ca="1">IFERROR(__xludf.DUMMYFUNCTION("""COMPUTED_VALUE"""),"TE-EMBEDDED-T")</f>
        <v>TE-EMBEDDED-T</v>
      </c>
      <c r="T433" s="10">
        <f ca="1">IFERROR(__xludf.DUMMYFUNCTION("""COMPUTED_VALUE"""),0)</f>
        <v>0</v>
      </c>
      <c r="U433" s="2" t="e">
        <f ca="1"/>
        <v>#NAME?</v>
      </c>
      <c r="V433" s="2" t="e">
        <f ca="1"/>
        <v>#NAME?</v>
      </c>
      <c r="W433" s="2" t="e">
        <f ca="1"/>
        <v>#NAME?</v>
      </c>
      <c r="X433" s="2"/>
      <c r="Y433" s="2"/>
      <c r="Z433" s="2"/>
    </row>
    <row r="434" spans="1:26" ht="12.5" x14ac:dyDescent="0.25">
      <c r="A434" s="7" t="s">
        <v>287</v>
      </c>
      <c r="B434" s="6" t="s">
        <v>43</v>
      </c>
      <c r="C434" s="6" t="s">
        <v>22</v>
      </c>
      <c r="D434" s="6" t="s">
        <v>44</v>
      </c>
      <c r="E434" s="8"/>
      <c r="F434" s="6">
        <v>36</v>
      </c>
      <c r="G434" s="6" t="s">
        <v>25</v>
      </c>
      <c r="H434" s="6" t="s">
        <v>26</v>
      </c>
      <c r="I434" s="7">
        <v>1</v>
      </c>
      <c r="J434" s="8"/>
      <c r="K434" s="7">
        <v>0</v>
      </c>
      <c r="L434" s="7">
        <v>0</v>
      </c>
      <c r="M434" s="7">
        <v>0</v>
      </c>
      <c r="N434" s="7">
        <v>0</v>
      </c>
      <c r="O434" s="8"/>
      <c r="P434" s="2"/>
      <c r="Q434" s="2"/>
      <c r="R434" s="2" t="str">
        <v>C9300</v>
      </c>
      <c r="S434" s="2" t="str">
        <f ca="1">IFERROR(__xludf.DUMMYFUNCTION("""COMPUTED_VALUE"""),"TE-EMBEDDED-T-3Y")</f>
        <v>TE-EMBEDDED-T-3Y</v>
      </c>
      <c r="T434" s="10">
        <f ca="1">IFERROR(__xludf.DUMMYFUNCTION("""COMPUTED_VALUE"""),0)</f>
        <v>0</v>
      </c>
      <c r="U434" s="2" t="e">
        <f ca="1"/>
        <v>#NAME?</v>
      </c>
      <c r="V434" s="2" t="e">
        <f ca="1"/>
        <v>#NAME?</v>
      </c>
      <c r="W434" s="2" t="e">
        <f ca="1"/>
        <v>#NAME?</v>
      </c>
      <c r="X434" s="2"/>
      <c r="Y434" s="2"/>
      <c r="Z434" s="2"/>
    </row>
    <row r="435" spans="1:26" ht="12.5" x14ac:dyDescent="0.25">
      <c r="A435" s="7">
        <v>19.170000000000002</v>
      </c>
      <c r="B435" s="6" t="s">
        <v>45</v>
      </c>
      <c r="C435" s="6" t="s">
        <v>32</v>
      </c>
      <c r="D435" s="6" t="s">
        <v>46</v>
      </c>
      <c r="E435" s="8"/>
      <c r="F435" s="6" t="s">
        <v>25</v>
      </c>
      <c r="G435" s="6">
        <v>14</v>
      </c>
      <c r="H435" s="6" t="s">
        <v>32</v>
      </c>
      <c r="I435" s="7">
        <v>1</v>
      </c>
      <c r="J435" s="8"/>
      <c r="K435" s="7">
        <v>0</v>
      </c>
      <c r="L435" s="7">
        <v>0</v>
      </c>
      <c r="M435" s="7">
        <v>0</v>
      </c>
      <c r="N435" s="7">
        <v>0</v>
      </c>
      <c r="O435" s="8"/>
      <c r="P435" s="2"/>
      <c r="Q435" s="2"/>
      <c r="R435" s="2" t="str">
        <v>C9300</v>
      </c>
      <c r="S435" s="2" t="str">
        <f ca="1">IFERROR(__xludf.DUMMYFUNCTION("""COMPUTED_VALUE"""),"D-DNAS-EXT-S-T")</f>
        <v>D-DNAS-EXT-S-T</v>
      </c>
      <c r="T435" s="10">
        <f ca="1">IFERROR(__xludf.DUMMYFUNCTION("""COMPUTED_VALUE"""),0)</f>
        <v>0</v>
      </c>
      <c r="U435" s="2" t="e">
        <f ca="1"/>
        <v>#NAME?</v>
      </c>
      <c r="V435" s="2" t="e">
        <f ca="1"/>
        <v>#NAME?</v>
      </c>
      <c r="W435" s="2" t="e">
        <f ca="1"/>
        <v>#NAME?</v>
      </c>
      <c r="X435" s="2"/>
      <c r="Y435" s="2"/>
      <c r="Z435" s="2"/>
    </row>
    <row r="436" spans="1:26" ht="12.5" x14ac:dyDescent="0.25">
      <c r="A436" s="7" t="s">
        <v>288</v>
      </c>
      <c r="B436" s="6" t="s">
        <v>48</v>
      </c>
      <c r="C436" s="6" t="s">
        <v>22</v>
      </c>
      <c r="D436" s="6" t="s">
        <v>49</v>
      </c>
      <c r="E436" s="8"/>
      <c r="F436" s="6">
        <v>36</v>
      </c>
      <c r="G436" s="6" t="s">
        <v>25</v>
      </c>
      <c r="H436" s="6" t="s">
        <v>26</v>
      </c>
      <c r="I436" s="7">
        <v>1</v>
      </c>
      <c r="J436" s="8"/>
      <c r="K436" s="9">
        <v>0</v>
      </c>
      <c r="L436" s="9">
        <v>0</v>
      </c>
      <c r="M436" s="7">
        <v>0</v>
      </c>
      <c r="N436" s="9">
        <v>0</v>
      </c>
      <c r="O436" s="8"/>
      <c r="P436" s="2"/>
      <c r="Q436" s="2"/>
      <c r="R436" s="2" t="str">
        <v>C9300</v>
      </c>
      <c r="S436" s="2" t="str">
        <f ca="1">IFERROR(__xludf.DUMMYFUNCTION("""COMPUTED_VALUE"""),"D-DNAS-EXT-S-3Y")</f>
        <v>D-DNAS-EXT-S-3Y</v>
      </c>
      <c r="T436" s="10">
        <f ca="1">IFERROR(__xludf.DUMMYFUNCTION("""COMPUTED_VALUE"""),0)</f>
        <v>0</v>
      </c>
      <c r="U436" s="2" t="e">
        <f ca="1"/>
        <v>#NAME?</v>
      </c>
      <c r="V436" s="2" t="e">
        <f ca="1"/>
        <v>#NAME?</v>
      </c>
      <c r="W436" s="2" t="e">
        <f ca="1"/>
        <v>#NAME?</v>
      </c>
      <c r="X436" s="2"/>
      <c r="Y436" s="2"/>
      <c r="Z436" s="2"/>
    </row>
    <row r="437" spans="1:26" ht="12.5" x14ac:dyDescent="0.25">
      <c r="A437" s="7">
        <v>19.18</v>
      </c>
      <c r="B437" s="6" t="s">
        <v>72</v>
      </c>
      <c r="C437" s="6" t="s">
        <v>32</v>
      </c>
      <c r="D437" s="6" t="s">
        <v>73</v>
      </c>
      <c r="E437" s="8"/>
      <c r="F437" s="6" t="s">
        <v>25</v>
      </c>
      <c r="G437" s="6">
        <v>2</v>
      </c>
      <c r="H437" s="6" t="s">
        <v>32</v>
      </c>
      <c r="I437" s="7">
        <v>1</v>
      </c>
      <c r="J437" s="8"/>
      <c r="K437" s="7">
        <v>0</v>
      </c>
      <c r="L437" s="7">
        <v>0</v>
      </c>
      <c r="M437" s="7">
        <v>0</v>
      </c>
      <c r="N437" s="7">
        <v>0</v>
      </c>
      <c r="O437" s="8"/>
      <c r="P437" s="2"/>
      <c r="Q437" s="2"/>
      <c r="R437" s="2" t="str">
        <v>C9300</v>
      </c>
      <c r="S437" s="2" t="str">
        <f ca="1">IFERROR(__xludf.DUMMYFUNCTION("""COMPUTED_VALUE"""),"NETWORK-PNP-LIC")</f>
        <v>NETWORK-PNP-LIC</v>
      </c>
      <c r="T437" s="10">
        <f ca="1">IFERROR(__xludf.DUMMYFUNCTION("""COMPUTED_VALUE"""),0)</f>
        <v>0</v>
      </c>
      <c r="U437" s="2" t="e">
        <f ca="1"/>
        <v>#NAME?</v>
      </c>
      <c r="V437" s="2" t="e">
        <f ca="1"/>
        <v>#NAME?</v>
      </c>
      <c r="W437" s="2" t="e">
        <f ca="1"/>
        <v>#NAME?</v>
      </c>
      <c r="X437" s="2"/>
      <c r="Y437" s="2"/>
      <c r="Z437" s="2"/>
    </row>
    <row r="438" spans="1:26" ht="12.5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2" t="s">
        <v>76</v>
      </c>
      <c r="N438" s="13">
        <v>57322.71</v>
      </c>
      <c r="O438" s="14"/>
      <c r="P438" s="2"/>
      <c r="Q438" s="2"/>
      <c r="R438" s="2" t="str">
        <v/>
      </c>
      <c r="S438" s="2" t="str">
        <f ca="1">IFERROR(__xludf.DUMMYFUNCTION("""COMPUTED_VALUE"""),"")</f>
        <v/>
      </c>
      <c r="T438" s="2" t="str">
        <f ca="1">IFERROR(__xludf.DUMMYFUNCTION("""COMPUTED_VALUE"""),"")</f>
        <v/>
      </c>
      <c r="U438" s="2" t="e">
        <f ca="1"/>
        <v>#NAME?</v>
      </c>
      <c r="V438" s="2" t="e">
        <f ca="1"/>
        <v>#NAME?</v>
      </c>
      <c r="W438" s="2" t="str">
        <f ca="1"/>
        <v/>
      </c>
      <c r="X438" s="2"/>
      <c r="Y438" s="2"/>
      <c r="Z438" s="2"/>
    </row>
    <row r="439" spans="1:26" ht="12.5" x14ac:dyDescent="0.25">
      <c r="A439" s="5">
        <v>20</v>
      </c>
      <c r="B439" s="5" t="s">
        <v>289</v>
      </c>
      <c r="C439" s="6" t="s">
        <v>22</v>
      </c>
      <c r="D439" s="6" t="s">
        <v>290</v>
      </c>
      <c r="E439" s="6" t="s">
        <v>24</v>
      </c>
      <c r="F439" s="6" t="s">
        <v>25</v>
      </c>
      <c r="G439" s="6">
        <v>14</v>
      </c>
      <c r="H439" s="6" t="s">
        <v>26</v>
      </c>
      <c r="I439" s="7">
        <v>1</v>
      </c>
      <c r="J439" s="8"/>
      <c r="K439" s="9">
        <v>19684.18</v>
      </c>
      <c r="L439" s="9">
        <v>19684.18</v>
      </c>
      <c r="M439" s="7">
        <v>0</v>
      </c>
      <c r="N439" s="9">
        <v>19684.18</v>
      </c>
      <c r="O439" s="8"/>
      <c r="P439" s="2"/>
      <c r="Q439" s="2"/>
      <c r="R439" s="2" t="str">
        <v>C9300</v>
      </c>
      <c r="S439" s="2" t="str">
        <f ca="1">IFERROR(__xludf.DUMMYFUNCTION("""COMPUTED_VALUE"""),"C9300-48UB-A")</f>
        <v>C9300-48UB-A</v>
      </c>
      <c r="T439" s="10">
        <f ca="1">IFERROR(__xludf.DUMMYFUNCTION("""COMPUTED_VALUE"""),1)</f>
        <v>1</v>
      </c>
      <c r="U439" s="2" t="e">
        <f ca="1"/>
        <v>#NAME?</v>
      </c>
      <c r="V439" s="2" t="e">
        <f ca="1"/>
        <v>#NAME?</v>
      </c>
      <c r="W439" s="2" t="e">
        <f ca="1"/>
        <v>#NAME?</v>
      </c>
      <c r="X439" s="2"/>
      <c r="Y439" s="2"/>
      <c r="Z439" s="2"/>
    </row>
    <row r="440" spans="1:26" ht="12.5" x14ac:dyDescent="0.25">
      <c r="A440" s="7" t="s">
        <v>291</v>
      </c>
      <c r="B440" s="6" t="s">
        <v>292</v>
      </c>
      <c r="C440" s="6" t="s">
        <v>22</v>
      </c>
      <c r="D440" s="6" t="s">
        <v>293</v>
      </c>
      <c r="E440" s="8"/>
      <c r="F440" s="6">
        <v>24</v>
      </c>
      <c r="G440" s="6" t="s">
        <v>25</v>
      </c>
      <c r="H440" s="6" t="s">
        <v>26</v>
      </c>
      <c r="I440" s="7">
        <v>1</v>
      </c>
      <c r="J440" s="8"/>
      <c r="K440" s="9">
        <v>3943.5</v>
      </c>
      <c r="L440" s="9">
        <v>3943.5</v>
      </c>
      <c r="M440" s="7">
        <v>0</v>
      </c>
      <c r="N440" s="9">
        <v>3943.5</v>
      </c>
      <c r="O440" s="6" t="s">
        <v>30</v>
      </c>
      <c r="P440" s="2"/>
      <c r="Q440" s="2"/>
      <c r="R440" s="2" t="str">
        <v>C9300</v>
      </c>
      <c r="S440" s="2" t="str">
        <f ca="1">IFERROR(__xludf.DUMMYFUNCTION("""COMPUTED_VALUE"""),"CON-L1NBD-C93B0048")</f>
        <v>CON-L1NBD-C93B0048</v>
      </c>
      <c r="T440" s="10">
        <f ca="1">IFERROR(__xludf.DUMMYFUNCTION("""COMPUTED_VALUE"""),0)</f>
        <v>0</v>
      </c>
      <c r="U440" s="2" t="e">
        <f ca="1"/>
        <v>#NAME?</v>
      </c>
      <c r="V440" s="2" t="e">
        <f ca="1"/>
        <v>#NAME?</v>
      </c>
      <c r="W440" s="2" t="e">
        <f ca="1"/>
        <v>#NAME?</v>
      </c>
      <c r="X440" s="2"/>
      <c r="Y440" s="2"/>
      <c r="Z440" s="2"/>
    </row>
    <row r="441" spans="1:26" ht="12.5" x14ac:dyDescent="0.25">
      <c r="A441" s="7">
        <v>20.100000000000001</v>
      </c>
      <c r="B441" s="6" t="s">
        <v>237</v>
      </c>
      <c r="C441" s="6" t="s">
        <v>32</v>
      </c>
      <c r="D441" s="6" t="s">
        <v>238</v>
      </c>
      <c r="E441" s="8"/>
      <c r="F441" s="6" t="s">
        <v>25</v>
      </c>
      <c r="G441" s="6">
        <v>14</v>
      </c>
      <c r="H441" s="6" t="s">
        <v>26</v>
      </c>
      <c r="I441" s="7">
        <v>1</v>
      </c>
      <c r="J441" s="8"/>
      <c r="K441" s="7">
        <v>0</v>
      </c>
      <c r="L441" s="7">
        <v>0</v>
      </c>
      <c r="M441" s="7">
        <v>0</v>
      </c>
      <c r="N441" s="7">
        <v>0</v>
      </c>
      <c r="O441" s="8"/>
      <c r="P441" s="2"/>
      <c r="Q441" s="2"/>
      <c r="R441" s="2" t="str">
        <v>C9300</v>
      </c>
      <c r="S441" s="2" t="str">
        <f ca="1">IFERROR(__xludf.DUMMYFUNCTION("""COMPUTED_VALUE"""),"C9300-DNA-A-48")</f>
        <v>C9300-DNA-A-48</v>
      </c>
      <c r="T441" s="10">
        <f ca="1">IFERROR(__xludf.DUMMYFUNCTION("""COMPUTED_VALUE"""),0)</f>
        <v>0</v>
      </c>
      <c r="U441" s="2" t="e">
        <f ca="1"/>
        <v>#NAME?</v>
      </c>
      <c r="V441" s="2" t="e">
        <f ca="1"/>
        <v>#NAME?</v>
      </c>
      <c r="W441" s="2" t="e">
        <f ca="1"/>
        <v>#NAME?</v>
      </c>
      <c r="X441" s="2"/>
      <c r="Y441" s="2"/>
      <c r="Z441" s="2"/>
    </row>
    <row r="442" spans="1:26" ht="12.5" x14ac:dyDescent="0.25">
      <c r="A442" s="7" t="s">
        <v>294</v>
      </c>
      <c r="B442" s="6" t="s">
        <v>240</v>
      </c>
      <c r="C442" s="6" t="s">
        <v>22</v>
      </c>
      <c r="D442" s="6" t="s">
        <v>158</v>
      </c>
      <c r="E442" s="8"/>
      <c r="F442" s="6">
        <v>24</v>
      </c>
      <c r="G442" s="6" t="s">
        <v>25</v>
      </c>
      <c r="H442" s="6" t="s">
        <v>26</v>
      </c>
      <c r="I442" s="7">
        <v>1</v>
      </c>
      <c r="J442" s="8"/>
      <c r="K442" s="7">
        <v>610.5</v>
      </c>
      <c r="L442" s="7">
        <v>610.5</v>
      </c>
      <c r="M442" s="7">
        <v>0</v>
      </c>
      <c r="N442" s="9">
        <v>610.5</v>
      </c>
      <c r="O442" s="6" t="s">
        <v>30</v>
      </c>
      <c r="P442" s="2"/>
      <c r="Q442" s="2"/>
      <c r="R442" s="2" t="str">
        <v>C9300</v>
      </c>
      <c r="S442" s="2" t="str">
        <f ca="1">IFERROR(__xludf.DUMMYFUNCTION("""COMPUTED_VALUE"""),"CON-L1SWT-C93A48")</f>
        <v>CON-L1SWT-C93A48</v>
      </c>
      <c r="T442" s="10">
        <f ca="1">IFERROR(__xludf.DUMMYFUNCTION("""COMPUTED_VALUE"""),0)</f>
        <v>0</v>
      </c>
      <c r="U442" s="2" t="e">
        <f ca="1"/>
        <v>#NAME?</v>
      </c>
      <c r="V442" s="2" t="e">
        <f ca="1"/>
        <v>#NAME?</v>
      </c>
      <c r="W442" s="2" t="e">
        <f ca="1"/>
        <v>#NAME?</v>
      </c>
      <c r="X442" s="2"/>
      <c r="Y442" s="2"/>
      <c r="Z442" s="2"/>
    </row>
    <row r="443" spans="1:26" ht="12.5" x14ac:dyDescent="0.25">
      <c r="A443" s="7" t="s">
        <v>295</v>
      </c>
      <c r="B443" s="6" t="s">
        <v>242</v>
      </c>
      <c r="C443" s="6" t="s">
        <v>22</v>
      </c>
      <c r="D443" s="6" t="s">
        <v>243</v>
      </c>
      <c r="E443" s="8"/>
      <c r="F443" s="6">
        <v>36</v>
      </c>
      <c r="G443" s="6" t="s">
        <v>25</v>
      </c>
      <c r="H443" s="6" t="s">
        <v>26</v>
      </c>
      <c r="I443" s="7">
        <v>1</v>
      </c>
      <c r="J443" s="8"/>
      <c r="K443" s="9">
        <v>4437.29</v>
      </c>
      <c r="L443" s="9">
        <v>4437.29</v>
      </c>
      <c r="M443" s="7">
        <v>0</v>
      </c>
      <c r="N443" s="9">
        <v>4437.29</v>
      </c>
      <c r="O443" s="8"/>
      <c r="P443" s="2"/>
      <c r="Q443" s="2"/>
      <c r="R443" s="2" t="str">
        <v>C9300</v>
      </c>
      <c r="S443" s="2" t="str">
        <f ca="1">IFERROR(__xludf.DUMMYFUNCTION("""COMPUTED_VALUE"""),"C9300-DNA-A-48-3Y")</f>
        <v>C9300-DNA-A-48-3Y</v>
      </c>
      <c r="T443" s="10">
        <f ca="1">IFERROR(__xludf.DUMMYFUNCTION("""COMPUTED_VALUE"""),0)</f>
        <v>0</v>
      </c>
      <c r="U443" s="2" t="e">
        <f ca="1"/>
        <v>#NAME?</v>
      </c>
      <c r="V443" s="2" t="e">
        <f ca="1"/>
        <v>#NAME?</v>
      </c>
      <c r="W443" s="2" t="e">
        <f ca="1"/>
        <v>#NAME?</v>
      </c>
      <c r="X443" s="2"/>
      <c r="Y443" s="2"/>
      <c r="Z443" s="2"/>
    </row>
    <row r="444" spans="1:26" ht="12.5" x14ac:dyDescent="0.25">
      <c r="A444" s="7">
        <v>20.2</v>
      </c>
      <c r="B444" s="6" t="s">
        <v>40</v>
      </c>
      <c r="C444" s="6" t="s">
        <v>32</v>
      </c>
      <c r="D444" s="6" t="s">
        <v>41</v>
      </c>
      <c r="E444" s="8"/>
      <c r="F444" s="6" t="s">
        <v>25</v>
      </c>
      <c r="G444" s="6">
        <v>14</v>
      </c>
      <c r="H444" s="6" t="s">
        <v>32</v>
      </c>
      <c r="I444" s="7">
        <v>1</v>
      </c>
      <c r="J444" s="8"/>
      <c r="K444" s="9">
        <v>0</v>
      </c>
      <c r="L444" s="9">
        <v>0</v>
      </c>
      <c r="M444" s="7">
        <v>0</v>
      </c>
      <c r="N444" s="9">
        <v>0</v>
      </c>
      <c r="O444" s="8"/>
      <c r="P444" s="2"/>
      <c r="Q444" s="2"/>
      <c r="R444" s="2" t="str">
        <v>C9300</v>
      </c>
      <c r="S444" s="2" t="str">
        <f ca="1">IFERROR(__xludf.DUMMYFUNCTION("""COMPUTED_VALUE"""),"TE-EMBEDDED-T")</f>
        <v>TE-EMBEDDED-T</v>
      </c>
      <c r="T444" s="10">
        <f ca="1">IFERROR(__xludf.DUMMYFUNCTION("""COMPUTED_VALUE"""),0)</f>
        <v>0</v>
      </c>
      <c r="U444" s="2" t="e">
        <f ca="1"/>
        <v>#NAME?</v>
      </c>
      <c r="V444" s="2" t="e">
        <f ca="1"/>
        <v>#NAME?</v>
      </c>
      <c r="W444" s="2" t="e">
        <f ca="1"/>
        <v>#NAME?</v>
      </c>
      <c r="X444" s="2"/>
      <c r="Y444" s="2"/>
      <c r="Z444" s="2"/>
    </row>
    <row r="445" spans="1:26" ht="12.5" x14ac:dyDescent="0.25">
      <c r="A445" s="7" t="s">
        <v>296</v>
      </c>
      <c r="B445" s="6" t="s">
        <v>43</v>
      </c>
      <c r="C445" s="6" t="s">
        <v>22</v>
      </c>
      <c r="D445" s="6" t="s">
        <v>44</v>
      </c>
      <c r="E445" s="8"/>
      <c r="F445" s="6">
        <v>36</v>
      </c>
      <c r="G445" s="6" t="s">
        <v>25</v>
      </c>
      <c r="H445" s="6" t="s">
        <v>26</v>
      </c>
      <c r="I445" s="7">
        <v>1</v>
      </c>
      <c r="J445" s="8"/>
      <c r="K445" s="7">
        <v>0</v>
      </c>
      <c r="L445" s="7">
        <v>0</v>
      </c>
      <c r="M445" s="7">
        <v>0</v>
      </c>
      <c r="N445" s="7">
        <v>0</v>
      </c>
      <c r="O445" s="8"/>
      <c r="P445" s="2"/>
      <c r="Q445" s="2"/>
      <c r="R445" s="2" t="str">
        <v>C9300</v>
      </c>
      <c r="S445" s="2" t="str">
        <f ca="1">IFERROR(__xludf.DUMMYFUNCTION("""COMPUTED_VALUE"""),"TE-EMBEDDED-T-3Y")</f>
        <v>TE-EMBEDDED-T-3Y</v>
      </c>
      <c r="T445" s="10">
        <f ca="1">IFERROR(__xludf.DUMMYFUNCTION("""COMPUTED_VALUE"""),0)</f>
        <v>0</v>
      </c>
      <c r="U445" s="2" t="e">
        <f ca="1"/>
        <v>#NAME?</v>
      </c>
      <c r="V445" s="2" t="e">
        <f ca="1"/>
        <v>#NAME?</v>
      </c>
      <c r="W445" s="2" t="e">
        <f ca="1"/>
        <v>#NAME?</v>
      </c>
      <c r="X445" s="2"/>
      <c r="Y445" s="2"/>
      <c r="Z445" s="2"/>
    </row>
    <row r="446" spans="1:26" ht="12.5" x14ac:dyDescent="0.25">
      <c r="A446" s="7">
        <v>20.3</v>
      </c>
      <c r="B446" s="6" t="s">
        <v>45</v>
      </c>
      <c r="C446" s="6" t="s">
        <v>32</v>
      </c>
      <c r="D446" s="6" t="s">
        <v>46</v>
      </c>
      <c r="E446" s="8"/>
      <c r="F446" s="6" t="s">
        <v>25</v>
      </c>
      <c r="G446" s="6">
        <v>14</v>
      </c>
      <c r="H446" s="6" t="s">
        <v>32</v>
      </c>
      <c r="I446" s="7">
        <v>1</v>
      </c>
      <c r="J446" s="8"/>
      <c r="K446" s="7">
        <v>0</v>
      </c>
      <c r="L446" s="7">
        <v>0</v>
      </c>
      <c r="M446" s="7">
        <v>0</v>
      </c>
      <c r="N446" s="7">
        <v>0</v>
      </c>
      <c r="O446" s="8"/>
      <c r="P446" s="2"/>
      <c r="Q446" s="2"/>
      <c r="R446" s="2" t="str">
        <v>C9300</v>
      </c>
      <c r="S446" s="2" t="str">
        <f ca="1">IFERROR(__xludf.DUMMYFUNCTION("""COMPUTED_VALUE"""),"D-DNAS-EXT-S-T")</f>
        <v>D-DNAS-EXT-S-T</v>
      </c>
      <c r="T446" s="10">
        <f ca="1">IFERROR(__xludf.DUMMYFUNCTION("""COMPUTED_VALUE"""),0)</f>
        <v>0</v>
      </c>
      <c r="U446" s="2" t="e">
        <f ca="1"/>
        <v>#NAME?</v>
      </c>
      <c r="V446" s="2" t="e">
        <f ca="1"/>
        <v>#NAME?</v>
      </c>
      <c r="W446" s="2" t="e">
        <f ca="1"/>
        <v>#NAME?</v>
      </c>
      <c r="X446" s="2"/>
      <c r="Y446" s="2"/>
      <c r="Z446" s="2"/>
    </row>
    <row r="447" spans="1:26" ht="12.5" x14ac:dyDescent="0.25">
      <c r="A447" s="7" t="s">
        <v>297</v>
      </c>
      <c r="B447" s="6" t="s">
        <v>48</v>
      </c>
      <c r="C447" s="6" t="s">
        <v>22</v>
      </c>
      <c r="D447" s="6" t="s">
        <v>49</v>
      </c>
      <c r="E447" s="8"/>
      <c r="F447" s="6">
        <v>36</v>
      </c>
      <c r="G447" s="6" t="s">
        <v>25</v>
      </c>
      <c r="H447" s="6" t="s">
        <v>26</v>
      </c>
      <c r="I447" s="7">
        <v>1</v>
      </c>
      <c r="J447" s="8"/>
      <c r="K447" s="9">
        <v>0</v>
      </c>
      <c r="L447" s="9">
        <v>0</v>
      </c>
      <c r="M447" s="7">
        <v>0</v>
      </c>
      <c r="N447" s="9">
        <v>0</v>
      </c>
      <c r="O447" s="8"/>
      <c r="P447" s="2"/>
      <c r="Q447" s="2"/>
      <c r="R447" s="2" t="str">
        <v>C9300</v>
      </c>
      <c r="S447" s="2" t="str">
        <f ca="1">IFERROR(__xludf.DUMMYFUNCTION("""COMPUTED_VALUE"""),"D-DNAS-EXT-S-3Y")</f>
        <v>D-DNAS-EXT-S-3Y</v>
      </c>
      <c r="T447" s="10">
        <f ca="1">IFERROR(__xludf.DUMMYFUNCTION("""COMPUTED_VALUE"""),0)</f>
        <v>0</v>
      </c>
      <c r="U447" s="2" t="e">
        <f ca="1"/>
        <v>#NAME?</v>
      </c>
      <c r="V447" s="2" t="e">
        <f ca="1"/>
        <v>#NAME?</v>
      </c>
      <c r="W447" s="2" t="e">
        <f ca="1"/>
        <v>#NAME?</v>
      </c>
      <c r="X447" s="2"/>
      <c r="Y447" s="2"/>
      <c r="Z447" s="2"/>
    </row>
    <row r="448" spans="1:26" ht="12.5" x14ac:dyDescent="0.25">
      <c r="A448" s="7">
        <v>20.399999999999999</v>
      </c>
      <c r="B448" s="6" t="s">
        <v>246</v>
      </c>
      <c r="C448" s="6" t="s">
        <v>32</v>
      </c>
      <c r="D448" s="6" t="s">
        <v>247</v>
      </c>
      <c r="E448" s="8"/>
      <c r="F448" s="6" t="s">
        <v>25</v>
      </c>
      <c r="G448" s="6">
        <v>14</v>
      </c>
      <c r="H448" s="6" t="s">
        <v>32</v>
      </c>
      <c r="I448" s="7">
        <v>1</v>
      </c>
      <c r="J448" s="8"/>
      <c r="K448" s="7">
        <v>0</v>
      </c>
      <c r="L448" s="7">
        <v>0</v>
      </c>
      <c r="M448" s="7">
        <v>0</v>
      </c>
      <c r="N448" s="7">
        <v>0</v>
      </c>
      <c r="O448" s="8"/>
      <c r="P448" s="2"/>
      <c r="Q448" s="2"/>
      <c r="R448" s="2" t="str">
        <v>C9300</v>
      </c>
      <c r="S448" s="2" t="str">
        <f ca="1">IFERROR(__xludf.DUMMYFUNCTION("""COMPUTED_VALUE"""),"C9300-NW-A-48")</f>
        <v>C9300-NW-A-48</v>
      </c>
      <c r="T448" s="10">
        <f ca="1">IFERROR(__xludf.DUMMYFUNCTION("""COMPUTED_VALUE"""),0)</f>
        <v>0</v>
      </c>
      <c r="U448" s="2" t="e">
        <f ca="1"/>
        <v>#NAME?</v>
      </c>
      <c r="V448" s="2" t="e">
        <f ca="1"/>
        <v>#NAME?</v>
      </c>
      <c r="W448" s="2" t="e">
        <f ca="1"/>
        <v>#NAME?</v>
      </c>
      <c r="X448" s="2"/>
      <c r="Y448" s="2"/>
      <c r="Z448" s="2"/>
    </row>
    <row r="449" spans="1:26" ht="12.5" x14ac:dyDescent="0.25">
      <c r="A449" s="7">
        <v>20.5</v>
      </c>
      <c r="B449" s="6" t="s">
        <v>193</v>
      </c>
      <c r="C449" s="6" t="s">
        <v>22</v>
      </c>
      <c r="D449" s="6" t="s">
        <v>75</v>
      </c>
      <c r="E449" s="8"/>
      <c r="F449" s="6" t="s">
        <v>25</v>
      </c>
      <c r="G449" s="6">
        <v>14</v>
      </c>
      <c r="H449" s="6" t="s">
        <v>32</v>
      </c>
      <c r="I449" s="7">
        <v>1</v>
      </c>
      <c r="J449" s="8"/>
      <c r="K449" s="7">
        <v>0</v>
      </c>
      <c r="L449" s="7">
        <v>0</v>
      </c>
      <c r="M449" s="7">
        <v>0</v>
      </c>
      <c r="N449" s="7">
        <v>0</v>
      </c>
      <c r="O449" s="8"/>
      <c r="P449" s="2"/>
      <c r="Q449" s="2"/>
      <c r="R449" s="2" t="str">
        <v>C9300</v>
      </c>
      <c r="S449" s="2" t="str">
        <f ca="1">IFERROR(__xludf.DUMMYFUNCTION("""COMPUTED_VALUE"""),"SC9300UK9-1718")</f>
        <v>SC9300UK9-1718</v>
      </c>
      <c r="T449" s="10">
        <f ca="1">IFERROR(__xludf.DUMMYFUNCTION("""COMPUTED_VALUE"""),0)</f>
        <v>0</v>
      </c>
      <c r="U449" s="2" t="e">
        <f ca="1"/>
        <v>#NAME?</v>
      </c>
      <c r="V449" s="2" t="e">
        <f ca="1"/>
        <v>#NAME?</v>
      </c>
      <c r="W449" s="2" t="e">
        <f ca="1"/>
        <v>#NAME?</v>
      </c>
      <c r="X449" s="2"/>
      <c r="Y449" s="2"/>
      <c r="Z449" s="2"/>
    </row>
    <row r="450" spans="1:26" ht="12.5" x14ac:dyDescent="0.25">
      <c r="A450" s="7">
        <v>20.6</v>
      </c>
      <c r="B450" s="6" t="s">
        <v>86</v>
      </c>
      <c r="C450" s="6" t="s">
        <v>22</v>
      </c>
      <c r="D450" s="6" t="s">
        <v>87</v>
      </c>
      <c r="E450" s="8"/>
      <c r="F450" s="6" t="s">
        <v>25</v>
      </c>
      <c r="G450" s="6">
        <v>14</v>
      </c>
      <c r="H450" s="6" t="s">
        <v>32</v>
      </c>
      <c r="I450" s="7">
        <v>1</v>
      </c>
      <c r="J450" s="8"/>
      <c r="K450" s="7">
        <v>0</v>
      </c>
      <c r="L450" s="7">
        <v>0</v>
      </c>
      <c r="M450" s="7">
        <v>0</v>
      </c>
      <c r="N450" s="7">
        <v>0</v>
      </c>
      <c r="O450" s="8"/>
      <c r="P450" s="2"/>
      <c r="Q450" s="2"/>
      <c r="R450" s="2" t="str">
        <v>C9300</v>
      </c>
      <c r="S450" s="2" t="str">
        <f ca="1">IFERROR(__xludf.DUMMYFUNCTION("""COMPUTED_VALUE"""),"TE-C9K-SW")</f>
        <v>TE-C9K-SW</v>
      </c>
      <c r="T450" s="10">
        <f ca="1">IFERROR(__xludf.DUMMYFUNCTION("""COMPUTED_VALUE"""),0)</f>
        <v>0</v>
      </c>
      <c r="U450" s="2" t="e">
        <f ca="1"/>
        <v>#NAME?</v>
      </c>
      <c r="V450" s="2" t="e">
        <f ca="1"/>
        <v>#NAME?</v>
      </c>
      <c r="W450" s="2" t="e">
        <f ca="1"/>
        <v>#NAME?</v>
      </c>
      <c r="X450" s="2"/>
      <c r="Y450" s="2"/>
      <c r="Z450" s="2"/>
    </row>
    <row r="451" spans="1:26" ht="12.5" x14ac:dyDescent="0.25">
      <c r="A451" s="7">
        <v>20.7</v>
      </c>
      <c r="B451" s="6" t="s">
        <v>191</v>
      </c>
      <c r="C451" s="6" t="s">
        <v>22</v>
      </c>
      <c r="D451" s="6" t="s">
        <v>192</v>
      </c>
      <c r="E451" s="8"/>
      <c r="F451" s="6" t="s">
        <v>25</v>
      </c>
      <c r="G451" s="6">
        <v>14</v>
      </c>
      <c r="H451" s="6" t="s">
        <v>32</v>
      </c>
      <c r="I451" s="7">
        <v>1</v>
      </c>
      <c r="J451" s="8"/>
      <c r="K451" s="7">
        <v>0</v>
      </c>
      <c r="L451" s="7">
        <v>0</v>
      </c>
      <c r="M451" s="7">
        <v>0</v>
      </c>
      <c r="N451" s="7">
        <v>0</v>
      </c>
      <c r="O451" s="8"/>
      <c r="P451" s="2"/>
      <c r="Q451" s="2"/>
      <c r="R451" s="2" t="str">
        <v>C9300</v>
      </c>
      <c r="S451" s="2" t="str">
        <f ca="1">IFERROR(__xludf.DUMMYFUNCTION("""COMPUTED_VALUE"""),"PWR-C1-1100WAC-P")</f>
        <v>PWR-C1-1100WAC-P</v>
      </c>
      <c r="T451" s="10">
        <f ca="1">IFERROR(__xludf.DUMMYFUNCTION("""COMPUTED_VALUE"""),0)</f>
        <v>0</v>
      </c>
      <c r="U451" s="2" t="e">
        <f ca="1"/>
        <v>#NAME?</v>
      </c>
      <c r="V451" s="2" t="e">
        <f ca="1"/>
        <v>#NAME?</v>
      </c>
      <c r="W451" s="2" t="e">
        <f ca="1"/>
        <v>#NAME?</v>
      </c>
      <c r="X451" s="2"/>
      <c r="Y451" s="2"/>
      <c r="Z451" s="2"/>
    </row>
    <row r="452" spans="1:26" ht="12.5" x14ac:dyDescent="0.25">
      <c r="A452" s="7">
        <v>20.8</v>
      </c>
      <c r="B452" s="6" t="s">
        <v>230</v>
      </c>
      <c r="C452" s="6" t="s">
        <v>22</v>
      </c>
      <c r="D452" s="6" t="s">
        <v>231</v>
      </c>
      <c r="E452" s="8"/>
      <c r="F452" s="6" t="s">
        <v>25</v>
      </c>
      <c r="G452" s="6">
        <v>14</v>
      </c>
      <c r="H452" s="6" t="s">
        <v>26</v>
      </c>
      <c r="I452" s="7">
        <v>1</v>
      </c>
      <c r="J452" s="8"/>
      <c r="K452" s="9">
        <v>2312.33</v>
      </c>
      <c r="L452" s="9">
        <v>2312.33</v>
      </c>
      <c r="M452" s="7">
        <v>0</v>
      </c>
      <c r="N452" s="9">
        <v>2312.33</v>
      </c>
      <c r="O452" s="8"/>
      <c r="P452" s="2"/>
      <c r="Q452" s="2"/>
      <c r="R452" s="2" t="str">
        <v>C9300</v>
      </c>
      <c r="S452" s="2" t="str">
        <f ca="1">IFERROR(__xludf.DUMMYFUNCTION("""COMPUTED_VALUE"""),"PWR-C1-1100WAC-P/2")</f>
        <v>PWR-C1-1100WAC-P/2</v>
      </c>
      <c r="T452" s="10">
        <f ca="1">IFERROR(__xludf.DUMMYFUNCTION("""COMPUTED_VALUE"""),0)</f>
        <v>0</v>
      </c>
      <c r="U452" s="2" t="e">
        <f ca="1"/>
        <v>#NAME?</v>
      </c>
      <c r="V452" s="2" t="e">
        <f ca="1"/>
        <v>#NAME?</v>
      </c>
      <c r="W452" s="2" t="e">
        <f ca="1"/>
        <v>#NAME?</v>
      </c>
      <c r="X452" s="2"/>
      <c r="Y452" s="2"/>
      <c r="Z452" s="2"/>
    </row>
    <row r="453" spans="1:26" ht="12.5" x14ac:dyDescent="0.25">
      <c r="A453" s="7">
        <v>20.9</v>
      </c>
      <c r="B453" s="6" t="s">
        <v>62</v>
      </c>
      <c r="C453" s="6" t="s">
        <v>22</v>
      </c>
      <c r="D453" s="6" t="s">
        <v>63</v>
      </c>
      <c r="E453" s="8"/>
      <c r="F453" s="6" t="s">
        <v>25</v>
      </c>
      <c r="G453" s="6">
        <v>14</v>
      </c>
      <c r="H453" s="6" t="s">
        <v>26</v>
      </c>
      <c r="I453" s="7">
        <v>2</v>
      </c>
      <c r="J453" s="8"/>
      <c r="K453" s="7">
        <v>0</v>
      </c>
      <c r="L453" s="7">
        <v>0</v>
      </c>
      <c r="M453" s="7">
        <v>0</v>
      </c>
      <c r="N453" s="7">
        <v>0</v>
      </c>
      <c r="O453" s="8"/>
      <c r="P453" s="2"/>
      <c r="Q453" s="2"/>
      <c r="R453" s="2" t="str">
        <v>C9300</v>
      </c>
      <c r="S453" s="2" t="str">
        <f ca="1">IFERROR(__xludf.DUMMYFUNCTION("""COMPUTED_VALUE"""),"CAB-TA-EU")</f>
        <v>CAB-TA-EU</v>
      </c>
      <c r="T453" s="10">
        <f ca="1">IFERROR(__xludf.DUMMYFUNCTION("""COMPUTED_VALUE"""),0)</f>
        <v>0</v>
      </c>
      <c r="U453" s="2" t="e">
        <f ca="1"/>
        <v>#NAME?</v>
      </c>
      <c r="V453" s="2" t="e">
        <f ca="1"/>
        <v>#NAME?</v>
      </c>
      <c r="W453" s="2" t="e">
        <f ca="1"/>
        <v>#NAME?</v>
      </c>
      <c r="X453" s="2"/>
      <c r="Y453" s="2"/>
      <c r="Z453" s="2"/>
    </row>
    <row r="454" spans="1:26" ht="12.5" x14ac:dyDescent="0.25">
      <c r="A454" s="7">
        <v>20.100000000000001</v>
      </c>
      <c r="B454" s="6" t="s">
        <v>167</v>
      </c>
      <c r="C454" s="6" t="s">
        <v>22</v>
      </c>
      <c r="D454" s="6" t="s">
        <v>168</v>
      </c>
      <c r="E454" s="8"/>
      <c r="F454" s="6" t="s">
        <v>25</v>
      </c>
      <c r="G454" s="6">
        <v>14</v>
      </c>
      <c r="H454" s="6" t="s">
        <v>26</v>
      </c>
      <c r="I454" s="7">
        <v>1</v>
      </c>
      <c r="J454" s="8"/>
      <c r="K454" s="7">
        <v>121.7</v>
      </c>
      <c r="L454" s="7">
        <v>121.7</v>
      </c>
      <c r="M454" s="7">
        <v>0</v>
      </c>
      <c r="N454" s="7">
        <v>121.7</v>
      </c>
      <c r="O454" s="8"/>
      <c r="P454" s="2"/>
      <c r="Q454" s="2"/>
      <c r="R454" s="2" t="str">
        <v>C9300</v>
      </c>
      <c r="S454" s="2" t="str">
        <f ca="1">IFERROR(__xludf.DUMMYFUNCTION("""COMPUTED_VALUE"""),"STACK-T1-50CM")</f>
        <v>STACK-T1-50CM</v>
      </c>
      <c r="T454" s="10">
        <f ca="1">IFERROR(__xludf.DUMMYFUNCTION("""COMPUTED_VALUE"""),0)</f>
        <v>0</v>
      </c>
      <c r="U454" s="2" t="e">
        <f ca="1"/>
        <v>#NAME?</v>
      </c>
      <c r="V454" s="2" t="e">
        <f ca="1"/>
        <v>#NAME?</v>
      </c>
      <c r="W454" s="2" t="e">
        <f ca="1"/>
        <v>#NAME?</v>
      </c>
      <c r="X454" s="2"/>
      <c r="Y454" s="2"/>
      <c r="Z454" s="2"/>
    </row>
    <row r="455" spans="1:26" ht="12.5" x14ac:dyDescent="0.25">
      <c r="A455" s="7">
        <v>20.11</v>
      </c>
      <c r="B455" s="6" t="s">
        <v>169</v>
      </c>
      <c r="C455" s="6" t="s">
        <v>22</v>
      </c>
      <c r="D455" s="6" t="s">
        <v>170</v>
      </c>
      <c r="E455" s="8"/>
      <c r="F455" s="6" t="s">
        <v>25</v>
      </c>
      <c r="G455" s="6">
        <v>14</v>
      </c>
      <c r="H455" s="6" t="s">
        <v>26</v>
      </c>
      <c r="I455" s="7">
        <v>1</v>
      </c>
      <c r="J455" s="8"/>
      <c r="K455" s="7">
        <v>115.62</v>
      </c>
      <c r="L455" s="7">
        <v>115.62</v>
      </c>
      <c r="M455" s="7">
        <v>0</v>
      </c>
      <c r="N455" s="7">
        <v>115.62</v>
      </c>
      <c r="O455" s="8"/>
      <c r="P455" s="2"/>
      <c r="Q455" s="2"/>
      <c r="R455" s="2" t="str">
        <v>C9300</v>
      </c>
      <c r="S455" s="2" t="str">
        <f ca="1">IFERROR(__xludf.DUMMYFUNCTION("""COMPUTED_VALUE"""),"CAB-SPWR-30CM")</f>
        <v>CAB-SPWR-30CM</v>
      </c>
      <c r="T455" s="10">
        <f ca="1">IFERROR(__xludf.DUMMYFUNCTION("""COMPUTED_VALUE"""),0)</f>
        <v>0</v>
      </c>
      <c r="U455" s="2" t="e">
        <f ca="1"/>
        <v>#NAME?</v>
      </c>
      <c r="V455" s="2" t="e">
        <f ca="1"/>
        <v>#NAME?</v>
      </c>
      <c r="W455" s="2" t="e">
        <f ca="1"/>
        <v>#NAME?</v>
      </c>
      <c r="X455" s="2"/>
      <c r="Y455" s="2"/>
      <c r="Z455" s="2"/>
    </row>
    <row r="456" spans="1:26" ht="12.5" x14ac:dyDescent="0.25">
      <c r="A456" s="7">
        <v>20.12</v>
      </c>
      <c r="B456" s="6" t="s">
        <v>64</v>
      </c>
      <c r="C456" s="6" t="s">
        <v>22</v>
      </c>
      <c r="D456" s="6" t="s">
        <v>65</v>
      </c>
      <c r="E456" s="8"/>
      <c r="F456" s="6" t="s">
        <v>25</v>
      </c>
      <c r="G456" s="6">
        <v>14</v>
      </c>
      <c r="H456" s="6" t="s">
        <v>26</v>
      </c>
      <c r="I456" s="7">
        <v>1</v>
      </c>
      <c r="J456" s="8"/>
      <c r="K456" s="9">
        <v>3162.96</v>
      </c>
      <c r="L456" s="9">
        <v>3162.96</v>
      </c>
      <c r="M456" s="7">
        <v>0</v>
      </c>
      <c r="N456" s="9">
        <v>3162.96</v>
      </c>
      <c r="O456" s="8"/>
      <c r="P456" s="2"/>
      <c r="Q456" s="2"/>
      <c r="R456" s="2" t="str">
        <v>C9300</v>
      </c>
      <c r="S456" s="2" t="str">
        <f ca="1">IFERROR(__xludf.DUMMYFUNCTION("""COMPUTED_VALUE"""),"SSD-240G")</f>
        <v>SSD-240G</v>
      </c>
      <c r="T456" s="10">
        <f ca="1">IFERROR(__xludf.DUMMYFUNCTION("""COMPUTED_VALUE"""),0)</f>
        <v>0</v>
      </c>
      <c r="U456" s="2" t="e">
        <f ca="1"/>
        <v>#NAME?</v>
      </c>
      <c r="V456" s="2" t="e">
        <f ca="1"/>
        <v>#NAME?</v>
      </c>
      <c r="W456" s="2" t="e">
        <f ca="1"/>
        <v>#NAME?</v>
      </c>
      <c r="X456" s="2"/>
      <c r="Y456" s="2"/>
      <c r="Z456" s="2"/>
    </row>
    <row r="457" spans="1:26" ht="12.5" x14ac:dyDescent="0.25">
      <c r="A457" s="7">
        <v>20.13</v>
      </c>
      <c r="B457" s="6" t="s">
        <v>90</v>
      </c>
      <c r="C457" s="6" t="s">
        <v>22</v>
      </c>
      <c r="D457" s="6" t="s">
        <v>91</v>
      </c>
      <c r="E457" s="8"/>
      <c r="F457" s="6" t="s">
        <v>25</v>
      </c>
      <c r="G457" s="6">
        <v>14</v>
      </c>
      <c r="H457" s="6" t="s">
        <v>26</v>
      </c>
      <c r="I457" s="7">
        <v>1</v>
      </c>
      <c r="J457" s="8"/>
      <c r="K457" s="7">
        <v>0</v>
      </c>
      <c r="L457" s="7">
        <v>0</v>
      </c>
      <c r="M457" s="7">
        <v>0</v>
      </c>
      <c r="N457" s="7">
        <v>0</v>
      </c>
      <c r="O457" s="8"/>
      <c r="P457" s="2"/>
      <c r="Q457" s="2"/>
      <c r="R457" s="2" t="str">
        <v>C9300</v>
      </c>
      <c r="S457" s="2" t="str">
        <f ca="1">IFERROR(__xludf.DUMMYFUNCTION("""COMPUTED_VALUE"""),"C9300-ACCKIT-NONE")</f>
        <v>C9300-ACCKIT-NONE</v>
      </c>
      <c r="T457" s="10">
        <f ca="1">IFERROR(__xludf.DUMMYFUNCTION("""COMPUTED_VALUE"""),0)</f>
        <v>0</v>
      </c>
      <c r="U457" s="2" t="e">
        <f ca="1"/>
        <v>#NAME?</v>
      </c>
      <c r="V457" s="2" t="e">
        <f ca="1"/>
        <v>#NAME?</v>
      </c>
      <c r="W457" s="2" t="e">
        <f ca="1"/>
        <v>#NAME?</v>
      </c>
      <c r="X457" s="2"/>
      <c r="Y457" s="2"/>
      <c r="Z457" s="2"/>
    </row>
    <row r="458" spans="1:26" ht="12.5" x14ac:dyDescent="0.25">
      <c r="A458" s="7">
        <v>20.14</v>
      </c>
      <c r="B458" s="6" t="s">
        <v>171</v>
      </c>
      <c r="C458" s="6" t="s">
        <v>22</v>
      </c>
      <c r="D458" s="6" t="s">
        <v>172</v>
      </c>
      <c r="E458" s="8"/>
      <c r="F458" s="6" t="s">
        <v>25</v>
      </c>
      <c r="G458" s="6">
        <v>14</v>
      </c>
      <c r="H458" s="6" t="s">
        <v>26</v>
      </c>
      <c r="I458" s="7">
        <v>1</v>
      </c>
      <c r="J458" s="8"/>
      <c r="K458" s="9">
        <v>3103.4</v>
      </c>
      <c r="L458" s="9">
        <v>3103.4</v>
      </c>
      <c r="M458" s="7">
        <v>0</v>
      </c>
      <c r="N458" s="9">
        <v>3103.4</v>
      </c>
      <c r="O458" s="8"/>
      <c r="P458" s="2"/>
      <c r="Q458" s="2"/>
      <c r="R458" s="2" t="str">
        <v>C9300</v>
      </c>
      <c r="S458" s="2" t="str">
        <f ca="1">IFERROR(__xludf.DUMMYFUNCTION("""COMPUTED_VALUE"""),"C9300-NM-8X")</f>
        <v>C9300-NM-8X</v>
      </c>
      <c r="T458" s="10">
        <f ca="1">IFERROR(__xludf.DUMMYFUNCTION("""COMPUTED_VALUE"""),0)</f>
        <v>0</v>
      </c>
      <c r="U458" s="2" t="e">
        <f ca="1"/>
        <v>#NAME?</v>
      </c>
      <c r="V458" s="2" t="e">
        <f ca="1"/>
        <v>#NAME?</v>
      </c>
      <c r="W458" s="2" t="e">
        <f ca="1"/>
        <v>#NAME?</v>
      </c>
      <c r="X458" s="2"/>
      <c r="Y458" s="2"/>
      <c r="Z458" s="2"/>
    </row>
    <row r="459" spans="1:26" ht="12.5" x14ac:dyDescent="0.25">
      <c r="A459" s="7">
        <v>20.149999999999999</v>
      </c>
      <c r="B459" s="6" t="s">
        <v>72</v>
      </c>
      <c r="C459" s="6" t="s">
        <v>32</v>
      </c>
      <c r="D459" s="6" t="s">
        <v>73</v>
      </c>
      <c r="E459" s="8"/>
      <c r="F459" s="6" t="s">
        <v>25</v>
      </c>
      <c r="G459" s="6">
        <v>2</v>
      </c>
      <c r="H459" s="6" t="s">
        <v>32</v>
      </c>
      <c r="I459" s="7">
        <v>1</v>
      </c>
      <c r="J459" s="8"/>
      <c r="K459" s="7">
        <v>0</v>
      </c>
      <c r="L459" s="7">
        <v>0</v>
      </c>
      <c r="M459" s="7">
        <v>0</v>
      </c>
      <c r="N459" s="7">
        <v>0</v>
      </c>
      <c r="O459" s="8"/>
      <c r="P459" s="2"/>
      <c r="Q459" s="2"/>
      <c r="R459" s="2" t="str">
        <v>C9300</v>
      </c>
      <c r="S459" s="2" t="str">
        <f ca="1">IFERROR(__xludf.DUMMYFUNCTION("""COMPUTED_VALUE"""),"NETWORK-PNP-LIC")</f>
        <v>NETWORK-PNP-LIC</v>
      </c>
      <c r="T459" s="10">
        <f ca="1">IFERROR(__xludf.DUMMYFUNCTION("""COMPUTED_VALUE"""),0)</f>
        <v>0</v>
      </c>
      <c r="U459" s="2" t="e">
        <f ca="1"/>
        <v>#NAME?</v>
      </c>
      <c r="V459" s="2" t="e">
        <f ca="1"/>
        <v>#NAME?</v>
      </c>
      <c r="W459" s="2" t="e">
        <f ca="1"/>
        <v>#NAME?</v>
      </c>
      <c r="X459" s="2"/>
      <c r="Y459" s="2"/>
      <c r="Z459" s="2"/>
    </row>
    <row r="460" spans="1:26" ht="12.5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5"/>
      <c r="L460" s="15"/>
      <c r="M460" s="12" t="s">
        <v>76</v>
      </c>
      <c r="N460" s="13">
        <v>37491.480000000003</v>
      </c>
      <c r="O460" s="14"/>
      <c r="P460" s="2"/>
      <c r="Q460" s="2"/>
      <c r="R460" s="2" t="str">
        <v/>
      </c>
      <c r="S460" s="2" t="str">
        <f ca="1">IFERROR(__xludf.DUMMYFUNCTION("""COMPUTED_VALUE"""),"")</f>
        <v/>
      </c>
      <c r="T460" s="2" t="str">
        <f ca="1">IFERROR(__xludf.DUMMYFUNCTION("""COMPUTED_VALUE"""),"")</f>
        <v/>
      </c>
      <c r="U460" s="2" t="e">
        <f ca="1"/>
        <v>#NAME?</v>
      </c>
      <c r="V460" s="2" t="e">
        <f ca="1"/>
        <v>#NAME?</v>
      </c>
      <c r="W460" s="2" t="str">
        <f ca="1"/>
        <v/>
      </c>
      <c r="X460" s="2"/>
      <c r="Y460" s="2"/>
      <c r="Z460" s="2"/>
    </row>
    <row r="461" spans="1:26" ht="12.5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2" t="s">
        <v>298</v>
      </c>
      <c r="N461" s="13">
        <v>521669.52</v>
      </c>
      <c r="O461" s="14"/>
      <c r="P461" s="2"/>
      <c r="Q461" s="2"/>
      <c r="R461" s="2" t="str">
        <v/>
      </c>
      <c r="S461" s="2" t="str">
        <f ca="1">IFERROR(__xludf.DUMMYFUNCTION("""COMPUTED_VALUE"""),"")</f>
        <v/>
      </c>
      <c r="T461" s="2" t="str">
        <f ca="1">IFERROR(__xludf.DUMMYFUNCTION("""COMPUTED_VALUE"""),"")</f>
        <v/>
      </c>
      <c r="U461" s="2" t="e">
        <f ca="1"/>
        <v>#NAME?</v>
      </c>
      <c r="V461" s="2" t="e">
        <f ca="1"/>
        <v>#NAME?</v>
      </c>
      <c r="W461" s="2" t="str">
        <f ca="1"/>
        <v/>
      </c>
      <c r="X461" s="2"/>
      <c r="Y461" s="2"/>
      <c r="Z461" s="2"/>
    </row>
    <row r="462" spans="1:26" ht="12.5" x14ac:dyDescent="0.25">
      <c r="A462" s="16"/>
      <c r="B462" s="17"/>
      <c r="C462" s="17"/>
      <c r="D462" s="17"/>
      <c r="E462" s="8"/>
      <c r="F462" s="17"/>
      <c r="G462" s="17"/>
      <c r="H462" s="17"/>
      <c r="I462" s="16"/>
      <c r="J462" s="8"/>
      <c r="K462" s="18"/>
      <c r="L462" s="18"/>
      <c r="M462" s="16"/>
      <c r="N462" s="18"/>
      <c r="O462" s="8"/>
      <c r="P462" s="2"/>
      <c r="Q462" s="2"/>
      <c r="R462" s="2" t="str">
        <v/>
      </c>
      <c r="S462" s="2" t="str">
        <f ca="1">IFERROR(__xludf.DUMMYFUNCTION("""COMPUTED_VALUE"""),"")</f>
        <v/>
      </c>
      <c r="T462" s="10" t="str">
        <f ca="1">IFERROR(__xludf.DUMMYFUNCTION("""COMPUTED_VALUE"""),"")</f>
        <v/>
      </c>
      <c r="U462" s="2" t="e">
        <f ca="1"/>
        <v>#NAME?</v>
      </c>
      <c r="V462" s="2" t="e">
        <f ca="1"/>
        <v>#NAME?</v>
      </c>
      <c r="W462" s="2" t="str">
        <f ca="1"/>
        <v/>
      </c>
      <c r="X462" s="2"/>
      <c r="Y462" s="2"/>
      <c r="Z462" s="2"/>
    </row>
    <row r="463" spans="1:26" ht="12.5" x14ac:dyDescent="0.25">
      <c r="A463" s="16"/>
      <c r="B463" s="17"/>
      <c r="C463" s="17"/>
      <c r="D463" s="17"/>
      <c r="E463" s="8"/>
      <c r="F463" s="17"/>
      <c r="G463" s="17"/>
      <c r="H463" s="17"/>
      <c r="I463" s="16"/>
      <c r="J463" s="8"/>
      <c r="K463" s="16"/>
      <c r="L463" s="16"/>
      <c r="M463" s="16"/>
      <c r="N463" s="16"/>
      <c r="O463" s="8"/>
      <c r="P463" s="2"/>
      <c r="Q463" s="2"/>
      <c r="R463" s="2" t="str">
        <v/>
      </c>
      <c r="S463" s="2" t="str">
        <f ca="1">IFERROR(__xludf.DUMMYFUNCTION("""COMPUTED_VALUE"""),"")</f>
        <v/>
      </c>
      <c r="T463" s="10" t="str">
        <f ca="1">IFERROR(__xludf.DUMMYFUNCTION("""COMPUTED_VALUE"""),"")</f>
        <v/>
      </c>
      <c r="U463" s="2" t="e">
        <f ca="1"/>
        <v>#NAME?</v>
      </c>
      <c r="V463" s="2" t="e">
        <f ca="1"/>
        <v>#NAME?</v>
      </c>
      <c r="W463" s="2" t="str">
        <f ca="1"/>
        <v/>
      </c>
      <c r="X463" s="2"/>
      <c r="Y463" s="2"/>
      <c r="Z463" s="2"/>
    </row>
    <row r="464" spans="1:26" ht="12.5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9"/>
      <c r="N464" s="20"/>
      <c r="O464" s="14"/>
      <c r="P464" s="2"/>
      <c r="Q464" s="2"/>
      <c r="R464" s="2" t="str">
        <v/>
      </c>
      <c r="S464" s="2" t="str">
        <f ca="1">IFERROR(__xludf.DUMMYFUNCTION("""COMPUTED_VALUE"""),"")</f>
        <v/>
      </c>
      <c r="T464" s="2" t="str">
        <f ca="1">IFERROR(__xludf.DUMMYFUNCTION("""COMPUTED_VALUE"""),"")</f>
        <v/>
      </c>
      <c r="U464" s="2" t="e">
        <f ca="1"/>
        <v>#NAME?</v>
      </c>
      <c r="V464" s="2" t="e">
        <f ca="1"/>
        <v>#NAME?</v>
      </c>
      <c r="W464" s="2" t="str">
        <f ca="1"/>
        <v/>
      </c>
      <c r="X464" s="2"/>
      <c r="Y464" s="2"/>
      <c r="Z464" s="2"/>
    </row>
    <row r="465" spans="1:26" ht="12.5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9"/>
      <c r="N465" s="20"/>
      <c r="O465" s="14"/>
      <c r="P465" s="2"/>
      <c r="Q465" s="2"/>
      <c r="R465" s="2" t="str">
        <v/>
      </c>
      <c r="S465" s="2" t="str">
        <f ca="1">IFERROR(__xludf.DUMMYFUNCTION("""COMPUTED_VALUE"""),"")</f>
        <v/>
      </c>
      <c r="T465" s="2" t="str">
        <f ca="1">IFERROR(__xludf.DUMMYFUNCTION("""COMPUTED_VALUE"""),"")</f>
        <v/>
      </c>
      <c r="U465" s="2" t="e">
        <f ca="1"/>
        <v>#NAME?</v>
      </c>
      <c r="V465" s="2" t="e">
        <f ca="1"/>
        <v>#NAME?</v>
      </c>
      <c r="W465" s="2" t="str">
        <f ca="1"/>
        <v/>
      </c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tr">
        <v/>
      </c>
      <c r="S466" s="2" t="str">
        <f ca="1">IFERROR(__xludf.DUMMYFUNCTION("""COMPUTED_VALUE"""),"")</f>
        <v/>
      </c>
      <c r="T466" s="2" t="str">
        <f ca="1">IFERROR(__xludf.DUMMYFUNCTION("""COMPUTED_VALUE"""),"")</f>
        <v/>
      </c>
      <c r="U466" s="2" t="e">
        <f ca="1"/>
        <v>#NAME?</v>
      </c>
      <c r="V466" s="2" t="e">
        <f ca="1"/>
        <v>#NAME?</v>
      </c>
      <c r="W466" s="2" t="str">
        <f ca="1"/>
        <v/>
      </c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tr">
        <v/>
      </c>
      <c r="S467" s="2" t="str">
        <f ca="1">IFERROR(__xludf.DUMMYFUNCTION("""COMPUTED_VALUE"""),"")</f>
        <v/>
      </c>
      <c r="T467" s="2" t="str">
        <f ca="1">IFERROR(__xludf.DUMMYFUNCTION("""COMPUTED_VALUE"""),"")</f>
        <v/>
      </c>
      <c r="U467" s="2" t="e">
        <f ca="1"/>
        <v>#NAME?</v>
      </c>
      <c r="V467" s="2" t="e">
        <f ca="1"/>
        <v>#NAME?</v>
      </c>
      <c r="W467" s="2" t="str">
        <f ca="1"/>
        <v/>
      </c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tr">
        <v/>
      </c>
      <c r="S468" s="2" t="str">
        <f ca="1">IFERROR(__xludf.DUMMYFUNCTION("""COMPUTED_VALUE"""),"")</f>
        <v/>
      </c>
      <c r="T468" s="2" t="str">
        <f ca="1">IFERROR(__xludf.DUMMYFUNCTION("""COMPUTED_VALUE"""),"")</f>
        <v/>
      </c>
      <c r="U468" s="2" t="e">
        <f ca="1"/>
        <v>#NAME?</v>
      </c>
      <c r="V468" s="2" t="e">
        <f ca="1"/>
        <v>#NAME?</v>
      </c>
      <c r="W468" s="2" t="str">
        <f ca="1"/>
        <v/>
      </c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tr">
        <v/>
      </c>
      <c r="S469" s="2" t="str">
        <f ca="1">IFERROR(__xludf.DUMMYFUNCTION("""COMPUTED_VALUE"""),"")</f>
        <v/>
      </c>
      <c r="T469" s="2" t="str">
        <f ca="1">IFERROR(__xludf.DUMMYFUNCTION("""COMPUTED_VALUE"""),"")</f>
        <v/>
      </c>
      <c r="U469" s="2" t="e">
        <f ca="1"/>
        <v>#NAME?</v>
      </c>
      <c r="V469" s="2" t="e">
        <f ca="1"/>
        <v>#NAME?</v>
      </c>
      <c r="W469" s="2" t="str">
        <f ca="1"/>
        <v/>
      </c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tr">
        <v/>
      </c>
      <c r="S470" s="2" t="str">
        <f ca="1">IFERROR(__xludf.DUMMYFUNCTION("""COMPUTED_VALUE"""),"")</f>
        <v/>
      </c>
      <c r="T470" s="2" t="str">
        <f ca="1">IFERROR(__xludf.DUMMYFUNCTION("""COMPUTED_VALUE"""),"")</f>
        <v/>
      </c>
      <c r="U470" s="2" t="e">
        <f ca="1"/>
        <v>#NAME?</v>
      </c>
      <c r="V470" s="2" t="e">
        <f ca="1"/>
        <v>#NAME?</v>
      </c>
      <c r="W470" s="2" t="str">
        <f ca="1"/>
        <v/>
      </c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tr">
        <v/>
      </c>
      <c r="S471" s="2" t="str">
        <f ca="1">IFERROR(__xludf.DUMMYFUNCTION("""COMPUTED_VALUE"""),"")</f>
        <v/>
      </c>
      <c r="T471" s="2" t="str">
        <f ca="1">IFERROR(__xludf.DUMMYFUNCTION("""COMPUTED_VALUE"""),"")</f>
        <v/>
      </c>
      <c r="U471" s="2" t="e">
        <f ca="1"/>
        <v>#NAME?</v>
      </c>
      <c r="V471" s="2" t="e">
        <f ca="1"/>
        <v>#NAME?</v>
      </c>
      <c r="W471" s="2" t="str">
        <f ca="1"/>
        <v/>
      </c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tr">
        <v/>
      </c>
      <c r="S472" s="2" t="str">
        <f ca="1">IFERROR(__xludf.DUMMYFUNCTION("""COMPUTED_VALUE"""),"")</f>
        <v/>
      </c>
      <c r="T472" s="2" t="str">
        <f ca="1">IFERROR(__xludf.DUMMYFUNCTION("""COMPUTED_VALUE"""),"")</f>
        <v/>
      </c>
      <c r="U472" s="2" t="e">
        <f ca="1"/>
        <v>#NAME?</v>
      </c>
      <c r="V472" s="2" t="e">
        <f ca="1"/>
        <v>#NAME?</v>
      </c>
      <c r="W472" s="2" t="str">
        <f ca="1"/>
        <v/>
      </c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tr">
        <v/>
      </c>
      <c r="S473" s="2" t="str">
        <f ca="1">IFERROR(__xludf.DUMMYFUNCTION("""COMPUTED_VALUE"""),"")</f>
        <v/>
      </c>
      <c r="T473" s="2" t="str">
        <f ca="1">IFERROR(__xludf.DUMMYFUNCTION("""COMPUTED_VALUE"""),"")</f>
        <v/>
      </c>
      <c r="U473" s="2" t="e">
        <f ca="1"/>
        <v>#NAME?</v>
      </c>
      <c r="V473" s="2" t="e">
        <f ca="1"/>
        <v>#NAME?</v>
      </c>
      <c r="W473" s="2" t="str">
        <f ca="1"/>
        <v/>
      </c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tr">
        <v/>
      </c>
      <c r="S474" s="2" t="str">
        <f ca="1">IFERROR(__xludf.DUMMYFUNCTION("""COMPUTED_VALUE"""),"")</f>
        <v/>
      </c>
      <c r="T474" s="2" t="str">
        <f ca="1">IFERROR(__xludf.DUMMYFUNCTION("""COMPUTED_VALUE"""),"")</f>
        <v/>
      </c>
      <c r="U474" s="2" t="e">
        <f ca="1"/>
        <v>#NAME?</v>
      </c>
      <c r="V474" s="2" t="e">
        <f ca="1"/>
        <v>#NAME?</v>
      </c>
      <c r="W474" s="2" t="str">
        <f ca="1"/>
        <v/>
      </c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tr">
        <v/>
      </c>
      <c r="S475" s="2" t="str">
        <f ca="1">IFERROR(__xludf.DUMMYFUNCTION("""COMPUTED_VALUE"""),"")</f>
        <v/>
      </c>
      <c r="T475" s="2" t="str">
        <f ca="1">IFERROR(__xludf.DUMMYFUNCTION("""COMPUTED_VALUE"""),"")</f>
        <v/>
      </c>
      <c r="U475" s="2" t="e">
        <f ca="1"/>
        <v>#NAME?</v>
      </c>
      <c r="V475" s="2" t="e">
        <f ca="1"/>
        <v>#NAME?</v>
      </c>
      <c r="W475" s="2" t="str">
        <f ca="1"/>
        <v/>
      </c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tr">
        <v/>
      </c>
      <c r="S476" s="2" t="str">
        <f ca="1">IFERROR(__xludf.DUMMYFUNCTION("""COMPUTED_VALUE"""),"")</f>
        <v/>
      </c>
      <c r="T476" s="2" t="str">
        <f ca="1">IFERROR(__xludf.DUMMYFUNCTION("""COMPUTED_VALUE"""),"")</f>
        <v/>
      </c>
      <c r="U476" s="2" t="e">
        <f ca="1"/>
        <v>#NAME?</v>
      </c>
      <c r="V476" s="2" t="e">
        <f ca="1"/>
        <v>#NAME?</v>
      </c>
      <c r="W476" s="2" t="str">
        <f ca="1"/>
        <v/>
      </c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tr">
        <v/>
      </c>
      <c r="S477" s="2" t="str">
        <f ca="1">IFERROR(__xludf.DUMMYFUNCTION("""COMPUTED_VALUE"""),"")</f>
        <v/>
      </c>
      <c r="T477" s="2" t="str">
        <f ca="1">IFERROR(__xludf.DUMMYFUNCTION("""COMPUTED_VALUE"""),"")</f>
        <v/>
      </c>
      <c r="U477" s="2" t="e">
        <f ca="1"/>
        <v>#NAME?</v>
      </c>
      <c r="V477" s="2" t="e">
        <f ca="1"/>
        <v>#NAME?</v>
      </c>
      <c r="W477" s="2" t="str">
        <f ca="1"/>
        <v/>
      </c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tr">
        <v/>
      </c>
      <c r="S478" s="2" t="str">
        <f ca="1">IFERROR(__xludf.DUMMYFUNCTION("""COMPUTED_VALUE"""),"")</f>
        <v/>
      </c>
      <c r="T478" s="2" t="str">
        <f ca="1">IFERROR(__xludf.DUMMYFUNCTION("""COMPUTED_VALUE"""),"")</f>
        <v/>
      </c>
      <c r="U478" s="2" t="e">
        <f ca="1"/>
        <v>#NAME?</v>
      </c>
      <c r="V478" s="2" t="e">
        <f ca="1"/>
        <v>#NAME?</v>
      </c>
      <c r="W478" s="2" t="str">
        <f ca="1"/>
        <v/>
      </c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tr">
        <v/>
      </c>
      <c r="S479" s="2" t="str">
        <f ca="1">IFERROR(__xludf.DUMMYFUNCTION("""COMPUTED_VALUE"""),"")</f>
        <v/>
      </c>
      <c r="T479" s="2" t="str">
        <f ca="1">IFERROR(__xludf.DUMMYFUNCTION("""COMPUTED_VALUE"""),"")</f>
        <v/>
      </c>
      <c r="U479" s="2" t="e">
        <f ca="1"/>
        <v>#NAME?</v>
      </c>
      <c r="V479" s="2" t="e">
        <f ca="1"/>
        <v>#NAME?</v>
      </c>
      <c r="W479" s="2" t="str">
        <f ca="1"/>
        <v/>
      </c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tr">
        <v/>
      </c>
      <c r="S480" s="2" t="str">
        <f ca="1">IFERROR(__xludf.DUMMYFUNCTION("""COMPUTED_VALUE"""),"")</f>
        <v/>
      </c>
      <c r="T480" s="2" t="str">
        <f ca="1">IFERROR(__xludf.DUMMYFUNCTION("""COMPUTED_VALUE"""),"")</f>
        <v/>
      </c>
      <c r="U480" s="2" t="e">
        <f ca="1"/>
        <v>#NAME?</v>
      </c>
      <c r="V480" s="2" t="e">
        <f ca="1"/>
        <v>#NAME?</v>
      </c>
      <c r="W480" s="2" t="str">
        <f ca="1"/>
        <v/>
      </c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tr">
        <v/>
      </c>
      <c r="S481" s="2" t="str">
        <f ca="1">IFERROR(__xludf.DUMMYFUNCTION("""COMPUTED_VALUE"""),"")</f>
        <v/>
      </c>
      <c r="T481" s="2" t="str">
        <f ca="1">IFERROR(__xludf.DUMMYFUNCTION("""COMPUTED_VALUE"""),"")</f>
        <v/>
      </c>
      <c r="U481" s="2" t="e">
        <f ca="1"/>
        <v>#NAME?</v>
      </c>
      <c r="V481" s="2" t="e">
        <f ca="1"/>
        <v>#NAME?</v>
      </c>
      <c r="W481" s="2" t="str">
        <f ca="1"/>
        <v/>
      </c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tr">
        <v/>
      </c>
      <c r="S482" s="2" t="str">
        <f ca="1">IFERROR(__xludf.DUMMYFUNCTION("""COMPUTED_VALUE"""),"")</f>
        <v/>
      </c>
      <c r="T482" s="2" t="str">
        <f ca="1">IFERROR(__xludf.DUMMYFUNCTION("""COMPUTED_VALUE"""),"")</f>
        <v/>
      </c>
      <c r="U482" s="2" t="e">
        <f ca="1"/>
        <v>#NAME?</v>
      </c>
      <c r="V482" s="2" t="e">
        <f ca="1"/>
        <v>#NAME?</v>
      </c>
      <c r="W482" s="2" t="str">
        <f ca="1"/>
        <v/>
      </c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tr">
        <v/>
      </c>
      <c r="S483" s="2" t="str">
        <f ca="1">IFERROR(__xludf.DUMMYFUNCTION("""COMPUTED_VALUE"""),"")</f>
        <v/>
      </c>
      <c r="T483" s="2" t="str">
        <f ca="1">IFERROR(__xludf.DUMMYFUNCTION("""COMPUTED_VALUE"""),"")</f>
        <v/>
      </c>
      <c r="U483" s="2" t="e">
        <f ca="1"/>
        <v>#NAME?</v>
      </c>
      <c r="V483" s="2" t="e">
        <f ca="1"/>
        <v>#NAME?</v>
      </c>
      <c r="W483" s="2" t="str">
        <f ca="1"/>
        <v/>
      </c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tr">
        <v/>
      </c>
      <c r="S484" s="2" t="str">
        <f ca="1">IFERROR(__xludf.DUMMYFUNCTION("""COMPUTED_VALUE"""),"")</f>
        <v/>
      </c>
      <c r="T484" s="2" t="str">
        <f ca="1">IFERROR(__xludf.DUMMYFUNCTION("""COMPUTED_VALUE"""),"")</f>
        <v/>
      </c>
      <c r="U484" s="2" t="e">
        <f ca="1"/>
        <v>#NAME?</v>
      </c>
      <c r="V484" s="2" t="e">
        <f ca="1"/>
        <v>#NAME?</v>
      </c>
      <c r="W484" s="2" t="str">
        <f ca="1"/>
        <v/>
      </c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tr">
        <v/>
      </c>
      <c r="S485" s="2" t="str">
        <f ca="1">IFERROR(__xludf.DUMMYFUNCTION("""COMPUTED_VALUE"""),"")</f>
        <v/>
      </c>
      <c r="T485" s="2" t="str">
        <f ca="1">IFERROR(__xludf.DUMMYFUNCTION("""COMPUTED_VALUE"""),"")</f>
        <v/>
      </c>
      <c r="U485" s="2" t="e">
        <f ca="1"/>
        <v>#NAME?</v>
      </c>
      <c r="V485" s="2" t="e">
        <f ca="1"/>
        <v>#NAME?</v>
      </c>
      <c r="W485" s="2" t="str">
        <f ca="1"/>
        <v/>
      </c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tr">
        <v/>
      </c>
      <c r="S486" s="2" t="str">
        <f ca="1">IFERROR(__xludf.DUMMYFUNCTION("""COMPUTED_VALUE"""),"")</f>
        <v/>
      </c>
      <c r="T486" s="2" t="str">
        <f ca="1">IFERROR(__xludf.DUMMYFUNCTION("""COMPUTED_VALUE"""),"")</f>
        <v/>
      </c>
      <c r="U486" s="2" t="e">
        <f ca="1"/>
        <v>#NAME?</v>
      </c>
      <c r="V486" s="2" t="e">
        <f ca="1"/>
        <v>#NAME?</v>
      </c>
      <c r="W486" s="2" t="str">
        <f ca="1"/>
        <v/>
      </c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tr">
        <v/>
      </c>
      <c r="S487" s="2" t="str">
        <f ca="1">IFERROR(__xludf.DUMMYFUNCTION("""COMPUTED_VALUE"""),"")</f>
        <v/>
      </c>
      <c r="T487" s="2" t="str">
        <f ca="1">IFERROR(__xludf.DUMMYFUNCTION("""COMPUTED_VALUE"""),"")</f>
        <v/>
      </c>
      <c r="U487" s="2" t="e">
        <f ca="1"/>
        <v>#NAME?</v>
      </c>
      <c r="V487" s="2" t="e">
        <f ca="1"/>
        <v>#NAME?</v>
      </c>
      <c r="W487" s="2" t="str">
        <f ca="1"/>
        <v/>
      </c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tr">
        <v/>
      </c>
      <c r="S488" s="2" t="str">
        <f ca="1">IFERROR(__xludf.DUMMYFUNCTION("""COMPUTED_VALUE"""),"")</f>
        <v/>
      </c>
      <c r="T488" s="2" t="str">
        <f ca="1">IFERROR(__xludf.DUMMYFUNCTION("""COMPUTED_VALUE"""),"")</f>
        <v/>
      </c>
      <c r="U488" s="2" t="e">
        <f ca="1"/>
        <v>#NAME?</v>
      </c>
      <c r="V488" s="2" t="e">
        <f ca="1"/>
        <v>#NAME?</v>
      </c>
      <c r="W488" s="2" t="str">
        <f ca="1"/>
        <v/>
      </c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tr">
        <v/>
      </c>
      <c r="S489" s="2" t="str">
        <f ca="1">IFERROR(__xludf.DUMMYFUNCTION("""COMPUTED_VALUE"""),"")</f>
        <v/>
      </c>
      <c r="T489" s="2" t="str">
        <f ca="1">IFERROR(__xludf.DUMMYFUNCTION("""COMPUTED_VALUE"""),"")</f>
        <v/>
      </c>
      <c r="U489" s="2" t="e">
        <f ca="1"/>
        <v>#NAME?</v>
      </c>
      <c r="V489" s="2" t="e">
        <f ca="1"/>
        <v>#NAME?</v>
      </c>
      <c r="W489" s="2" t="str">
        <f ca="1"/>
        <v/>
      </c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tr">
        <v/>
      </c>
      <c r="S490" s="2" t="str">
        <f ca="1">IFERROR(__xludf.DUMMYFUNCTION("""COMPUTED_VALUE"""),"")</f>
        <v/>
      </c>
      <c r="T490" s="2" t="str">
        <f ca="1">IFERROR(__xludf.DUMMYFUNCTION("""COMPUTED_VALUE"""),"")</f>
        <v/>
      </c>
      <c r="U490" s="2" t="e">
        <f ca="1"/>
        <v>#NAME?</v>
      </c>
      <c r="V490" s="2" t="e">
        <f ca="1"/>
        <v>#NAME?</v>
      </c>
      <c r="W490" s="2" t="str">
        <f ca="1"/>
        <v/>
      </c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tr">
        <v/>
      </c>
      <c r="S491" s="2" t="str">
        <f ca="1">IFERROR(__xludf.DUMMYFUNCTION("""COMPUTED_VALUE"""),"")</f>
        <v/>
      </c>
      <c r="T491" s="2" t="str">
        <f ca="1">IFERROR(__xludf.DUMMYFUNCTION("""COMPUTED_VALUE"""),"")</f>
        <v/>
      </c>
      <c r="U491" s="2" t="e">
        <f ca="1"/>
        <v>#NAME?</v>
      </c>
      <c r="V491" s="2" t="e">
        <f ca="1"/>
        <v>#NAME?</v>
      </c>
      <c r="W491" s="2" t="str">
        <f ca="1"/>
        <v/>
      </c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tr">
        <v/>
      </c>
      <c r="S492" s="2" t="str">
        <f ca="1">IFERROR(__xludf.DUMMYFUNCTION("""COMPUTED_VALUE"""),"")</f>
        <v/>
      </c>
      <c r="T492" s="2" t="str">
        <f ca="1">IFERROR(__xludf.DUMMYFUNCTION("""COMPUTED_VALUE"""),"")</f>
        <v/>
      </c>
      <c r="U492" s="2" t="e">
        <f ca="1"/>
        <v>#NAME?</v>
      </c>
      <c r="V492" s="2" t="e">
        <f ca="1"/>
        <v>#NAME?</v>
      </c>
      <c r="W492" s="2" t="str">
        <f ca="1"/>
        <v/>
      </c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tr">
        <v/>
      </c>
      <c r="S493" s="2" t="str">
        <f ca="1">IFERROR(__xludf.DUMMYFUNCTION("""COMPUTED_VALUE"""),"")</f>
        <v/>
      </c>
      <c r="T493" s="2" t="str">
        <f ca="1">IFERROR(__xludf.DUMMYFUNCTION("""COMPUTED_VALUE"""),"")</f>
        <v/>
      </c>
      <c r="U493" s="2" t="e">
        <f ca="1"/>
        <v>#NAME?</v>
      </c>
      <c r="V493" s="2" t="e">
        <f ca="1"/>
        <v>#NAME?</v>
      </c>
      <c r="W493" s="2" t="str">
        <f ca="1"/>
        <v/>
      </c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tr">
        <v/>
      </c>
      <c r="S494" s="2" t="str">
        <f ca="1">IFERROR(__xludf.DUMMYFUNCTION("""COMPUTED_VALUE"""),"")</f>
        <v/>
      </c>
      <c r="T494" s="2" t="str">
        <f ca="1">IFERROR(__xludf.DUMMYFUNCTION("""COMPUTED_VALUE"""),"")</f>
        <v/>
      </c>
      <c r="U494" s="2" t="e">
        <f ca="1"/>
        <v>#NAME?</v>
      </c>
      <c r="V494" s="2" t="e">
        <f ca="1"/>
        <v>#NAME?</v>
      </c>
      <c r="W494" s="2" t="str">
        <f ca="1"/>
        <v/>
      </c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tr">
        <v/>
      </c>
      <c r="S495" s="2" t="str">
        <f ca="1">IFERROR(__xludf.DUMMYFUNCTION("""COMPUTED_VALUE"""),"")</f>
        <v/>
      </c>
      <c r="T495" s="2" t="str">
        <f ca="1">IFERROR(__xludf.DUMMYFUNCTION("""COMPUTED_VALUE"""),"")</f>
        <v/>
      </c>
      <c r="U495" s="2" t="e">
        <f ca="1"/>
        <v>#NAME?</v>
      </c>
      <c r="V495" s="2" t="e">
        <f ca="1"/>
        <v>#NAME?</v>
      </c>
      <c r="W495" s="2" t="str">
        <f ca="1"/>
        <v/>
      </c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tr">
        <v/>
      </c>
      <c r="S496" s="2" t="str">
        <f ca="1">IFERROR(__xludf.DUMMYFUNCTION("""COMPUTED_VALUE"""),"")</f>
        <v/>
      </c>
      <c r="T496" s="2" t="str">
        <f ca="1">IFERROR(__xludf.DUMMYFUNCTION("""COMPUTED_VALUE"""),"")</f>
        <v/>
      </c>
      <c r="U496" s="2" t="e">
        <f ca="1"/>
        <v>#NAME?</v>
      </c>
      <c r="V496" s="2" t="e">
        <f ca="1"/>
        <v>#NAME?</v>
      </c>
      <c r="W496" s="2" t="str">
        <f ca="1"/>
        <v/>
      </c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tr">
        <v/>
      </c>
      <c r="S497" s="2" t="str">
        <f ca="1">IFERROR(__xludf.DUMMYFUNCTION("""COMPUTED_VALUE"""),"")</f>
        <v/>
      </c>
      <c r="T497" s="2" t="str">
        <f ca="1">IFERROR(__xludf.DUMMYFUNCTION("""COMPUTED_VALUE"""),"")</f>
        <v/>
      </c>
      <c r="U497" s="2" t="e">
        <f ca="1"/>
        <v>#NAME?</v>
      </c>
      <c r="V497" s="2" t="e">
        <f ca="1"/>
        <v>#NAME?</v>
      </c>
      <c r="W497" s="2" t="str">
        <f ca="1"/>
        <v/>
      </c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tr">
        <v/>
      </c>
      <c r="S498" s="2" t="str">
        <f ca="1">IFERROR(__xludf.DUMMYFUNCTION("""COMPUTED_VALUE"""),"")</f>
        <v/>
      </c>
      <c r="T498" s="2" t="str">
        <f ca="1">IFERROR(__xludf.DUMMYFUNCTION("""COMPUTED_VALUE"""),"")</f>
        <v/>
      </c>
      <c r="U498" s="2" t="e">
        <f ca="1"/>
        <v>#NAME?</v>
      </c>
      <c r="V498" s="2" t="e">
        <f ca="1"/>
        <v>#NAME?</v>
      </c>
      <c r="W498" s="2" t="str">
        <f ca="1"/>
        <v/>
      </c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tr">
        <v/>
      </c>
      <c r="S499" s="2" t="str">
        <f ca="1">IFERROR(__xludf.DUMMYFUNCTION("""COMPUTED_VALUE"""),"")</f>
        <v/>
      </c>
      <c r="T499" s="2" t="str">
        <f ca="1">IFERROR(__xludf.DUMMYFUNCTION("""COMPUTED_VALUE"""),"")</f>
        <v/>
      </c>
      <c r="U499" s="2" t="e">
        <f ca="1"/>
        <v>#NAME?</v>
      </c>
      <c r="V499" s="2" t="e">
        <f ca="1"/>
        <v>#NAME?</v>
      </c>
      <c r="W499" s="2" t="str">
        <f ca="1"/>
        <v/>
      </c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tr">
        <v/>
      </c>
      <c r="S500" s="2" t="str">
        <f ca="1">IFERROR(__xludf.DUMMYFUNCTION("""COMPUTED_VALUE"""),"")</f>
        <v/>
      </c>
      <c r="T500" s="2" t="str">
        <f ca="1">IFERROR(__xludf.DUMMYFUNCTION("""COMPUTED_VALUE"""),"")</f>
        <v/>
      </c>
      <c r="U500" s="2" t="e">
        <f ca="1"/>
        <v>#NAME?</v>
      </c>
      <c r="V500" s="2" t="e">
        <f ca="1"/>
        <v>#NAME?</v>
      </c>
      <c r="W500" s="2" t="str">
        <f ca="1"/>
        <v/>
      </c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tr">
        <v/>
      </c>
      <c r="S501" s="2" t="str">
        <f ca="1">IFERROR(__xludf.DUMMYFUNCTION("""COMPUTED_VALUE"""),"")</f>
        <v/>
      </c>
      <c r="T501" s="2" t="str">
        <f ca="1">IFERROR(__xludf.DUMMYFUNCTION("""COMPUTED_VALUE"""),"")</f>
        <v/>
      </c>
      <c r="U501" s="2" t="e">
        <f ca="1"/>
        <v>#NAME?</v>
      </c>
      <c r="V501" s="2" t="e">
        <f ca="1"/>
        <v>#NAME?</v>
      </c>
      <c r="W501" s="2" t="str">
        <f ca="1"/>
        <v/>
      </c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tr">
        <v/>
      </c>
      <c r="S502" s="2" t="str">
        <f ca="1">IFERROR(__xludf.DUMMYFUNCTION("""COMPUTED_VALUE"""),"")</f>
        <v/>
      </c>
      <c r="T502" s="2" t="str">
        <f ca="1">IFERROR(__xludf.DUMMYFUNCTION("""COMPUTED_VALUE"""),"")</f>
        <v/>
      </c>
      <c r="U502" s="2" t="e">
        <f ca="1"/>
        <v>#NAME?</v>
      </c>
      <c r="V502" s="2" t="e">
        <f ca="1"/>
        <v>#NAME?</v>
      </c>
      <c r="W502" s="2" t="str">
        <f ca="1"/>
        <v/>
      </c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tr">
        <v/>
      </c>
      <c r="S503" s="2" t="str">
        <f ca="1">IFERROR(__xludf.DUMMYFUNCTION("""COMPUTED_VALUE"""),"")</f>
        <v/>
      </c>
      <c r="T503" s="2" t="str">
        <f ca="1">IFERROR(__xludf.DUMMYFUNCTION("""COMPUTED_VALUE"""),"")</f>
        <v/>
      </c>
      <c r="U503" s="2" t="e">
        <f ca="1"/>
        <v>#NAME?</v>
      </c>
      <c r="V503" s="2" t="e">
        <f ca="1"/>
        <v>#NAME?</v>
      </c>
      <c r="W503" s="2" t="str">
        <f ca="1"/>
        <v/>
      </c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tr">
        <v/>
      </c>
      <c r="S504" s="2" t="str">
        <f ca="1">IFERROR(__xludf.DUMMYFUNCTION("""COMPUTED_VALUE"""),"")</f>
        <v/>
      </c>
      <c r="T504" s="2" t="str">
        <f ca="1">IFERROR(__xludf.DUMMYFUNCTION("""COMPUTED_VALUE"""),"")</f>
        <v/>
      </c>
      <c r="U504" s="2" t="e">
        <f ca="1"/>
        <v>#NAME?</v>
      </c>
      <c r="V504" s="2" t="e">
        <f ca="1"/>
        <v>#NAME?</v>
      </c>
      <c r="W504" s="2" t="str">
        <f ca="1"/>
        <v/>
      </c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tr">
        <v/>
      </c>
      <c r="S505" s="2" t="str">
        <f ca="1">IFERROR(__xludf.DUMMYFUNCTION("""COMPUTED_VALUE"""),"")</f>
        <v/>
      </c>
      <c r="T505" s="2" t="str">
        <f ca="1">IFERROR(__xludf.DUMMYFUNCTION("""COMPUTED_VALUE"""),"")</f>
        <v/>
      </c>
      <c r="U505" s="2" t="e">
        <f ca="1"/>
        <v>#NAME?</v>
      </c>
      <c r="V505" s="2" t="e">
        <f ca="1"/>
        <v>#NAME?</v>
      </c>
      <c r="W505" s="2" t="str">
        <f ca="1"/>
        <v/>
      </c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tr">
        <v/>
      </c>
      <c r="S506" s="2" t="str">
        <f ca="1">IFERROR(__xludf.DUMMYFUNCTION("""COMPUTED_VALUE"""),"")</f>
        <v/>
      </c>
      <c r="T506" s="2" t="str">
        <f ca="1">IFERROR(__xludf.DUMMYFUNCTION("""COMPUTED_VALUE"""),"")</f>
        <v/>
      </c>
      <c r="U506" s="2" t="e">
        <f ca="1"/>
        <v>#NAME?</v>
      </c>
      <c r="V506" s="2" t="e">
        <f ca="1"/>
        <v>#NAME?</v>
      </c>
      <c r="W506" s="2" t="str">
        <f ca="1"/>
        <v/>
      </c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tr">
        <v/>
      </c>
      <c r="S507" s="2" t="str">
        <f ca="1">IFERROR(__xludf.DUMMYFUNCTION("""COMPUTED_VALUE"""),"")</f>
        <v/>
      </c>
      <c r="T507" s="2" t="str">
        <f ca="1">IFERROR(__xludf.DUMMYFUNCTION("""COMPUTED_VALUE"""),"")</f>
        <v/>
      </c>
      <c r="U507" s="2" t="e">
        <f ca="1"/>
        <v>#NAME?</v>
      </c>
      <c r="V507" s="2" t="e">
        <f ca="1"/>
        <v>#NAME?</v>
      </c>
      <c r="W507" s="2" t="str">
        <f ca="1"/>
        <v/>
      </c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tr">
        <v/>
      </c>
      <c r="S508" s="2" t="str">
        <f ca="1">IFERROR(__xludf.DUMMYFUNCTION("""COMPUTED_VALUE"""),"")</f>
        <v/>
      </c>
      <c r="T508" s="2" t="str">
        <f ca="1">IFERROR(__xludf.DUMMYFUNCTION("""COMPUTED_VALUE"""),"")</f>
        <v/>
      </c>
      <c r="U508" s="2" t="e">
        <f ca="1"/>
        <v>#NAME?</v>
      </c>
      <c r="V508" s="2" t="e">
        <f ca="1"/>
        <v>#NAME?</v>
      </c>
      <c r="W508" s="2" t="str">
        <f ca="1"/>
        <v/>
      </c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tr">
        <v/>
      </c>
      <c r="S509" s="2" t="str">
        <f ca="1">IFERROR(__xludf.DUMMYFUNCTION("""COMPUTED_VALUE"""),"")</f>
        <v/>
      </c>
      <c r="T509" s="2" t="str">
        <f ca="1">IFERROR(__xludf.DUMMYFUNCTION("""COMPUTED_VALUE"""),"")</f>
        <v/>
      </c>
      <c r="U509" s="2" t="e">
        <f ca="1"/>
        <v>#NAME?</v>
      </c>
      <c r="V509" s="2" t="e">
        <f ca="1"/>
        <v>#NAME?</v>
      </c>
      <c r="W509" s="2" t="str">
        <f ca="1"/>
        <v/>
      </c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tr">
        <v/>
      </c>
      <c r="S510" s="2" t="str">
        <f ca="1">IFERROR(__xludf.DUMMYFUNCTION("""COMPUTED_VALUE"""),"")</f>
        <v/>
      </c>
      <c r="T510" s="2" t="str">
        <f ca="1">IFERROR(__xludf.DUMMYFUNCTION("""COMPUTED_VALUE"""),"")</f>
        <v/>
      </c>
      <c r="U510" s="2" t="e">
        <f ca="1"/>
        <v>#NAME?</v>
      </c>
      <c r="V510" s="2" t="e">
        <f ca="1"/>
        <v>#NAME?</v>
      </c>
      <c r="W510" s="2" t="str">
        <f ca="1"/>
        <v/>
      </c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tr">
        <v/>
      </c>
      <c r="S511" s="2" t="str">
        <f ca="1">IFERROR(__xludf.DUMMYFUNCTION("""COMPUTED_VALUE"""),"")</f>
        <v/>
      </c>
      <c r="T511" s="2" t="str">
        <f ca="1">IFERROR(__xludf.DUMMYFUNCTION("""COMPUTED_VALUE"""),"")</f>
        <v/>
      </c>
      <c r="U511" s="2" t="e">
        <f ca="1"/>
        <v>#NAME?</v>
      </c>
      <c r="V511" s="2" t="e">
        <f ca="1"/>
        <v>#NAME?</v>
      </c>
      <c r="W511" s="2" t="str">
        <f ca="1"/>
        <v/>
      </c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tr">
        <v/>
      </c>
      <c r="S512" s="2" t="str">
        <f ca="1">IFERROR(__xludf.DUMMYFUNCTION("""COMPUTED_VALUE"""),"")</f>
        <v/>
      </c>
      <c r="T512" s="2" t="str">
        <f ca="1">IFERROR(__xludf.DUMMYFUNCTION("""COMPUTED_VALUE"""),"")</f>
        <v/>
      </c>
      <c r="U512" s="2" t="e">
        <f ca="1"/>
        <v>#NAME?</v>
      </c>
      <c r="V512" s="2" t="e">
        <f ca="1"/>
        <v>#NAME?</v>
      </c>
      <c r="W512" s="2" t="str">
        <f ca="1"/>
        <v/>
      </c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tr">
        <v/>
      </c>
      <c r="S513" s="2" t="str">
        <f ca="1">IFERROR(__xludf.DUMMYFUNCTION("""COMPUTED_VALUE"""),"")</f>
        <v/>
      </c>
      <c r="T513" s="2" t="str">
        <f ca="1">IFERROR(__xludf.DUMMYFUNCTION("""COMPUTED_VALUE"""),"")</f>
        <v/>
      </c>
      <c r="U513" s="2" t="e">
        <f ca="1"/>
        <v>#NAME?</v>
      </c>
      <c r="V513" s="2" t="e">
        <f ca="1"/>
        <v>#NAME?</v>
      </c>
      <c r="W513" s="2" t="str">
        <f ca="1"/>
        <v/>
      </c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tr">
        <v/>
      </c>
      <c r="S514" s="2" t="str">
        <f ca="1">IFERROR(__xludf.DUMMYFUNCTION("""COMPUTED_VALUE"""),"")</f>
        <v/>
      </c>
      <c r="T514" s="2" t="str">
        <f ca="1">IFERROR(__xludf.DUMMYFUNCTION("""COMPUTED_VALUE"""),"")</f>
        <v/>
      </c>
      <c r="U514" s="2" t="e">
        <f ca="1"/>
        <v>#NAME?</v>
      </c>
      <c r="V514" s="2" t="e">
        <f ca="1"/>
        <v>#NAME?</v>
      </c>
      <c r="W514" s="2" t="str">
        <f ca="1"/>
        <v/>
      </c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tr">
        <v/>
      </c>
      <c r="S515" s="2" t="str">
        <f ca="1">IFERROR(__xludf.DUMMYFUNCTION("""COMPUTED_VALUE"""),"")</f>
        <v/>
      </c>
      <c r="T515" s="2" t="str">
        <f ca="1">IFERROR(__xludf.DUMMYFUNCTION("""COMPUTED_VALUE"""),"")</f>
        <v/>
      </c>
      <c r="U515" s="2" t="e">
        <f ca="1"/>
        <v>#NAME?</v>
      </c>
      <c r="V515" s="2" t="e">
        <f ca="1"/>
        <v>#NAME?</v>
      </c>
      <c r="W515" s="2" t="str">
        <f ca="1"/>
        <v/>
      </c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tr">
        <v/>
      </c>
      <c r="S516" s="2" t="str">
        <f ca="1">IFERROR(__xludf.DUMMYFUNCTION("""COMPUTED_VALUE"""),"")</f>
        <v/>
      </c>
      <c r="T516" s="2" t="str">
        <f ca="1">IFERROR(__xludf.DUMMYFUNCTION("""COMPUTED_VALUE"""),"")</f>
        <v/>
      </c>
      <c r="U516" s="2" t="e">
        <f ca="1"/>
        <v>#NAME?</v>
      </c>
      <c r="V516" s="2" t="e">
        <f ca="1"/>
        <v>#NAME?</v>
      </c>
      <c r="W516" s="2" t="str">
        <f ca="1"/>
        <v/>
      </c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tr">
        <v/>
      </c>
      <c r="S517" s="2" t="str">
        <f ca="1">IFERROR(__xludf.DUMMYFUNCTION("""COMPUTED_VALUE"""),"")</f>
        <v/>
      </c>
      <c r="T517" s="2" t="str">
        <f ca="1">IFERROR(__xludf.DUMMYFUNCTION("""COMPUTED_VALUE"""),"")</f>
        <v/>
      </c>
      <c r="U517" s="2" t="e">
        <f ca="1"/>
        <v>#NAME?</v>
      </c>
      <c r="V517" s="2" t="e">
        <f ca="1"/>
        <v>#NAME?</v>
      </c>
      <c r="W517" s="2" t="str">
        <f ca="1"/>
        <v/>
      </c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tr">
        <v/>
      </c>
      <c r="S518" s="2" t="str">
        <f ca="1">IFERROR(__xludf.DUMMYFUNCTION("""COMPUTED_VALUE"""),"")</f>
        <v/>
      </c>
      <c r="T518" s="2" t="str">
        <f ca="1">IFERROR(__xludf.DUMMYFUNCTION("""COMPUTED_VALUE"""),"")</f>
        <v/>
      </c>
      <c r="U518" s="2" t="e">
        <f ca="1"/>
        <v>#NAME?</v>
      </c>
      <c r="V518" s="2" t="e">
        <f ca="1"/>
        <v>#NAME?</v>
      </c>
      <c r="W518" s="2" t="str">
        <f ca="1"/>
        <v/>
      </c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tr">
        <v/>
      </c>
      <c r="S519" s="2" t="str">
        <f ca="1">IFERROR(__xludf.DUMMYFUNCTION("""COMPUTED_VALUE"""),"")</f>
        <v/>
      </c>
      <c r="T519" s="2" t="str">
        <f ca="1">IFERROR(__xludf.DUMMYFUNCTION("""COMPUTED_VALUE"""),"")</f>
        <v/>
      </c>
      <c r="U519" s="2" t="e">
        <f ca="1"/>
        <v>#NAME?</v>
      </c>
      <c r="V519" s="2" t="e">
        <f ca="1"/>
        <v>#NAME?</v>
      </c>
      <c r="W519" s="2" t="str">
        <f ca="1"/>
        <v/>
      </c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tr">
        <v/>
      </c>
      <c r="S520" s="2" t="str">
        <f ca="1">IFERROR(__xludf.DUMMYFUNCTION("""COMPUTED_VALUE"""),"")</f>
        <v/>
      </c>
      <c r="T520" s="2" t="str">
        <f ca="1">IFERROR(__xludf.DUMMYFUNCTION("""COMPUTED_VALUE"""),"")</f>
        <v/>
      </c>
      <c r="U520" s="2" t="e">
        <f ca="1"/>
        <v>#NAME?</v>
      </c>
      <c r="V520" s="2" t="e">
        <f ca="1"/>
        <v>#NAME?</v>
      </c>
      <c r="W520" s="2" t="str">
        <f ca="1"/>
        <v/>
      </c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tr">
        <v/>
      </c>
      <c r="S521" s="2" t="str">
        <f ca="1">IFERROR(__xludf.DUMMYFUNCTION("""COMPUTED_VALUE"""),"")</f>
        <v/>
      </c>
      <c r="T521" s="2" t="str">
        <f ca="1">IFERROR(__xludf.DUMMYFUNCTION("""COMPUTED_VALUE"""),"")</f>
        <v/>
      </c>
      <c r="U521" s="2" t="e">
        <f ca="1"/>
        <v>#NAME?</v>
      </c>
      <c r="V521" s="2" t="e">
        <f ca="1"/>
        <v>#NAME?</v>
      </c>
      <c r="W521" s="2" t="str">
        <f ca="1"/>
        <v/>
      </c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tr">
        <v/>
      </c>
      <c r="S522" s="2" t="str">
        <f ca="1">IFERROR(__xludf.DUMMYFUNCTION("""COMPUTED_VALUE"""),"")</f>
        <v/>
      </c>
      <c r="T522" s="2" t="str">
        <f ca="1">IFERROR(__xludf.DUMMYFUNCTION("""COMPUTED_VALUE"""),"")</f>
        <v/>
      </c>
      <c r="U522" s="2" t="e">
        <f ca="1"/>
        <v>#NAME?</v>
      </c>
      <c r="V522" s="2" t="e">
        <f ca="1"/>
        <v>#NAME?</v>
      </c>
      <c r="W522" s="2" t="str">
        <f ca="1"/>
        <v/>
      </c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tr">
        <v/>
      </c>
      <c r="S523" s="2" t="str">
        <f ca="1">IFERROR(__xludf.DUMMYFUNCTION("""COMPUTED_VALUE"""),"")</f>
        <v/>
      </c>
      <c r="T523" s="2" t="str">
        <f ca="1">IFERROR(__xludf.DUMMYFUNCTION("""COMPUTED_VALUE"""),"")</f>
        <v/>
      </c>
      <c r="U523" s="2" t="e">
        <f ca="1"/>
        <v>#NAME?</v>
      </c>
      <c r="V523" s="2" t="e">
        <f ca="1"/>
        <v>#NAME?</v>
      </c>
      <c r="W523" s="2" t="str">
        <f ca="1"/>
        <v/>
      </c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tr">
        <v/>
      </c>
      <c r="S524" s="2" t="str">
        <f ca="1">IFERROR(__xludf.DUMMYFUNCTION("""COMPUTED_VALUE"""),"")</f>
        <v/>
      </c>
      <c r="T524" s="2" t="str">
        <f ca="1">IFERROR(__xludf.DUMMYFUNCTION("""COMPUTED_VALUE"""),"")</f>
        <v/>
      </c>
      <c r="U524" s="2" t="e">
        <f ca="1"/>
        <v>#NAME?</v>
      </c>
      <c r="V524" s="2" t="e">
        <f ca="1"/>
        <v>#NAME?</v>
      </c>
      <c r="W524" s="2" t="str">
        <f ca="1"/>
        <v/>
      </c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tr">
        <v/>
      </c>
      <c r="S525" s="2" t="str">
        <f ca="1">IFERROR(__xludf.DUMMYFUNCTION("""COMPUTED_VALUE"""),"")</f>
        <v/>
      </c>
      <c r="T525" s="2" t="str">
        <f ca="1">IFERROR(__xludf.DUMMYFUNCTION("""COMPUTED_VALUE"""),"")</f>
        <v/>
      </c>
      <c r="U525" s="2" t="e">
        <f ca="1"/>
        <v>#NAME?</v>
      </c>
      <c r="V525" s="2" t="e">
        <f ca="1"/>
        <v>#NAME?</v>
      </c>
      <c r="W525" s="2" t="str">
        <f ca="1"/>
        <v/>
      </c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tr">
        <v/>
      </c>
      <c r="S526" s="2" t="str">
        <f ca="1">IFERROR(__xludf.DUMMYFUNCTION("""COMPUTED_VALUE"""),"")</f>
        <v/>
      </c>
      <c r="T526" s="2" t="str">
        <f ca="1">IFERROR(__xludf.DUMMYFUNCTION("""COMPUTED_VALUE"""),"")</f>
        <v/>
      </c>
      <c r="U526" s="2" t="e">
        <f ca="1"/>
        <v>#NAME?</v>
      </c>
      <c r="V526" s="2" t="e">
        <f ca="1"/>
        <v>#NAME?</v>
      </c>
      <c r="W526" s="2" t="str">
        <f ca="1"/>
        <v/>
      </c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tr">
        <v/>
      </c>
      <c r="S527" s="2" t="str">
        <f ca="1">IFERROR(__xludf.DUMMYFUNCTION("""COMPUTED_VALUE"""),"")</f>
        <v/>
      </c>
      <c r="T527" s="2" t="str">
        <f ca="1">IFERROR(__xludf.DUMMYFUNCTION("""COMPUTED_VALUE"""),"")</f>
        <v/>
      </c>
      <c r="U527" s="2" t="e">
        <f ca="1"/>
        <v>#NAME?</v>
      </c>
      <c r="V527" s="2" t="e">
        <f ca="1"/>
        <v>#NAME?</v>
      </c>
      <c r="W527" s="2" t="str">
        <f ca="1"/>
        <v/>
      </c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tr">
        <v/>
      </c>
      <c r="S528" s="2" t="str">
        <f ca="1">IFERROR(__xludf.DUMMYFUNCTION("""COMPUTED_VALUE"""),"")</f>
        <v/>
      </c>
      <c r="T528" s="2" t="str">
        <f ca="1">IFERROR(__xludf.DUMMYFUNCTION("""COMPUTED_VALUE"""),"")</f>
        <v/>
      </c>
      <c r="U528" s="2" t="e">
        <f ca="1"/>
        <v>#NAME?</v>
      </c>
      <c r="V528" s="2" t="e">
        <f ca="1"/>
        <v>#NAME?</v>
      </c>
      <c r="W528" s="2" t="str">
        <f ca="1"/>
        <v/>
      </c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tr">
        <v/>
      </c>
      <c r="S529" s="2" t="str">
        <f ca="1">IFERROR(__xludf.DUMMYFUNCTION("""COMPUTED_VALUE"""),"")</f>
        <v/>
      </c>
      <c r="T529" s="2" t="str">
        <f ca="1">IFERROR(__xludf.DUMMYFUNCTION("""COMPUTED_VALUE"""),"")</f>
        <v/>
      </c>
      <c r="U529" s="2" t="e">
        <f ca="1"/>
        <v>#NAME?</v>
      </c>
      <c r="V529" s="2" t="e">
        <f ca="1"/>
        <v>#NAME?</v>
      </c>
      <c r="W529" s="2" t="str">
        <f ca="1"/>
        <v/>
      </c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tr">
        <v/>
      </c>
      <c r="S530" s="2" t="str">
        <f ca="1">IFERROR(__xludf.DUMMYFUNCTION("""COMPUTED_VALUE"""),"")</f>
        <v/>
      </c>
      <c r="T530" s="2" t="str">
        <f ca="1">IFERROR(__xludf.DUMMYFUNCTION("""COMPUTED_VALUE"""),"")</f>
        <v/>
      </c>
      <c r="U530" s="2" t="e">
        <f ca="1"/>
        <v>#NAME?</v>
      </c>
      <c r="V530" s="2" t="e">
        <f ca="1"/>
        <v>#NAME?</v>
      </c>
      <c r="W530" s="2" t="str">
        <f ca="1"/>
        <v/>
      </c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tr">
        <v/>
      </c>
      <c r="S531" s="2" t="str">
        <f ca="1">IFERROR(__xludf.DUMMYFUNCTION("""COMPUTED_VALUE"""),"")</f>
        <v/>
      </c>
      <c r="T531" s="2" t="str">
        <f ca="1">IFERROR(__xludf.DUMMYFUNCTION("""COMPUTED_VALUE"""),"")</f>
        <v/>
      </c>
      <c r="U531" s="2" t="e">
        <f ca="1"/>
        <v>#NAME?</v>
      </c>
      <c r="V531" s="2" t="e">
        <f ca="1"/>
        <v>#NAME?</v>
      </c>
      <c r="W531" s="2" t="str">
        <f ca="1"/>
        <v/>
      </c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tr">
        <v/>
      </c>
      <c r="S532" s="2" t="str">
        <f ca="1">IFERROR(__xludf.DUMMYFUNCTION("""COMPUTED_VALUE"""),"")</f>
        <v/>
      </c>
      <c r="T532" s="2" t="str">
        <f ca="1">IFERROR(__xludf.DUMMYFUNCTION("""COMPUTED_VALUE"""),"")</f>
        <v/>
      </c>
      <c r="U532" s="2" t="e">
        <f ca="1"/>
        <v>#NAME?</v>
      </c>
      <c r="V532" s="2" t="e">
        <f ca="1"/>
        <v>#NAME?</v>
      </c>
      <c r="W532" s="2" t="str">
        <f ca="1"/>
        <v/>
      </c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tr">
        <v/>
      </c>
      <c r="S533" s="2" t="str">
        <f ca="1">IFERROR(__xludf.DUMMYFUNCTION("""COMPUTED_VALUE"""),"")</f>
        <v/>
      </c>
      <c r="T533" s="2" t="str">
        <f ca="1">IFERROR(__xludf.DUMMYFUNCTION("""COMPUTED_VALUE"""),"")</f>
        <v/>
      </c>
      <c r="U533" s="2" t="e">
        <f ca="1"/>
        <v>#NAME?</v>
      </c>
      <c r="V533" s="2" t="e">
        <f ca="1"/>
        <v>#NAME?</v>
      </c>
      <c r="W533" s="2" t="str">
        <f ca="1"/>
        <v/>
      </c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tr">
        <v/>
      </c>
      <c r="S534" s="2" t="str">
        <f ca="1">IFERROR(__xludf.DUMMYFUNCTION("""COMPUTED_VALUE"""),"")</f>
        <v/>
      </c>
      <c r="T534" s="2" t="str">
        <f ca="1">IFERROR(__xludf.DUMMYFUNCTION("""COMPUTED_VALUE"""),"")</f>
        <v/>
      </c>
      <c r="U534" s="2" t="e">
        <f ca="1"/>
        <v>#NAME?</v>
      </c>
      <c r="V534" s="2" t="e">
        <f ca="1"/>
        <v>#NAME?</v>
      </c>
      <c r="W534" s="2" t="str">
        <f ca="1"/>
        <v/>
      </c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tr">
        <v/>
      </c>
      <c r="S535" s="2" t="str">
        <f ca="1">IFERROR(__xludf.DUMMYFUNCTION("""COMPUTED_VALUE"""),"")</f>
        <v/>
      </c>
      <c r="T535" s="2" t="str">
        <f ca="1">IFERROR(__xludf.DUMMYFUNCTION("""COMPUTED_VALUE"""),"")</f>
        <v/>
      </c>
      <c r="U535" s="2" t="e">
        <f ca="1"/>
        <v>#NAME?</v>
      </c>
      <c r="V535" s="2" t="e">
        <f ca="1"/>
        <v>#NAME?</v>
      </c>
      <c r="W535" s="2" t="str">
        <f ca="1"/>
        <v/>
      </c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tr">
        <v/>
      </c>
      <c r="S536" s="2" t="str">
        <f ca="1">IFERROR(__xludf.DUMMYFUNCTION("""COMPUTED_VALUE"""),"")</f>
        <v/>
      </c>
      <c r="T536" s="2" t="str">
        <f ca="1">IFERROR(__xludf.DUMMYFUNCTION("""COMPUTED_VALUE"""),"")</f>
        <v/>
      </c>
      <c r="U536" s="2" t="e">
        <f ca="1"/>
        <v>#NAME?</v>
      </c>
      <c r="V536" s="2" t="e">
        <f ca="1"/>
        <v>#NAME?</v>
      </c>
      <c r="W536" s="2" t="str">
        <f ca="1"/>
        <v/>
      </c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tr">
        <v/>
      </c>
      <c r="S537" s="2" t="str">
        <f ca="1">IFERROR(__xludf.DUMMYFUNCTION("""COMPUTED_VALUE"""),"")</f>
        <v/>
      </c>
      <c r="T537" s="2" t="str">
        <f ca="1">IFERROR(__xludf.DUMMYFUNCTION("""COMPUTED_VALUE"""),"")</f>
        <v/>
      </c>
      <c r="U537" s="2" t="e">
        <f ca="1"/>
        <v>#NAME?</v>
      </c>
      <c r="V537" s="2" t="e">
        <f ca="1"/>
        <v>#NAME?</v>
      </c>
      <c r="W537" s="2" t="str">
        <f ca="1"/>
        <v/>
      </c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tr">
        <v/>
      </c>
      <c r="S538" s="2" t="str">
        <f ca="1">IFERROR(__xludf.DUMMYFUNCTION("""COMPUTED_VALUE"""),"")</f>
        <v/>
      </c>
      <c r="T538" s="2" t="str">
        <f ca="1">IFERROR(__xludf.DUMMYFUNCTION("""COMPUTED_VALUE"""),"")</f>
        <v/>
      </c>
      <c r="U538" s="2" t="e">
        <f ca="1"/>
        <v>#NAME?</v>
      </c>
      <c r="V538" s="2" t="e">
        <f ca="1"/>
        <v>#NAME?</v>
      </c>
      <c r="W538" s="2" t="str">
        <f ca="1"/>
        <v/>
      </c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tr">
        <v/>
      </c>
      <c r="S539" s="2" t="str">
        <f ca="1">IFERROR(__xludf.DUMMYFUNCTION("""COMPUTED_VALUE"""),"")</f>
        <v/>
      </c>
      <c r="T539" s="2" t="str">
        <f ca="1">IFERROR(__xludf.DUMMYFUNCTION("""COMPUTED_VALUE"""),"")</f>
        <v/>
      </c>
      <c r="U539" s="2" t="e">
        <f ca="1"/>
        <v>#NAME?</v>
      </c>
      <c r="V539" s="2" t="e">
        <f ca="1"/>
        <v>#NAME?</v>
      </c>
      <c r="W539" s="2" t="str">
        <f ca="1"/>
        <v/>
      </c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tr">
        <v/>
      </c>
      <c r="S540" s="2" t="str">
        <f ca="1">IFERROR(__xludf.DUMMYFUNCTION("""COMPUTED_VALUE"""),"")</f>
        <v/>
      </c>
      <c r="T540" s="2" t="str">
        <f ca="1">IFERROR(__xludf.DUMMYFUNCTION("""COMPUTED_VALUE"""),"")</f>
        <v/>
      </c>
      <c r="U540" s="2" t="e">
        <f ca="1"/>
        <v>#NAME?</v>
      </c>
      <c r="V540" s="2" t="e">
        <f ca="1"/>
        <v>#NAME?</v>
      </c>
      <c r="W540" s="2" t="str">
        <f ca="1"/>
        <v/>
      </c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tr">
        <v/>
      </c>
      <c r="S541" s="2" t="str">
        <f ca="1">IFERROR(__xludf.DUMMYFUNCTION("""COMPUTED_VALUE"""),"")</f>
        <v/>
      </c>
      <c r="T541" s="2" t="str">
        <f ca="1">IFERROR(__xludf.DUMMYFUNCTION("""COMPUTED_VALUE"""),"")</f>
        <v/>
      </c>
      <c r="U541" s="2" t="e">
        <f ca="1"/>
        <v>#NAME?</v>
      </c>
      <c r="V541" s="2" t="e">
        <f ca="1"/>
        <v>#NAME?</v>
      </c>
      <c r="W541" s="2" t="str">
        <f ca="1"/>
        <v/>
      </c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tr">
        <v/>
      </c>
      <c r="S542" s="2" t="str">
        <f ca="1">IFERROR(__xludf.DUMMYFUNCTION("""COMPUTED_VALUE"""),"")</f>
        <v/>
      </c>
      <c r="T542" s="2" t="str">
        <f ca="1">IFERROR(__xludf.DUMMYFUNCTION("""COMPUTED_VALUE"""),"")</f>
        <v/>
      </c>
      <c r="U542" s="2" t="e">
        <f ca="1"/>
        <v>#NAME?</v>
      </c>
      <c r="V542" s="2" t="e">
        <f ca="1"/>
        <v>#NAME?</v>
      </c>
      <c r="W542" s="2" t="str">
        <f ca="1"/>
        <v/>
      </c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tr">
        <v/>
      </c>
      <c r="S543" s="2" t="str">
        <f ca="1">IFERROR(__xludf.DUMMYFUNCTION("""COMPUTED_VALUE"""),"")</f>
        <v/>
      </c>
      <c r="T543" s="2" t="str">
        <f ca="1">IFERROR(__xludf.DUMMYFUNCTION("""COMPUTED_VALUE"""),"")</f>
        <v/>
      </c>
      <c r="U543" s="2" t="e">
        <f ca="1"/>
        <v>#NAME?</v>
      </c>
      <c r="V543" s="2" t="e">
        <f ca="1"/>
        <v>#NAME?</v>
      </c>
      <c r="W543" s="2" t="str">
        <f ca="1"/>
        <v/>
      </c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tr">
        <v/>
      </c>
      <c r="S544" s="2" t="str">
        <f ca="1">IFERROR(__xludf.DUMMYFUNCTION("""COMPUTED_VALUE"""),"")</f>
        <v/>
      </c>
      <c r="T544" s="2" t="str">
        <f ca="1">IFERROR(__xludf.DUMMYFUNCTION("""COMPUTED_VALUE"""),"")</f>
        <v/>
      </c>
      <c r="U544" s="2" t="e">
        <f ca="1"/>
        <v>#NAME?</v>
      </c>
      <c r="V544" s="2" t="e">
        <f ca="1"/>
        <v>#NAME?</v>
      </c>
      <c r="W544" s="2" t="str">
        <f ca="1"/>
        <v/>
      </c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tr">
        <v/>
      </c>
      <c r="S545" s="2" t="str">
        <f ca="1">IFERROR(__xludf.DUMMYFUNCTION("""COMPUTED_VALUE"""),"")</f>
        <v/>
      </c>
      <c r="T545" s="2" t="str">
        <f ca="1">IFERROR(__xludf.DUMMYFUNCTION("""COMPUTED_VALUE"""),"")</f>
        <v/>
      </c>
      <c r="U545" s="2" t="e">
        <f ca="1"/>
        <v>#NAME?</v>
      </c>
      <c r="V545" s="2" t="e">
        <f ca="1"/>
        <v>#NAME?</v>
      </c>
      <c r="W545" s="2" t="str">
        <f ca="1"/>
        <v/>
      </c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tr">
        <v/>
      </c>
      <c r="S546" s="2" t="str">
        <f ca="1">IFERROR(__xludf.DUMMYFUNCTION("""COMPUTED_VALUE"""),"")</f>
        <v/>
      </c>
      <c r="T546" s="2" t="str">
        <f ca="1">IFERROR(__xludf.DUMMYFUNCTION("""COMPUTED_VALUE"""),"")</f>
        <v/>
      </c>
      <c r="U546" s="2" t="e">
        <f ca="1"/>
        <v>#NAME?</v>
      </c>
      <c r="V546" s="2" t="e">
        <f ca="1"/>
        <v>#NAME?</v>
      </c>
      <c r="W546" s="2" t="str">
        <f ca="1"/>
        <v/>
      </c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tr">
        <v/>
      </c>
      <c r="S547" s="2" t="str">
        <f ca="1">IFERROR(__xludf.DUMMYFUNCTION("""COMPUTED_VALUE"""),"")</f>
        <v/>
      </c>
      <c r="T547" s="2" t="str">
        <f ca="1">IFERROR(__xludf.DUMMYFUNCTION("""COMPUTED_VALUE"""),"")</f>
        <v/>
      </c>
      <c r="U547" s="2" t="e">
        <f ca="1"/>
        <v>#NAME?</v>
      </c>
      <c r="V547" s="2" t="e">
        <f ca="1"/>
        <v>#NAME?</v>
      </c>
      <c r="W547" s="2" t="str">
        <f ca="1"/>
        <v/>
      </c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tr">
        <v/>
      </c>
      <c r="S548" s="2" t="str">
        <f ca="1">IFERROR(__xludf.DUMMYFUNCTION("""COMPUTED_VALUE"""),"")</f>
        <v/>
      </c>
      <c r="T548" s="2" t="str">
        <f ca="1">IFERROR(__xludf.DUMMYFUNCTION("""COMPUTED_VALUE"""),"")</f>
        <v/>
      </c>
      <c r="U548" s="2" t="e">
        <f ca="1"/>
        <v>#NAME?</v>
      </c>
      <c r="V548" s="2" t="e">
        <f ca="1"/>
        <v>#NAME?</v>
      </c>
      <c r="W548" s="2" t="str">
        <f ca="1"/>
        <v/>
      </c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tr">
        <v/>
      </c>
      <c r="S549" s="2" t="str">
        <f ca="1">IFERROR(__xludf.DUMMYFUNCTION("""COMPUTED_VALUE"""),"")</f>
        <v/>
      </c>
      <c r="T549" s="2" t="str">
        <f ca="1">IFERROR(__xludf.DUMMYFUNCTION("""COMPUTED_VALUE"""),"")</f>
        <v/>
      </c>
      <c r="U549" s="2" t="e">
        <f ca="1"/>
        <v>#NAME?</v>
      </c>
      <c r="V549" s="2" t="e">
        <f ca="1"/>
        <v>#NAME?</v>
      </c>
      <c r="W549" s="2" t="str">
        <f ca="1"/>
        <v/>
      </c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tr">
        <v/>
      </c>
      <c r="S550" s="2" t="str">
        <f ca="1">IFERROR(__xludf.DUMMYFUNCTION("""COMPUTED_VALUE"""),"")</f>
        <v/>
      </c>
      <c r="T550" s="2" t="str">
        <f ca="1">IFERROR(__xludf.DUMMYFUNCTION("""COMPUTED_VALUE"""),"")</f>
        <v/>
      </c>
      <c r="U550" s="2" t="e">
        <f ca="1"/>
        <v>#NAME?</v>
      </c>
      <c r="V550" s="2" t="e">
        <f ca="1"/>
        <v>#NAME?</v>
      </c>
      <c r="W550" s="2" t="str">
        <f ca="1"/>
        <v/>
      </c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tr">
        <v/>
      </c>
      <c r="S551" s="2" t="str">
        <f ca="1">IFERROR(__xludf.DUMMYFUNCTION("""COMPUTED_VALUE"""),"")</f>
        <v/>
      </c>
      <c r="T551" s="2" t="str">
        <f ca="1">IFERROR(__xludf.DUMMYFUNCTION("""COMPUTED_VALUE"""),"")</f>
        <v/>
      </c>
      <c r="U551" s="2" t="e">
        <f ca="1"/>
        <v>#NAME?</v>
      </c>
      <c r="V551" s="2" t="e">
        <f ca="1"/>
        <v>#NAME?</v>
      </c>
      <c r="W551" s="2" t="str">
        <f ca="1"/>
        <v/>
      </c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tr">
        <v/>
      </c>
      <c r="S552" s="2" t="str">
        <f ca="1">IFERROR(__xludf.DUMMYFUNCTION("""COMPUTED_VALUE"""),"")</f>
        <v/>
      </c>
      <c r="T552" s="2" t="str">
        <f ca="1">IFERROR(__xludf.DUMMYFUNCTION("""COMPUTED_VALUE"""),"")</f>
        <v/>
      </c>
      <c r="U552" s="2" t="e">
        <f ca="1"/>
        <v>#NAME?</v>
      </c>
      <c r="V552" s="2" t="e">
        <f ca="1"/>
        <v>#NAME?</v>
      </c>
      <c r="W552" s="2" t="str">
        <f ca="1"/>
        <v/>
      </c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tr">
        <v/>
      </c>
      <c r="S553" s="2" t="str">
        <f ca="1">IFERROR(__xludf.DUMMYFUNCTION("""COMPUTED_VALUE"""),"")</f>
        <v/>
      </c>
      <c r="T553" s="2" t="str">
        <f ca="1">IFERROR(__xludf.DUMMYFUNCTION("""COMPUTED_VALUE"""),"")</f>
        <v/>
      </c>
      <c r="U553" s="2" t="e">
        <f ca="1"/>
        <v>#NAME?</v>
      </c>
      <c r="V553" s="2" t="e">
        <f ca="1"/>
        <v>#NAME?</v>
      </c>
      <c r="W553" s="2" t="str">
        <f ca="1"/>
        <v/>
      </c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tr">
        <v/>
      </c>
      <c r="S554" s="2" t="str">
        <f ca="1">IFERROR(__xludf.DUMMYFUNCTION("""COMPUTED_VALUE"""),"")</f>
        <v/>
      </c>
      <c r="T554" s="2" t="str">
        <f ca="1">IFERROR(__xludf.DUMMYFUNCTION("""COMPUTED_VALUE"""),"")</f>
        <v/>
      </c>
      <c r="U554" s="2" t="e">
        <f ca="1"/>
        <v>#NAME?</v>
      </c>
      <c r="V554" s="2" t="e">
        <f ca="1"/>
        <v>#NAME?</v>
      </c>
      <c r="W554" s="2" t="str">
        <f ca="1"/>
        <v/>
      </c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tr">
        <v/>
      </c>
      <c r="S555" s="2" t="str">
        <f ca="1">IFERROR(__xludf.DUMMYFUNCTION("""COMPUTED_VALUE"""),"")</f>
        <v/>
      </c>
      <c r="T555" s="2" t="str">
        <f ca="1">IFERROR(__xludf.DUMMYFUNCTION("""COMPUTED_VALUE"""),"")</f>
        <v/>
      </c>
      <c r="U555" s="2" t="e">
        <f ca="1"/>
        <v>#NAME?</v>
      </c>
      <c r="V555" s="2" t="e">
        <f ca="1"/>
        <v>#NAME?</v>
      </c>
      <c r="W555" s="2" t="str">
        <f ca="1"/>
        <v/>
      </c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tr">
        <v/>
      </c>
      <c r="S556" s="2" t="str">
        <f ca="1">IFERROR(__xludf.DUMMYFUNCTION("""COMPUTED_VALUE"""),"")</f>
        <v/>
      </c>
      <c r="T556" s="2" t="str">
        <f ca="1">IFERROR(__xludf.DUMMYFUNCTION("""COMPUTED_VALUE"""),"")</f>
        <v/>
      </c>
      <c r="U556" s="2" t="e">
        <f ca="1"/>
        <v>#NAME?</v>
      </c>
      <c r="V556" s="2" t="e">
        <f ca="1"/>
        <v>#NAME?</v>
      </c>
      <c r="W556" s="2" t="str">
        <f ca="1"/>
        <v/>
      </c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tr">
        <v/>
      </c>
      <c r="S557" s="2" t="str">
        <f ca="1">IFERROR(__xludf.DUMMYFUNCTION("""COMPUTED_VALUE"""),"")</f>
        <v/>
      </c>
      <c r="T557" s="2" t="str">
        <f ca="1">IFERROR(__xludf.DUMMYFUNCTION("""COMPUTED_VALUE"""),"")</f>
        <v/>
      </c>
      <c r="U557" s="2" t="e">
        <f ca="1"/>
        <v>#NAME?</v>
      </c>
      <c r="V557" s="2" t="e">
        <f ca="1"/>
        <v>#NAME?</v>
      </c>
      <c r="W557" s="2" t="str">
        <f ca="1"/>
        <v/>
      </c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tr">
        <v/>
      </c>
      <c r="S558" s="2" t="str">
        <f ca="1">IFERROR(__xludf.DUMMYFUNCTION("""COMPUTED_VALUE"""),"")</f>
        <v/>
      </c>
      <c r="T558" s="2" t="str">
        <f ca="1">IFERROR(__xludf.DUMMYFUNCTION("""COMPUTED_VALUE"""),"")</f>
        <v/>
      </c>
      <c r="U558" s="2" t="e">
        <f ca="1"/>
        <v>#NAME?</v>
      </c>
      <c r="V558" s="2" t="e">
        <f ca="1"/>
        <v>#NAME?</v>
      </c>
      <c r="W558" s="2" t="str">
        <f ca="1"/>
        <v/>
      </c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tr">
        <v/>
      </c>
      <c r="S559" s="2" t="str">
        <f ca="1">IFERROR(__xludf.DUMMYFUNCTION("""COMPUTED_VALUE"""),"")</f>
        <v/>
      </c>
      <c r="T559" s="2" t="str">
        <f ca="1">IFERROR(__xludf.DUMMYFUNCTION("""COMPUTED_VALUE"""),"")</f>
        <v/>
      </c>
      <c r="U559" s="2" t="e">
        <f ca="1"/>
        <v>#NAME?</v>
      </c>
      <c r="V559" s="2" t="e">
        <f ca="1"/>
        <v>#NAME?</v>
      </c>
      <c r="W559" s="2" t="str">
        <f ca="1"/>
        <v/>
      </c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tr">
        <v/>
      </c>
      <c r="S560" s="2" t="str">
        <f ca="1">IFERROR(__xludf.DUMMYFUNCTION("""COMPUTED_VALUE"""),"")</f>
        <v/>
      </c>
      <c r="T560" s="2" t="str">
        <f ca="1">IFERROR(__xludf.DUMMYFUNCTION("""COMPUTED_VALUE"""),"")</f>
        <v/>
      </c>
      <c r="U560" s="2" t="e">
        <f ca="1"/>
        <v>#NAME?</v>
      </c>
      <c r="V560" s="2" t="e">
        <f ca="1"/>
        <v>#NAME?</v>
      </c>
      <c r="W560" s="2" t="str">
        <f ca="1"/>
        <v/>
      </c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tr">
        <v/>
      </c>
      <c r="S561" s="2" t="str">
        <f ca="1">IFERROR(__xludf.DUMMYFUNCTION("""COMPUTED_VALUE"""),"")</f>
        <v/>
      </c>
      <c r="T561" s="2" t="str">
        <f ca="1">IFERROR(__xludf.DUMMYFUNCTION("""COMPUTED_VALUE"""),"")</f>
        <v/>
      </c>
      <c r="U561" s="2" t="e">
        <f ca="1"/>
        <v>#NAME?</v>
      </c>
      <c r="V561" s="2" t="e">
        <f ca="1"/>
        <v>#NAME?</v>
      </c>
      <c r="W561" s="2" t="str">
        <f ca="1"/>
        <v/>
      </c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tr">
        <v/>
      </c>
      <c r="S562" s="2" t="str">
        <f ca="1">IFERROR(__xludf.DUMMYFUNCTION("""COMPUTED_VALUE"""),"")</f>
        <v/>
      </c>
      <c r="T562" s="2" t="str">
        <f ca="1">IFERROR(__xludf.DUMMYFUNCTION("""COMPUTED_VALUE"""),"")</f>
        <v/>
      </c>
      <c r="U562" s="2" t="e">
        <f ca="1"/>
        <v>#NAME?</v>
      </c>
      <c r="V562" s="2" t="e">
        <f ca="1"/>
        <v>#NAME?</v>
      </c>
      <c r="W562" s="2" t="str">
        <f ca="1"/>
        <v/>
      </c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tr">
        <v/>
      </c>
      <c r="S563" s="2" t="str">
        <f ca="1">IFERROR(__xludf.DUMMYFUNCTION("""COMPUTED_VALUE"""),"")</f>
        <v/>
      </c>
      <c r="T563" s="2" t="str">
        <f ca="1">IFERROR(__xludf.DUMMYFUNCTION("""COMPUTED_VALUE"""),"")</f>
        <v/>
      </c>
      <c r="U563" s="2" t="e">
        <f ca="1"/>
        <v>#NAME?</v>
      </c>
      <c r="V563" s="2" t="e">
        <f ca="1"/>
        <v>#NAME?</v>
      </c>
      <c r="W563" s="2" t="str">
        <f ca="1"/>
        <v/>
      </c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tr">
        <v/>
      </c>
      <c r="S564" s="2" t="str">
        <f ca="1">IFERROR(__xludf.DUMMYFUNCTION("""COMPUTED_VALUE"""),"")</f>
        <v/>
      </c>
      <c r="T564" s="2" t="str">
        <f ca="1">IFERROR(__xludf.DUMMYFUNCTION("""COMPUTED_VALUE"""),"")</f>
        <v/>
      </c>
      <c r="U564" s="2" t="e">
        <f ca="1"/>
        <v>#NAME?</v>
      </c>
      <c r="V564" s="2" t="e">
        <f ca="1"/>
        <v>#NAME?</v>
      </c>
      <c r="W564" s="2" t="str">
        <f ca="1"/>
        <v/>
      </c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tr">
        <v/>
      </c>
      <c r="S565" s="2" t="str">
        <f ca="1">IFERROR(__xludf.DUMMYFUNCTION("""COMPUTED_VALUE"""),"")</f>
        <v/>
      </c>
      <c r="T565" s="2" t="str">
        <f ca="1">IFERROR(__xludf.DUMMYFUNCTION("""COMPUTED_VALUE"""),"")</f>
        <v/>
      </c>
      <c r="U565" s="2" t="e">
        <f ca="1"/>
        <v>#NAME?</v>
      </c>
      <c r="V565" s="2" t="e">
        <f ca="1"/>
        <v>#NAME?</v>
      </c>
      <c r="W565" s="2" t="str">
        <f ca="1"/>
        <v/>
      </c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tr">
        <v/>
      </c>
      <c r="S566" s="2" t="str">
        <f ca="1">IFERROR(__xludf.DUMMYFUNCTION("""COMPUTED_VALUE"""),"")</f>
        <v/>
      </c>
      <c r="T566" s="2" t="str">
        <f ca="1">IFERROR(__xludf.DUMMYFUNCTION("""COMPUTED_VALUE"""),"")</f>
        <v/>
      </c>
      <c r="U566" s="2" t="e">
        <f ca="1"/>
        <v>#NAME?</v>
      </c>
      <c r="V566" s="2" t="e">
        <f ca="1"/>
        <v>#NAME?</v>
      </c>
      <c r="W566" s="2" t="str">
        <f ca="1"/>
        <v/>
      </c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tr">
        <v/>
      </c>
      <c r="S567" s="2" t="str">
        <f ca="1">IFERROR(__xludf.DUMMYFUNCTION("""COMPUTED_VALUE"""),"")</f>
        <v/>
      </c>
      <c r="T567" s="2" t="str">
        <f ca="1">IFERROR(__xludf.DUMMYFUNCTION("""COMPUTED_VALUE"""),"")</f>
        <v/>
      </c>
      <c r="U567" s="2" t="e">
        <f ca="1"/>
        <v>#NAME?</v>
      </c>
      <c r="V567" s="2" t="e">
        <f ca="1"/>
        <v>#NAME?</v>
      </c>
      <c r="W567" s="2" t="str">
        <f ca="1"/>
        <v/>
      </c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tr">
        <v/>
      </c>
      <c r="S568" s="2" t="str">
        <f ca="1">IFERROR(__xludf.DUMMYFUNCTION("""COMPUTED_VALUE"""),"")</f>
        <v/>
      </c>
      <c r="T568" s="2" t="str">
        <f ca="1">IFERROR(__xludf.DUMMYFUNCTION("""COMPUTED_VALUE"""),"")</f>
        <v/>
      </c>
      <c r="U568" s="2" t="e">
        <f ca="1"/>
        <v>#NAME?</v>
      </c>
      <c r="V568" s="2" t="e">
        <f ca="1"/>
        <v>#NAME?</v>
      </c>
      <c r="W568" s="2" t="str">
        <f ca="1"/>
        <v/>
      </c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tr">
        <v/>
      </c>
      <c r="S569" s="2" t="str">
        <f ca="1">IFERROR(__xludf.DUMMYFUNCTION("""COMPUTED_VALUE"""),"")</f>
        <v/>
      </c>
      <c r="T569" s="2" t="str">
        <f ca="1">IFERROR(__xludf.DUMMYFUNCTION("""COMPUTED_VALUE"""),"")</f>
        <v/>
      </c>
      <c r="U569" s="2" t="e">
        <f ca="1"/>
        <v>#NAME?</v>
      </c>
      <c r="V569" s="2" t="e">
        <f ca="1"/>
        <v>#NAME?</v>
      </c>
      <c r="W569" s="2" t="str">
        <f ca="1"/>
        <v/>
      </c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tr">
        <v/>
      </c>
      <c r="S570" s="2" t="str">
        <f ca="1">IFERROR(__xludf.DUMMYFUNCTION("""COMPUTED_VALUE"""),"")</f>
        <v/>
      </c>
      <c r="T570" s="2" t="str">
        <f ca="1">IFERROR(__xludf.DUMMYFUNCTION("""COMPUTED_VALUE"""),"")</f>
        <v/>
      </c>
      <c r="U570" s="2" t="e">
        <f ca="1"/>
        <v>#NAME?</v>
      </c>
      <c r="V570" s="2" t="e">
        <f ca="1"/>
        <v>#NAME?</v>
      </c>
      <c r="W570" s="2" t="str">
        <f ca="1"/>
        <v/>
      </c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tr">
        <v/>
      </c>
      <c r="S571" s="2" t="str">
        <f ca="1">IFERROR(__xludf.DUMMYFUNCTION("""COMPUTED_VALUE"""),"")</f>
        <v/>
      </c>
      <c r="T571" s="2" t="str">
        <f ca="1">IFERROR(__xludf.DUMMYFUNCTION("""COMPUTED_VALUE"""),"")</f>
        <v/>
      </c>
      <c r="U571" s="2" t="e">
        <f ca="1"/>
        <v>#NAME?</v>
      </c>
      <c r="V571" s="2" t="e">
        <f ca="1"/>
        <v>#NAME?</v>
      </c>
      <c r="W571" s="2" t="str">
        <f ca="1"/>
        <v/>
      </c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tr">
        <v/>
      </c>
      <c r="S572" s="2" t="str">
        <f ca="1">IFERROR(__xludf.DUMMYFUNCTION("""COMPUTED_VALUE"""),"")</f>
        <v/>
      </c>
      <c r="T572" s="2" t="str">
        <f ca="1">IFERROR(__xludf.DUMMYFUNCTION("""COMPUTED_VALUE"""),"")</f>
        <v/>
      </c>
      <c r="U572" s="2" t="e">
        <f ca="1"/>
        <v>#NAME?</v>
      </c>
      <c r="V572" s="2" t="e">
        <f ca="1"/>
        <v>#NAME?</v>
      </c>
      <c r="W572" s="2" t="str">
        <f ca="1"/>
        <v/>
      </c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tr">
        <v/>
      </c>
      <c r="S573" s="2" t="str">
        <f ca="1">IFERROR(__xludf.DUMMYFUNCTION("""COMPUTED_VALUE"""),"")</f>
        <v/>
      </c>
      <c r="T573" s="2" t="str">
        <f ca="1">IFERROR(__xludf.DUMMYFUNCTION("""COMPUTED_VALUE"""),"")</f>
        <v/>
      </c>
      <c r="U573" s="2" t="e">
        <f ca="1"/>
        <v>#NAME?</v>
      </c>
      <c r="V573" s="2" t="e">
        <f ca="1"/>
        <v>#NAME?</v>
      </c>
      <c r="W573" s="2" t="str">
        <f ca="1"/>
        <v/>
      </c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tr">
        <v/>
      </c>
      <c r="S574" s="2" t="str">
        <f ca="1">IFERROR(__xludf.DUMMYFUNCTION("""COMPUTED_VALUE"""),"")</f>
        <v/>
      </c>
      <c r="T574" s="2" t="str">
        <f ca="1">IFERROR(__xludf.DUMMYFUNCTION("""COMPUTED_VALUE"""),"")</f>
        <v/>
      </c>
      <c r="U574" s="2" t="e">
        <f ca="1"/>
        <v>#NAME?</v>
      </c>
      <c r="V574" s="2" t="e">
        <f ca="1"/>
        <v>#NAME?</v>
      </c>
      <c r="W574" s="2" t="str">
        <f ca="1"/>
        <v/>
      </c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tr">
        <v/>
      </c>
      <c r="S575" s="2" t="str">
        <f ca="1">IFERROR(__xludf.DUMMYFUNCTION("""COMPUTED_VALUE"""),"")</f>
        <v/>
      </c>
      <c r="T575" s="2" t="str">
        <f ca="1">IFERROR(__xludf.DUMMYFUNCTION("""COMPUTED_VALUE"""),"")</f>
        <v/>
      </c>
      <c r="U575" s="2" t="e">
        <f ca="1"/>
        <v>#NAME?</v>
      </c>
      <c r="V575" s="2" t="e">
        <f ca="1"/>
        <v>#NAME?</v>
      </c>
      <c r="W575" s="2" t="str">
        <f ca="1"/>
        <v/>
      </c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tr">
        <v/>
      </c>
      <c r="S576" s="2" t="str">
        <f ca="1">IFERROR(__xludf.DUMMYFUNCTION("""COMPUTED_VALUE"""),"")</f>
        <v/>
      </c>
      <c r="T576" s="2" t="str">
        <f ca="1">IFERROR(__xludf.DUMMYFUNCTION("""COMPUTED_VALUE"""),"")</f>
        <v/>
      </c>
      <c r="U576" s="2" t="e">
        <f ca="1"/>
        <v>#NAME?</v>
      </c>
      <c r="V576" s="2" t="e">
        <f ca="1"/>
        <v>#NAME?</v>
      </c>
      <c r="W576" s="2" t="str">
        <f ca="1"/>
        <v/>
      </c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tr">
        <v/>
      </c>
      <c r="S577" s="2" t="str">
        <f ca="1">IFERROR(__xludf.DUMMYFUNCTION("""COMPUTED_VALUE"""),"")</f>
        <v/>
      </c>
      <c r="T577" s="2" t="str">
        <f ca="1">IFERROR(__xludf.DUMMYFUNCTION("""COMPUTED_VALUE"""),"")</f>
        <v/>
      </c>
      <c r="U577" s="2" t="e">
        <f ca="1"/>
        <v>#NAME?</v>
      </c>
      <c r="V577" s="2" t="e">
        <f ca="1"/>
        <v>#NAME?</v>
      </c>
      <c r="W577" s="2" t="str">
        <f ca="1"/>
        <v/>
      </c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tr">
        <v/>
      </c>
      <c r="S578" s="2" t="str">
        <f ca="1">IFERROR(__xludf.DUMMYFUNCTION("""COMPUTED_VALUE"""),"")</f>
        <v/>
      </c>
      <c r="T578" s="2" t="str">
        <f ca="1">IFERROR(__xludf.DUMMYFUNCTION("""COMPUTED_VALUE"""),"")</f>
        <v/>
      </c>
      <c r="U578" s="2" t="e">
        <f ca="1"/>
        <v>#NAME?</v>
      </c>
      <c r="V578" s="2" t="e">
        <f ca="1"/>
        <v>#NAME?</v>
      </c>
      <c r="W578" s="2" t="str">
        <f ca="1"/>
        <v/>
      </c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tr">
        <v/>
      </c>
      <c r="S579" s="2" t="str">
        <f ca="1">IFERROR(__xludf.DUMMYFUNCTION("""COMPUTED_VALUE"""),"")</f>
        <v/>
      </c>
      <c r="T579" s="2" t="str">
        <f ca="1">IFERROR(__xludf.DUMMYFUNCTION("""COMPUTED_VALUE"""),"")</f>
        <v/>
      </c>
      <c r="U579" s="2" t="e">
        <f ca="1"/>
        <v>#NAME?</v>
      </c>
      <c r="V579" s="2" t="e">
        <f ca="1"/>
        <v>#NAME?</v>
      </c>
      <c r="W579" s="2" t="str">
        <f ca="1"/>
        <v/>
      </c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tr">
        <v/>
      </c>
      <c r="S580" s="2" t="str">
        <f ca="1">IFERROR(__xludf.DUMMYFUNCTION("""COMPUTED_VALUE"""),"")</f>
        <v/>
      </c>
      <c r="T580" s="2" t="str">
        <f ca="1">IFERROR(__xludf.DUMMYFUNCTION("""COMPUTED_VALUE"""),"")</f>
        <v/>
      </c>
      <c r="U580" s="2" t="e">
        <f ca="1"/>
        <v>#NAME?</v>
      </c>
      <c r="V580" s="2" t="e">
        <f ca="1"/>
        <v>#NAME?</v>
      </c>
      <c r="W580" s="2" t="str">
        <f ca="1"/>
        <v/>
      </c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tr">
        <v/>
      </c>
      <c r="S581" s="2" t="str">
        <f ca="1">IFERROR(__xludf.DUMMYFUNCTION("""COMPUTED_VALUE"""),"")</f>
        <v/>
      </c>
      <c r="T581" s="2" t="str">
        <f ca="1">IFERROR(__xludf.DUMMYFUNCTION("""COMPUTED_VALUE"""),"")</f>
        <v/>
      </c>
      <c r="U581" s="2" t="e">
        <f ca="1"/>
        <v>#NAME?</v>
      </c>
      <c r="V581" s="2" t="e">
        <f ca="1"/>
        <v>#NAME?</v>
      </c>
      <c r="W581" s="2" t="str">
        <f ca="1"/>
        <v/>
      </c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tr">
        <v/>
      </c>
      <c r="S582" s="2" t="str">
        <f ca="1">IFERROR(__xludf.DUMMYFUNCTION("""COMPUTED_VALUE"""),"")</f>
        <v/>
      </c>
      <c r="T582" s="2" t="str">
        <f ca="1">IFERROR(__xludf.DUMMYFUNCTION("""COMPUTED_VALUE"""),"")</f>
        <v/>
      </c>
      <c r="U582" s="2" t="e">
        <f ca="1"/>
        <v>#NAME?</v>
      </c>
      <c r="V582" s="2" t="e">
        <f ca="1"/>
        <v>#NAME?</v>
      </c>
      <c r="W582" s="2" t="str">
        <f ca="1"/>
        <v/>
      </c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tr">
        <v/>
      </c>
      <c r="S583" s="2" t="str">
        <f ca="1">IFERROR(__xludf.DUMMYFUNCTION("""COMPUTED_VALUE"""),"")</f>
        <v/>
      </c>
      <c r="T583" s="2" t="str">
        <f ca="1">IFERROR(__xludf.DUMMYFUNCTION("""COMPUTED_VALUE"""),"")</f>
        <v/>
      </c>
      <c r="U583" s="2" t="e">
        <f ca="1"/>
        <v>#NAME?</v>
      </c>
      <c r="V583" s="2" t="e">
        <f ca="1"/>
        <v>#NAME?</v>
      </c>
      <c r="W583" s="2" t="str">
        <f ca="1"/>
        <v/>
      </c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tr">
        <v/>
      </c>
      <c r="S584" s="2" t="str">
        <f ca="1">IFERROR(__xludf.DUMMYFUNCTION("""COMPUTED_VALUE"""),"")</f>
        <v/>
      </c>
      <c r="T584" s="2" t="str">
        <f ca="1">IFERROR(__xludf.DUMMYFUNCTION("""COMPUTED_VALUE"""),"")</f>
        <v/>
      </c>
      <c r="U584" s="2" t="e">
        <f ca="1"/>
        <v>#NAME?</v>
      </c>
      <c r="V584" s="2" t="e">
        <f ca="1"/>
        <v>#NAME?</v>
      </c>
      <c r="W584" s="2" t="str">
        <f ca="1"/>
        <v/>
      </c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tr">
        <v/>
      </c>
      <c r="S585" s="2" t="str">
        <f ca="1">IFERROR(__xludf.DUMMYFUNCTION("""COMPUTED_VALUE"""),"")</f>
        <v/>
      </c>
      <c r="T585" s="2" t="str">
        <f ca="1">IFERROR(__xludf.DUMMYFUNCTION("""COMPUTED_VALUE"""),"")</f>
        <v/>
      </c>
      <c r="U585" s="2" t="e">
        <f ca="1"/>
        <v>#NAME?</v>
      </c>
      <c r="V585" s="2" t="e">
        <f ca="1"/>
        <v>#NAME?</v>
      </c>
      <c r="W585" s="2" t="str">
        <f ca="1"/>
        <v/>
      </c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tr">
        <v/>
      </c>
      <c r="S586" s="2" t="str">
        <f ca="1">IFERROR(__xludf.DUMMYFUNCTION("""COMPUTED_VALUE"""),"")</f>
        <v/>
      </c>
      <c r="T586" s="2" t="str">
        <f ca="1">IFERROR(__xludf.DUMMYFUNCTION("""COMPUTED_VALUE"""),"")</f>
        <v/>
      </c>
      <c r="U586" s="2" t="e">
        <f ca="1"/>
        <v>#NAME?</v>
      </c>
      <c r="V586" s="2" t="e">
        <f ca="1"/>
        <v>#NAME?</v>
      </c>
      <c r="W586" s="2" t="str">
        <f ca="1"/>
        <v/>
      </c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tr">
        <v/>
      </c>
      <c r="S587" s="2" t="str">
        <f ca="1">IFERROR(__xludf.DUMMYFUNCTION("""COMPUTED_VALUE"""),"")</f>
        <v/>
      </c>
      <c r="T587" s="2" t="str">
        <f ca="1">IFERROR(__xludf.DUMMYFUNCTION("""COMPUTED_VALUE"""),"")</f>
        <v/>
      </c>
      <c r="U587" s="2" t="e">
        <f ca="1"/>
        <v>#NAME?</v>
      </c>
      <c r="V587" s="2" t="e">
        <f ca="1"/>
        <v>#NAME?</v>
      </c>
      <c r="W587" s="2" t="str">
        <f ca="1"/>
        <v/>
      </c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tr">
        <v/>
      </c>
      <c r="S588" s="2" t="str">
        <f ca="1">IFERROR(__xludf.DUMMYFUNCTION("""COMPUTED_VALUE"""),"")</f>
        <v/>
      </c>
      <c r="T588" s="2" t="str">
        <f ca="1">IFERROR(__xludf.DUMMYFUNCTION("""COMPUTED_VALUE"""),"")</f>
        <v/>
      </c>
      <c r="U588" s="2" t="e">
        <f ca="1"/>
        <v>#NAME?</v>
      </c>
      <c r="V588" s="2" t="e">
        <f ca="1"/>
        <v>#NAME?</v>
      </c>
      <c r="W588" s="2" t="str">
        <f ca="1"/>
        <v/>
      </c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tr">
        <v/>
      </c>
      <c r="S589" s="2" t="str">
        <f ca="1">IFERROR(__xludf.DUMMYFUNCTION("""COMPUTED_VALUE"""),"")</f>
        <v/>
      </c>
      <c r="T589" s="2" t="str">
        <f ca="1">IFERROR(__xludf.DUMMYFUNCTION("""COMPUTED_VALUE"""),"")</f>
        <v/>
      </c>
      <c r="U589" s="2" t="e">
        <f ca="1"/>
        <v>#NAME?</v>
      </c>
      <c r="V589" s="2" t="e">
        <f ca="1"/>
        <v>#NAME?</v>
      </c>
      <c r="W589" s="2" t="str">
        <f ca="1"/>
        <v/>
      </c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tr">
        <v/>
      </c>
      <c r="S590" s="2" t="str">
        <f ca="1">IFERROR(__xludf.DUMMYFUNCTION("""COMPUTED_VALUE"""),"")</f>
        <v/>
      </c>
      <c r="T590" s="2" t="str">
        <f ca="1">IFERROR(__xludf.DUMMYFUNCTION("""COMPUTED_VALUE"""),"")</f>
        <v/>
      </c>
      <c r="U590" s="2" t="e">
        <f ca="1"/>
        <v>#NAME?</v>
      </c>
      <c r="V590" s="2" t="e">
        <f ca="1"/>
        <v>#NAME?</v>
      </c>
      <c r="W590" s="2" t="str">
        <f ca="1"/>
        <v/>
      </c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tr">
        <v/>
      </c>
      <c r="S591" s="2" t="str">
        <f ca="1">IFERROR(__xludf.DUMMYFUNCTION("""COMPUTED_VALUE"""),"")</f>
        <v/>
      </c>
      <c r="T591" s="2" t="str">
        <f ca="1">IFERROR(__xludf.DUMMYFUNCTION("""COMPUTED_VALUE"""),"")</f>
        <v/>
      </c>
      <c r="U591" s="2" t="e">
        <f ca="1"/>
        <v>#NAME?</v>
      </c>
      <c r="V591" s="2" t="e">
        <f ca="1"/>
        <v>#NAME?</v>
      </c>
      <c r="W591" s="2" t="str">
        <f ca="1"/>
        <v/>
      </c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tr">
        <v/>
      </c>
      <c r="S592" s="2" t="str">
        <f ca="1">IFERROR(__xludf.DUMMYFUNCTION("""COMPUTED_VALUE"""),"")</f>
        <v/>
      </c>
      <c r="T592" s="2" t="str">
        <f ca="1">IFERROR(__xludf.DUMMYFUNCTION("""COMPUTED_VALUE"""),"")</f>
        <v/>
      </c>
      <c r="U592" s="2" t="e">
        <f ca="1"/>
        <v>#NAME?</v>
      </c>
      <c r="V592" s="2" t="e">
        <f ca="1"/>
        <v>#NAME?</v>
      </c>
      <c r="W592" s="2" t="str">
        <f ca="1"/>
        <v/>
      </c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tr">
        <v/>
      </c>
      <c r="S593" s="2" t="str">
        <f ca="1">IFERROR(__xludf.DUMMYFUNCTION("""COMPUTED_VALUE"""),"")</f>
        <v/>
      </c>
      <c r="T593" s="2" t="str">
        <f ca="1">IFERROR(__xludf.DUMMYFUNCTION("""COMPUTED_VALUE"""),"")</f>
        <v/>
      </c>
      <c r="U593" s="2" t="e">
        <f ca="1"/>
        <v>#NAME?</v>
      </c>
      <c r="V593" s="2" t="e">
        <f ca="1"/>
        <v>#NAME?</v>
      </c>
      <c r="W593" s="2" t="str">
        <f ca="1"/>
        <v/>
      </c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tr">
        <v/>
      </c>
      <c r="S594" s="2" t="str">
        <f ca="1">IFERROR(__xludf.DUMMYFUNCTION("""COMPUTED_VALUE"""),"")</f>
        <v/>
      </c>
      <c r="T594" s="2" t="str">
        <f ca="1">IFERROR(__xludf.DUMMYFUNCTION("""COMPUTED_VALUE"""),"")</f>
        <v/>
      </c>
      <c r="U594" s="2" t="e">
        <f ca="1"/>
        <v>#NAME?</v>
      </c>
      <c r="V594" s="2" t="e">
        <f ca="1"/>
        <v>#NAME?</v>
      </c>
      <c r="W594" s="2" t="str">
        <f ca="1"/>
        <v/>
      </c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tr">
        <v/>
      </c>
      <c r="S595" s="2" t="str">
        <f ca="1">IFERROR(__xludf.DUMMYFUNCTION("""COMPUTED_VALUE"""),"")</f>
        <v/>
      </c>
      <c r="T595" s="2" t="str">
        <f ca="1">IFERROR(__xludf.DUMMYFUNCTION("""COMPUTED_VALUE"""),"")</f>
        <v/>
      </c>
      <c r="U595" s="2" t="e">
        <f ca="1"/>
        <v>#NAME?</v>
      </c>
      <c r="V595" s="2" t="e">
        <f ca="1"/>
        <v>#NAME?</v>
      </c>
      <c r="W595" s="2" t="str">
        <f ca="1"/>
        <v/>
      </c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tr">
        <v/>
      </c>
      <c r="S596" s="2" t="str">
        <f ca="1">IFERROR(__xludf.DUMMYFUNCTION("""COMPUTED_VALUE"""),"")</f>
        <v/>
      </c>
      <c r="T596" s="2" t="str">
        <f ca="1">IFERROR(__xludf.DUMMYFUNCTION("""COMPUTED_VALUE"""),"")</f>
        <v/>
      </c>
      <c r="U596" s="2" t="e">
        <f ca="1"/>
        <v>#NAME?</v>
      </c>
      <c r="V596" s="2" t="e">
        <f ca="1"/>
        <v>#NAME?</v>
      </c>
      <c r="W596" s="2" t="str">
        <f ca="1"/>
        <v/>
      </c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tr">
        <v/>
      </c>
      <c r="S597" s="2" t="str">
        <f ca="1">IFERROR(__xludf.DUMMYFUNCTION("""COMPUTED_VALUE"""),"")</f>
        <v/>
      </c>
      <c r="T597" s="2" t="str">
        <f ca="1">IFERROR(__xludf.DUMMYFUNCTION("""COMPUTED_VALUE"""),"")</f>
        <v/>
      </c>
      <c r="U597" s="2" t="e">
        <f ca="1"/>
        <v>#NAME?</v>
      </c>
      <c r="V597" s="2" t="e">
        <f ca="1"/>
        <v>#NAME?</v>
      </c>
      <c r="W597" s="2" t="str">
        <f ca="1"/>
        <v/>
      </c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tr">
        <v/>
      </c>
      <c r="S598" s="2" t="str">
        <f ca="1">IFERROR(__xludf.DUMMYFUNCTION("""COMPUTED_VALUE"""),"")</f>
        <v/>
      </c>
      <c r="T598" s="2" t="str">
        <f ca="1">IFERROR(__xludf.DUMMYFUNCTION("""COMPUTED_VALUE"""),"")</f>
        <v/>
      </c>
      <c r="U598" s="2" t="e">
        <f ca="1"/>
        <v>#NAME?</v>
      </c>
      <c r="V598" s="2" t="e">
        <f ca="1"/>
        <v>#NAME?</v>
      </c>
      <c r="W598" s="2" t="str">
        <f ca="1"/>
        <v/>
      </c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tr">
        <v/>
      </c>
      <c r="S599" s="2" t="str">
        <f ca="1">IFERROR(__xludf.DUMMYFUNCTION("""COMPUTED_VALUE"""),"")</f>
        <v/>
      </c>
      <c r="T599" s="2" t="str">
        <f ca="1">IFERROR(__xludf.DUMMYFUNCTION("""COMPUTED_VALUE"""),"")</f>
        <v/>
      </c>
      <c r="U599" s="2" t="e">
        <f ca="1"/>
        <v>#NAME?</v>
      </c>
      <c r="V599" s="2" t="e">
        <f ca="1"/>
        <v>#NAME?</v>
      </c>
      <c r="W599" s="2" t="str">
        <f ca="1"/>
        <v/>
      </c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tr">
        <v/>
      </c>
      <c r="S600" s="2" t="str">
        <f ca="1">IFERROR(__xludf.DUMMYFUNCTION("""COMPUTED_VALUE"""),"")</f>
        <v/>
      </c>
      <c r="T600" s="2" t="str">
        <f ca="1">IFERROR(__xludf.DUMMYFUNCTION("""COMPUTED_VALUE"""),"")</f>
        <v/>
      </c>
      <c r="U600" s="2" t="e">
        <f ca="1"/>
        <v>#NAME?</v>
      </c>
      <c r="V600" s="2" t="e">
        <f ca="1"/>
        <v>#NAME?</v>
      </c>
      <c r="W600" s="2" t="str">
        <f ca="1"/>
        <v/>
      </c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tr">
        <v/>
      </c>
      <c r="S601" s="2" t="str">
        <f ca="1">IFERROR(__xludf.DUMMYFUNCTION("""COMPUTED_VALUE"""),"")</f>
        <v/>
      </c>
      <c r="T601" s="2" t="str">
        <f ca="1">IFERROR(__xludf.DUMMYFUNCTION("""COMPUTED_VALUE"""),"")</f>
        <v/>
      </c>
      <c r="U601" s="2" t="e">
        <f ca="1"/>
        <v>#NAME?</v>
      </c>
      <c r="V601" s="2" t="e">
        <f ca="1"/>
        <v>#NAME?</v>
      </c>
      <c r="W601" s="2" t="str">
        <f ca="1"/>
        <v/>
      </c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tr">
        <v/>
      </c>
      <c r="S602" s="2" t="str">
        <f ca="1">IFERROR(__xludf.DUMMYFUNCTION("""COMPUTED_VALUE"""),"")</f>
        <v/>
      </c>
      <c r="T602" s="2" t="str">
        <f ca="1">IFERROR(__xludf.DUMMYFUNCTION("""COMPUTED_VALUE"""),"")</f>
        <v/>
      </c>
      <c r="U602" s="2" t="e">
        <f ca="1"/>
        <v>#NAME?</v>
      </c>
      <c r="V602" s="2" t="e">
        <f ca="1"/>
        <v>#NAME?</v>
      </c>
      <c r="W602" s="2" t="str">
        <f ca="1"/>
        <v/>
      </c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tr">
        <v/>
      </c>
      <c r="S603" s="2" t="str">
        <f ca="1">IFERROR(__xludf.DUMMYFUNCTION("""COMPUTED_VALUE"""),"")</f>
        <v/>
      </c>
      <c r="T603" s="2" t="str">
        <f ca="1">IFERROR(__xludf.DUMMYFUNCTION("""COMPUTED_VALUE"""),"")</f>
        <v/>
      </c>
      <c r="U603" s="2" t="e">
        <f ca="1"/>
        <v>#NAME?</v>
      </c>
      <c r="V603" s="2" t="e">
        <f ca="1"/>
        <v>#NAME?</v>
      </c>
      <c r="W603" s="2" t="str">
        <f ca="1"/>
        <v/>
      </c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tr">
        <v/>
      </c>
      <c r="S604" s="2" t="str">
        <f ca="1">IFERROR(__xludf.DUMMYFUNCTION("""COMPUTED_VALUE"""),"")</f>
        <v/>
      </c>
      <c r="T604" s="2" t="str">
        <f ca="1">IFERROR(__xludf.DUMMYFUNCTION("""COMPUTED_VALUE"""),"")</f>
        <v/>
      </c>
      <c r="U604" s="2" t="e">
        <f ca="1"/>
        <v>#NAME?</v>
      </c>
      <c r="V604" s="2" t="e">
        <f ca="1"/>
        <v>#NAME?</v>
      </c>
      <c r="W604" s="2" t="str">
        <f ca="1"/>
        <v/>
      </c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tr">
        <v/>
      </c>
      <c r="S605" s="2" t="str">
        <f ca="1">IFERROR(__xludf.DUMMYFUNCTION("""COMPUTED_VALUE"""),"")</f>
        <v/>
      </c>
      <c r="T605" s="2" t="str">
        <f ca="1">IFERROR(__xludf.DUMMYFUNCTION("""COMPUTED_VALUE"""),"")</f>
        <v/>
      </c>
      <c r="U605" s="2" t="e">
        <f ca="1"/>
        <v>#NAME?</v>
      </c>
      <c r="V605" s="2" t="e">
        <f ca="1"/>
        <v>#NAME?</v>
      </c>
      <c r="W605" s="2" t="str">
        <f ca="1"/>
        <v/>
      </c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tr">
        <v/>
      </c>
      <c r="S606" s="2" t="str">
        <f ca="1">IFERROR(__xludf.DUMMYFUNCTION("""COMPUTED_VALUE"""),"")</f>
        <v/>
      </c>
      <c r="T606" s="2" t="str">
        <f ca="1">IFERROR(__xludf.DUMMYFUNCTION("""COMPUTED_VALUE"""),"")</f>
        <v/>
      </c>
      <c r="U606" s="2" t="e">
        <f ca="1"/>
        <v>#NAME?</v>
      </c>
      <c r="V606" s="2" t="e">
        <f ca="1"/>
        <v>#NAME?</v>
      </c>
      <c r="W606" s="2" t="str">
        <f ca="1"/>
        <v/>
      </c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tr">
        <v/>
      </c>
      <c r="S607" s="2" t="str">
        <f ca="1">IFERROR(__xludf.DUMMYFUNCTION("""COMPUTED_VALUE"""),"")</f>
        <v/>
      </c>
      <c r="T607" s="2" t="str">
        <f ca="1">IFERROR(__xludf.DUMMYFUNCTION("""COMPUTED_VALUE"""),"")</f>
        <v/>
      </c>
      <c r="U607" s="2" t="e">
        <f ca="1"/>
        <v>#NAME?</v>
      </c>
      <c r="V607" s="2" t="e">
        <f ca="1"/>
        <v>#NAME?</v>
      </c>
      <c r="W607" s="2" t="str">
        <f ca="1"/>
        <v/>
      </c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tr">
        <v/>
      </c>
      <c r="S608" s="2" t="str">
        <f ca="1">IFERROR(__xludf.DUMMYFUNCTION("""COMPUTED_VALUE"""),"")</f>
        <v/>
      </c>
      <c r="T608" s="2" t="str">
        <f ca="1">IFERROR(__xludf.DUMMYFUNCTION("""COMPUTED_VALUE"""),"")</f>
        <v/>
      </c>
      <c r="U608" s="2" t="e">
        <f ca="1"/>
        <v>#NAME?</v>
      </c>
      <c r="V608" s="2" t="e">
        <f ca="1"/>
        <v>#NAME?</v>
      </c>
      <c r="W608" s="2" t="str">
        <f ca="1"/>
        <v/>
      </c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tr">
        <v/>
      </c>
      <c r="S609" s="2" t="str">
        <f ca="1">IFERROR(__xludf.DUMMYFUNCTION("""COMPUTED_VALUE"""),"")</f>
        <v/>
      </c>
      <c r="T609" s="2" t="str">
        <f ca="1">IFERROR(__xludf.DUMMYFUNCTION("""COMPUTED_VALUE"""),"")</f>
        <v/>
      </c>
      <c r="U609" s="2" t="e">
        <f ca="1"/>
        <v>#NAME?</v>
      </c>
      <c r="V609" s="2" t="e">
        <f ca="1"/>
        <v>#NAME?</v>
      </c>
      <c r="W609" s="2" t="str">
        <f ca="1"/>
        <v/>
      </c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tr">
        <v/>
      </c>
      <c r="S610" s="2" t="str">
        <f ca="1">IFERROR(__xludf.DUMMYFUNCTION("""COMPUTED_VALUE"""),"")</f>
        <v/>
      </c>
      <c r="T610" s="2" t="str">
        <f ca="1">IFERROR(__xludf.DUMMYFUNCTION("""COMPUTED_VALUE"""),"")</f>
        <v/>
      </c>
      <c r="U610" s="2" t="e">
        <f ca="1"/>
        <v>#NAME?</v>
      </c>
      <c r="V610" s="2" t="e">
        <f ca="1"/>
        <v>#NAME?</v>
      </c>
      <c r="W610" s="2" t="str">
        <f ca="1"/>
        <v/>
      </c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tr">
        <v/>
      </c>
      <c r="S611" s="2" t="str">
        <f ca="1">IFERROR(__xludf.DUMMYFUNCTION("""COMPUTED_VALUE"""),"")</f>
        <v/>
      </c>
      <c r="T611" s="2" t="str">
        <f ca="1">IFERROR(__xludf.DUMMYFUNCTION("""COMPUTED_VALUE"""),"")</f>
        <v/>
      </c>
      <c r="U611" s="2" t="e">
        <f ca="1"/>
        <v>#NAME?</v>
      </c>
      <c r="V611" s="2" t="e">
        <f ca="1"/>
        <v>#NAME?</v>
      </c>
      <c r="W611" s="2" t="str">
        <f ca="1"/>
        <v/>
      </c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tr">
        <v/>
      </c>
      <c r="S612" s="2" t="str">
        <f ca="1">IFERROR(__xludf.DUMMYFUNCTION("""COMPUTED_VALUE"""),"")</f>
        <v/>
      </c>
      <c r="T612" s="2" t="str">
        <f ca="1">IFERROR(__xludf.DUMMYFUNCTION("""COMPUTED_VALUE"""),"")</f>
        <v/>
      </c>
      <c r="U612" s="2" t="e">
        <f ca="1"/>
        <v>#NAME?</v>
      </c>
      <c r="V612" s="2" t="e">
        <f ca="1"/>
        <v>#NAME?</v>
      </c>
      <c r="W612" s="2" t="str">
        <f ca="1"/>
        <v/>
      </c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tr">
        <v/>
      </c>
      <c r="S613" s="2" t="str">
        <f ca="1">IFERROR(__xludf.DUMMYFUNCTION("""COMPUTED_VALUE"""),"")</f>
        <v/>
      </c>
      <c r="T613" s="2" t="str">
        <f ca="1">IFERROR(__xludf.DUMMYFUNCTION("""COMPUTED_VALUE"""),"")</f>
        <v/>
      </c>
      <c r="U613" s="2" t="e">
        <f ca="1"/>
        <v>#NAME?</v>
      </c>
      <c r="V613" s="2" t="e">
        <f ca="1"/>
        <v>#NAME?</v>
      </c>
      <c r="W613" s="2" t="str">
        <f ca="1"/>
        <v/>
      </c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tr">
        <v/>
      </c>
      <c r="S614" s="2" t="str">
        <f ca="1">IFERROR(__xludf.DUMMYFUNCTION("""COMPUTED_VALUE"""),"")</f>
        <v/>
      </c>
      <c r="T614" s="2" t="str">
        <f ca="1">IFERROR(__xludf.DUMMYFUNCTION("""COMPUTED_VALUE"""),"")</f>
        <v/>
      </c>
      <c r="U614" s="2" t="e">
        <f ca="1"/>
        <v>#NAME?</v>
      </c>
      <c r="V614" s="2" t="e">
        <f ca="1"/>
        <v>#NAME?</v>
      </c>
      <c r="W614" s="2" t="str">
        <f ca="1"/>
        <v/>
      </c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tr">
        <v/>
      </c>
      <c r="S615" s="2" t="str">
        <f ca="1">IFERROR(__xludf.DUMMYFUNCTION("""COMPUTED_VALUE"""),"")</f>
        <v/>
      </c>
      <c r="T615" s="2" t="str">
        <f ca="1">IFERROR(__xludf.DUMMYFUNCTION("""COMPUTED_VALUE"""),"")</f>
        <v/>
      </c>
      <c r="U615" s="2" t="e">
        <f ca="1"/>
        <v>#NAME?</v>
      </c>
      <c r="V615" s="2" t="e">
        <f ca="1"/>
        <v>#NAME?</v>
      </c>
      <c r="W615" s="2" t="str">
        <f ca="1"/>
        <v/>
      </c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tr">
        <v/>
      </c>
      <c r="S616" s="2" t="str">
        <f ca="1">IFERROR(__xludf.DUMMYFUNCTION("""COMPUTED_VALUE"""),"")</f>
        <v/>
      </c>
      <c r="T616" s="2" t="str">
        <f ca="1">IFERROR(__xludf.DUMMYFUNCTION("""COMPUTED_VALUE"""),"")</f>
        <v/>
      </c>
      <c r="U616" s="2" t="e">
        <f ca="1"/>
        <v>#NAME?</v>
      </c>
      <c r="V616" s="2" t="e">
        <f ca="1"/>
        <v>#NAME?</v>
      </c>
      <c r="W616" s="2" t="str">
        <f ca="1"/>
        <v/>
      </c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tr">
        <v/>
      </c>
      <c r="S617" s="2" t="str">
        <f ca="1">IFERROR(__xludf.DUMMYFUNCTION("""COMPUTED_VALUE"""),"")</f>
        <v/>
      </c>
      <c r="T617" s="2" t="str">
        <f ca="1">IFERROR(__xludf.DUMMYFUNCTION("""COMPUTED_VALUE"""),"")</f>
        <v/>
      </c>
      <c r="U617" s="2" t="e">
        <f ca="1"/>
        <v>#NAME?</v>
      </c>
      <c r="V617" s="2" t="e">
        <f ca="1"/>
        <v>#NAME?</v>
      </c>
      <c r="W617" s="2" t="str">
        <f ca="1"/>
        <v/>
      </c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tr">
        <v/>
      </c>
      <c r="S618" s="2" t="str">
        <f ca="1">IFERROR(__xludf.DUMMYFUNCTION("""COMPUTED_VALUE"""),"")</f>
        <v/>
      </c>
      <c r="T618" s="2" t="str">
        <f ca="1">IFERROR(__xludf.DUMMYFUNCTION("""COMPUTED_VALUE"""),"")</f>
        <v/>
      </c>
      <c r="U618" s="2" t="e">
        <f ca="1"/>
        <v>#NAME?</v>
      </c>
      <c r="V618" s="2" t="e">
        <f ca="1"/>
        <v>#NAME?</v>
      </c>
      <c r="W618" s="2" t="str">
        <f ca="1"/>
        <v/>
      </c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tr">
        <v/>
      </c>
      <c r="S619" s="2" t="str">
        <f ca="1">IFERROR(__xludf.DUMMYFUNCTION("""COMPUTED_VALUE"""),"")</f>
        <v/>
      </c>
      <c r="T619" s="2" t="str">
        <f ca="1">IFERROR(__xludf.DUMMYFUNCTION("""COMPUTED_VALUE"""),"")</f>
        <v/>
      </c>
      <c r="U619" s="2" t="e">
        <f ca="1"/>
        <v>#NAME?</v>
      </c>
      <c r="V619" s="2" t="e">
        <f ca="1"/>
        <v>#NAME?</v>
      </c>
      <c r="W619" s="2" t="str">
        <f ca="1"/>
        <v/>
      </c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tr">
        <v/>
      </c>
      <c r="S620" s="2" t="str">
        <f ca="1">IFERROR(__xludf.DUMMYFUNCTION("""COMPUTED_VALUE"""),"")</f>
        <v/>
      </c>
      <c r="T620" s="2" t="str">
        <f ca="1">IFERROR(__xludf.DUMMYFUNCTION("""COMPUTED_VALUE"""),"")</f>
        <v/>
      </c>
      <c r="U620" s="2" t="e">
        <f ca="1"/>
        <v>#NAME?</v>
      </c>
      <c r="V620" s="2" t="e">
        <f ca="1"/>
        <v>#NAME?</v>
      </c>
      <c r="W620" s="2" t="str">
        <f ca="1"/>
        <v/>
      </c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tr">
        <v/>
      </c>
      <c r="S621" s="2" t="str">
        <f ca="1">IFERROR(__xludf.DUMMYFUNCTION("""COMPUTED_VALUE"""),"")</f>
        <v/>
      </c>
      <c r="T621" s="2" t="str">
        <f ca="1">IFERROR(__xludf.DUMMYFUNCTION("""COMPUTED_VALUE"""),"")</f>
        <v/>
      </c>
      <c r="U621" s="2" t="e">
        <f ca="1"/>
        <v>#NAME?</v>
      </c>
      <c r="V621" s="2" t="e">
        <f ca="1"/>
        <v>#NAME?</v>
      </c>
      <c r="W621" s="2" t="str">
        <f ca="1"/>
        <v/>
      </c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tr">
        <v/>
      </c>
      <c r="S622" s="2" t="str">
        <f ca="1">IFERROR(__xludf.DUMMYFUNCTION("""COMPUTED_VALUE"""),"")</f>
        <v/>
      </c>
      <c r="T622" s="2" t="str">
        <f ca="1">IFERROR(__xludf.DUMMYFUNCTION("""COMPUTED_VALUE"""),"")</f>
        <v/>
      </c>
      <c r="U622" s="2" t="e">
        <f ca="1"/>
        <v>#NAME?</v>
      </c>
      <c r="V622" s="2" t="e">
        <f ca="1"/>
        <v>#NAME?</v>
      </c>
      <c r="W622" s="2" t="str">
        <f ca="1"/>
        <v/>
      </c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tr">
        <v/>
      </c>
      <c r="S623" s="2" t="str">
        <f ca="1">IFERROR(__xludf.DUMMYFUNCTION("""COMPUTED_VALUE"""),"")</f>
        <v/>
      </c>
      <c r="T623" s="2" t="str">
        <f ca="1">IFERROR(__xludf.DUMMYFUNCTION("""COMPUTED_VALUE"""),"")</f>
        <v/>
      </c>
      <c r="U623" s="2" t="e">
        <f ca="1"/>
        <v>#NAME?</v>
      </c>
      <c r="V623" s="2" t="e">
        <f ca="1"/>
        <v>#NAME?</v>
      </c>
      <c r="W623" s="2" t="str">
        <f ca="1"/>
        <v/>
      </c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tr">
        <v/>
      </c>
      <c r="S624" s="2" t="str">
        <f ca="1">IFERROR(__xludf.DUMMYFUNCTION("""COMPUTED_VALUE"""),"")</f>
        <v/>
      </c>
      <c r="T624" s="2" t="str">
        <f ca="1">IFERROR(__xludf.DUMMYFUNCTION("""COMPUTED_VALUE"""),"")</f>
        <v/>
      </c>
      <c r="U624" s="2" t="e">
        <f ca="1"/>
        <v>#NAME?</v>
      </c>
      <c r="V624" s="2" t="e">
        <f ca="1"/>
        <v>#NAME?</v>
      </c>
      <c r="W624" s="2" t="str">
        <f ca="1"/>
        <v/>
      </c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tr">
        <v/>
      </c>
      <c r="S625" s="2" t="str">
        <f ca="1">IFERROR(__xludf.DUMMYFUNCTION("""COMPUTED_VALUE"""),"")</f>
        <v/>
      </c>
      <c r="T625" s="2" t="str">
        <f ca="1">IFERROR(__xludf.DUMMYFUNCTION("""COMPUTED_VALUE"""),"")</f>
        <v/>
      </c>
      <c r="U625" s="2" t="e">
        <f ca="1"/>
        <v>#NAME?</v>
      </c>
      <c r="V625" s="2" t="e">
        <f ca="1"/>
        <v>#NAME?</v>
      </c>
      <c r="W625" s="2" t="str">
        <f ca="1"/>
        <v/>
      </c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tr">
        <v/>
      </c>
      <c r="S626" s="2" t="str">
        <f ca="1">IFERROR(__xludf.DUMMYFUNCTION("""COMPUTED_VALUE"""),"")</f>
        <v/>
      </c>
      <c r="T626" s="2" t="str">
        <f ca="1">IFERROR(__xludf.DUMMYFUNCTION("""COMPUTED_VALUE"""),"")</f>
        <v/>
      </c>
      <c r="U626" s="2" t="e">
        <f ca="1"/>
        <v>#NAME?</v>
      </c>
      <c r="V626" s="2" t="e">
        <f ca="1"/>
        <v>#NAME?</v>
      </c>
      <c r="W626" s="2" t="str">
        <f ca="1"/>
        <v/>
      </c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tr">
        <v/>
      </c>
      <c r="S627" s="2" t="str">
        <f ca="1">IFERROR(__xludf.DUMMYFUNCTION("""COMPUTED_VALUE"""),"")</f>
        <v/>
      </c>
      <c r="T627" s="2" t="str">
        <f ca="1">IFERROR(__xludf.DUMMYFUNCTION("""COMPUTED_VALUE"""),"")</f>
        <v/>
      </c>
      <c r="U627" s="2" t="e">
        <f ca="1"/>
        <v>#NAME?</v>
      </c>
      <c r="V627" s="2" t="e">
        <f ca="1"/>
        <v>#NAME?</v>
      </c>
      <c r="W627" s="2" t="str">
        <f ca="1"/>
        <v/>
      </c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tr">
        <v/>
      </c>
      <c r="S628" s="2" t="str">
        <f ca="1">IFERROR(__xludf.DUMMYFUNCTION("""COMPUTED_VALUE"""),"")</f>
        <v/>
      </c>
      <c r="T628" s="2" t="str">
        <f ca="1">IFERROR(__xludf.DUMMYFUNCTION("""COMPUTED_VALUE"""),"")</f>
        <v/>
      </c>
      <c r="U628" s="2" t="e">
        <f ca="1"/>
        <v>#NAME?</v>
      </c>
      <c r="V628" s="2" t="e">
        <f ca="1"/>
        <v>#NAME?</v>
      </c>
      <c r="W628" s="2" t="str">
        <f ca="1"/>
        <v/>
      </c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tr">
        <v/>
      </c>
      <c r="S629" s="2" t="str">
        <f ca="1">IFERROR(__xludf.DUMMYFUNCTION("""COMPUTED_VALUE"""),"")</f>
        <v/>
      </c>
      <c r="T629" s="2" t="str">
        <f ca="1">IFERROR(__xludf.DUMMYFUNCTION("""COMPUTED_VALUE"""),"")</f>
        <v/>
      </c>
      <c r="U629" s="2" t="e">
        <f ca="1"/>
        <v>#NAME?</v>
      </c>
      <c r="V629" s="2" t="e">
        <f ca="1"/>
        <v>#NAME?</v>
      </c>
      <c r="W629" s="2" t="str">
        <f ca="1"/>
        <v/>
      </c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tr">
        <v/>
      </c>
      <c r="S630" s="2" t="str">
        <f ca="1">IFERROR(__xludf.DUMMYFUNCTION("""COMPUTED_VALUE"""),"")</f>
        <v/>
      </c>
      <c r="T630" s="2" t="str">
        <f ca="1">IFERROR(__xludf.DUMMYFUNCTION("""COMPUTED_VALUE"""),"")</f>
        <v/>
      </c>
      <c r="U630" s="2" t="e">
        <f ca="1"/>
        <v>#NAME?</v>
      </c>
      <c r="V630" s="2" t="e">
        <f ca="1"/>
        <v>#NAME?</v>
      </c>
      <c r="W630" s="2" t="str">
        <f ca="1"/>
        <v/>
      </c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tr">
        <v/>
      </c>
      <c r="S631" s="2" t="str">
        <f ca="1">IFERROR(__xludf.DUMMYFUNCTION("""COMPUTED_VALUE"""),"")</f>
        <v/>
      </c>
      <c r="T631" s="2" t="str">
        <f ca="1">IFERROR(__xludf.DUMMYFUNCTION("""COMPUTED_VALUE"""),"")</f>
        <v/>
      </c>
      <c r="U631" s="2" t="e">
        <f ca="1"/>
        <v>#NAME?</v>
      </c>
      <c r="V631" s="2" t="e">
        <f ca="1"/>
        <v>#NAME?</v>
      </c>
      <c r="W631" s="2" t="str">
        <f ca="1"/>
        <v/>
      </c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tr">
        <v/>
      </c>
      <c r="S632" s="2" t="str">
        <f ca="1">IFERROR(__xludf.DUMMYFUNCTION("""COMPUTED_VALUE"""),"")</f>
        <v/>
      </c>
      <c r="T632" s="2" t="str">
        <f ca="1">IFERROR(__xludf.DUMMYFUNCTION("""COMPUTED_VALUE"""),"")</f>
        <v/>
      </c>
      <c r="U632" s="2" t="e">
        <f ca="1"/>
        <v>#NAME?</v>
      </c>
      <c r="V632" s="2" t="e">
        <f ca="1"/>
        <v>#NAME?</v>
      </c>
      <c r="W632" s="2" t="str">
        <f ca="1"/>
        <v/>
      </c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tr">
        <v/>
      </c>
      <c r="S633" s="2" t="str">
        <f ca="1">IFERROR(__xludf.DUMMYFUNCTION("""COMPUTED_VALUE"""),"")</f>
        <v/>
      </c>
      <c r="T633" s="2" t="str">
        <f ca="1">IFERROR(__xludf.DUMMYFUNCTION("""COMPUTED_VALUE"""),"")</f>
        <v/>
      </c>
      <c r="U633" s="2" t="e">
        <f ca="1"/>
        <v>#NAME?</v>
      </c>
      <c r="V633" s="2" t="e">
        <f ca="1"/>
        <v>#NAME?</v>
      </c>
      <c r="W633" s="2" t="str">
        <f ca="1"/>
        <v/>
      </c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tr">
        <v/>
      </c>
      <c r="S634" s="2" t="str">
        <f ca="1">IFERROR(__xludf.DUMMYFUNCTION("""COMPUTED_VALUE"""),"")</f>
        <v/>
      </c>
      <c r="T634" s="2" t="str">
        <f ca="1">IFERROR(__xludf.DUMMYFUNCTION("""COMPUTED_VALUE"""),"")</f>
        <v/>
      </c>
      <c r="U634" s="2" t="e">
        <f ca="1"/>
        <v>#NAME?</v>
      </c>
      <c r="V634" s="2" t="e">
        <f ca="1"/>
        <v>#NAME?</v>
      </c>
      <c r="W634" s="2" t="str">
        <f ca="1"/>
        <v/>
      </c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tr">
        <v/>
      </c>
      <c r="S635" s="2" t="str">
        <f ca="1">IFERROR(__xludf.DUMMYFUNCTION("""COMPUTED_VALUE"""),"")</f>
        <v/>
      </c>
      <c r="T635" s="2" t="str">
        <f ca="1">IFERROR(__xludf.DUMMYFUNCTION("""COMPUTED_VALUE"""),"")</f>
        <v/>
      </c>
      <c r="U635" s="2" t="e">
        <f ca="1"/>
        <v>#NAME?</v>
      </c>
      <c r="V635" s="2" t="e">
        <f ca="1"/>
        <v>#NAME?</v>
      </c>
      <c r="W635" s="2" t="str">
        <f ca="1"/>
        <v/>
      </c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tr">
        <v/>
      </c>
      <c r="S636" s="2" t="str">
        <f ca="1">IFERROR(__xludf.DUMMYFUNCTION("""COMPUTED_VALUE"""),"")</f>
        <v/>
      </c>
      <c r="T636" s="2" t="str">
        <f ca="1">IFERROR(__xludf.DUMMYFUNCTION("""COMPUTED_VALUE"""),"")</f>
        <v/>
      </c>
      <c r="U636" s="2" t="e">
        <f ca="1"/>
        <v>#NAME?</v>
      </c>
      <c r="V636" s="2" t="e">
        <f ca="1"/>
        <v>#NAME?</v>
      </c>
      <c r="W636" s="2" t="str">
        <f ca="1"/>
        <v/>
      </c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tr">
        <v/>
      </c>
      <c r="S637" s="2" t="str">
        <f ca="1">IFERROR(__xludf.DUMMYFUNCTION("""COMPUTED_VALUE"""),"")</f>
        <v/>
      </c>
      <c r="T637" s="2" t="str">
        <f ca="1">IFERROR(__xludf.DUMMYFUNCTION("""COMPUTED_VALUE"""),"")</f>
        <v/>
      </c>
      <c r="U637" s="2" t="e">
        <f ca="1"/>
        <v>#NAME?</v>
      </c>
      <c r="V637" s="2" t="e">
        <f ca="1"/>
        <v>#NAME?</v>
      </c>
      <c r="W637" s="2" t="str">
        <f ca="1"/>
        <v/>
      </c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tr">
        <v/>
      </c>
      <c r="S638" s="2" t="str">
        <f ca="1">IFERROR(__xludf.DUMMYFUNCTION("""COMPUTED_VALUE"""),"")</f>
        <v/>
      </c>
      <c r="T638" s="2" t="str">
        <f ca="1">IFERROR(__xludf.DUMMYFUNCTION("""COMPUTED_VALUE"""),"")</f>
        <v/>
      </c>
      <c r="U638" s="2" t="e">
        <f ca="1"/>
        <v>#NAME?</v>
      </c>
      <c r="V638" s="2" t="e">
        <f ca="1"/>
        <v>#NAME?</v>
      </c>
      <c r="W638" s="2" t="str">
        <f ca="1"/>
        <v/>
      </c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tr">
        <v/>
      </c>
      <c r="S639" s="2" t="str">
        <f ca="1">IFERROR(__xludf.DUMMYFUNCTION("""COMPUTED_VALUE"""),"")</f>
        <v/>
      </c>
      <c r="T639" s="2" t="str">
        <f ca="1">IFERROR(__xludf.DUMMYFUNCTION("""COMPUTED_VALUE"""),"")</f>
        <v/>
      </c>
      <c r="U639" s="2" t="e">
        <f ca="1"/>
        <v>#NAME?</v>
      </c>
      <c r="V639" s="2" t="e">
        <f ca="1"/>
        <v>#NAME?</v>
      </c>
      <c r="W639" s="2" t="str">
        <f ca="1"/>
        <v/>
      </c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tr">
        <v/>
      </c>
      <c r="S640" s="2" t="str">
        <f ca="1">IFERROR(__xludf.DUMMYFUNCTION("""COMPUTED_VALUE"""),"")</f>
        <v/>
      </c>
      <c r="T640" s="2" t="str">
        <f ca="1">IFERROR(__xludf.DUMMYFUNCTION("""COMPUTED_VALUE"""),"")</f>
        <v/>
      </c>
      <c r="U640" s="2" t="e">
        <f ca="1"/>
        <v>#NAME?</v>
      </c>
      <c r="V640" s="2" t="e">
        <f ca="1"/>
        <v>#NAME?</v>
      </c>
      <c r="W640" s="2" t="str">
        <f ca="1"/>
        <v/>
      </c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tr">
        <v/>
      </c>
      <c r="S641" s="2" t="str">
        <f ca="1">IFERROR(__xludf.DUMMYFUNCTION("""COMPUTED_VALUE"""),"")</f>
        <v/>
      </c>
      <c r="T641" s="2" t="str">
        <f ca="1">IFERROR(__xludf.DUMMYFUNCTION("""COMPUTED_VALUE"""),"")</f>
        <v/>
      </c>
      <c r="U641" s="2" t="e">
        <f ca="1"/>
        <v>#NAME?</v>
      </c>
      <c r="V641" s="2" t="e">
        <f ca="1"/>
        <v>#NAME?</v>
      </c>
      <c r="W641" s="2" t="str">
        <f ca="1"/>
        <v/>
      </c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tr">
        <v/>
      </c>
      <c r="S642" s="2" t="str">
        <f ca="1">IFERROR(__xludf.DUMMYFUNCTION("""COMPUTED_VALUE"""),"")</f>
        <v/>
      </c>
      <c r="T642" s="2" t="str">
        <f ca="1">IFERROR(__xludf.DUMMYFUNCTION("""COMPUTED_VALUE"""),"")</f>
        <v/>
      </c>
      <c r="U642" s="2" t="e">
        <f ca="1"/>
        <v>#NAME?</v>
      </c>
      <c r="V642" s="2" t="e">
        <f ca="1"/>
        <v>#NAME?</v>
      </c>
      <c r="W642" s="2" t="str">
        <f ca="1"/>
        <v/>
      </c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tr">
        <v/>
      </c>
      <c r="S643" s="2" t="str">
        <f ca="1">IFERROR(__xludf.DUMMYFUNCTION("""COMPUTED_VALUE"""),"")</f>
        <v/>
      </c>
      <c r="T643" s="2" t="str">
        <f ca="1">IFERROR(__xludf.DUMMYFUNCTION("""COMPUTED_VALUE"""),"")</f>
        <v/>
      </c>
      <c r="U643" s="2" t="e">
        <f ca="1"/>
        <v>#NAME?</v>
      </c>
      <c r="V643" s="2" t="e">
        <f ca="1"/>
        <v>#NAME?</v>
      </c>
      <c r="W643" s="2" t="str">
        <f ca="1"/>
        <v/>
      </c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tr">
        <v/>
      </c>
      <c r="S644" s="2" t="str">
        <f ca="1">IFERROR(__xludf.DUMMYFUNCTION("""COMPUTED_VALUE"""),"")</f>
        <v/>
      </c>
      <c r="T644" s="2" t="str">
        <f ca="1">IFERROR(__xludf.DUMMYFUNCTION("""COMPUTED_VALUE"""),"")</f>
        <v/>
      </c>
      <c r="U644" s="2" t="e">
        <f ca="1"/>
        <v>#NAME?</v>
      </c>
      <c r="V644" s="2" t="e">
        <f ca="1"/>
        <v>#NAME?</v>
      </c>
      <c r="W644" s="2" t="str">
        <f ca="1"/>
        <v/>
      </c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tr">
        <v/>
      </c>
      <c r="S645" s="2" t="str">
        <f ca="1">IFERROR(__xludf.DUMMYFUNCTION("""COMPUTED_VALUE"""),"")</f>
        <v/>
      </c>
      <c r="T645" s="2" t="str">
        <f ca="1">IFERROR(__xludf.DUMMYFUNCTION("""COMPUTED_VALUE"""),"")</f>
        <v/>
      </c>
      <c r="U645" s="2" t="e">
        <f ca="1"/>
        <v>#NAME?</v>
      </c>
      <c r="V645" s="2" t="e">
        <f ca="1"/>
        <v>#NAME?</v>
      </c>
      <c r="W645" s="2" t="str">
        <f ca="1"/>
        <v/>
      </c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tr">
        <v/>
      </c>
      <c r="S646" s="2" t="str">
        <f ca="1">IFERROR(__xludf.DUMMYFUNCTION("""COMPUTED_VALUE"""),"")</f>
        <v/>
      </c>
      <c r="T646" s="2" t="str">
        <f ca="1">IFERROR(__xludf.DUMMYFUNCTION("""COMPUTED_VALUE"""),"")</f>
        <v/>
      </c>
      <c r="U646" s="2" t="e">
        <f ca="1"/>
        <v>#NAME?</v>
      </c>
      <c r="V646" s="2" t="e">
        <f ca="1"/>
        <v>#NAME?</v>
      </c>
      <c r="W646" s="2" t="str">
        <f ca="1"/>
        <v/>
      </c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tr">
        <v/>
      </c>
      <c r="S647" s="2" t="str">
        <f ca="1">IFERROR(__xludf.DUMMYFUNCTION("""COMPUTED_VALUE"""),"")</f>
        <v/>
      </c>
      <c r="T647" s="2" t="str">
        <f ca="1">IFERROR(__xludf.DUMMYFUNCTION("""COMPUTED_VALUE"""),"")</f>
        <v/>
      </c>
      <c r="U647" s="2" t="e">
        <f ca="1"/>
        <v>#NAME?</v>
      </c>
      <c r="V647" s="2" t="e">
        <f ca="1"/>
        <v>#NAME?</v>
      </c>
      <c r="W647" s="2" t="str">
        <f ca="1"/>
        <v/>
      </c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tr">
        <v/>
      </c>
      <c r="S648" s="2" t="str">
        <f ca="1">IFERROR(__xludf.DUMMYFUNCTION("""COMPUTED_VALUE"""),"")</f>
        <v/>
      </c>
      <c r="T648" s="2" t="str">
        <f ca="1">IFERROR(__xludf.DUMMYFUNCTION("""COMPUTED_VALUE"""),"")</f>
        <v/>
      </c>
      <c r="U648" s="2" t="e">
        <f ca="1"/>
        <v>#NAME?</v>
      </c>
      <c r="V648" s="2" t="e">
        <f ca="1"/>
        <v>#NAME?</v>
      </c>
      <c r="W648" s="2" t="str">
        <f ca="1"/>
        <v/>
      </c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tr">
        <v/>
      </c>
      <c r="S649" s="2" t="str">
        <f ca="1">IFERROR(__xludf.DUMMYFUNCTION("""COMPUTED_VALUE"""),"")</f>
        <v/>
      </c>
      <c r="T649" s="2" t="str">
        <f ca="1">IFERROR(__xludf.DUMMYFUNCTION("""COMPUTED_VALUE"""),"")</f>
        <v/>
      </c>
      <c r="U649" s="2" t="e">
        <f ca="1"/>
        <v>#NAME?</v>
      </c>
      <c r="V649" s="2" t="e">
        <f ca="1"/>
        <v>#NAME?</v>
      </c>
      <c r="W649" s="2" t="str">
        <f ca="1"/>
        <v/>
      </c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tr">
        <v/>
      </c>
      <c r="S650" s="2" t="str">
        <f ca="1">IFERROR(__xludf.DUMMYFUNCTION("""COMPUTED_VALUE"""),"")</f>
        <v/>
      </c>
      <c r="T650" s="2" t="str">
        <f ca="1">IFERROR(__xludf.DUMMYFUNCTION("""COMPUTED_VALUE"""),"")</f>
        <v/>
      </c>
      <c r="U650" s="2" t="e">
        <f ca="1"/>
        <v>#NAME?</v>
      </c>
      <c r="V650" s="2" t="e">
        <f ca="1"/>
        <v>#NAME?</v>
      </c>
      <c r="W650" s="2" t="str">
        <f ca="1"/>
        <v/>
      </c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tr">
        <v/>
      </c>
      <c r="S651" s="2" t="str">
        <f ca="1">IFERROR(__xludf.DUMMYFUNCTION("""COMPUTED_VALUE"""),"")</f>
        <v/>
      </c>
      <c r="T651" s="2" t="str">
        <f ca="1">IFERROR(__xludf.DUMMYFUNCTION("""COMPUTED_VALUE"""),"")</f>
        <v/>
      </c>
      <c r="U651" s="2" t="e">
        <f ca="1"/>
        <v>#NAME?</v>
      </c>
      <c r="V651" s="2" t="e">
        <f ca="1"/>
        <v>#NAME?</v>
      </c>
      <c r="W651" s="2" t="str">
        <f ca="1"/>
        <v/>
      </c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tr">
        <v/>
      </c>
      <c r="S652" s="2" t="str">
        <f ca="1">IFERROR(__xludf.DUMMYFUNCTION("""COMPUTED_VALUE"""),"")</f>
        <v/>
      </c>
      <c r="T652" s="2" t="str">
        <f ca="1">IFERROR(__xludf.DUMMYFUNCTION("""COMPUTED_VALUE"""),"")</f>
        <v/>
      </c>
      <c r="U652" s="2" t="e">
        <f ca="1"/>
        <v>#NAME?</v>
      </c>
      <c r="V652" s="2" t="e">
        <f ca="1"/>
        <v>#NAME?</v>
      </c>
      <c r="W652" s="2" t="str">
        <f ca="1"/>
        <v/>
      </c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tr">
        <v/>
      </c>
      <c r="S653" s="2" t="str">
        <f ca="1">IFERROR(__xludf.DUMMYFUNCTION("""COMPUTED_VALUE"""),"")</f>
        <v/>
      </c>
      <c r="T653" s="2" t="str">
        <f ca="1">IFERROR(__xludf.DUMMYFUNCTION("""COMPUTED_VALUE"""),"")</f>
        <v/>
      </c>
      <c r="U653" s="2" t="e">
        <f ca="1"/>
        <v>#NAME?</v>
      </c>
      <c r="V653" s="2" t="e">
        <f ca="1"/>
        <v>#NAME?</v>
      </c>
      <c r="W653" s="2" t="str">
        <f ca="1"/>
        <v/>
      </c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tr">
        <v/>
      </c>
      <c r="S654" s="2" t="str">
        <f ca="1">IFERROR(__xludf.DUMMYFUNCTION("""COMPUTED_VALUE"""),"")</f>
        <v/>
      </c>
      <c r="T654" s="2" t="str">
        <f ca="1">IFERROR(__xludf.DUMMYFUNCTION("""COMPUTED_VALUE"""),"")</f>
        <v/>
      </c>
      <c r="U654" s="2" t="e">
        <f ca="1"/>
        <v>#NAME?</v>
      </c>
      <c r="V654" s="2" t="e">
        <f ca="1"/>
        <v>#NAME?</v>
      </c>
      <c r="W654" s="2" t="str">
        <f ca="1"/>
        <v/>
      </c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tr">
        <v/>
      </c>
      <c r="S655" s="2" t="str">
        <f ca="1">IFERROR(__xludf.DUMMYFUNCTION("""COMPUTED_VALUE"""),"")</f>
        <v/>
      </c>
      <c r="T655" s="2" t="str">
        <f ca="1">IFERROR(__xludf.DUMMYFUNCTION("""COMPUTED_VALUE"""),"")</f>
        <v/>
      </c>
      <c r="U655" s="2" t="e">
        <f ca="1"/>
        <v>#NAME?</v>
      </c>
      <c r="V655" s="2" t="e">
        <f ca="1"/>
        <v>#NAME?</v>
      </c>
      <c r="W655" s="2" t="str">
        <f ca="1"/>
        <v/>
      </c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tr">
        <v/>
      </c>
      <c r="S656" s="2" t="str">
        <f ca="1">IFERROR(__xludf.DUMMYFUNCTION("""COMPUTED_VALUE"""),"")</f>
        <v/>
      </c>
      <c r="T656" s="2" t="str">
        <f ca="1">IFERROR(__xludf.DUMMYFUNCTION("""COMPUTED_VALUE"""),"")</f>
        <v/>
      </c>
      <c r="U656" s="2" t="e">
        <f ca="1"/>
        <v>#NAME?</v>
      </c>
      <c r="V656" s="2" t="e">
        <f ca="1"/>
        <v>#NAME?</v>
      </c>
      <c r="W656" s="2" t="str">
        <f ca="1"/>
        <v/>
      </c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tr">
        <v/>
      </c>
      <c r="S657" s="2" t="str">
        <f ca="1">IFERROR(__xludf.DUMMYFUNCTION("""COMPUTED_VALUE"""),"")</f>
        <v/>
      </c>
      <c r="T657" s="2" t="str">
        <f ca="1">IFERROR(__xludf.DUMMYFUNCTION("""COMPUTED_VALUE"""),"")</f>
        <v/>
      </c>
      <c r="U657" s="2" t="e">
        <f ca="1"/>
        <v>#NAME?</v>
      </c>
      <c r="V657" s="2" t="e">
        <f ca="1"/>
        <v>#NAME?</v>
      </c>
      <c r="W657" s="2" t="str">
        <f ca="1"/>
        <v/>
      </c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tr">
        <v/>
      </c>
      <c r="S658" s="2" t="str">
        <f ca="1">IFERROR(__xludf.DUMMYFUNCTION("""COMPUTED_VALUE"""),"")</f>
        <v/>
      </c>
      <c r="T658" s="2" t="str">
        <f ca="1">IFERROR(__xludf.DUMMYFUNCTION("""COMPUTED_VALUE"""),"")</f>
        <v/>
      </c>
      <c r="U658" s="2" t="e">
        <f ca="1"/>
        <v>#NAME?</v>
      </c>
      <c r="V658" s="2" t="e">
        <f ca="1"/>
        <v>#NAME?</v>
      </c>
      <c r="W658" s="2" t="str">
        <f ca="1"/>
        <v/>
      </c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tr">
        <v/>
      </c>
      <c r="S659" s="2" t="str">
        <f ca="1">IFERROR(__xludf.DUMMYFUNCTION("""COMPUTED_VALUE"""),"")</f>
        <v/>
      </c>
      <c r="T659" s="2" t="str">
        <f ca="1">IFERROR(__xludf.DUMMYFUNCTION("""COMPUTED_VALUE"""),"")</f>
        <v/>
      </c>
      <c r="U659" s="2" t="e">
        <f ca="1"/>
        <v>#NAME?</v>
      </c>
      <c r="V659" s="2" t="e">
        <f ca="1"/>
        <v>#NAME?</v>
      </c>
      <c r="W659" s="2" t="str">
        <f ca="1"/>
        <v/>
      </c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tr">
        <v/>
      </c>
      <c r="S660" s="2" t="str">
        <f ca="1">IFERROR(__xludf.DUMMYFUNCTION("""COMPUTED_VALUE"""),"")</f>
        <v/>
      </c>
      <c r="T660" s="2" t="str">
        <f ca="1">IFERROR(__xludf.DUMMYFUNCTION("""COMPUTED_VALUE"""),"")</f>
        <v/>
      </c>
      <c r="U660" s="2" t="e">
        <f ca="1"/>
        <v>#NAME?</v>
      </c>
      <c r="V660" s="2" t="e">
        <f ca="1"/>
        <v>#NAME?</v>
      </c>
      <c r="W660" s="2" t="str">
        <f ca="1"/>
        <v/>
      </c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tr">
        <v/>
      </c>
      <c r="S661" s="2" t="str">
        <f ca="1">IFERROR(__xludf.DUMMYFUNCTION("""COMPUTED_VALUE"""),"")</f>
        <v/>
      </c>
      <c r="T661" s="2" t="str">
        <f ca="1">IFERROR(__xludf.DUMMYFUNCTION("""COMPUTED_VALUE"""),"")</f>
        <v/>
      </c>
      <c r="U661" s="2" t="e">
        <f ca="1"/>
        <v>#NAME?</v>
      </c>
      <c r="V661" s="2" t="e">
        <f ca="1"/>
        <v>#NAME?</v>
      </c>
      <c r="W661" s="2" t="str">
        <f ca="1"/>
        <v/>
      </c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tr">
        <v/>
      </c>
      <c r="S662" s="2" t="str">
        <f ca="1">IFERROR(__xludf.DUMMYFUNCTION("""COMPUTED_VALUE"""),"")</f>
        <v/>
      </c>
      <c r="T662" s="2" t="str">
        <f ca="1">IFERROR(__xludf.DUMMYFUNCTION("""COMPUTED_VALUE"""),"")</f>
        <v/>
      </c>
      <c r="U662" s="2" t="e">
        <f ca="1"/>
        <v>#NAME?</v>
      </c>
      <c r="V662" s="2" t="e">
        <f ca="1"/>
        <v>#NAME?</v>
      </c>
      <c r="W662" s="2" t="str">
        <f ca="1"/>
        <v/>
      </c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tr">
        <v/>
      </c>
      <c r="S663" s="2" t="str">
        <f ca="1">IFERROR(__xludf.DUMMYFUNCTION("""COMPUTED_VALUE"""),"")</f>
        <v/>
      </c>
      <c r="T663" s="2" t="str">
        <f ca="1">IFERROR(__xludf.DUMMYFUNCTION("""COMPUTED_VALUE"""),"")</f>
        <v/>
      </c>
      <c r="U663" s="2" t="e">
        <f ca="1"/>
        <v>#NAME?</v>
      </c>
      <c r="V663" s="2" t="e">
        <f ca="1"/>
        <v>#NAME?</v>
      </c>
      <c r="W663" s="2" t="str">
        <f ca="1"/>
        <v/>
      </c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tr">
        <v/>
      </c>
      <c r="S664" s="2" t="str">
        <f ca="1">IFERROR(__xludf.DUMMYFUNCTION("""COMPUTED_VALUE"""),"")</f>
        <v/>
      </c>
      <c r="T664" s="2" t="str">
        <f ca="1">IFERROR(__xludf.DUMMYFUNCTION("""COMPUTED_VALUE"""),"")</f>
        <v/>
      </c>
      <c r="U664" s="2" t="e">
        <f ca="1"/>
        <v>#NAME?</v>
      </c>
      <c r="V664" s="2" t="e">
        <f ca="1"/>
        <v>#NAME?</v>
      </c>
      <c r="W664" s="2" t="str">
        <f ca="1"/>
        <v/>
      </c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tr">
        <v/>
      </c>
      <c r="S665" s="2" t="str">
        <f ca="1">IFERROR(__xludf.DUMMYFUNCTION("""COMPUTED_VALUE"""),"")</f>
        <v/>
      </c>
      <c r="T665" s="2" t="str">
        <f ca="1">IFERROR(__xludf.DUMMYFUNCTION("""COMPUTED_VALUE"""),"")</f>
        <v/>
      </c>
      <c r="U665" s="2" t="e">
        <f ca="1"/>
        <v>#NAME?</v>
      </c>
      <c r="V665" s="2" t="e">
        <f ca="1"/>
        <v>#NAME?</v>
      </c>
      <c r="W665" s="2" t="str">
        <f ca="1"/>
        <v/>
      </c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tr">
        <v/>
      </c>
      <c r="S666" s="2" t="str">
        <f ca="1">IFERROR(__xludf.DUMMYFUNCTION("""COMPUTED_VALUE"""),"")</f>
        <v/>
      </c>
      <c r="T666" s="2" t="str">
        <f ca="1">IFERROR(__xludf.DUMMYFUNCTION("""COMPUTED_VALUE"""),"")</f>
        <v/>
      </c>
      <c r="U666" s="2" t="e">
        <f ca="1"/>
        <v>#NAME?</v>
      </c>
      <c r="V666" s="2" t="e">
        <f ca="1"/>
        <v>#NAME?</v>
      </c>
      <c r="W666" s="2" t="str">
        <f ca="1"/>
        <v/>
      </c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tr">
        <v/>
      </c>
      <c r="S667" s="2" t="str">
        <f ca="1">IFERROR(__xludf.DUMMYFUNCTION("""COMPUTED_VALUE"""),"")</f>
        <v/>
      </c>
      <c r="T667" s="2" t="str">
        <f ca="1">IFERROR(__xludf.DUMMYFUNCTION("""COMPUTED_VALUE"""),"")</f>
        <v/>
      </c>
      <c r="U667" s="2" t="e">
        <f ca="1"/>
        <v>#NAME?</v>
      </c>
      <c r="V667" s="2" t="e">
        <f ca="1"/>
        <v>#NAME?</v>
      </c>
      <c r="W667" s="2" t="str">
        <f ca="1"/>
        <v/>
      </c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tr">
        <v/>
      </c>
      <c r="S668" s="2" t="str">
        <f ca="1">IFERROR(__xludf.DUMMYFUNCTION("""COMPUTED_VALUE"""),"")</f>
        <v/>
      </c>
      <c r="T668" s="2" t="str">
        <f ca="1">IFERROR(__xludf.DUMMYFUNCTION("""COMPUTED_VALUE"""),"")</f>
        <v/>
      </c>
      <c r="U668" s="2" t="e">
        <f ca="1"/>
        <v>#NAME?</v>
      </c>
      <c r="V668" s="2" t="e">
        <f ca="1"/>
        <v>#NAME?</v>
      </c>
      <c r="W668" s="2" t="str">
        <f ca="1"/>
        <v/>
      </c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tr">
        <v/>
      </c>
      <c r="S669" s="2" t="str">
        <f ca="1">IFERROR(__xludf.DUMMYFUNCTION("""COMPUTED_VALUE"""),"")</f>
        <v/>
      </c>
      <c r="T669" s="2" t="str">
        <f ca="1">IFERROR(__xludf.DUMMYFUNCTION("""COMPUTED_VALUE"""),"")</f>
        <v/>
      </c>
      <c r="U669" s="2" t="e">
        <f ca="1"/>
        <v>#NAME?</v>
      </c>
      <c r="V669" s="2" t="e">
        <f ca="1"/>
        <v>#NAME?</v>
      </c>
      <c r="W669" s="2" t="str">
        <f ca="1"/>
        <v/>
      </c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tr">
        <v/>
      </c>
      <c r="S670" s="2" t="str">
        <f ca="1">IFERROR(__xludf.DUMMYFUNCTION("""COMPUTED_VALUE"""),"")</f>
        <v/>
      </c>
      <c r="T670" s="2" t="str">
        <f ca="1">IFERROR(__xludf.DUMMYFUNCTION("""COMPUTED_VALUE"""),"")</f>
        <v/>
      </c>
      <c r="U670" s="2" t="e">
        <f ca="1"/>
        <v>#NAME?</v>
      </c>
      <c r="V670" s="2" t="e">
        <f ca="1"/>
        <v>#NAME?</v>
      </c>
      <c r="W670" s="2" t="str">
        <f ca="1"/>
        <v/>
      </c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tr">
        <v/>
      </c>
      <c r="S671" s="2" t="str">
        <f ca="1">IFERROR(__xludf.DUMMYFUNCTION("""COMPUTED_VALUE"""),"")</f>
        <v/>
      </c>
      <c r="T671" s="2" t="str">
        <f ca="1">IFERROR(__xludf.DUMMYFUNCTION("""COMPUTED_VALUE"""),"")</f>
        <v/>
      </c>
      <c r="U671" s="2" t="e">
        <f ca="1"/>
        <v>#NAME?</v>
      </c>
      <c r="V671" s="2" t="e">
        <f ca="1"/>
        <v>#NAME?</v>
      </c>
      <c r="W671" s="2" t="str">
        <f ca="1"/>
        <v/>
      </c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tr">
        <v/>
      </c>
      <c r="S672" s="2" t="str">
        <f ca="1">IFERROR(__xludf.DUMMYFUNCTION("""COMPUTED_VALUE"""),"")</f>
        <v/>
      </c>
      <c r="T672" s="2" t="str">
        <f ca="1">IFERROR(__xludf.DUMMYFUNCTION("""COMPUTED_VALUE"""),"")</f>
        <v/>
      </c>
      <c r="U672" s="2" t="e">
        <f ca="1"/>
        <v>#NAME?</v>
      </c>
      <c r="V672" s="2" t="e">
        <f ca="1"/>
        <v>#NAME?</v>
      </c>
      <c r="W672" s="2" t="str">
        <f ca="1"/>
        <v/>
      </c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tr">
        <v/>
      </c>
      <c r="S673" s="2" t="str">
        <f ca="1">IFERROR(__xludf.DUMMYFUNCTION("""COMPUTED_VALUE"""),"")</f>
        <v/>
      </c>
      <c r="T673" s="2" t="str">
        <f ca="1">IFERROR(__xludf.DUMMYFUNCTION("""COMPUTED_VALUE"""),"")</f>
        <v/>
      </c>
      <c r="U673" s="2" t="e">
        <f ca="1"/>
        <v>#NAME?</v>
      </c>
      <c r="V673" s="2" t="e">
        <f ca="1"/>
        <v>#NAME?</v>
      </c>
      <c r="W673" s="2" t="str">
        <f ca="1"/>
        <v/>
      </c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tr">
        <v/>
      </c>
      <c r="S674" s="2" t="str">
        <f ca="1">IFERROR(__xludf.DUMMYFUNCTION("""COMPUTED_VALUE"""),"")</f>
        <v/>
      </c>
      <c r="T674" s="2" t="str">
        <f ca="1">IFERROR(__xludf.DUMMYFUNCTION("""COMPUTED_VALUE"""),"")</f>
        <v/>
      </c>
      <c r="U674" s="2" t="e">
        <f ca="1"/>
        <v>#NAME?</v>
      </c>
      <c r="V674" s="2" t="e">
        <f ca="1"/>
        <v>#NAME?</v>
      </c>
      <c r="W674" s="2" t="str">
        <f ca="1"/>
        <v/>
      </c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tr">
        <v/>
      </c>
      <c r="S675" s="2" t="str">
        <f ca="1">IFERROR(__xludf.DUMMYFUNCTION("""COMPUTED_VALUE"""),"")</f>
        <v/>
      </c>
      <c r="T675" s="2" t="str">
        <f ca="1">IFERROR(__xludf.DUMMYFUNCTION("""COMPUTED_VALUE"""),"")</f>
        <v/>
      </c>
      <c r="U675" s="2" t="e">
        <f ca="1"/>
        <v>#NAME?</v>
      </c>
      <c r="V675" s="2" t="e">
        <f ca="1"/>
        <v>#NAME?</v>
      </c>
      <c r="W675" s="2" t="str">
        <f ca="1"/>
        <v/>
      </c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tr">
        <v/>
      </c>
      <c r="S676" s="2" t="str">
        <f ca="1">IFERROR(__xludf.DUMMYFUNCTION("""COMPUTED_VALUE"""),"")</f>
        <v/>
      </c>
      <c r="T676" s="2" t="str">
        <f ca="1">IFERROR(__xludf.DUMMYFUNCTION("""COMPUTED_VALUE"""),"")</f>
        <v/>
      </c>
      <c r="U676" s="2" t="e">
        <f ca="1"/>
        <v>#NAME?</v>
      </c>
      <c r="V676" s="2" t="e">
        <f ca="1"/>
        <v>#NAME?</v>
      </c>
      <c r="W676" s="2" t="str">
        <f ca="1"/>
        <v/>
      </c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tr">
        <v/>
      </c>
      <c r="S677" s="2" t="str">
        <f ca="1">IFERROR(__xludf.DUMMYFUNCTION("""COMPUTED_VALUE"""),"")</f>
        <v/>
      </c>
      <c r="T677" s="2" t="str">
        <f ca="1">IFERROR(__xludf.DUMMYFUNCTION("""COMPUTED_VALUE"""),"")</f>
        <v/>
      </c>
      <c r="U677" s="2" t="e">
        <f ca="1"/>
        <v>#NAME?</v>
      </c>
      <c r="V677" s="2" t="e">
        <f ca="1"/>
        <v>#NAME?</v>
      </c>
      <c r="W677" s="2" t="str">
        <f ca="1"/>
        <v/>
      </c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tr">
        <v/>
      </c>
      <c r="S678" s="2" t="str">
        <f ca="1">IFERROR(__xludf.DUMMYFUNCTION("""COMPUTED_VALUE"""),"")</f>
        <v/>
      </c>
      <c r="T678" s="2" t="str">
        <f ca="1">IFERROR(__xludf.DUMMYFUNCTION("""COMPUTED_VALUE"""),"")</f>
        <v/>
      </c>
      <c r="U678" s="2" t="e">
        <f ca="1"/>
        <v>#NAME?</v>
      </c>
      <c r="V678" s="2" t="e">
        <f ca="1"/>
        <v>#NAME?</v>
      </c>
      <c r="W678" s="2" t="str">
        <f ca="1"/>
        <v/>
      </c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tr">
        <v/>
      </c>
      <c r="S679" s="2" t="str">
        <f ca="1">IFERROR(__xludf.DUMMYFUNCTION("""COMPUTED_VALUE"""),"")</f>
        <v/>
      </c>
      <c r="T679" s="2" t="str">
        <f ca="1">IFERROR(__xludf.DUMMYFUNCTION("""COMPUTED_VALUE"""),"")</f>
        <v/>
      </c>
      <c r="U679" s="2" t="e">
        <f ca="1"/>
        <v>#NAME?</v>
      </c>
      <c r="V679" s="2" t="e">
        <f ca="1"/>
        <v>#NAME?</v>
      </c>
      <c r="W679" s="2" t="str">
        <f ca="1"/>
        <v/>
      </c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tr">
        <v/>
      </c>
      <c r="S680" s="2" t="str">
        <f ca="1">IFERROR(__xludf.DUMMYFUNCTION("""COMPUTED_VALUE"""),"")</f>
        <v/>
      </c>
      <c r="T680" s="2" t="str">
        <f ca="1">IFERROR(__xludf.DUMMYFUNCTION("""COMPUTED_VALUE"""),"")</f>
        <v/>
      </c>
      <c r="U680" s="2" t="e">
        <f ca="1"/>
        <v>#NAME?</v>
      </c>
      <c r="V680" s="2" t="e">
        <f ca="1"/>
        <v>#NAME?</v>
      </c>
      <c r="W680" s="2" t="str">
        <f ca="1"/>
        <v/>
      </c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tr">
        <v/>
      </c>
      <c r="S681" s="2" t="str">
        <f ca="1">IFERROR(__xludf.DUMMYFUNCTION("""COMPUTED_VALUE"""),"")</f>
        <v/>
      </c>
      <c r="T681" s="2" t="str">
        <f ca="1">IFERROR(__xludf.DUMMYFUNCTION("""COMPUTED_VALUE"""),"")</f>
        <v/>
      </c>
      <c r="U681" s="2" t="e">
        <f ca="1"/>
        <v>#NAME?</v>
      </c>
      <c r="V681" s="2" t="e">
        <f ca="1"/>
        <v>#NAME?</v>
      </c>
      <c r="W681" s="2" t="str">
        <f ca="1"/>
        <v/>
      </c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tr">
        <v/>
      </c>
      <c r="S682" s="2" t="str">
        <f ca="1">IFERROR(__xludf.DUMMYFUNCTION("""COMPUTED_VALUE"""),"")</f>
        <v/>
      </c>
      <c r="T682" s="2" t="str">
        <f ca="1">IFERROR(__xludf.DUMMYFUNCTION("""COMPUTED_VALUE"""),"")</f>
        <v/>
      </c>
      <c r="U682" s="2" t="e">
        <f ca="1"/>
        <v>#NAME?</v>
      </c>
      <c r="V682" s="2" t="e">
        <f ca="1"/>
        <v>#NAME?</v>
      </c>
      <c r="W682" s="2" t="str">
        <f ca="1"/>
        <v/>
      </c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tr">
        <v/>
      </c>
      <c r="S683" s="2" t="str">
        <f ca="1">IFERROR(__xludf.DUMMYFUNCTION("""COMPUTED_VALUE"""),"")</f>
        <v/>
      </c>
      <c r="T683" s="2" t="str">
        <f ca="1">IFERROR(__xludf.DUMMYFUNCTION("""COMPUTED_VALUE"""),"")</f>
        <v/>
      </c>
      <c r="U683" s="2" t="e">
        <f ca="1"/>
        <v>#NAME?</v>
      </c>
      <c r="V683" s="2" t="e">
        <f ca="1"/>
        <v>#NAME?</v>
      </c>
      <c r="W683" s="2" t="str">
        <f ca="1"/>
        <v/>
      </c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tr">
        <v/>
      </c>
      <c r="S684" s="2" t="str">
        <f ca="1">IFERROR(__xludf.DUMMYFUNCTION("""COMPUTED_VALUE"""),"")</f>
        <v/>
      </c>
      <c r="T684" s="2" t="str">
        <f ca="1">IFERROR(__xludf.DUMMYFUNCTION("""COMPUTED_VALUE"""),"")</f>
        <v/>
      </c>
      <c r="U684" s="2" t="e">
        <f ca="1"/>
        <v>#NAME?</v>
      </c>
      <c r="V684" s="2" t="e">
        <f ca="1"/>
        <v>#NAME?</v>
      </c>
      <c r="W684" s="2" t="str">
        <f ca="1"/>
        <v/>
      </c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tr">
        <v/>
      </c>
      <c r="S685" s="2" t="str">
        <f ca="1">IFERROR(__xludf.DUMMYFUNCTION("""COMPUTED_VALUE"""),"")</f>
        <v/>
      </c>
      <c r="T685" s="2" t="str">
        <f ca="1">IFERROR(__xludf.DUMMYFUNCTION("""COMPUTED_VALUE"""),"")</f>
        <v/>
      </c>
      <c r="U685" s="2" t="e">
        <f ca="1"/>
        <v>#NAME?</v>
      </c>
      <c r="V685" s="2" t="e">
        <f ca="1"/>
        <v>#NAME?</v>
      </c>
      <c r="W685" s="2" t="str">
        <f ca="1"/>
        <v/>
      </c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tr">
        <v/>
      </c>
      <c r="S686" s="2" t="str">
        <f ca="1">IFERROR(__xludf.DUMMYFUNCTION("""COMPUTED_VALUE"""),"")</f>
        <v/>
      </c>
      <c r="T686" s="2" t="str">
        <f ca="1">IFERROR(__xludf.DUMMYFUNCTION("""COMPUTED_VALUE"""),"")</f>
        <v/>
      </c>
      <c r="U686" s="2" t="e">
        <f ca="1"/>
        <v>#NAME?</v>
      </c>
      <c r="V686" s="2" t="e">
        <f ca="1"/>
        <v>#NAME?</v>
      </c>
      <c r="W686" s="2" t="str">
        <f ca="1"/>
        <v/>
      </c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tr">
        <v/>
      </c>
      <c r="S687" s="2" t="str">
        <f ca="1">IFERROR(__xludf.DUMMYFUNCTION("""COMPUTED_VALUE"""),"")</f>
        <v/>
      </c>
      <c r="T687" s="2" t="str">
        <f ca="1">IFERROR(__xludf.DUMMYFUNCTION("""COMPUTED_VALUE"""),"")</f>
        <v/>
      </c>
      <c r="U687" s="2" t="e">
        <f ca="1"/>
        <v>#NAME?</v>
      </c>
      <c r="V687" s="2" t="e">
        <f ca="1"/>
        <v>#NAME?</v>
      </c>
      <c r="W687" s="2" t="str">
        <f ca="1"/>
        <v/>
      </c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tr">
        <v/>
      </c>
      <c r="S688" s="2" t="str">
        <f ca="1">IFERROR(__xludf.DUMMYFUNCTION("""COMPUTED_VALUE"""),"")</f>
        <v/>
      </c>
      <c r="T688" s="2" t="str">
        <f ca="1">IFERROR(__xludf.DUMMYFUNCTION("""COMPUTED_VALUE"""),"")</f>
        <v/>
      </c>
      <c r="U688" s="2" t="e">
        <f ca="1"/>
        <v>#NAME?</v>
      </c>
      <c r="V688" s="2" t="e">
        <f ca="1"/>
        <v>#NAME?</v>
      </c>
      <c r="W688" s="2" t="str">
        <f ca="1"/>
        <v/>
      </c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tr">
        <v/>
      </c>
      <c r="S689" s="2" t="str">
        <f ca="1">IFERROR(__xludf.DUMMYFUNCTION("""COMPUTED_VALUE"""),"")</f>
        <v/>
      </c>
      <c r="T689" s="2" t="str">
        <f ca="1">IFERROR(__xludf.DUMMYFUNCTION("""COMPUTED_VALUE"""),"")</f>
        <v/>
      </c>
      <c r="U689" s="2" t="e">
        <f ca="1"/>
        <v>#NAME?</v>
      </c>
      <c r="V689" s="2" t="e">
        <f ca="1"/>
        <v>#NAME?</v>
      </c>
      <c r="W689" s="2" t="str">
        <f ca="1"/>
        <v/>
      </c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tr">
        <v/>
      </c>
      <c r="S690" s="2" t="str">
        <f ca="1">IFERROR(__xludf.DUMMYFUNCTION("""COMPUTED_VALUE"""),"")</f>
        <v/>
      </c>
      <c r="T690" s="2" t="str">
        <f ca="1">IFERROR(__xludf.DUMMYFUNCTION("""COMPUTED_VALUE"""),"")</f>
        <v/>
      </c>
      <c r="U690" s="2" t="e">
        <f ca="1"/>
        <v>#NAME?</v>
      </c>
      <c r="V690" s="2" t="e">
        <f ca="1"/>
        <v>#NAME?</v>
      </c>
      <c r="W690" s="2" t="str">
        <f ca="1"/>
        <v/>
      </c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tr">
        <v/>
      </c>
      <c r="S691" s="2" t="str">
        <f ca="1">IFERROR(__xludf.DUMMYFUNCTION("""COMPUTED_VALUE"""),"")</f>
        <v/>
      </c>
      <c r="T691" s="2" t="str">
        <f ca="1">IFERROR(__xludf.DUMMYFUNCTION("""COMPUTED_VALUE"""),"")</f>
        <v/>
      </c>
      <c r="U691" s="2" t="e">
        <f ca="1"/>
        <v>#NAME?</v>
      </c>
      <c r="V691" s="2" t="e">
        <f ca="1"/>
        <v>#NAME?</v>
      </c>
      <c r="W691" s="2" t="str">
        <f ca="1"/>
        <v/>
      </c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tr">
        <v/>
      </c>
      <c r="S692" s="2" t="str">
        <f ca="1">IFERROR(__xludf.DUMMYFUNCTION("""COMPUTED_VALUE"""),"")</f>
        <v/>
      </c>
      <c r="T692" s="2" t="str">
        <f ca="1">IFERROR(__xludf.DUMMYFUNCTION("""COMPUTED_VALUE"""),"")</f>
        <v/>
      </c>
      <c r="U692" s="2" t="e">
        <f ca="1"/>
        <v>#NAME?</v>
      </c>
      <c r="V692" s="2" t="e">
        <f ca="1"/>
        <v>#NAME?</v>
      </c>
      <c r="W692" s="2" t="str">
        <f ca="1"/>
        <v/>
      </c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tr">
        <v/>
      </c>
      <c r="S693" s="2" t="str">
        <f ca="1">IFERROR(__xludf.DUMMYFUNCTION("""COMPUTED_VALUE"""),"")</f>
        <v/>
      </c>
      <c r="T693" s="2" t="str">
        <f ca="1">IFERROR(__xludf.DUMMYFUNCTION("""COMPUTED_VALUE"""),"")</f>
        <v/>
      </c>
      <c r="U693" s="2" t="e">
        <f ca="1"/>
        <v>#NAME?</v>
      </c>
      <c r="V693" s="2" t="e">
        <f ca="1"/>
        <v>#NAME?</v>
      </c>
      <c r="W693" s="2" t="str">
        <f ca="1"/>
        <v/>
      </c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tr">
        <v/>
      </c>
      <c r="S694" s="2" t="str">
        <f ca="1">IFERROR(__xludf.DUMMYFUNCTION("""COMPUTED_VALUE"""),"")</f>
        <v/>
      </c>
      <c r="T694" s="2" t="str">
        <f ca="1">IFERROR(__xludf.DUMMYFUNCTION("""COMPUTED_VALUE"""),"")</f>
        <v/>
      </c>
      <c r="U694" s="2" t="e">
        <f ca="1"/>
        <v>#NAME?</v>
      </c>
      <c r="V694" s="2" t="e">
        <f ca="1"/>
        <v>#NAME?</v>
      </c>
      <c r="W694" s="2" t="str">
        <f ca="1"/>
        <v/>
      </c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tr">
        <v/>
      </c>
      <c r="S695" s="2" t="str">
        <f ca="1">IFERROR(__xludf.DUMMYFUNCTION("""COMPUTED_VALUE"""),"")</f>
        <v/>
      </c>
      <c r="T695" s="2" t="str">
        <f ca="1">IFERROR(__xludf.DUMMYFUNCTION("""COMPUTED_VALUE"""),"")</f>
        <v/>
      </c>
      <c r="U695" s="2" t="e">
        <f ca="1"/>
        <v>#NAME?</v>
      </c>
      <c r="V695" s="2" t="e">
        <f ca="1"/>
        <v>#NAME?</v>
      </c>
      <c r="W695" s="2" t="str">
        <f ca="1"/>
        <v/>
      </c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tr">
        <v/>
      </c>
      <c r="S696" s="2" t="str">
        <f ca="1">IFERROR(__xludf.DUMMYFUNCTION("""COMPUTED_VALUE"""),"")</f>
        <v/>
      </c>
      <c r="T696" s="2" t="str">
        <f ca="1">IFERROR(__xludf.DUMMYFUNCTION("""COMPUTED_VALUE"""),"")</f>
        <v/>
      </c>
      <c r="U696" s="2" t="e">
        <f ca="1"/>
        <v>#NAME?</v>
      </c>
      <c r="V696" s="2" t="e">
        <f ca="1"/>
        <v>#NAME?</v>
      </c>
      <c r="W696" s="2" t="str">
        <f ca="1"/>
        <v/>
      </c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tr">
        <v/>
      </c>
      <c r="S697" s="2" t="str">
        <f ca="1">IFERROR(__xludf.DUMMYFUNCTION("""COMPUTED_VALUE"""),"")</f>
        <v/>
      </c>
      <c r="T697" s="2" t="str">
        <f ca="1">IFERROR(__xludf.DUMMYFUNCTION("""COMPUTED_VALUE"""),"")</f>
        <v/>
      </c>
      <c r="U697" s="2" t="e">
        <f ca="1"/>
        <v>#NAME?</v>
      </c>
      <c r="V697" s="2" t="e">
        <f ca="1"/>
        <v>#NAME?</v>
      </c>
      <c r="W697" s="2" t="str">
        <f ca="1"/>
        <v/>
      </c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tr">
        <v/>
      </c>
      <c r="S698" s="2" t="str">
        <f ca="1">IFERROR(__xludf.DUMMYFUNCTION("""COMPUTED_VALUE"""),"")</f>
        <v/>
      </c>
      <c r="T698" s="2" t="str">
        <f ca="1">IFERROR(__xludf.DUMMYFUNCTION("""COMPUTED_VALUE"""),"")</f>
        <v/>
      </c>
      <c r="U698" s="2" t="e">
        <f ca="1"/>
        <v>#NAME?</v>
      </c>
      <c r="V698" s="2" t="e">
        <f ca="1"/>
        <v>#NAME?</v>
      </c>
      <c r="W698" s="2" t="str">
        <f ca="1"/>
        <v/>
      </c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tr">
        <v/>
      </c>
      <c r="S699" s="2" t="str">
        <f ca="1">IFERROR(__xludf.DUMMYFUNCTION("""COMPUTED_VALUE"""),"")</f>
        <v/>
      </c>
      <c r="T699" s="2" t="str">
        <f ca="1">IFERROR(__xludf.DUMMYFUNCTION("""COMPUTED_VALUE"""),"")</f>
        <v/>
      </c>
      <c r="U699" s="2" t="e">
        <f ca="1"/>
        <v>#NAME?</v>
      </c>
      <c r="V699" s="2" t="e">
        <f ca="1"/>
        <v>#NAME?</v>
      </c>
      <c r="W699" s="2" t="str">
        <f ca="1"/>
        <v/>
      </c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tr">
        <v/>
      </c>
      <c r="S700" s="2" t="str">
        <f ca="1">IFERROR(__xludf.DUMMYFUNCTION("""COMPUTED_VALUE"""),"")</f>
        <v/>
      </c>
      <c r="T700" s="2" t="str">
        <f ca="1">IFERROR(__xludf.DUMMYFUNCTION("""COMPUTED_VALUE"""),"")</f>
        <v/>
      </c>
      <c r="U700" s="2" t="e">
        <f ca="1"/>
        <v>#NAME?</v>
      </c>
      <c r="V700" s="2" t="e">
        <f ca="1"/>
        <v>#NAME?</v>
      </c>
      <c r="W700" s="2" t="str">
        <f ca="1"/>
        <v/>
      </c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tr">
        <v/>
      </c>
      <c r="S701" s="2" t="str">
        <f ca="1">IFERROR(__xludf.DUMMYFUNCTION("""COMPUTED_VALUE"""),"")</f>
        <v/>
      </c>
      <c r="T701" s="2" t="str">
        <f ca="1">IFERROR(__xludf.DUMMYFUNCTION("""COMPUTED_VALUE"""),"")</f>
        <v/>
      </c>
      <c r="U701" s="2" t="e">
        <f ca="1"/>
        <v>#NAME?</v>
      </c>
      <c r="V701" s="2" t="e">
        <f ca="1"/>
        <v>#NAME?</v>
      </c>
      <c r="W701" s="2" t="str">
        <f ca="1"/>
        <v/>
      </c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tr">
        <v/>
      </c>
      <c r="S702" s="2" t="str">
        <f ca="1">IFERROR(__xludf.DUMMYFUNCTION("""COMPUTED_VALUE"""),"")</f>
        <v/>
      </c>
      <c r="T702" s="2" t="str">
        <f ca="1">IFERROR(__xludf.DUMMYFUNCTION("""COMPUTED_VALUE"""),"")</f>
        <v/>
      </c>
      <c r="U702" s="2" t="e">
        <f ca="1"/>
        <v>#NAME?</v>
      </c>
      <c r="V702" s="2" t="e">
        <f ca="1"/>
        <v>#NAME?</v>
      </c>
      <c r="W702" s="2" t="str">
        <f ca="1"/>
        <v/>
      </c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tr">
        <v/>
      </c>
      <c r="S703" s="2" t="str">
        <f ca="1">IFERROR(__xludf.DUMMYFUNCTION("""COMPUTED_VALUE"""),"")</f>
        <v/>
      </c>
      <c r="T703" s="2" t="str">
        <f ca="1">IFERROR(__xludf.DUMMYFUNCTION("""COMPUTED_VALUE"""),"")</f>
        <v/>
      </c>
      <c r="U703" s="2" t="e">
        <f ca="1"/>
        <v>#NAME?</v>
      </c>
      <c r="V703" s="2" t="e">
        <f ca="1"/>
        <v>#NAME?</v>
      </c>
      <c r="W703" s="2" t="str">
        <f ca="1"/>
        <v/>
      </c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tr">
        <v/>
      </c>
      <c r="S704" s="2" t="str">
        <f ca="1">IFERROR(__xludf.DUMMYFUNCTION("""COMPUTED_VALUE"""),"")</f>
        <v/>
      </c>
      <c r="T704" s="2" t="str">
        <f ca="1">IFERROR(__xludf.DUMMYFUNCTION("""COMPUTED_VALUE"""),"")</f>
        <v/>
      </c>
      <c r="U704" s="2" t="e">
        <f ca="1"/>
        <v>#NAME?</v>
      </c>
      <c r="V704" s="2" t="e">
        <f ca="1"/>
        <v>#NAME?</v>
      </c>
      <c r="W704" s="2" t="str">
        <f ca="1"/>
        <v/>
      </c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tr">
        <v/>
      </c>
      <c r="S705" s="2" t="str">
        <f ca="1">IFERROR(__xludf.DUMMYFUNCTION("""COMPUTED_VALUE"""),"")</f>
        <v/>
      </c>
      <c r="T705" s="2" t="str">
        <f ca="1">IFERROR(__xludf.DUMMYFUNCTION("""COMPUTED_VALUE"""),"")</f>
        <v/>
      </c>
      <c r="U705" s="2" t="e">
        <f ca="1"/>
        <v>#NAME?</v>
      </c>
      <c r="V705" s="2" t="e">
        <f ca="1"/>
        <v>#NAME?</v>
      </c>
      <c r="W705" s="2" t="str">
        <f ca="1"/>
        <v/>
      </c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tr">
        <v/>
      </c>
      <c r="S706" s="2" t="str">
        <f ca="1">IFERROR(__xludf.DUMMYFUNCTION("""COMPUTED_VALUE"""),"")</f>
        <v/>
      </c>
      <c r="T706" s="2" t="str">
        <f ca="1">IFERROR(__xludf.DUMMYFUNCTION("""COMPUTED_VALUE"""),"")</f>
        <v/>
      </c>
      <c r="U706" s="2" t="e">
        <f ca="1"/>
        <v>#NAME?</v>
      </c>
      <c r="V706" s="2" t="e">
        <f ca="1"/>
        <v>#NAME?</v>
      </c>
      <c r="W706" s="2" t="str">
        <f ca="1"/>
        <v/>
      </c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tr">
        <v/>
      </c>
      <c r="S707" s="2" t="str">
        <f ca="1">IFERROR(__xludf.DUMMYFUNCTION("""COMPUTED_VALUE"""),"")</f>
        <v/>
      </c>
      <c r="T707" s="2" t="str">
        <f ca="1">IFERROR(__xludf.DUMMYFUNCTION("""COMPUTED_VALUE"""),"")</f>
        <v/>
      </c>
      <c r="U707" s="2" t="e">
        <f ca="1"/>
        <v>#NAME?</v>
      </c>
      <c r="V707" s="2" t="e">
        <f ca="1"/>
        <v>#NAME?</v>
      </c>
      <c r="W707" s="2" t="str">
        <f ca="1"/>
        <v/>
      </c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tr">
        <v/>
      </c>
      <c r="S708" s="2" t="str">
        <f ca="1">IFERROR(__xludf.DUMMYFUNCTION("""COMPUTED_VALUE"""),"")</f>
        <v/>
      </c>
      <c r="T708" s="2" t="str">
        <f ca="1">IFERROR(__xludf.DUMMYFUNCTION("""COMPUTED_VALUE"""),"")</f>
        <v/>
      </c>
      <c r="U708" s="2" t="e">
        <f ca="1"/>
        <v>#NAME?</v>
      </c>
      <c r="V708" s="2" t="e">
        <f ca="1"/>
        <v>#NAME?</v>
      </c>
      <c r="W708" s="2" t="str">
        <f ca="1"/>
        <v/>
      </c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tr">
        <v/>
      </c>
      <c r="S709" s="2" t="str">
        <f ca="1">IFERROR(__xludf.DUMMYFUNCTION("""COMPUTED_VALUE"""),"")</f>
        <v/>
      </c>
      <c r="T709" s="2" t="str">
        <f ca="1">IFERROR(__xludf.DUMMYFUNCTION("""COMPUTED_VALUE"""),"")</f>
        <v/>
      </c>
      <c r="U709" s="2" t="e">
        <f ca="1"/>
        <v>#NAME?</v>
      </c>
      <c r="V709" s="2" t="e">
        <f ca="1"/>
        <v>#NAME?</v>
      </c>
      <c r="W709" s="2" t="str">
        <f ca="1"/>
        <v/>
      </c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tr">
        <v/>
      </c>
      <c r="S710" s="2" t="str">
        <f ca="1">IFERROR(__xludf.DUMMYFUNCTION("""COMPUTED_VALUE"""),"")</f>
        <v/>
      </c>
      <c r="T710" s="2" t="str">
        <f ca="1">IFERROR(__xludf.DUMMYFUNCTION("""COMPUTED_VALUE"""),"")</f>
        <v/>
      </c>
      <c r="U710" s="2" t="e">
        <f ca="1"/>
        <v>#NAME?</v>
      </c>
      <c r="V710" s="2" t="e">
        <f ca="1"/>
        <v>#NAME?</v>
      </c>
      <c r="W710" s="2" t="str">
        <f ca="1"/>
        <v/>
      </c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tr">
        <v/>
      </c>
      <c r="S711" s="2" t="str">
        <f ca="1">IFERROR(__xludf.DUMMYFUNCTION("""COMPUTED_VALUE"""),"")</f>
        <v/>
      </c>
      <c r="T711" s="2" t="str">
        <f ca="1">IFERROR(__xludf.DUMMYFUNCTION("""COMPUTED_VALUE"""),"")</f>
        <v/>
      </c>
      <c r="U711" s="2" t="e">
        <f ca="1"/>
        <v>#NAME?</v>
      </c>
      <c r="V711" s="2" t="e">
        <f ca="1"/>
        <v>#NAME?</v>
      </c>
      <c r="W711" s="2" t="str">
        <f ca="1"/>
        <v/>
      </c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tr">
        <v/>
      </c>
      <c r="S712" s="2" t="str">
        <f ca="1">IFERROR(__xludf.DUMMYFUNCTION("""COMPUTED_VALUE"""),"")</f>
        <v/>
      </c>
      <c r="T712" s="2" t="str">
        <f ca="1">IFERROR(__xludf.DUMMYFUNCTION("""COMPUTED_VALUE"""),"")</f>
        <v/>
      </c>
      <c r="U712" s="2" t="e">
        <f ca="1"/>
        <v>#NAME?</v>
      </c>
      <c r="V712" s="2" t="e">
        <f ca="1"/>
        <v>#NAME?</v>
      </c>
      <c r="W712" s="2" t="str">
        <f ca="1"/>
        <v/>
      </c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tr">
        <v/>
      </c>
      <c r="S713" s="2" t="str">
        <f ca="1">IFERROR(__xludf.DUMMYFUNCTION("""COMPUTED_VALUE"""),"")</f>
        <v/>
      </c>
      <c r="T713" s="2" t="str">
        <f ca="1">IFERROR(__xludf.DUMMYFUNCTION("""COMPUTED_VALUE"""),"")</f>
        <v/>
      </c>
      <c r="U713" s="2" t="e">
        <f ca="1"/>
        <v>#NAME?</v>
      </c>
      <c r="V713" s="2" t="e">
        <f ca="1"/>
        <v>#NAME?</v>
      </c>
      <c r="W713" s="2" t="str">
        <f ca="1"/>
        <v/>
      </c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tr">
        <v/>
      </c>
      <c r="S714" s="2" t="str">
        <f ca="1">IFERROR(__xludf.DUMMYFUNCTION("""COMPUTED_VALUE"""),"")</f>
        <v/>
      </c>
      <c r="T714" s="2" t="str">
        <f ca="1">IFERROR(__xludf.DUMMYFUNCTION("""COMPUTED_VALUE"""),"")</f>
        <v/>
      </c>
      <c r="U714" s="2" t="e">
        <f ca="1"/>
        <v>#NAME?</v>
      </c>
      <c r="V714" s="2" t="e">
        <f ca="1"/>
        <v>#NAME?</v>
      </c>
      <c r="W714" s="2" t="str">
        <f ca="1"/>
        <v/>
      </c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tr">
        <v/>
      </c>
      <c r="S715" s="2" t="str">
        <f ca="1">IFERROR(__xludf.DUMMYFUNCTION("""COMPUTED_VALUE"""),"")</f>
        <v/>
      </c>
      <c r="T715" s="2" t="str">
        <f ca="1">IFERROR(__xludf.DUMMYFUNCTION("""COMPUTED_VALUE"""),"")</f>
        <v/>
      </c>
      <c r="U715" s="2" t="e">
        <f ca="1"/>
        <v>#NAME?</v>
      </c>
      <c r="V715" s="2" t="e">
        <f ca="1"/>
        <v>#NAME?</v>
      </c>
      <c r="W715" s="2" t="str">
        <f ca="1"/>
        <v/>
      </c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tr">
        <v/>
      </c>
      <c r="S716" s="2" t="str">
        <f ca="1">IFERROR(__xludf.DUMMYFUNCTION("""COMPUTED_VALUE"""),"")</f>
        <v/>
      </c>
      <c r="T716" s="2" t="str">
        <f ca="1">IFERROR(__xludf.DUMMYFUNCTION("""COMPUTED_VALUE"""),"")</f>
        <v/>
      </c>
      <c r="U716" s="2" t="e">
        <f ca="1"/>
        <v>#NAME?</v>
      </c>
      <c r="V716" s="2" t="e">
        <f ca="1"/>
        <v>#NAME?</v>
      </c>
      <c r="W716" s="2" t="str">
        <f ca="1"/>
        <v/>
      </c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tr">
        <v/>
      </c>
      <c r="S717" s="2" t="str">
        <f ca="1">IFERROR(__xludf.DUMMYFUNCTION("""COMPUTED_VALUE"""),"")</f>
        <v/>
      </c>
      <c r="T717" s="2" t="str">
        <f ca="1">IFERROR(__xludf.DUMMYFUNCTION("""COMPUTED_VALUE"""),"")</f>
        <v/>
      </c>
      <c r="U717" s="2" t="e">
        <f ca="1"/>
        <v>#NAME?</v>
      </c>
      <c r="V717" s="2" t="e">
        <f ca="1"/>
        <v>#NAME?</v>
      </c>
      <c r="W717" s="2" t="str">
        <f ca="1"/>
        <v/>
      </c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tr">
        <v/>
      </c>
      <c r="S718" s="2" t="str">
        <f ca="1">IFERROR(__xludf.DUMMYFUNCTION("""COMPUTED_VALUE"""),"")</f>
        <v/>
      </c>
      <c r="T718" s="2" t="str">
        <f ca="1">IFERROR(__xludf.DUMMYFUNCTION("""COMPUTED_VALUE"""),"")</f>
        <v/>
      </c>
      <c r="U718" s="2" t="e">
        <f ca="1"/>
        <v>#NAME?</v>
      </c>
      <c r="V718" s="2" t="e">
        <f ca="1"/>
        <v>#NAME?</v>
      </c>
      <c r="W718" s="2" t="str">
        <f ca="1"/>
        <v/>
      </c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tr">
        <v/>
      </c>
      <c r="S719" s="2" t="str">
        <f ca="1">IFERROR(__xludf.DUMMYFUNCTION("""COMPUTED_VALUE"""),"")</f>
        <v/>
      </c>
      <c r="T719" s="2" t="str">
        <f ca="1">IFERROR(__xludf.DUMMYFUNCTION("""COMPUTED_VALUE"""),"")</f>
        <v/>
      </c>
      <c r="U719" s="2" t="e">
        <f ca="1"/>
        <v>#NAME?</v>
      </c>
      <c r="V719" s="2" t="e">
        <f ca="1"/>
        <v>#NAME?</v>
      </c>
      <c r="W719" s="2" t="str">
        <f ca="1"/>
        <v/>
      </c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tr">
        <v/>
      </c>
      <c r="S720" s="2" t="str">
        <f ca="1">IFERROR(__xludf.DUMMYFUNCTION("""COMPUTED_VALUE"""),"")</f>
        <v/>
      </c>
      <c r="T720" s="2" t="str">
        <f ca="1">IFERROR(__xludf.DUMMYFUNCTION("""COMPUTED_VALUE"""),"")</f>
        <v/>
      </c>
      <c r="U720" s="2" t="e">
        <f ca="1"/>
        <v>#NAME?</v>
      </c>
      <c r="V720" s="2" t="e">
        <f ca="1"/>
        <v>#NAME?</v>
      </c>
      <c r="W720" s="2" t="str">
        <f ca="1"/>
        <v/>
      </c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tr">
        <v/>
      </c>
      <c r="S721" s="2" t="str">
        <f ca="1">IFERROR(__xludf.DUMMYFUNCTION("""COMPUTED_VALUE"""),"")</f>
        <v/>
      </c>
      <c r="T721" s="2" t="str">
        <f ca="1">IFERROR(__xludf.DUMMYFUNCTION("""COMPUTED_VALUE"""),"")</f>
        <v/>
      </c>
      <c r="U721" s="2" t="e">
        <f ca="1"/>
        <v>#NAME?</v>
      </c>
      <c r="V721" s="2" t="e">
        <f ca="1"/>
        <v>#NAME?</v>
      </c>
      <c r="W721" s="2" t="str">
        <f ca="1"/>
        <v/>
      </c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tr">
        <v/>
      </c>
      <c r="S722" s="2" t="str">
        <f ca="1">IFERROR(__xludf.DUMMYFUNCTION("""COMPUTED_VALUE"""),"")</f>
        <v/>
      </c>
      <c r="T722" s="2" t="str">
        <f ca="1">IFERROR(__xludf.DUMMYFUNCTION("""COMPUTED_VALUE"""),"")</f>
        <v/>
      </c>
      <c r="U722" s="2" t="e">
        <f ca="1"/>
        <v>#NAME?</v>
      </c>
      <c r="V722" s="2" t="e">
        <f ca="1"/>
        <v>#NAME?</v>
      </c>
      <c r="W722" s="2" t="str">
        <f ca="1"/>
        <v/>
      </c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tr">
        <v/>
      </c>
      <c r="S723" s="2" t="str">
        <f ca="1">IFERROR(__xludf.DUMMYFUNCTION("""COMPUTED_VALUE"""),"")</f>
        <v/>
      </c>
      <c r="T723" s="2" t="str">
        <f ca="1">IFERROR(__xludf.DUMMYFUNCTION("""COMPUTED_VALUE"""),"")</f>
        <v/>
      </c>
      <c r="U723" s="2" t="e">
        <f ca="1"/>
        <v>#NAME?</v>
      </c>
      <c r="V723" s="2" t="e">
        <f ca="1"/>
        <v>#NAME?</v>
      </c>
      <c r="W723" s="2" t="str">
        <f ca="1"/>
        <v/>
      </c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tr">
        <v/>
      </c>
      <c r="S724" s="2" t="str">
        <f ca="1">IFERROR(__xludf.DUMMYFUNCTION("""COMPUTED_VALUE"""),"")</f>
        <v/>
      </c>
      <c r="T724" s="2" t="str">
        <f ca="1">IFERROR(__xludf.DUMMYFUNCTION("""COMPUTED_VALUE"""),"")</f>
        <v/>
      </c>
      <c r="U724" s="2" t="e">
        <f ca="1"/>
        <v>#NAME?</v>
      </c>
      <c r="V724" s="2" t="e">
        <f ca="1"/>
        <v>#NAME?</v>
      </c>
      <c r="W724" s="2" t="str">
        <f ca="1"/>
        <v/>
      </c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tr">
        <v/>
      </c>
      <c r="S725" s="2" t="str">
        <f ca="1">IFERROR(__xludf.DUMMYFUNCTION("""COMPUTED_VALUE"""),"")</f>
        <v/>
      </c>
      <c r="T725" s="2" t="str">
        <f ca="1">IFERROR(__xludf.DUMMYFUNCTION("""COMPUTED_VALUE"""),"")</f>
        <v/>
      </c>
      <c r="U725" s="2" t="e">
        <f ca="1"/>
        <v>#NAME?</v>
      </c>
      <c r="V725" s="2" t="e">
        <f ca="1"/>
        <v>#NAME?</v>
      </c>
      <c r="W725" s="2" t="str">
        <f ca="1"/>
        <v/>
      </c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tr">
        <v/>
      </c>
      <c r="S726" s="2" t="str">
        <f ca="1">IFERROR(__xludf.DUMMYFUNCTION("""COMPUTED_VALUE"""),"")</f>
        <v/>
      </c>
      <c r="T726" s="2" t="str">
        <f ca="1">IFERROR(__xludf.DUMMYFUNCTION("""COMPUTED_VALUE"""),"")</f>
        <v/>
      </c>
      <c r="U726" s="2" t="e">
        <f ca="1"/>
        <v>#NAME?</v>
      </c>
      <c r="V726" s="2" t="e">
        <f ca="1"/>
        <v>#NAME?</v>
      </c>
      <c r="W726" s="2" t="str">
        <f ca="1"/>
        <v/>
      </c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tr">
        <v/>
      </c>
      <c r="S727" s="2" t="str">
        <f ca="1">IFERROR(__xludf.DUMMYFUNCTION("""COMPUTED_VALUE"""),"")</f>
        <v/>
      </c>
      <c r="T727" s="2" t="str">
        <f ca="1">IFERROR(__xludf.DUMMYFUNCTION("""COMPUTED_VALUE"""),"")</f>
        <v/>
      </c>
      <c r="U727" s="2" t="e">
        <f ca="1"/>
        <v>#NAME?</v>
      </c>
      <c r="V727" s="2" t="e">
        <f ca="1"/>
        <v>#NAME?</v>
      </c>
      <c r="W727" s="2" t="str">
        <f ca="1"/>
        <v/>
      </c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tr">
        <v/>
      </c>
      <c r="S728" s="2" t="str">
        <f ca="1">IFERROR(__xludf.DUMMYFUNCTION("""COMPUTED_VALUE"""),"")</f>
        <v/>
      </c>
      <c r="T728" s="2" t="str">
        <f ca="1">IFERROR(__xludf.DUMMYFUNCTION("""COMPUTED_VALUE"""),"")</f>
        <v/>
      </c>
      <c r="U728" s="2" t="e">
        <f ca="1"/>
        <v>#NAME?</v>
      </c>
      <c r="V728" s="2" t="e">
        <f ca="1"/>
        <v>#NAME?</v>
      </c>
      <c r="W728" s="2" t="str">
        <f ca="1"/>
        <v/>
      </c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tr">
        <v/>
      </c>
      <c r="S729" s="2" t="str">
        <f ca="1">IFERROR(__xludf.DUMMYFUNCTION("""COMPUTED_VALUE"""),"")</f>
        <v/>
      </c>
      <c r="T729" s="2" t="str">
        <f ca="1">IFERROR(__xludf.DUMMYFUNCTION("""COMPUTED_VALUE"""),"")</f>
        <v/>
      </c>
      <c r="U729" s="2" t="e">
        <f ca="1"/>
        <v>#NAME?</v>
      </c>
      <c r="V729" s="2" t="e">
        <f ca="1"/>
        <v>#NAME?</v>
      </c>
      <c r="W729" s="2" t="str">
        <f ca="1"/>
        <v/>
      </c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tr">
        <v/>
      </c>
      <c r="S730" s="2" t="str">
        <f ca="1">IFERROR(__xludf.DUMMYFUNCTION("""COMPUTED_VALUE"""),"")</f>
        <v/>
      </c>
      <c r="T730" s="2" t="str">
        <f ca="1">IFERROR(__xludf.DUMMYFUNCTION("""COMPUTED_VALUE"""),"")</f>
        <v/>
      </c>
      <c r="U730" s="2" t="e">
        <f ca="1"/>
        <v>#NAME?</v>
      </c>
      <c r="V730" s="2" t="e">
        <f ca="1"/>
        <v>#NAME?</v>
      </c>
      <c r="W730" s="2" t="str">
        <f ca="1"/>
        <v/>
      </c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tr">
        <v/>
      </c>
      <c r="S731" s="2" t="str">
        <f ca="1">IFERROR(__xludf.DUMMYFUNCTION("""COMPUTED_VALUE"""),"")</f>
        <v/>
      </c>
      <c r="T731" s="2" t="str">
        <f ca="1">IFERROR(__xludf.DUMMYFUNCTION("""COMPUTED_VALUE"""),"")</f>
        <v/>
      </c>
      <c r="U731" s="2" t="e">
        <f ca="1"/>
        <v>#NAME?</v>
      </c>
      <c r="V731" s="2" t="e">
        <f ca="1"/>
        <v>#NAME?</v>
      </c>
      <c r="W731" s="2" t="str">
        <f ca="1"/>
        <v/>
      </c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tr">
        <v/>
      </c>
      <c r="S732" s="2" t="str">
        <f ca="1">IFERROR(__xludf.DUMMYFUNCTION("""COMPUTED_VALUE"""),"")</f>
        <v/>
      </c>
      <c r="T732" s="2" t="str">
        <f ca="1">IFERROR(__xludf.DUMMYFUNCTION("""COMPUTED_VALUE"""),"")</f>
        <v/>
      </c>
      <c r="U732" s="2" t="e">
        <f ca="1"/>
        <v>#NAME?</v>
      </c>
      <c r="V732" s="2" t="e">
        <f ca="1"/>
        <v>#NAME?</v>
      </c>
      <c r="W732" s="2" t="str">
        <f ca="1"/>
        <v/>
      </c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tr">
        <v/>
      </c>
      <c r="S733" s="2" t="str">
        <f ca="1">IFERROR(__xludf.DUMMYFUNCTION("""COMPUTED_VALUE"""),"")</f>
        <v/>
      </c>
      <c r="T733" s="2" t="str">
        <f ca="1">IFERROR(__xludf.DUMMYFUNCTION("""COMPUTED_VALUE"""),"")</f>
        <v/>
      </c>
      <c r="U733" s="2" t="e">
        <f ca="1"/>
        <v>#NAME?</v>
      </c>
      <c r="V733" s="2" t="e">
        <f ca="1"/>
        <v>#NAME?</v>
      </c>
      <c r="W733" s="2" t="str">
        <f ca="1"/>
        <v/>
      </c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tr">
        <v/>
      </c>
      <c r="S734" s="2" t="str">
        <f ca="1">IFERROR(__xludf.DUMMYFUNCTION("""COMPUTED_VALUE"""),"")</f>
        <v/>
      </c>
      <c r="T734" s="2" t="str">
        <f ca="1">IFERROR(__xludf.DUMMYFUNCTION("""COMPUTED_VALUE"""),"")</f>
        <v/>
      </c>
      <c r="U734" s="2" t="e">
        <f ca="1"/>
        <v>#NAME?</v>
      </c>
      <c r="V734" s="2" t="e">
        <f ca="1"/>
        <v>#NAME?</v>
      </c>
      <c r="W734" s="2" t="str">
        <f ca="1"/>
        <v/>
      </c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tr">
        <v/>
      </c>
      <c r="S735" s="2" t="str">
        <f ca="1">IFERROR(__xludf.DUMMYFUNCTION("""COMPUTED_VALUE"""),"")</f>
        <v/>
      </c>
      <c r="T735" s="2" t="str">
        <f ca="1">IFERROR(__xludf.DUMMYFUNCTION("""COMPUTED_VALUE"""),"")</f>
        <v/>
      </c>
      <c r="U735" s="2" t="e">
        <f ca="1"/>
        <v>#NAME?</v>
      </c>
      <c r="V735" s="2" t="e">
        <f ca="1"/>
        <v>#NAME?</v>
      </c>
      <c r="W735" s="2" t="str">
        <f ca="1"/>
        <v/>
      </c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tr">
        <v/>
      </c>
      <c r="S736" s="2" t="str">
        <f ca="1">IFERROR(__xludf.DUMMYFUNCTION("""COMPUTED_VALUE"""),"")</f>
        <v/>
      </c>
      <c r="T736" s="2" t="str">
        <f ca="1">IFERROR(__xludf.DUMMYFUNCTION("""COMPUTED_VALUE"""),"")</f>
        <v/>
      </c>
      <c r="U736" s="2" t="e">
        <f ca="1"/>
        <v>#NAME?</v>
      </c>
      <c r="V736" s="2" t="e">
        <f ca="1"/>
        <v>#NAME?</v>
      </c>
      <c r="W736" s="2" t="str">
        <f ca="1"/>
        <v/>
      </c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tr">
        <v/>
      </c>
      <c r="S737" s="2" t="str">
        <f ca="1">IFERROR(__xludf.DUMMYFUNCTION("""COMPUTED_VALUE"""),"")</f>
        <v/>
      </c>
      <c r="T737" s="2" t="str">
        <f ca="1">IFERROR(__xludf.DUMMYFUNCTION("""COMPUTED_VALUE"""),"")</f>
        <v/>
      </c>
      <c r="U737" s="2" t="e">
        <f ca="1"/>
        <v>#NAME?</v>
      </c>
      <c r="V737" s="2" t="e">
        <f ca="1"/>
        <v>#NAME?</v>
      </c>
      <c r="W737" s="2" t="str">
        <f ca="1"/>
        <v/>
      </c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tr">
        <v/>
      </c>
      <c r="S738" s="2" t="str">
        <f ca="1">IFERROR(__xludf.DUMMYFUNCTION("""COMPUTED_VALUE"""),"")</f>
        <v/>
      </c>
      <c r="T738" s="2" t="str">
        <f ca="1">IFERROR(__xludf.DUMMYFUNCTION("""COMPUTED_VALUE"""),"")</f>
        <v/>
      </c>
      <c r="U738" s="2" t="e">
        <f ca="1"/>
        <v>#NAME?</v>
      </c>
      <c r="V738" s="2" t="e">
        <f ca="1"/>
        <v>#NAME?</v>
      </c>
      <c r="W738" s="2" t="str">
        <f ca="1"/>
        <v/>
      </c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tr">
        <v/>
      </c>
      <c r="S739" s="2" t="str">
        <f ca="1">IFERROR(__xludf.DUMMYFUNCTION("""COMPUTED_VALUE"""),"")</f>
        <v/>
      </c>
      <c r="T739" s="2" t="str">
        <f ca="1">IFERROR(__xludf.DUMMYFUNCTION("""COMPUTED_VALUE"""),"")</f>
        <v/>
      </c>
      <c r="U739" s="2" t="e">
        <f ca="1"/>
        <v>#NAME?</v>
      </c>
      <c r="V739" s="2" t="e">
        <f ca="1"/>
        <v>#NAME?</v>
      </c>
      <c r="W739" s="2" t="str">
        <f ca="1"/>
        <v/>
      </c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tr">
        <v/>
      </c>
      <c r="S740" s="2" t="str">
        <f ca="1">IFERROR(__xludf.DUMMYFUNCTION("""COMPUTED_VALUE"""),"")</f>
        <v/>
      </c>
      <c r="T740" s="2" t="str">
        <f ca="1">IFERROR(__xludf.DUMMYFUNCTION("""COMPUTED_VALUE"""),"")</f>
        <v/>
      </c>
      <c r="U740" s="2" t="e">
        <f ca="1"/>
        <v>#NAME?</v>
      </c>
      <c r="V740" s="2" t="e">
        <f ca="1"/>
        <v>#NAME?</v>
      </c>
      <c r="W740" s="2" t="str">
        <f ca="1"/>
        <v/>
      </c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tr">
        <v/>
      </c>
      <c r="S741" s="2" t="str">
        <f ca="1">IFERROR(__xludf.DUMMYFUNCTION("""COMPUTED_VALUE"""),"")</f>
        <v/>
      </c>
      <c r="T741" s="2" t="str">
        <f ca="1">IFERROR(__xludf.DUMMYFUNCTION("""COMPUTED_VALUE"""),"")</f>
        <v/>
      </c>
      <c r="U741" s="2" t="e">
        <f ca="1"/>
        <v>#NAME?</v>
      </c>
      <c r="V741" s="2" t="e">
        <f ca="1"/>
        <v>#NAME?</v>
      </c>
      <c r="W741" s="2" t="str">
        <f ca="1"/>
        <v/>
      </c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tr">
        <v/>
      </c>
      <c r="S742" s="2" t="str">
        <f ca="1">IFERROR(__xludf.DUMMYFUNCTION("""COMPUTED_VALUE"""),"")</f>
        <v/>
      </c>
      <c r="T742" s="2" t="str">
        <f ca="1">IFERROR(__xludf.DUMMYFUNCTION("""COMPUTED_VALUE"""),"")</f>
        <v/>
      </c>
      <c r="U742" s="2" t="e">
        <f ca="1"/>
        <v>#NAME?</v>
      </c>
      <c r="V742" s="2" t="e">
        <f ca="1"/>
        <v>#NAME?</v>
      </c>
      <c r="W742" s="2" t="str">
        <f ca="1"/>
        <v/>
      </c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tr">
        <v/>
      </c>
      <c r="S743" s="2" t="str">
        <f ca="1">IFERROR(__xludf.DUMMYFUNCTION("""COMPUTED_VALUE"""),"")</f>
        <v/>
      </c>
      <c r="T743" s="2" t="str">
        <f ca="1">IFERROR(__xludf.DUMMYFUNCTION("""COMPUTED_VALUE"""),"")</f>
        <v/>
      </c>
      <c r="U743" s="2" t="e">
        <f ca="1"/>
        <v>#NAME?</v>
      </c>
      <c r="V743" s="2" t="e">
        <f ca="1"/>
        <v>#NAME?</v>
      </c>
      <c r="W743" s="2" t="str">
        <f ca="1"/>
        <v/>
      </c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tr">
        <v/>
      </c>
      <c r="S744" s="2" t="str">
        <f ca="1">IFERROR(__xludf.DUMMYFUNCTION("""COMPUTED_VALUE"""),"")</f>
        <v/>
      </c>
      <c r="T744" s="2" t="str">
        <f ca="1">IFERROR(__xludf.DUMMYFUNCTION("""COMPUTED_VALUE"""),"")</f>
        <v/>
      </c>
      <c r="U744" s="2" t="e">
        <f ca="1"/>
        <v>#NAME?</v>
      </c>
      <c r="V744" s="2" t="e">
        <f ca="1"/>
        <v>#NAME?</v>
      </c>
      <c r="W744" s="2" t="str">
        <f ca="1"/>
        <v/>
      </c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tr">
        <v/>
      </c>
      <c r="S745" s="2" t="str">
        <f ca="1">IFERROR(__xludf.DUMMYFUNCTION("""COMPUTED_VALUE"""),"")</f>
        <v/>
      </c>
      <c r="T745" s="2" t="str">
        <f ca="1">IFERROR(__xludf.DUMMYFUNCTION("""COMPUTED_VALUE"""),"")</f>
        <v/>
      </c>
      <c r="U745" s="2" t="e">
        <f ca="1"/>
        <v>#NAME?</v>
      </c>
      <c r="V745" s="2" t="e">
        <f ca="1"/>
        <v>#NAME?</v>
      </c>
      <c r="W745" s="2" t="str">
        <f ca="1"/>
        <v/>
      </c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tr">
        <v/>
      </c>
      <c r="S746" s="2" t="str">
        <f ca="1">IFERROR(__xludf.DUMMYFUNCTION("""COMPUTED_VALUE"""),"")</f>
        <v/>
      </c>
      <c r="T746" s="2" t="str">
        <f ca="1">IFERROR(__xludf.DUMMYFUNCTION("""COMPUTED_VALUE"""),"")</f>
        <v/>
      </c>
      <c r="U746" s="2" t="e">
        <f ca="1"/>
        <v>#NAME?</v>
      </c>
      <c r="V746" s="2" t="e">
        <f ca="1"/>
        <v>#NAME?</v>
      </c>
      <c r="W746" s="2" t="str">
        <f ca="1"/>
        <v/>
      </c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tr">
        <v/>
      </c>
      <c r="S747" s="2" t="str">
        <f ca="1">IFERROR(__xludf.DUMMYFUNCTION("""COMPUTED_VALUE"""),"")</f>
        <v/>
      </c>
      <c r="T747" s="2" t="str">
        <f ca="1">IFERROR(__xludf.DUMMYFUNCTION("""COMPUTED_VALUE"""),"")</f>
        <v/>
      </c>
      <c r="U747" s="2" t="e">
        <f ca="1"/>
        <v>#NAME?</v>
      </c>
      <c r="V747" s="2" t="e">
        <f ca="1"/>
        <v>#NAME?</v>
      </c>
      <c r="W747" s="2" t="str">
        <f ca="1"/>
        <v/>
      </c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tr">
        <v/>
      </c>
      <c r="S748" s="2" t="str">
        <f ca="1">IFERROR(__xludf.DUMMYFUNCTION("""COMPUTED_VALUE"""),"")</f>
        <v/>
      </c>
      <c r="T748" s="2" t="str">
        <f ca="1">IFERROR(__xludf.DUMMYFUNCTION("""COMPUTED_VALUE"""),"")</f>
        <v/>
      </c>
      <c r="U748" s="2" t="e">
        <f ca="1"/>
        <v>#NAME?</v>
      </c>
      <c r="V748" s="2" t="e">
        <f ca="1"/>
        <v>#NAME?</v>
      </c>
      <c r="W748" s="2" t="str">
        <f ca="1"/>
        <v/>
      </c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tr">
        <v/>
      </c>
      <c r="S749" s="2" t="str">
        <f ca="1">IFERROR(__xludf.DUMMYFUNCTION("""COMPUTED_VALUE"""),"")</f>
        <v/>
      </c>
      <c r="T749" s="2" t="str">
        <f ca="1">IFERROR(__xludf.DUMMYFUNCTION("""COMPUTED_VALUE"""),"")</f>
        <v/>
      </c>
      <c r="U749" s="2" t="e">
        <f ca="1"/>
        <v>#NAME?</v>
      </c>
      <c r="V749" s="2" t="e">
        <f ca="1"/>
        <v>#NAME?</v>
      </c>
      <c r="W749" s="2" t="str">
        <f ca="1"/>
        <v/>
      </c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tr">
        <v/>
      </c>
      <c r="S750" s="2" t="str">
        <f ca="1">IFERROR(__xludf.DUMMYFUNCTION("""COMPUTED_VALUE"""),"")</f>
        <v/>
      </c>
      <c r="T750" s="2" t="str">
        <f ca="1">IFERROR(__xludf.DUMMYFUNCTION("""COMPUTED_VALUE"""),"")</f>
        <v/>
      </c>
      <c r="U750" s="2" t="e">
        <f ca="1"/>
        <v>#NAME?</v>
      </c>
      <c r="V750" s="2" t="e">
        <f ca="1"/>
        <v>#NAME?</v>
      </c>
      <c r="W750" s="2" t="str">
        <f ca="1"/>
        <v/>
      </c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tr">
        <v/>
      </c>
      <c r="S751" s="2" t="str">
        <f ca="1">IFERROR(__xludf.DUMMYFUNCTION("""COMPUTED_VALUE"""),"")</f>
        <v/>
      </c>
      <c r="T751" s="2" t="str">
        <f ca="1">IFERROR(__xludf.DUMMYFUNCTION("""COMPUTED_VALUE"""),"")</f>
        <v/>
      </c>
      <c r="U751" s="2" t="e">
        <f ca="1"/>
        <v>#NAME?</v>
      </c>
      <c r="V751" s="2" t="e">
        <f ca="1"/>
        <v>#NAME?</v>
      </c>
      <c r="W751" s="2" t="str">
        <f ca="1"/>
        <v/>
      </c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tr">
        <v/>
      </c>
      <c r="S752" s="2" t="str">
        <f ca="1">IFERROR(__xludf.DUMMYFUNCTION("""COMPUTED_VALUE"""),"")</f>
        <v/>
      </c>
      <c r="T752" s="2" t="str">
        <f ca="1">IFERROR(__xludf.DUMMYFUNCTION("""COMPUTED_VALUE"""),"")</f>
        <v/>
      </c>
      <c r="U752" s="2" t="e">
        <f ca="1"/>
        <v>#NAME?</v>
      </c>
      <c r="V752" s="2" t="e">
        <f ca="1"/>
        <v>#NAME?</v>
      </c>
      <c r="W752" s="2" t="str">
        <f ca="1"/>
        <v/>
      </c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tr">
        <v/>
      </c>
      <c r="S753" s="2" t="str">
        <f ca="1">IFERROR(__xludf.DUMMYFUNCTION("""COMPUTED_VALUE"""),"")</f>
        <v/>
      </c>
      <c r="T753" s="2" t="str">
        <f ca="1">IFERROR(__xludf.DUMMYFUNCTION("""COMPUTED_VALUE"""),"")</f>
        <v/>
      </c>
      <c r="U753" s="2" t="e">
        <f ca="1"/>
        <v>#NAME?</v>
      </c>
      <c r="V753" s="2" t="e">
        <f ca="1"/>
        <v>#NAME?</v>
      </c>
      <c r="W753" s="2" t="str">
        <f ca="1"/>
        <v/>
      </c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tr">
        <v/>
      </c>
      <c r="S754" s="2" t="str">
        <f ca="1">IFERROR(__xludf.DUMMYFUNCTION("""COMPUTED_VALUE"""),"")</f>
        <v/>
      </c>
      <c r="T754" s="2" t="str">
        <f ca="1">IFERROR(__xludf.DUMMYFUNCTION("""COMPUTED_VALUE"""),"")</f>
        <v/>
      </c>
      <c r="U754" s="2" t="e">
        <f ca="1"/>
        <v>#NAME?</v>
      </c>
      <c r="V754" s="2" t="e">
        <f ca="1"/>
        <v>#NAME?</v>
      </c>
      <c r="W754" s="2" t="str">
        <f ca="1"/>
        <v/>
      </c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tr">
        <v/>
      </c>
      <c r="S755" s="2" t="str">
        <f ca="1">IFERROR(__xludf.DUMMYFUNCTION("""COMPUTED_VALUE"""),"")</f>
        <v/>
      </c>
      <c r="T755" s="2" t="str">
        <f ca="1">IFERROR(__xludf.DUMMYFUNCTION("""COMPUTED_VALUE"""),"")</f>
        <v/>
      </c>
      <c r="U755" s="2" t="e">
        <f ca="1"/>
        <v>#NAME?</v>
      </c>
      <c r="V755" s="2" t="e">
        <f ca="1"/>
        <v>#NAME?</v>
      </c>
      <c r="W755" s="2" t="str">
        <f ca="1"/>
        <v/>
      </c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tr">
        <v/>
      </c>
      <c r="S756" s="2" t="str">
        <f ca="1">IFERROR(__xludf.DUMMYFUNCTION("""COMPUTED_VALUE"""),"")</f>
        <v/>
      </c>
      <c r="T756" s="2" t="str">
        <f ca="1">IFERROR(__xludf.DUMMYFUNCTION("""COMPUTED_VALUE"""),"")</f>
        <v/>
      </c>
      <c r="U756" s="2" t="e">
        <f ca="1"/>
        <v>#NAME?</v>
      </c>
      <c r="V756" s="2" t="e">
        <f ca="1"/>
        <v>#NAME?</v>
      </c>
      <c r="W756" s="2" t="str">
        <f ca="1"/>
        <v/>
      </c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tr">
        <v/>
      </c>
      <c r="S757" s="2" t="str">
        <f ca="1">IFERROR(__xludf.DUMMYFUNCTION("""COMPUTED_VALUE"""),"")</f>
        <v/>
      </c>
      <c r="T757" s="2" t="str">
        <f ca="1">IFERROR(__xludf.DUMMYFUNCTION("""COMPUTED_VALUE"""),"")</f>
        <v/>
      </c>
      <c r="U757" s="2" t="e">
        <f ca="1"/>
        <v>#NAME?</v>
      </c>
      <c r="V757" s="2" t="e">
        <f ca="1"/>
        <v>#NAME?</v>
      </c>
      <c r="W757" s="2" t="str">
        <f ca="1"/>
        <v/>
      </c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tr">
        <v/>
      </c>
      <c r="S758" s="2" t="str">
        <f ca="1">IFERROR(__xludf.DUMMYFUNCTION("""COMPUTED_VALUE"""),"")</f>
        <v/>
      </c>
      <c r="T758" s="2" t="str">
        <f ca="1">IFERROR(__xludf.DUMMYFUNCTION("""COMPUTED_VALUE"""),"")</f>
        <v/>
      </c>
      <c r="U758" s="2" t="e">
        <f ca="1"/>
        <v>#NAME?</v>
      </c>
      <c r="V758" s="2" t="e">
        <f ca="1"/>
        <v>#NAME?</v>
      </c>
      <c r="W758" s="2" t="str">
        <f ca="1"/>
        <v/>
      </c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tr">
        <v/>
      </c>
      <c r="S759" s="2" t="str">
        <f ca="1">IFERROR(__xludf.DUMMYFUNCTION("""COMPUTED_VALUE"""),"")</f>
        <v/>
      </c>
      <c r="T759" s="2" t="str">
        <f ca="1">IFERROR(__xludf.DUMMYFUNCTION("""COMPUTED_VALUE"""),"")</f>
        <v/>
      </c>
      <c r="U759" s="2" t="e">
        <f ca="1"/>
        <v>#NAME?</v>
      </c>
      <c r="V759" s="2" t="e">
        <f ca="1"/>
        <v>#NAME?</v>
      </c>
      <c r="W759" s="2" t="str">
        <f ca="1"/>
        <v/>
      </c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tr">
        <v/>
      </c>
      <c r="S760" s="2" t="str">
        <f ca="1">IFERROR(__xludf.DUMMYFUNCTION("""COMPUTED_VALUE"""),"")</f>
        <v/>
      </c>
      <c r="T760" s="2" t="str">
        <f ca="1">IFERROR(__xludf.DUMMYFUNCTION("""COMPUTED_VALUE"""),"")</f>
        <v/>
      </c>
      <c r="U760" s="2" t="e">
        <f ca="1"/>
        <v>#NAME?</v>
      </c>
      <c r="V760" s="2" t="e">
        <f ca="1"/>
        <v>#NAME?</v>
      </c>
      <c r="W760" s="2" t="str">
        <f ca="1"/>
        <v/>
      </c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tr">
        <v/>
      </c>
      <c r="S761" s="2" t="str">
        <f ca="1">IFERROR(__xludf.DUMMYFUNCTION("""COMPUTED_VALUE"""),"")</f>
        <v/>
      </c>
      <c r="T761" s="2" t="str">
        <f ca="1">IFERROR(__xludf.DUMMYFUNCTION("""COMPUTED_VALUE"""),"")</f>
        <v/>
      </c>
      <c r="U761" s="2" t="e">
        <f ca="1"/>
        <v>#NAME?</v>
      </c>
      <c r="V761" s="2" t="e">
        <f ca="1"/>
        <v>#NAME?</v>
      </c>
      <c r="W761" s="2" t="str">
        <f ca="1"/>
        <v/>
      </c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tr">
        <v/>
      </c>
      <c r="S762" s="2" t="str">
        <f ca="1">IFERROR(__xludf.DUMMYFUNCTION("""COMPUTED_VALUE"""),"")</f>
        <v/>
      </c>
      <c r="T762" s="2" t="str">
        <f ca="1">IFERROR(__xludf.DUMMYFUNCTION("""COMPUTED_VALUE"""),"")</f>
        <v/>
      </c>
      <c r="U762" s="2" t="e">
        <f ca="1"/>
        <v>#NAME?</v>
      </c>
      <c r="V762" s="2" t="e">
        <f ca="1"/>
        <v>#NAME?</v>
      </c>
      <c r="W762" s="2" t="str">
        <f ca="1"/>
        <v/>
      </c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tr">
        <v/>
      </c>
      <c r="S763" s="2" t="str">
        <f ca="1">IFERROR(__xludf.DUMMYFUNCTION("""COMPUTED_VALUE"""),"")</f>
        <v/>
      </c>
      <c r="T763" s="2" t="str">
        <f ca="1">IFERROR(__xludf.DUMMYFUNCTION("""COMPUTED_VALUE"""),"")</f>
        <v/>
      </c>
      <c r="U763" s="2" t="e">
        <f ca="1"/>
        <v>#NAME?</v>
      </c>
      <c r="V763" s="2" t="e">
        <f ca="1"/>
        <v>#NAME?</v>
      </c>
      <c r="W763" s="2" t="str">
        <f ca="1"/>
        <v/>
      </c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tr">
        <v/>
      </c>
      <c r="S764" s="2" t="str">
        <f ca="1">IFERROR(__xludf.DUMMYFUNCTION("""COMPUTED_VALUE"""),"")</f>
        <v/>
      </c>
      <c r="T764" s="2" t="str">
        <f ca="1">IFERROR(__xludf.DUMMYFUNCTION("""COMPUTED_VALUE"""),"")</f>
        <v/>
      </c>
      <c r="U764" s="2" t="e">
        <f ca="1"/>
        <v>#NAME?</v>
      </c>
      <c r="V764" s="2" t="e">
        <f ca="1"/>
        <v>#NAME?</v>
      </c>
      <c r="W764" s="2" t="str">
        <f ca="1"/>
        <v/>
      </c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tr">
        <v/>
      </c>
      <c r="S765" s="2" t="str">
        <f ca="1">IFERROR(__xludf.DUMMYFUNCTION("""COMPUTED_VALUE"""),"")</f>
        <v/>
      </c>
      <c r="T765" s="2" t="str">
        <f ca="1">IFERROR(__xludf.DUMMYFUNCTION("""COMPUTED_VALUE"""),"")</f>
        <v/>
      </c>
      <c r="U765" s="2" t="e">
        <f ca="1"/>
        <v>#NAME?</v>
      </c>
      <c r="V765" s="2" t="e">
        <f ca="1"/>
        <v>#NAME?</v>
      </c>
      <c r="W765" s="2" t="str">
        <f ca="1"/>
        <v/>
      </c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tr">
        <v/>
      </c>
      <c r="S766" s="2" t="str">
        <f ca="1">IFERROR(__xludf.DUMMYFUNCTION("""COMPUTED_VALUE"""),"")</f>
        <v/>
      </c>
      <c r="T766" s="2" t="str">
        <f ca="1">IFERROR(__xludf.DUMMYFUNCTION("""COMPUTED_VALUE"""),"")</f>
        <v/>
      </c>
      <c r="U766" s="2" t="e">
        <f ca="1"/>
        <v>#NAME?</v>
      </c>
      <c r="V766" s="2" t="e">
        <f ca="1"/>
        <v>#NAME?</v>
      </c>
      <c r="W766" s="2" t="str">
        <f ca="1"/>
        <v/>
      </c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tr">
        <v/>
      </c>
      <c r="S767" s="2" t="str">
        <f ca="1">IFERROR(__xludf.DUMMYFUNCTION("""COMPUTED_VALUE"""),"")</f>
        <v/>
      </c>
      <c r="T767" s="2" t="str">
        <f ca="1">IFERROR(__xludf.DUMMYFUNCTION("""COMPUTED_VALUE"""),"")</f>
        <v/>
      </c>
      <c r="U767" s="2" t="e">
        <f ca="1"/>
        <v>#NAME?</v>
      </c>
      <c r="V767" s="2" t="e">
        <f ca="1"/>
        <v>#NAME?</v>
      </c>
      <c r="W767" s="2" t="str">
        <f ca="1"/>
        <v/>
      </c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tr">
        <v/>
      </c>
      <c r="S768" s="2" t="str">
        <f ca="1">IFERROR(__xludf.DUMMYFUNCTION("""COMPUTED_VALUE"""),"")</f>
        <v/>
      </c>
      <c r="T768" s="2" t="str">
        <f ca="1">IFERROR(__xludf.DUMMYFUNCTION("""COMPUTED_VALUE"""),"")</f>
        <v/>
      </c>
      <c r="U768" s="2" t="e">
        <f ca="1"/>
        <v>#NAME?</v>
      </c>
      <c r="V768" s="2" t="e">
        <f ca="1"/>
        <v>#NAME?</v>
      </c>
      <c r="W768" s="2" t="str">
        <f ca="1"/>
        <v/>
      </c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tr">
        <v/>
      </c>
      <c r="S769" s="2" t="str">
        <f ca="1">IFERROR(__xludf.DUMMYFUNCTION("""COMPUTED_VALUE"""),"")</f>
        <v/>
      </c>
      <c r="T769" s="2" t="str">
        <f ca="1">IFERROR(__xludf.DUMMYFUNCTION("""COMPUTED_VALUE"""),"")</f>
        <v/>
      </c>
      <c r="U769" s="2" t="e">
        <f ca="1"/>
        <v>#NAME?</v>
      </c>
      <c r="V769" s="2" t="e">
        <f ca="1"/>
        <v>#NAME?</v>
      </c>
      <c r="W769" s="2" t="str">
        <f ca="1"/>
        <v/>
      </c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tr">
        <v/>
      </c>
      <c r="S770" s="2" t="str">
        <f ca="1">IFERROR(__xludf.DUMMYFUNCTION("""COMPUTED_VALUE"""),"")</f>
        <v/>
      </c>
      <c r="T770" s="2" t="str">
        <f ca="1">IFERROR(__xludf.DUMMYFUNCTION("""COMPUTED_VALUE"""),"")</f>
        <v/>
      </c>
      <c r="U770" s="2" t="e">
        <f ca="1"/>
        <v>#NAME?</v>
      </c>
      <c r="V770" s="2" t="e">
        <f ca="1"/>
        <v>#NAME?</v>
      </c>
      <c r="W770" s="2" t="str">
        <f ca="1"/>
        <v/>
      </c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tr">
        <v/>
      </c>
      <c r="S771" s="2" t="str">
        <f ca="1">IFERROR(__xludf.DUMMYFUNCTION("""COMPUTED_VALUE"""),"")</f>
        <v/>
      </c>
      <c r="T771" s="2" t="str">
        <f ca="1">IFERROR(__xludf.DUMMYFUNCTION("""COMPUTED_VALUE"""),"")</f>
        <v/>
      </c>
      <c r="U771" s="2" t="e">
        <f ca="1"/>
        <v>#NAME?</v>
      </c>
      <c r="V771" s="2" t="e">
        <f ca="1"/>
        <v>#NAME?</v>
      </c>
      <c r="W771" s="2" t="str">
        <f ca="1"/>
        <v/>
      </c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tr">
        <v/>
      </c>
      <c r="S772" s="2" t="str">
        <f ca="1">IFERROR(__xludf.DUMMYFUNCTION("""COMPUTED_VALUE"""),"")</f>
        <v/>
      </c>
      <c r="T772" s="2" t="str">
        <f ca="1">IFERROR(__xludf.DUMMYFUNCTION("""COMPUTED_VALUE"""),"")</f>
        <v/>
      </c>
      <c r="U772" s="2" t="e">
        <f ca="1"/>
        <v>#NAME?</v>
      </c>
      <c r="V772" s="2" t="e">
        <f ca="1"/>
        <v>#NAME?</v>
      </c>
      <c r="W772" s="2" t="str">
        <f ca="1"/>
        <v/>
      </c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tr">
        <v/>
      </c>
      <c r="S773" s="2" t="str">
        <f ca="1">IFERROR(__xludf.DUMMYFUNCTION("""COMPUTED_VALUE"""),"")</f>
        <v/>
      </c>
      <c r="T773" s="2" t="str">
        <f ca="1">IFERROR(__xludf.DUMMYFUNCTION("""COMPUTED_VALUE"""),"")</f>
        <v/>
      </c>
      <c r="U773" s="2" t="e">
        <f ca="1"/>
        <v>#NAME?</v>
      </c>
      <c r="V773" s="2" t="e">
        <f ca="1"/>
        <v>#NAME?</v>
      </c>
      <c r="W773" s="2" t="str">
        <f ca="1"/>
        <v/>
      </c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tr">
        <v/>
      </c>
      <c r="S774" s="2" t="str">
        <f ca="1">IFERROR(__xludf.DUMMYFUNCTION("""COMPUTED_VALUE"""),"")</f>
        <v/>
      </c>
      <c r="T774" s="2" t="str">
        <f ca="1">IFERROR(__xludf.DUMMYFUNCTION("""COMPUTED_VALUE"""),"")</f>
        <v/>
      </c>
      <c r="U774" s="2" t="e">
        <f ca="1"/>
        <v>#NAME?</v>
      </c>
      <c r="V774" s="2" t="e">
        <f ca="1"/>
        <v>#NAME?</v>
      </c>
      <c r="W774" s="2" t="str">
        <f ca="1"/>
        <v/>
      </c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tr">
        <v/>
      </c>
      <c r="S775" s="2" t="str">
        <f ca="1">IFERROR(__xludf.DUMMYFUNCTION("""COMPUTED_VALUE"""),"")</f>
        <v/>
      </c>
      <c r="T775" s="2" t="str">
        <f ca="1">IFERROR(__xludf.DUMMYFUNCTION("""COMPUTED_VALUE"""),"")</f>
        <v/>
      </c>
      <c r="U775" s="2" t="e">
        <f ca="1"/>
        <v>#NAME?</v>
      </c>
      <c r="V775" s="2" t="e">
        <f ca="1"/>
        <v>#NAME?</v>
      </c>
      <c r="W775" s="2" t="str">
        <f ca="1"/>
        <v/>
      </c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tr">
        <v/>
      </c>
      <c r="S776" s="2" t="str">
        <f ca="1">IFERROR(__xludf.DUMMYFUNCTION("""COMPUTED_VALUE"""),"")</f>
        <v/>
      </c>
      <c r="T776" s="2" t="str">
        <f ca="1">IFERROR(__xludf.DUMMYFUNCTION("""COMPUTED_VALUE"""),"")</f>
        <v/>
      </c>
      <c r="U776" s="2" t="e">
        <f ca="1"/>
        <v>#NAME?</v>
      </c>
      <c r="V776" s="2" t="e">
        <f ca="1"/>
        <v>#NAME?</v>
      </c>
      <c r="W776" s="2" t="str">
        <f ca="1"/>
        <v/>
      </c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tr">
        <v/>
      </c>
      <c r="S777" s="2" t="str">
        <f ca="1">IFERROR(__xludf.DUMMYFUNCTION("""COMPUTED_VALUE"""),"")</f>
        <v/>
      </c>
      <c r="T777" s="2" t="str">
        <f ca="1">IFERROR(__xludf.DUMMYFUNCTION("""COMPUTED_VALUE"""),"")</f>
        <v/>
      </c>
      <c r="U777" s="2" t="e">
        <f ca="1"/>
        <v>#NAME?</v>
      </c>
      <c r="V777" s="2" t="e">
        <f ca="1"/>
        <v>#NAME?</v>
      </c>
      <c r="W777" s="2" t="str">
        <f ca="1"/>
        <v/>
      </c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tr">
        <v/>
      </c>
      <c r="S778" s="2" t="str">
        <f ca="1">IFERROR(__xludf.DUMMYFUNCTION("""COMPUTED_VALUE"""),"")</f>
        <v/>
      </c>
      <c r="T778" s="2" t="str">
        <f ca="1">IFERROR(__xludf.DUMMYFUNCTION("""COMPUTED_VALUE"""),"")</f>
        <v/>
      </c>
      <c r="U778" s="2" t="e">
        <f ca="1"/>
        <v>#NAME?</v>
      </c>
      <c r="V778" s="2" t="e">
        <f ca="1"/>
        <v>#NAME?</v>
      </c>
      <c r="W778" s="2" t="str">
        <f ca="1"/>
        <v/>
      </c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tr">
        <v/>
      </c>
      <c r="S779" s="2" t="str">
        <f ca="1">IFERROR(__xludf.DUMMYFUNCTION("""COMPUTED_VALUE"""),"")</f>
        <v/>
      </c>
      <c r="T779" s="2" t="str">
        <f ca="1">IFERROR(__xludf.DUMMYFUNCTION("""COMPUTED_VALUE"""),"")</f>
        <v/>
      </c>
      <c r="U779" s="2" t="e">
        <f ca="1"/>
        <v>#NAME?</v>
      </c>
      <c r="V779" s="2" t="e">
        <f ca="1"/>
        <v>#NAME?</v>
      </c>
      <c r="W779" s="2" t="str">
        <f ca="1"/>
        <v/>
      </c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tr">
        <v/>
      </c>
      <c r="S780" s="2" t="str">
        <f ca="1">IFERROR(__xludf.DUMMYFUNCTION("""COMPUTED_VALUE"""),"")</f>
        <v/>
      </c>
      <c r="T780" s="2" t="str">
        <f ca="1">IFERROR(__xludf.DUMMYFUNCTION("""COMPUTED_VALUE"""),"")</f>
        <v/>
      </c>
      <c r="U780" s="2" t="e">
        <f ca="1"/>
        <v>#NAME?</v>
      </c>
      <c r="V780" s="2" t="e">
        <f ca="1"/>
        <v>#NAME?</v>
      </c>
      <c r="W780" s="2" t="str">
        <f ca="1"/>
        <v/>
      </c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tr">
        <v/>
      </c>
      <c r="S781" s="2" t="str">
        <f ca="1">IFERROR(__xludf.DUMMYFUNCTION("""COMPUTED_VALUE"""),"")</f>
        <v/>
      </c>
      <c r="T781" s="2" t="str">
        <f ca="1">IFERROR(__xludf.DUMMYFUNCTION("""COMPUTED_VALUE"""),"")</f>
        <v/>
      </c>
      <c r="U781" s="2" t="e">
        <f ca="1"/>
        <v>#NAME?</v>
      </c>
      <c r="V781" s="2" t="e">
        <f ca="1"/>
        <v>#NAME?</v>
      </c>
      <c r="W781" s="2" t="str">
        <f ca="1"/>
        <v/>
      </c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tr">
        <v/>
      </c>
      <c r="S782" s="2" t="str">
        <f ca="1">IFERROR(__xludf.DUMMYFUNCTION("""COMPUTED_VALUE"""),"")</f>
        <v/>
      </c>
      <c r="T782" s="2" t="str">
        <f ca="1">IFERROR(__xludf.DUMMYFUNCTION("""COMPUTED_VALUE"""),"")</f>
        <v/>
      </c>
      <c r="U782" s="2" t="e">
        <f ca="1"/>
        <v>#NAME?</v>
      </c>
      <c r="V782" s="2" t="e">
        <f ca="1"/>
        <v>#NAME?</v>
      </c>
      <c r="W782" s="2" t="str">
        <f ca="1"/>
        <v/>
      </c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tr">
        <v/>
      </c>
      <c r="S783" s="2" t="str">
        <f ca="1">IFERROR(__xludf.DUMMYFUNCTION("""COMPUTED_VALUE"""),"")</f>
        <v/>
      </c>
      <c r="T783" s="2" t="str">
        <f ca="1">IFERROR(__xludf.DUMMYFUNCTION("""COMPUTED_VALUE"""),"")</f>
        <v/>
      </c>
      <c r="U783" s="2" t="e">
        <f ca="1"/>
        <v>#NAME?</v>
      </c>
      <c r="V783" s="2" t="e">
        <f ca="1"/>
        <v>#NAME?</v>
      </c>
      <c r="W783" s="2" t="str">
        <f ca="1"/>
        <v/>
      </c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tr">
        <v/>
      </c>
      <c r="S784" s="2" t="str">
        <f ca="1">IFERROR(__xludf.DUMMYFUNCTION("""COMPUTED_VALUE"""),"")</f>
        <v/>
      </c>
      <c r="T784" s="2" t="str">
        <f ca="1">IFERROR(__xludf.DUMMYFUNCTION("""COMPUTED_VALUE"""),"")</f>
        <v/>
      </c>
      <c r="U784" s="2" t="e">
        <f ca="1"/>
        <v>#NAME?</v>
      </c>
      <c r="V784" s="2" t="e">
        <f ca="1"/>
        <v>#NAME?</v>
      </c>
      <c r="W784" s="2" t="str">
        <f ca="1"/>
        <v/>
      </c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tr">
        <v/>
      </c>
      <c r="S785" s="2" t="str">
        <f ca="1">IFERROR(__xludf.DUMMYFUNCTION("""COMPUTED_VALUE"""),"")</f>
        <v/>
      </c>
      <c r="T785" s="2" t="str">
        <f ca="1">IFERROR(__xludf.DUMMYFUNCTION("""COMPUTED_VALUE"""),"")</f>
        <v/>
      </c>
      <c r="U785" s="2" t="e">
        <f ca="1"/>
        <v>#NAME?</v>
      </c>
      <c r="V785" s="2" t="e">
        <f ca="1"/>
        <v>#NAME?</v>
      </c>
      <c r="W785" s="2" t="str">
        <f ca="1"/>
        <v/>
      </c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tr">
        <v/>
      </c>
      <c r="S786" s="2" t="str">
        <f ca="1">IFERROR(__xludf.DUMMYFUNCTION("""COMPUTED_VALUE"""),"")</f>
        <v/>
      </c>
      <c r="T786" s="2" t="str">
        <f ca="1">IFERROR(__xludf.DUMMYFUNCTION("""COMPUTED_VALUE"""),"")</f>
        <v/>
      </c>
      <c r="U786" s="2" t="e">
        <f ca="1"/>
        <v>#NAME?</v>
      </c>
      <c r="V786" s="2" t="e">
        <f ca="1"/>
        <v>#NAME?</v>
      </c>
      <c r="W786" s="2" t="str">
        <f ca="1"/>
        <v/>
      </c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tr">
        <v/>
      </c>
      <c r="S787" s="2" t="str">
        <f ca="1">IFERROR(__xludf.DUMMYFUNCTION("""COMPUTED_VALUE"""),"")</f>
        <v/>
      </c>
      <c r="T787" s="2" t="str">
        <f ca="1">IFERROR(__xludf.DUMMYFUNCTION("""COMPUTED_VALUE"""),"")</f>
        <v/>
      </c>
      <c r="U787" s="2" t="e">
        <f ca="1"/>
        <v>#NAME?</v>
      </c>
      <c r="V787" s="2" t="e">
        <f ca="1"/>
        <v>#NAME?</v>
      </c>
      <c r="W787" s="2" t="str">
        <f ca="1"/>
        <v/>
      </c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tr">
        <v/>
      </c>
      <c r="S788" s="2" t="str">
        <f ca="1">IFERROR(__xludf.DUMMYFUNCTION("""COMPUTED_VALUE"""),"")</f>
        <v/>
      </c>
      <c r="T788" s="2" t="str">
        <f ca="1">IFERROR(__xludf.DUMMYFUNCTION("""COMPUTED_VALUE"""),"")</f>
        <v/>
      </c>
      <c r="U788" s="2" t="e">
        <f ca="1"/>
        <v>#NAME?</v>
      </c>
      <c r="V788" s="2" t="e">
        <f ca="1"/>
        <v>#NAME?</v>
      </c>
      <c r="W788" s="2" t="str">
        <f ca="1"/>
        <v/>
      </c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tr">
        <v/>
      </c>
      <c r="S789" s="2" t="str">
        <f ca="1">IFERROR(__xludf.DUMMYFUNCTION("""COMPUTED_VALUE"""),"")</f>
        <v/>
      </c>
      <c r="T789" s="2" t="str">
        <f ca="1">IFERROR(__xludf.DUMMYFUNCTION("""COMPUTED_VALUE"""),"")</f>
        <v/>
      </c>
      <c r="U789" s="2" t="e">
        <f ca="1"/>
        <v>#NAME?</v>
      </c>
      <c r="V789" s="2" t="e">
        <f ca="1"/>
        <v>#NAME?</v>
      </c>
      <c r="W789" s="2" t="str">
        <f ca="1"/>
        <v/>
      </c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tr">
        <v/>
      </c>
      <c r="S790" s="2" t="str">
        <f ca="1">IFERROR(__xludf.DUMMYFUNCTION("""COMPUTED_VALUE"""),"")</f>
        <v/>
      </c>
      <c r="T790" s="2" t="str">
        <f ca="1">IFERROR(__xludf.DUMMYFUNCTION("""COMPUTED_VALUE"""),"")</f>
        <v/>
      </c>
      <c r="U790" s="2" t="e">
        <f ca="1"/>
        <v>#NAME?</v>
      </c>
      <c r="V790" s="2" t="e">
        <f ca="1"/>
        <v>#NAME?</v>
      </c>
      <c r="W790" s="2" t="str">
        <f ca="1"/>
        <v/>
      </c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tr">
        <v/>
      </c>
      <c r="S791" s="2" t="str">
        <f ca="1">IFERROR(__xludf.DUMMYFUNCTION("""COMPUTED_VALUE"""),"")</f>
        <v/>
      </c>
      <c r="T791" s="2" t="str">
        <f ca="1">IFERROR(__xludf.DUMMYFUNCTION("""COMPUTED_VALUE"""),"")</f>
        <v/>
      </c>
      <c r="U791" s="2" t="e">
        <f ca="1"/>
        <v>#NAME?</v>
      </c>
      <c r="V791" s="2" t="e">
        <f ca="1"/>
        <v>#NAME?</v>
      </c>
      <c r="W791" s="2" t="str">
        <f ca="1"/>
        <v/>
      </c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tr">
        <v/>
      </c>
      <c r="S792" s="2" t="str">
        <f ca="1">IFERROR(__xludf.DUMMYFUNCTION("""COMPUTED_VALUE"""),"")</f>
        <v/>
      </c>
      <c r="T792" s="2" t="str">
        <f ca="1">IFERROR(__xludf.DUMMYFUNCTION("""COMPUTED_VALUE"""),"")</f>
        <v/>
      </c>
      <c r="U792" s="2" t="e">
        <f ca="1"/>
        <v>#NAME?</v>
      </c>
      <c r="V792" s="2" t="e">
        <f ca="1"/>
        <v>#NAME?</v>
      </c>
      <c r="W792" s="2" t="str">
        <f ca="1"/>
        <v/>
      </c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tr">
        <v/>
      </c>
      <c r="S793" s="2" t="str">
        <f ca="1">IFERROR(__xludf.DUMMYFUNCTION("""COMPUTED_VALUE"""),"")</f>
        <v/>
      </c>
      <c r="T793" s="2" t="str">
        <f ca="1">IFERROR(__xludf.DUMMYFUNCTION("""COMPUTED_VALUE"""),"")</f>
        <v/>
      </c>
      <c r="U793" s="2" t="e">
        <f ca="1"/>
        <v>#NAME?</v>
      </c>
      <c r="V793" s="2" t="e">
        <f ca="1"/>
        <v>#NAME?</v>
      </c>
      <c r="W793" s="2" t="str">
        <f ca="1"/>
        <v/>
      </c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tr">
        <v/>
      </c>
      <c r="S794" s="2" t="str">
        <f ca="1">IFERROR(__xludf.DUMMYFUNCTION("""COMPUTED_VALUE"""),"")</f>
        <v/>
      </c>
      <c r="T794" s="2" t="str">
        <f ca="1">IFERROR(__xludf.DUMMYFUNCTION("""COMPUTED_VALUE"""),"")</f>
        <v/>
      </c>
      <c r="U794" s="2" t="e">
        <f ca="1"/>
        <v>#NAME?</v>
      </c>
      <c r="V794" s="2" t="e">
        <f ca="1"/>
        <v>#NAME?</v>
      </c>
      <c r="W794" s="2" t="str">
        <f ca="1"/>
        <v/>
      </c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tr">
        <v/>
      </c>
      <c r="S795" s="2" t="str">
        <f ca="1">IFERROR(__xludf.DUMMYFUNCTION("""COMPUTED_VALUE"""),"")</f>
        <v/>
      </c>
      <c r="T795" s="2" t="str">
        <f ca="1">IFERROR(__xludf.DUMMYFUNCTION("""COMPUTED_VALUE"""),"")</f>
        <v/>
      </c>
      <c r="U795" s="2" t="e">
        <f ca="1"/>
        <v>#NAME?</v>
      </c>
      <c r="V795" s="2" t="e">
        <f ca="1"/>
        <v>#NAME?</v>
      </c>
      <c r="W795" s="2" t="str">
        <f ca="1"/>
        <v/>
      </c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tr">
        <v/>
      </c>
      <c r="S796" s="2" t="str">
        <f ca="1">IFERROR(__xludf.DUMMYFUNCTION("""COMPUTED_VALUE"""),"")</f>
        <v/>
      </c>
      <c r="T796" s="2" t="str">
        <f ca="1">IFERROR(__xludf.DUMMYFUNCTION("""COMPUTED_VALUE"""),"")</f>
        <v/>
      </c>
      <c r="U796" s="2" t="e">
        <f ca="1"/>
        <v>#NAME?</v>
      </c>
      <c r="V796" s="2" t="e">
        <f ca="1"/>
        <v>#NAME?</v>
      </c>
      <c r="W796" s="2" t="str">
        <f ca="1"/>
        <v/>
      </c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tr">
        <v/>
      </c>
      <c r="S797" s="2" t="str">
        <f ca="1">IFERROR(__xludf.DUMMYFUNCTION("""COMPUTED_VALUE"""),"")</f>
        <v/>
      </c>
      <c r="T797" s="2" t="str">
        <f ca="1">IFERROR(__xludf.DUMMYFUNCTION("""COMPUTED_VALUE"""),"")</f>
        <v/>
      </c>
      <c r="U797" s="2" t="e">
        <f ca="1"/>
        <v>#NAME?</v>
      </c>
      <c r="V797" s="2" t="e">
        <f ca="1"/>
        <v>#NAME?</v>
      </c>
      <c r="W797" s="2" t="str">
        <f ca="1"/>
        <v/>
      </c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tr">
        <v/>
      </c>
      <c r="S798" s="2" t="str">
        <f ca="1">IFERROR(__xludf.DUMMYFUNCTION("""COMPUTED_VALUE"""),"")</f>
        <v/>
      </c>
      <c r="T798" s="2" t="str">
        <f ca="1">IFERROR(__xludf.DUMMYFUNCTION("""COMPUTED_VALUE"""),"")</f>
        <v/>
      </c>
      <c r="U798" s="2" t="e">
        <f ca="1"/>
        <v>#NAME?</v>
      </c>
      <c r="V798" s="2" t="e">
        <f ca="1"/>
        <v>#NAME?</v>
      </c>
      <c r="W798" s="2" t="str">
        <f ca="1"/>
        <v/>
      </c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tr">
        <v/>
      </c>
      <c r="S799" s="2" t="str">
        <f ca="1">IFERROR(__xludf.DUMMYFUNCTION("""COMPUTED_VALUE"""),"")</f>
        <v/>
      </c>
      <c r="T799" s="2" t="str">
        <f ca="1">IFERROR(__xludf.DUMMYFUNCTION("""COMPUTED_VALUE"""),"")</f>
        <v/>
      </c>
      <c r="U799" s="2" t="e">
        <f ca="1"/>
        <v>#NAME?</v>
      </c>
      <c r="V799" s="2" t="e">
        <f ca="1"/>
        <v>#NAME?</v>
      </c>
      <c r="W799" s="2" t="str">
        <f ca="1"/>
        <v/>
      </c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tr">
        <v/>
      </c>
      <c r="S800" s="2" t="str">
        <f ca="1">IFERROR(__xludf.DUMMYFUNCTION("""COMPUTED_VALUE"""),"")</f>
        <v/>
      </c>
      <c r="T800" s="2" t="str">
        <f ca="1">IFERROR(__xludf.DUMMYFUNCTION("""COMPUTED_VALUE"""),"")</f>
        <v/>
      </c>
      <c r="U800" s="2" t="e">
        <f ca="1"/>
        <v>#NAME?</v>
      </c>
      <c r="V800" s="2" t="e">
        <f ca="1"/>
        <v>#NAME?</v>
      </c>
      <c r="W800" s="2" t="str">
        <f ca="1"/>
        <v/>
      </c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tr">
        <v/>
      </c>
      <c r="S801" s="2" t="str">
        <f ca="1">IFERROR(__xludf.DUMMYFUNCTION("""COMPUTED_VALUE"""),"")</f>
        <v/>
      </c>
      <c r="T801" s="2" t="str">
        <f ca="1">IFERROR(__xludf.DUMMYFUNCTION("""COMPUTED_VALUE"""),"")</f>
        <v/>
      </c>
      <c r="U801" s="2" t="e">
        <f ca="1"/>
        <v>#NAME?</v>
      </c>
      <c r="V801" s="2" t="e">
        <f ca="1"/>
        <v>#NAME?</v>
      </c>
      <c r="W801" s="2" t="str">
        <f ca="1"/>
        <v/>
      </c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tr">
        <v/>
      </c>
      <c r="S802" s="2" t="str">
        <f ca="1">IFERROR(__xludf.DUMMYFUNCTION("""COMPUTED_VALUE"""),"")</f>
        <v/>
      </c>
      <c r="T802" s="2" t="str">
        <f ca="1">IFERROR(__xludf.DUMMYFUNCTION("""COMPUTED_VALUE"""),"")</f>
        <v/>
      </c>
      <c r="U802" s="2" t="e">
        <f ca="1"/>
        <v>#NAME?</v>
      </c>
      <c r="V802" s="2" t="e">
        <f ca="1"/>
        <v>#NAME?</v>
      </c>
      <c r="W802" s="2" t="str">
        <f ca="1"/>
        <v/>
      </c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tr">
        <v/>
      </c>
      <c r="S803" s="2" t="str">
        <f ca="1">IFERROR(__xludf.DUMMYFUNCTION("""COMPUTED_VALUE"""),"")</f>
        <v/>
      </c>
      <c r="T803" s="2" t="str">
        <f ca="1">IFERROR(__xludf.DUMMYFUNCTION("""COMPUTED_VALUE"""),"")</f>
        <v/>
      </c>
      <c r="U803" s="2" t="e">
        <f ca="1"/>
        <v>#NAME?</v>
      </c>
      <c r="V803" s="2" t="e">
        <f ca="1"/>
        <v>#NAME?</v>
      </c>
      <c r="W803" s="2" t="str">
        <f ca="1"/>
        <v/>
      </c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tr">
        <v/>
      </c>
      <c r="S804" s="2" t="str">
        <f ca="1">IFERROR(__xludf.DUMMYFUNCTION("""COMPUTED_VALUE"""),"")</f>
        <v/>
      </c>
      <c r="T804" s="2" t="str">
        <f ca="1">IFERROR(__xludf.DUMMYFUNCTION("""COMPUTED_VALUE"""),"")</f>
        <v/>
      </c>
      <c r="U804" s="2" t="e">
        <f ca="1"/>
        <v>#NAME?</v>
      </c>
      <c r="V804" s="2" t="e">
        <f ca="1"/>
        <v>#NAME?</v>
      </c>
      <c r="W804" s="2" t="str">
        <f ca="1"/>
        <v/>
      </c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tr">
        <v/>
      </c>
      <c r="S805" s="2" t="str">
        <f ca="1">IFERROR(__xludf.DUMMYFUNCTION("""COMPUTED_VALUE"""),"")</f>
        <v/>
      </c>
      <c r="T805" s="2" t="str">
        <f ca="1">IFERROR(__xludf.DUMMYFUNCTION("""COMPUTED_VALUE"""),"")</f>
        <v/>
      </c>
      <c r="U805" s="2" t="e">
        <f ca="1"/>
        <v>#NAME?</v>
      </c>
      <c r="V805" s="2" t="e">
        <f ca="1"/>
        <v>#NAME?</v>
      </c>
      <c r="W805" s="2" t="str">
        <f ca="1"/>
        <v/>
      </c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tr">
        <v/>
      </c>
      <c r="S806" s="2" t="str">
        <f ca="1">IFERROR(__xludf.DUMMYFUNCTION("""COMPUTED_VALUE"""),"")</f>
        <v/>
      </c>
      <c r="T806" s="2" t="str">
        <f ca="1">IFERROR(__xludf.DUMMYFUNCTION("""COMPUTED_VALUE"""),"")</f>
        <v/>
      </c>
      <c r="U806" s="2" t="e">
        <f ca="1"/>
        <v>#NAME?</v>
      </c>
      <c r="V806" s="2" t="e">
        <f ca="1"/>
        <v>#NAME?</v>
      </c>
      <c r="W806" s="2" t="str">
        <f ca="1"/>
        <v/>
      </c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tr">
        <v/>
      </c>
      <c r="S807" s="2" t="str">
        <f ca="1">IFERROR(__xludf.DUMMYFUNCTION("""COMPUTED_VALUE"""),"")</f>
        <v/>
      </c>
      <c r="T807" s="2" t="str">
        <f ca="1">IFERROR(__xludf.DUMMYFUNCTION("""COMPUTED_VALUE"""),"")</f>
        <v/>
      </c>
      <c r="U807" s="2" t="e">
        <f ca="1"/>
        <v>#NAME?</v>
      </c>
      <c r="V807" s="2" t="e">
        <f ca="1"/>
        <v>#NAME?</v>
      </c>
      <c r="W807" s="2" t="str">
        <f ca="1"/>
        <v/>
      </c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tr">
        <v/>
      </c>
      <c r="S808" s="2" t="str">
        <f ca="1">IFERROR(__xludf.DUMMYFUNCTION("""COMPUTED_VALUE"""),"")</f>
        <v/>
      </c>
      <c r="T808" s="2" t="str">
        <f ca="1">IFERROR(__xludf.DUMMYFUNCTION("""COMPUTED_VALUE"""),"")</f>
        <v/>
      </c>
      <c r="U808" s="2" t="e">
        <f ca="1"/>
        <v>#NAME?</v>
      </c>
      <c r="V808" s="2" t="e">
        <f ca="1"/>
        <v>#NAME?</v>
      </c>
      <c r="W808" s="2" t="str">
        <f ca="1"/>
        <v/>
      </c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tr">
        <v/>
      </c>
      <c r="S809" s="2" t="str">
        <f ca="1">IFERROR(__xludf.DUMMYFUNCTION("""COMPUTED_VALUE"""),"")</f>
        <v/>
      </c>
      <c r="T809" s="2" t="str">
        <f ca="1">IFERROR(__xludf.DUMMYFUNCTION("""COMPUTED_VALUE"""),"")</f>
        <v/>
      </c>
      <c r="U809" s="2" t="e">
        <f ca="1"/>
        <v>#NAME?</v>
      </c>
      <c r="V809" s="2" t="e">
        <f ca="1"/>
        <v>#NAME?</v>
      </c>
      <c r="W809" s="2" t="str">
        <f ca="1"/>
        <v/>
      </c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tr">
        <v/>
      </c>
      <c r="S810" s="2" t="str">
        <f ca="1">IFERROR(__xludf.DUMMYFUNCTION("""COMPUTED_VALUE"""),"")</f>
        <v/>
      </c>
      <c r="T810" s="2" t="str">
        <f ca="1">IFERROR(__xludf.DUMMYFUNCTION("""COMPUTED_VALUE"""),"")</f>
        <v/>
      </c>
      <c r="U810" s="2" t="e">
        <f ca="1"/>
        <v>#NAME?</v>
      </c>
      <c r="V810" s="2" t="e">
        <f ca="1"/>
        <v>#NAME?</v>
      </c>
      <c r="W810" s="2" t="str">
        <f ca="1"/>
        <v/>
      </c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tr">
        <v/>
      </c>
      <c r="S811" s="2" t="str">
        <f ca="1">IFERROR(__xludf.DUMMYFUNCTION("""COMPUTED_VALUE"""),"")</f>
        <v/>
      </c>
      <c r="T811" s="2" t="str">
        <f ca="1">IFERROR(__xludf.DUMMYFUNCTION("""COMPUTED_VALUE"""),"")</f>
        <v/>
      </c>
      <c r="U811" s="2" t="e">
        <f ca="1"/>
        <v>#NAME?</v>
      </c>
      <c r="V811" s="2" t="e">
        <f ca="1"/>
        <v>#NAME?</v>
      </c>
      <c r="W811" s="2" t="str">
        <f ca="1"/>
        <v/>
      </c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tr">
        <v/>
      </c>
      <c r="S812" s="2" t="str">
        <f ca="1">IFERROR(__xludf.DUMMYFUNCTION("""COMPUTED_VALUE"""),"")</f>
        <v/>
      </c>
      <c r="T812" s="2" t="str">
        <f ca="1">IFERROR(__xludf.DUMMYFUNCTION("""COMPUTED_VALUE"""),"")</f>
        <v/>
      </c>
      <c r="U812" s="2" t="e">
        <f ca="1"/>
        <v>#NAME?</v>
      </c>
      <c r="V812" s="2" t="e">
        <f ca="1"/>
        <v>#NAME?</v>
      </c>
      <c r="W812" s="2" t="str">
        <f ca="1"/>
        <v/>
      </c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tr">
        <v/>
      </c>
      <c r="S813" s="2" t="str">
        <f ca="1">IFERROR(__xludf.DUMMYFUNCTION("""COMPUTED_VALUE"""),"")</f>
        <v/>
      </c>
      <c r="T813" s="2" t="str">
        <f ca="1">IFERROR(__xludf.DUMMYFUNCTION("""COMPUTED_VALUE"""),"")</f>
        <v/>
      </c>
      <c r="U813" s="2" t="e">
        <f ca="1"/>
        <v>#NAME?</v>
      </c>
      <c r="V813" s="2" t="e">
        <f ca="1"/>
        <v>#NAME?</v>
      </c>
      <c r="W813" s="2" t="str">
        <f ca="1"/>
        <v/>
      </c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tr">
        <v/>
      </c>
      <c r="S814" s="2" t="str">
        <f ca="1">IFERROR(__xludf.DUMMYFUNCTION("""COMPUTED_VALUE"""),"")</f>
        <v/>
      </c>
      <c r="T814" s="2" t="str">
        <f ca="1">IFERROR(__xludf.DUMMYFUNCTION("""COMPUTED_VALUE"""),"")</f>
        <v/>
      </c>
      <c r="U814" s="2" t="e">
        <f ca="1"/>
        <v>#NAME?</v>
      </c>
      <c r="V814" s="2" t="e">
        <f ca="1"/>
        <v>#NAME?</v>
      </c>
      <c r="W814" s="2" t="str">
        <f ca="1"/>
        <v/>
      </c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tr">
        <v/>
      </c>
      <c r="S815" s="2" t="str">
        <f ca="1">IFERROR(__xludf.DUMMYFUNCTION("""COMPUTED_VALUE"""),"")</f>
        <v/>
      </c>
      <c r="T815" s="2" t="str">
        <f ca="1">IFERROR(__xludf.DUMMYFUNCTION("""COMPUTED_VALUE"""),"")</f>
        <v/>
      </c>
      <c r="U815" s="2" t="e">
        <f ca="1"/>
        <v>#NAME?</v>
      </c>
      <c r="V815" s="2" t="e">
        <f ca="1"/>
        <v>#NAME?</v>
      </c>
      <c r="W815" s="2" t="str">
        <f ca="1"/>
        <v/>
      </c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tr">
        <v/>
      </c>
      <c r="S816" s="2" t="str">
        <f ca="1">IFERROR(__xludf.DUMMYFUNCTION("""COMPUTED_VALUE"""),"")</f>
        <v/>
      </c>
      <c r="T816" s="2" t="str">
        <f ca="1">IFERROR(__xludf.DUMMYFUNCTION("""COMPUTED_VALUE"""),"")</f>
        <v/>
      </c>
      <c r="U816" s="2" t="e">
        <f ca="1"/>
        <v>#NAME?</v>
      </c>
      <c r="V816" s="2" t="e">
        <f ca="1"/>
        <v>#NAME?</v>
      </c>
      <c r="W816" s="2" t="str">
        <f ca="1"/>
        <v/>
      </c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tr">
        <v/>
      </c>
      <c r="S817" s="2" t="str">
        <f ca="1">IFERROR(__xludf.DUMMYFUNCTION("""COMPUTED_VALUE"""),"")</f>
        <v/>
      </c>
      <c r="T817" s="2" t="str">
        <f ca="1">IFERROR(__xludf.DUMMYFUNCTION("""COMPUTED_VALUE"""),"")</f>
        <v/>
      </c>
      <c r="U817" s="2" t="e">
        <f ca="1"/>
        <v>#NAME?</v>
      </c>
      <c r="V817" s="2" t="e">
        <f ca="1"/>
        <v>#NAME?</v>
      </c>
      <c r="W817" s="2" t="str">
        <f ca="1"/>
        <v/>
      </c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tr">
        <v/>
      </c>
      <c r="S818" s="2" t="str">
        <f ca="1">IFERROR(__xludf.DUMMYFUNCTION("""COMPUTED_VALUE"""),"")</f>
        <v/>
      </c>
      <c r="T818" s="2" t="str">
        <f ca="1">IFERROR(__xludf.DUMMYFUNCTION("""COMPUTED_VALUE"""),"")</f>
        <v/>
      </c>
      <c r="U818" s="2" t="e">
        <f ca="1"/>
        <v>#NAME?</v>
      </c>
      <c r="V818" s="2" t="e">
        <f ca="1"/>
        <v>#NAME?</v>
      </c>
      <c r="W818" s="2" t="str">
        <f ca="1"/>
        <v/>
      </c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tr">
        <v/>
      </c>
      <c r="S819" s="2" t="str">
        <f ca="1">IFERROR(__xludf.DUMMYFUNCTION("""COMPUTED_VALUE"""),"")</f>
        <v/>
      </c>
      <c r="T819" s="2" t="str">
        <f ca="1">IFERROR(__xludf.DUMMYFUNCTION("""COMPUTED_VALUE"""),"")</f>
        <v/>
      </c>
      <c r="U819" s="2" t="e">
        <f ca="1"/>
        <v>#NAME?</v>
      </c>
      <c r="V819" s="2" t="e">
        <f ca="1"/>
        <v>#NAME?</v>
      </c>
      <c r="W819" s="2" t="str">
        <f ca="1"/>
        <v/>
      </c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tr">
        <v/>
      </c>
      <c r="S820" s="2" t="str">
        <f ca="1">IFERROR(__xludf.DUMMYFUNCTION("""COMPUTED_VALUE"""),"")</f>
        <v/>
      </c>
      <c r="T820" s="2" t="str">
        <f ca="1">IFERROR(__xludf.DUMMYFUNCTION("""COMPUTED_VALUE"""),"")</f>
        <v/>
      </c>
      <c r="U820" s="2" t="e">
        <f ca="1"/>
        <v>#NAME?</v>
      </c>
      <c r="V820" s="2" t="e">
        <f ca="1"/>
        <v>#NAME?</v>
      </c>
      <c r="W820" s="2" t="str">
        <f ca="1"/>
        <v/>
      </c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tr">
        <v/>
      </c>
      <c r="S821" s="2" t="str">
        <f ca="1">IFERROR(__xludf.DUMMYFUNCTION("""COMPUTED_VALUE"""),"")</f>
        <v/>
      </c>
      <c r="T821" s="2" t="str">
        <f ca="1">IFERROR(__xludf.DUMMYFUNCTION("""COMPUTED_VALUE"""),"")</f>
        <v/>
      </c>
      <c r="U821" s="2" t="e">
        <f ca="1"/>
        <v>#NAME?</v>
      </c>
      <c r="V821" s="2" t="e">
        <f ca="1"/>
        <v>#NAME?</v>
      </c>
      <c r="W821" s="2" t="str">
        <f ca="1"/>
        <v/>
      </c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tr">
        <v/>
      </c>
      <c r="S822" s="2" t="str">
        <f ca="1">IFERROR(__xludf.DUMMYFUNCTION("""COMPUTED_VALUE"""),"")</f>
        <v/>
      </c>
      <c r="T822" s="2" t="str">
        <f ca="1">IFERROR(__xludf.DUMMYFUNCTION("""COMPUTED_VALUE"""),"")</f>
        <v/>
      </c>
      <c r="U822" s="2" t="e">
        <f ca="1"/>
        <v>#NAME?</v>
      </c>
      <c r="V822" s="2" t="e">
        <f ca="1"/>
        <v>#NAME?</v>
      </c>
      <c r="W822" s="2" t="str">
        <f ca="1"/>
        <v/>
      </c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tr">
        <v/>
      </c>
      <c r="S823" s="2" t="str">
        <f ca="1">IFERROR(__xludf.DUMMYFUNCTION("""COMPUTED_VALUE"""),"")</f>
        <v/>
      </c>
      <c r="T823" s="2" t="str">
        <f ca="1">IFERROR(__xludf.DUMMYFUNCTION("""COMPUTED_VALUE"""),"")</f>
        <v/>
      </c>
      <c r="U823" s="2" t="e">
        <f ca="1"/>
        <v>#NAME?</v>
      </c>
      <c r="V823" s="2" t="e">
        <f ca="1"/>
        <v>#NAME?</v>
      </c>
      <c r="W823" s="2" t="str">
        <f ca="1"/>
        <v/>
      </c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tr">
        <v/>
      </c>
      <c r="S824" s="2" t="str">
        <f ca="1">IFERROR(__xludf.DUMMYFUNCTION("""COMPUTED_VALUE"""),"")</f>
        <v/>
      </c>
      <c r="T824" s="2" t="str">
        <f ca="1">IFERROR(__xludf.DUMMYFUNCTION("""COMPUTED_VALUE"""),"")</f>
        <v/>
      </c>
      <c r="U824" s="2" t="e">
        <f ca="1"/>
        <v>#NAME?</v>
      </c>
      <c r="V824" s="2" t="e">
        <f ca="1"/>
        <v>#NAME?</v>
      </c>
      <c r="W824" s="2" t="str">
        <f ca="1"/>
        <v/>
      </c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tr">
        <v/>
      </c>
      <c r="S825" s="2" t="str">
        <f ca="1">IFERROR(__xludf.DUMMYFUNCTION("""COMPUTED_VALUE"""),"")</f>
        <v/>
      </c>
      <c r="T825" s="2" t="str">
        <f ca="1">IFERROR(__xludf.DUMMYFUNCTION("""COMPUTED_VALUE"""),"")</f>
        <v/>
      </c>
      <c r="U825" s="2" t="e">
        <f ca="1"/>
        <v>#NAME?</v>
      </c>
      <c r="V825" s="2" t="e">
        <f ca="1"/>
        <v>#NAME?</v>
      </c>
      <c r="W825" s="2" t="str">
        <f ca="1"/>
        <v/>
      </c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tr">
        <v/>
      </c>
      <c r="S826" s="2" t="str">
        <f ca="1">IFERROR(__xludf.DUMMYFUNCTION("""COMPUTED_VALUE"""),"")</f>
        <v/>
      </c>
      <c r="T826" s="2" t="str">
        <f ca="1">IFERROR(__xludf.DUMMYFUNCTION("""COMPUTED_VALUE"""),"")</f>
        <v/>
      </c>
      <c r="U826" s="2" t="e">
        <f ca="1"/>
        <v>#NAME?</v>
      </c>
      <c r="V826" s="2" t="e">
        <f ca="1"/>
        <v>#NAME?</v>
      </c>
      <c r="W826" s="2" t="str">
        <f ca="1"/>
        <v/>
      </c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tr">
        <v/>
      </c>
      <c r="S827" s="2" t="str">
        <f ca="1">IFERROR(__xludf.DUMMYFUNCTION("""COMPUTED_VALUE"""),"")</f>
        <v/>
      </c>
      <c r="T827" s="2" t="str">
        <f ca="1">IFERROR(__xludf.DUMMYFUNCTION("""COMPUTED_VALUE"""),"")</f>
        <v/>
      </c>
      <c r="U827" s="2" t="e">
        <f ca="1"/>
        <v>#NAME?</v>
      </c>
      <c r="V827" s="2" t="e">
        <f ca="1"/>
        <v>#NAME?</v>
      </c>
      <c r="W827" s="2" t="str">
        <f ca="1"/>
        <v/>
      </c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tr">
        <v/>
      </c>
      <c r="S828" s="2" t="str">
        <f ca="1">IFERROR(__xludf.DUMMYFUNCTION("""COMPUTED_VALUE"""),"")</f>
        <v/>
      </c>
      <c r="T828" s="2" t="str">
        <f ca="1">IFERROR(__xludf.DUMMYFUNCTION("""COMPUTED_VALUE"""),"")</f>
        <v/>
      </c>
      <c r="U828" s="2" t="e">
        <f ca="1"/>
        <v>#NAME?</v>
      </c>
      <c r="V828" s="2" t="e">
        <f ca="1"/>
        <v>#NAME?</v>
      </c>
      <c r="W828" s="2" t="str">
        <f ca="1"/>
        <v/>
      </c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tr">
        <v/>
      </c>
      <c r="S829" s="2" t="str">
        <f ca="1">IFERROR(__xludf.DUMMYFUNCTION("""COMPUTED_VALUE"""),"")</f>
        <v/>
      </c>
      <c r="T829" s="2" t="str">
        <f ca="1">IFERROR(__xludf.DUMMYFUNCTION("""COMPUTED_VALUE"""),"")</f>
        <v/>
      </c>
      <c r="U829" s="2" t="e">
        <f ca="1"/>
        <v>#NAME?</v>
      </c>
      <c r="V829" s="2" t="e">
        <f ca="1"/>
        <v>#NAME?</v>
      </c>
      <c r="W829" s="2" t="str">
        <f ca="1"/>
        <v/>
      </c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tr">
        <v/>
      </c>
      <c r="S830" s="2" t="str">
        <f ca="1">IFERROR(__xludf.DUMMYFUNCTION("""COMPUTED_VALUE"""),"")</f>
        <v/>
      </c>
      <c r="T830" s="2" t="str">
        <f ca="1">IFERROR(__xludf.DUMMYFUNCTION("""COMPUTED_VALUE"""),"")</f>
        <v/>
      </c>
      <c r="U830" s="2" t="e">
        <f ca="1"/>
        <v>#NAME?</v>
      </c>
      <c r="V830" s="2" t="e">
        <f ca="1"/>
        <v>#NAME?</v>
      </c>
      <c r="W830" s="2" t="str">
        <f ca="1"/>
        <v/>
      </c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tr">
        <v/>
      </c>
      <c r="S831" s="2" t="str">
        <f ca="1">IFERROR(__xludf.DUMMYFUNCTION("""COMPUTED_VALUE"""),"")</f>
        <v/>
      </c>
      <c r="T831" s="2" t="str">
        <f ca="1">IFERROR(__xludf.DUMMYFUNCTION("""COMPUTED_VALUE"""),"")</f>
        <v/>
      </c>
      <c r="U831" s="2" t="e">
        <f ca="1"/>
        <v>#NAME?</v>
      </c>
      <c r="V831" s="2" t="e">
        <f ca="1"/>
        <v>#NAME?</v>
      </c>
      <c r="W831" s="2" t="str">
        <f ca="1"/>
        <v/>
      </c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tr">
        <v/>
      </c>
      <c r="S832" s="2" t="str">
        <f ca="1">IFERROR(__xludf.DUMMYFUNCTION("""COMPUTED_VALUE"""),"")</f>
        <v/>
      </c>
      <c r="T832" s="2" t="str">
        <f ca="1">IFERROR(__xludf.DUMMYFUNCTION("""COMPUTED_VALUE"""),"")</f>
        <v/>
      </c>
      <c r="U832" s="2" t="e">
        <f ca="1"/>
        <v>#NAME?</v>
      </c>
      <c r="V832" s="2" t="e">
        <f ca="1"/>
        <v>#NAME?</v>
      </c>
      <c r="W832" s="2" t="str">
        <f ca="1"/>
        <v/>
      </c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tr">
        <v/>
      </c>
      <c r="S833" s="2" t="str">
        <f ca="1">IFERROR(__xludf.DUMMYFUNCTION("""COMPUTED_VALUE"""),"")</f>
        <v/>
      </c>
      <c r="T833" s="2" t="str">
        <f ca="1">IFERROR(__xludf.DUMMYFUNCTION("""COMPUTED_VALUE"""),"")</f>
        <v/>
      </c>
      <c r="U833" s="2" t="e">
        <f ca="1"/>
        <v>#NAME?</v>
      </c>
      <c r="V833" s="2" t="e">
        <f ca="1"/>
        <v>#NAME?</v>
      </c>
      <c r="W833" s="2" t="str">
        <f ca="1"/>
        <v/>
      </c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tr">
        <v/>
      </c>
      <c r="S834" s="2" t="str">
        <f ca="1">IFERROR(__xludf.DUMMYFUNCTION("""COMPUTED_VALUE"""),"")</f>
        <v/>
      </c>
      <c r="T834" s="2" t="str">
        <f ca="1">IFERROR(__xludf.DUMMYFUNCTION("""COMPUTED_VALUE"""),"")</f>
        <v/>
      </c>
      <c r="U834" s="2" t="e">
        <f ca="1"/>
        <v>#NAME?</v>
      </c>
      <c r="V834" s="2" t="e">
        <f ca="1"/>
        <v>#NAME?</v>
      </c>
      <c r="W834" s="2" t="str">
        <f ca="1"/>
        <v/>
      </c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tr">
        <v/>
      </c>
      <c r="S835" s="2" t="str">
        <f ca="1">IFERROR(__xludf.DUMMYFUNCTION("""COMPUTED_VALUE"""),"")</f>
        <v/>
      </c>
      <c r="T835" s="2" t="str">
        <f ca="1">IFERROR(__xludf.DUMMYFUNCTION("""COMPUTED_VALUE"""),"")</f>
        <v/>
      </c>
      <c r="U835" s="2" t="e">
        <f ca="1"/>
        <v>#NAME?</v>
      </c>
      <c r="V835" s="2" t="e">
        <f ca="1"/>
        <v>#NAME?</v>
      </c>
      <c r="W835" s="2" t="str">
        <f ca="1"/>
        <v/>
      </c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tr">
        <v/>
      </c>
      <c r="S836" s="2" t="str">
        <f ca="1">IFERROR(__xludf.DUMMYFUNCTION("""COMPUTED_VALUE"""),"")</f>
        <v/>
      </c>
      <c r="T836" s="2" t="str">
        <f ca="1">IFERROR(__xludf.DUMMYFUNCTION("""COMPUTED_VALUE"""),"")</f>
        <v/>
      </c>
      <c r="U836" s="2" t="e">
        <f ca="1"/>
        <v>#NAME?</v>
      </c>
      <c r="V836" s="2" t="e">
        <f ca="1"/>
        <v>#NAME?</v>
      </c>
      <c r="W836" s="2" t="str">
        <f ca="1"/>
        <v/>
      </c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tr">
        <v/>
      </c>
      <c r="S837" s="2" t="str">
        <f ca="1">IFERROR(__xludf.DUMMYFUNCTION("""COMPUTED_VALUE"""),"")</f>
        <v/>
      </c>
      <c r="T837" s="2" t="str">
        <f ca="1">IFERROR(__xludf.DUMMYFUNCTION("""COMPUTED_VALUE"""),"")</f>
        <v/>
      </c>
      <c r="U837" s="2" t="e">
        <f ca="1"/>
        <v>#NAME?</v>
      </c>
      <c r="V837" s="2" t="e">
        <f ca="1"/>
        <v>#NAME?</v>
      </c>
      <c r="W837" s="2" t="str">
        <f ca="1"/>
        <v/>
      </c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tr">
        <v/>
      </c>
      <c r="S838" s="2" t="str">
        <f ca="1">IFERROR(__xludf.DUMMYFUNCTION("""COMPUTED_VALUE"""),"")</f>
        <v/>
      </c>
      <c r="T838" s="2" t="str">
        <f ca="1">IFERROR(__xludf.DUMMYFUNCTION("""COMPUTED_VALUE"""),"")</f>
        <v/>
      </c>
      <c r="U838" s="2" t="e">
        <f ca="1"/>
        <v>#NAME?</v>
      </c>
      <c r="V838" s="2" t="e">
        <f ca="1"/>
        <v>#NAME?</v>
      </c>
      <c r="W838" s="2" t="str">
        <f ca="1"/>
        <v/>
      </c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tr">
        <v/>
      </c>
      <c r="S839" s="2" t="str">
        <f ca="1">IFERROR(__xludf.DUMMYFUNCTION("""COMPUTED_VALUE"""),"")</f>
        <v/>
      </c>
      <c r="T839" s="2" t="str">
        <f ca="1">IFERROR(__xludf.DUMMYFUNCTION("""COMPUTED_VALUE"""),"")</f>
        <v/>
      </c>
      <c r="U839" s="2" t="e">
        <f ca="1"/>
        <v>#NAME?</v>
      </c>
      <c r="V839" s="2" t="e">
        <f ca="1"/>
        <v>#NAME?</v>
      </c>
      <c r="W839" s="2" t="str">
        <f ca="1"/>
        <v/>
      </c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tr">
        <v/>
      </c>
      <c r="S840" s="2" t="str">
        <f ca="1">IFERROR(__xludf.DUMMYFUNCTION("""COMPUTED_VALUE"""),"")</f>
        <v/>
      </c>
      <c r="T840" s="2" t="str">
        <f ca="1">IFERROR(__xludf.DUMMYFUNCTION("""COMPUTED_VALUE"""),"")</f>
        <v/>
      </c>
      <c r="U840" s="2" t="e">
        <f ca="1"/>
        <v>#NAME?</v>
      </c>
      <c r="V840" s="2" t="e">
        <f ca="1"/>
        <v>#NAME?</v>
      </c>
      <c r="W840" s="2" t="str">
        <f ca="1"/>
        <v/>
      </c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tr">
        <v/>
      </c>
      <c r="S841" s="2" t="str">
        <f ca="1">IFERROR(__xludf.DUMMYFUNCTION("""COMPUTED_VALUE"""),"")</f>
        <v/>
      </c>
      <c r="T841" s="2" t="str">
        <f ca="1">IFERROR(__xludf.DUMMYFUNCTION("""COMPUTED_VALUE"""),"")</f>
        <v/>
      </c>
      <c r="U841" s="2" t="e">
        <f ca="1"/>
        <v>#NAME?</v>
      </c>
      <c r="V841" s="2" t="e">
        <f ca="1"/>
        <v>#NAME?</v>
      </c>
      <c r="W841" s="2" t="str">
        <f ca="1"/>
        <v/>
      </c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tr">
        <v/>
      </c>
      <c r="S842" s="2" t="str">
        <f ca="1">IFERROR(__xludf.DUMMYFUNCTION("""COMPUTED_VALUE"""),"")</f>
        <v/>
      </c>
      <c r="T842" s="2" t="str">
        <f ca="1">IFERROR(__xludf.DUMMYFUNCTION("""COMPUTED_VALUE"""),"")</f>
        <v/>
      </c>
      <c r="U842" s="2" t="e">
        <f ca="1"/>
        <v>#NAME?</v>
      </c>
      <c r="V842" s="2" t="e">
        <f ca="1"/>
        <v>#NAME?</v>
      </c>
      <c r="W842" s="2" t="str">
        <f ca="1"/>
        <v/>
      </c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tr">
        <v/>
      </c>
      <c r="S843" s="2" t="str">
        <f ca="1">IFERROR(__xludf.DUMMYFUNCTION("""COMPUTED_VALUE"""),"")</f>
        <v/>
      </c>
      <c r="T843" s="2" t="str">
        <f ca="1">IFERROR(__xludf.DUMMYFUNCTION("""COMPUTED_VALUE"""),"")</f>
        <v/>
      </c>
      <c r="U843" s="2" t="e">
        <f ca="1"/>
        <v>#NAME?</v>
      </c>
      <c r="V843" s="2" t="e">
        <f ca="1"/>
        <v>#NAME?</v>
      </c>
      <c r="W843" s="2" t="str">
        <f ca="1"/>
        <v/>
      </c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tr">
        <v/>
      </c>
      <c r="S844" s="2" t="str">
        <f ca="1">IFERROR(__xludf.DUMMYFUNCTION("""COMPUTED_VALUE"""),"")</f>
        <v/>
      </c>
      <c r="T844" s="2" t="str">
        <f ca="1">IFERROR(__xludf.DUMMYFUNCTION("""COMPUTED_VALUE"""),"")</f>
        <v/>
      </c>
      <c r="U844" s="2" t="e">
        <f ca="1"/>
        <v>#NAME?</v>
      </c>
      <c r="V844" s="2" t="e">
        <f ca="1"/>
        <v>#NAME?</v>
      </c>
      <c r="W844" s="2" t="str">
        <f ca="1"/>
        <v/>
      </c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tr">
        <v/>
      </c>
      <c r="S845" s="2" t="str">
        <f ca="1">IFERROR(__xludf.DUMMYFUNCTION("""COMPUTED_VALUE"""),"")</f>
        <v/>
      </c>
      <c r="T845" s="2" t="str">
        <f ca="1">IFERROR(__xludf.DUMMYFUNCTION("""COMPUTED_VALUE"""),"")</f>
        <v/>
      </c>
      <c r="U845" s="2" t="e">
        <f ca="1"/>
        <v>#NAME?</v>
      </c>
      <c r="V845" s="2" t="e">
        <f ca="1"/>
        <v>#NAME?</v>
      </c>
      <c r="W845" s="2" t="str">
        <f ca="1"/>
        <v/>
      </c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tr">
        <v/>
      </c>
      <c r="S846" s="2" t="str">
        <f ca="1">IFERROR(__xludf.DUMMYFUNCTION("""COMPUTED_VALUE"""),"")</f>
        <v/>
      </c>
      <c r="T846" s="2" t="str">
        <f ca="1">IFERROR(__xludf.DUMMYFUNCTION("""COMPUTED_VALUE"""),"")</f>
        <v/>
      </c>
      <c r="U846" s="2" t="e">
        <f ca="1"/>
        <v>#NAME?</v>
      </c>
      <c r="V846" s="2" t="e">
        <f ca="1"/>
        <v>#NAME?</v>
      </c>
      <c r="W846" s="2" t="str">
        <f ca="1"/>
        <v/>
      </c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tr">
        <v/>
      </c>
      <c r="S847" s="2" t="str">
        <f ca="1">IFERROR(__xludf.DUMMYFUNCTION("""COMPUTED_VALUE"""),"")</f>
        <v/>
      </c>
      <c r="T847" s="2" t="str">
        <f ca="1">IFERROR(__xludf.DUMMYFUNCTION("""COMPUTED_VALUE"""),"")</f>
        <v/>
      </c>
      <c r="U847" s="2" t="e">
        <f ca="1"/>
        <v>#NAME?</v>
      </c>
      <c r="V847" s="2" t="e">
        <f ca="1"/>
        <v>#NAME?</v>
      </c>
      <c r="W847" s="2" t="str">
        <f ca="1"/>
        <v/>
      </c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tr">
        <v/>
      </c>
      <c r="S848" s="2" t="str">
        <f ca="1">IFERROR(__xludf.DUMMYFUNCTION("""COMPUTED_VALUE"""),"")</f>
        <v/>
      </c>
      <c r="T848" s="2" t="str">
        <f ca="1">IFERROR(__xludf.DUMMYFUNCTION("""COMPUTED_VALUE"""),"")</f>
        <v/>
      </c>
      <c r="U848" s="2" t="e">
        <f ca="1"/>
        <v>#NAME?</v>
      </c>
      <c r="V848" s="2" t="e">
        <f ca="1"/>
        <v>#NAME?</v>
      </c>
      <c r="W848" s="2" t="str">
        <f ca="1"/>
        <v/>
      </c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tr">
        <v/>
      </c>
      <c r="S849" s="2" t="str">
        <f ca="1">IFERROR(__xludf.DUMMYFUNCTION("""COMPUTED_VALUE"""),"")</f>
        <v/>
      </c>
      <c r="T849" s="2" t="str">
        <f ca="1">IFERROR(__xludf.DUMMYFUNCTION("""COMPUTED_VALUE"""),"")</f>
        <v/>
      </c>
      <c r="U849" s="2" t="e">
        <f ca="1"/>
        <v>#NAME?</v>
      </c>
      <c r="V849" s="2" t="e">
        <f ca="1"/>
        <v>#NAME?</v>
      </c>
      <c r="W849" s="2" t="str">
        <f ca="1"/>
        <v/>
      </c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tr">
        <v/>
      </c>
      <c r="S850" s="2" t="str">
        <f ca="1">IFERROR(__xludf.DUMMYFUNCTION("""COMPUTED_VALUE"""),"")</f>
        <v/>
      </c>
      <c r="T850" s="2" t="str">
        <f ca="1">IFERROR(__xludf.DUMMYFUNCTION("""COMPUTED_VALUE"""),"")</f>
        <v/>
      </c>
      <c r="U850" s="2" t="e">
        <f ca="1"/>
        <v>#NAME?</v>
      </c>
      <c r="V850" s="2" t="e">
        <f ca="1"/>
        <v>#NAME?</v>
      </c>
      <c r="W850" s="2" t="str">
        <f ca="1"/>
        <v/>
      </c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tr">
        <v/>
      </c>
      <c r="S851" s="2" t="str">
        <f ca="1">IFERROR(__xludf.DUMMYFUNCTION("""COMPUTED_VALUE"""),"")</f>
        <v/>
      </c>
      <c r="T851" s="2" t="str">
        <f ca="1">IFERROR(__xludf.DUMMYFUNCTION("""COMPUTED_VALUE"""),"")</f>
        <v/>
      </c>
      <c r="U851" s="2" t="e">
        <f ca="1"/>
        <v>#NAME?</v>
      </c>
      <c r="V851" s="2" t="e">
        <f ca="1"/>
        <v>#NAME?</v>
      </c>
      <c r="W851" s="2" t="str">
        <f ca="1"/>
        <v/>
      </c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tr">
        <v/>
      </c>
      <c r="S852" s="2" t="str">
        <f ca="1">IFERROR(__xludf.DUMMYFUNCTION("""COMPUTED_VALUE"""),"")</f>
        <v/>
      </c>
      <c r="T852" s="2" t="str">
        <f ca="1">IFERROR(__xludf.DUMMYFUNCTION("""COMPUTED_VALUE"""),"")</f>
        <v/>
      </c>
      <c r="U852" s="2" t="e">
        <f ca="1"/>
        <v>#NAME?</v>
      </c>
      <c r="V852" s="2" t="e">
        <f ca="1"/>
        <v>#NAME?</v>
      </c>
      <c r="W852" s="2" t="str">
        <f ca="1"/>
        <v/>
      </c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tr">
        <v/>
      </c>
      <c r="S853" s="2" t="str">
        <f ca="1">IFERROR(__xludf.DUMMYFUNCTION("""COMPUTED_VALUE"""),"")</f>
        <v/>
      </c>
      <c r="T853" s="2" t="str">
        <f ca="1">IFERROR(__xludf.DUMMYFUNCTION("""COMPUTED_VALUE"""),"")</f>
        <v/>
      </c>
      <c r="U853" s="2" t="e">
        <f ca="1"/>
        <v>#NAME?</v>
      </c>
      <c r="V853" s="2" t="e">
        <f ca="1"/>
        <v>#NAME?</v>
      </c>
      <c r="W853" s="2" t="str">
        <f ca="1"/>
        <v/>
      </c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tr">
        <v/>
      </c>
      <c r="S854" s="2" t="str">
        <f ca="1">IFERROR(__xludf.DUMMYFUNCTION("""COMPUTED_VALUE"""),"")</f>
        <v/>
      </c>
      <c r="T854" s="2" t="str">
        <f ca="1">IFERROR(__xludf.DUMMYFUNCTION("""COMPUTED_VALUE"""),"")</f>
        <v/>
      </c>
      <c r="U854" s="2" t="e">
        <f ca="1"/>
        <v>#NAME?</v>
      </c>
      <c r="V854" s="2" t="e">
        <f ca="1"/>
        <v>#NAME?</v>
      </c>
      <c r="W854" s="2" t="str">
        <f ca="1"/>
        <v/>
      </c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tr">
        <v/>
      </c>
      <c r="S855" s="2" t="str">
        <f ca="1">IFERROR(__xludf.DUMMYFUNCTION("""COMPUTED_VALUE"""),"")</f>
        <v/>
      </c>
      <c r="T855" s="2" t="str">
        <f ca="1">IFERROR(__xludf.DUMMYFUNCTION("""COMPUTED_VALUE"""),"")</f>
        <v/>
      </c>
      <c r="U855" s="2" t="e">
        <f ca="1"/>
        <v>#NAME?</v>
      </c>
      <c r="V855" s="2" t="e">
        <f ca="1"/>
        <v>#NAME?</v>
      </c>
      <c r="W855" s="2" t="str">
        <f ca="1"/>
        <v/>
      </c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tr">
        <v/>
      </c>
      <c r="S856" s="2" t="str">
        <f ca="1">IFERROR(__xludf.DUMMYFUNCTION("""COMPUTED_VALUE"""),"")</f>
        <v/>
      </c>
      <c r="T856" s="2" t="str">
        <f ca="1">IFERROR(__xludf.DUMMYFUNCTION("""COMPUTED_VALUE"""),"")</f>
        <v/>
      </c>
      <c r="U856" s="2" t="e">
        <f ca="1"/>
        <v>#NAME?</v>
      </c>
      <c r="V856" s="2" t="e">
        <f ca="1"/>
        <v>#NAME?</v>
      </c>
      <c r="W856" s="2" t="str">
        <f ca="1"/>
        <v/>
      </c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tr">
        <v/>
      </c>
      <c r="S857" s="2" t="str">
        <f ca="1">IFERROR(__xludf.DUMMYFUNCTION("""COMPUTED_VALUE"""),"")</f>
        <v/>
      </c>
      <c r="T857" s="2" t="str">
        <f ca="1">IFERROR(__xludf.DUMMYFUNCTION("""COMPUTED_VALUE"""),"")</f>
        <v/>
      </c>
      <c r="U857" s="2" t="e">
        <f ca="1"/>
        <v>#NAME?</v>
      </c>
      <c r="V857" s="2" t="e">
        <f ca="1"/>
        <v>#NAME?</v>
      </c>
      <c r="W857" s="2" t="str">
        <f ca="1"/>
        <v/>
      </c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tr">
        <v/>
      </c>
      <c r="S858" s="2" t="str">
        <f ca="1">IFERROR(__xludf.DUMMYFUNCTION("""COMPUTED_VALUE"""),"")</f>
        <v/>
      </c>
      <c r="T858" s="2" t="str">
        <f ca="1">IFERROR(__xludf.DUMMYFUNCTION("""COMPUTED_VALUE"""),"")</f>
        <v/>
      </c>
      <c r="U858" s="2" t="e">
        <f ca="1"/>
        <v>#NAME?</v>
      </c>
      <c r="V858" s="2" t="e">
        <f ca="1"/>
        <v>#NAME?</v>
      </c>
      <c r="W858" s="2" t="str">
        <f ca="1"/>
        <v/>
      </c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tr">
        <v/>
      </c>
      <c r="S859" s="2" t="str">
        <f ca="1">IFERROR(__xludf.DUMMYFUNCTION("""COMPUTED_VALUE"""),"")</f>
        <v/>
      </c>
      <c r="T859" s="2" t="str">
        <f ca="1">IFERROR(__xludf.DUMMYFUNCTION("""COMPUTED_VALUE"""),"")</f>
        <v/>
      </c>
      <c r="U859" s="2" t="e">
        <f ca="1"/>
        <v>#NAME?</v>
      </c>
      <c r="V859" s="2" t="e">
        <f ca="1"/>
        <v>#NAME?</v>
      </c>
      <c r="W859" s="2" t="str">
        <f ca="1"/>
        <v/>
      </c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tr">
        <v/>
      </c>
      <c r="S860" s="2" t="str">
        <f ca="1">IFERROR(__xludf.DUMMYFUNCTION("""COMPUTED_VALUE"""),"")</f>
        <v/>
      </c>
      <c r="T860" s="2" t="str">
        <f ca="1">IFERROR(__xludf.DUMMYFUNCTION("""COMPUTED_VALUE"""),"")</f>
        <v/>
      </c>
      <c r="U860" s="2" t="e">
        <f ca="1"/>
        <v>#NAME?</v>
      </c>
      <c r="V860" s="2" t="e">
        <f ca="1"/>
        <v>#NAME?</v>
      </c>
      <c r="W860" s="2" t="str">
        <f ca="1"/>
        <v/>
      </c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tr">
        <v/>
      </c>
      <c r="S861" s="2" t="str">
        <f ca="1">IFERROR(__xludf.DUMMYFUNCTION("""COMPUTED_VALUE"""),"")</f>
        <v/>
      </c>
      <c r="T861" s="2" t="str">
        <f ca="1">IFERROR(__xludf.DUMMYFUNCTION("""COMPUTED_VALUE"""),"")</f>
        <v/>
      </c>
      <c r="U861" s="2" t="e">
        <f ca="1"/>
        <v>#NAME?</v>
      </c>
      <c r="V861" s="2" t="e">
        <f ca="1"/>
        <v>#NAME?</v>
      </c>
      <c r="W861" s="2" t="str">
        <f ca="1"/>
        <v/>
      </c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tr">
        <v/>
      </c>
      <c r="S862" s="2" t="str">
        <f ca="1">IFERROR(__xludf.DUMMYFUNCTION("""COMPUTED_VALUE"""),"")</f>
        <v/>
      </c>
      <c r="T862" s="2" t="str">
        <f ca="1">IFERROR(__xludf.DUMMYFUNCTION("""COMPUTED_VALUE"""),"")</f>
        <v/>
      </c>
      <c r="U862" s="2" t="e">
        <f ca="1"/>
        <v>#NAME?</v>
      </c>
      <c r="V862" s="2" t="e">
        <f ca="1"/>
        <v>#NAME?</v>
      </c>
      <c r="W862" s="2" t="str">
        <f ca="1"/>
        <v/>
      </c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tr">
        <v/>
      </c>
      <c r="S863" s="2" t="str">
        <f ca="1">IFERROR(__xludf.DUMMYFUNCTION("""COMPUTED_VALUE"""),"")</f>
        <v/>
      </c>
      <c r="T863" s="2" t="str">
        <f ca="1">IFERROR(__xludf.DUMMYFUNCTION("""COMPUTED_VALUE"""),"")</f>
        <v/>
      </c>
      <c r="U863" s="2" t="e">
        <f ca="1"/>
        <v>#NAME?</v>
      </c>
      <c r="V863" s="2" t="e">
        <f ca="1"/>
        <v>#NAME?</v>
      </c>
      <c r="W863" s="2" t="str">
        <f ca="1"/>
        <v/>
      </c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tr">
        <v/>
      </c>
      <c r="S864" s="2" t="str">
        <f ca="1">IFERROR(__xludf.DUMMYFUNCTION("""COMPUTED_VALUE"""),"")</f>
        <v/>
      </c>
      <c r="T864" s="2" t="str">
        <f ca="1">IFERROR(__xludf.DUMMYFUNCTION("""COMPUTED_VALUE"""),"")</f>
        <v/>
      </c>
      <c r="U864" s="2" t="e">
        <f ca="1"/>
        <v>#NAME?</v>
      </c>
      <c r="V864" s="2" t="e">
        <f ca="1"/>
        <v>#NAME?</v>
      </c>
      <c r="W864" s="2" t="str">
        <f ca="1"/>
        <v/>
      </c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tr">
        <v/>
      </c>
      <c r="S865" s="2" t="str">
        <f ca="1">IFERROR(__xludf.DUMMYFUNCTION("""COMPUTED_VALUE"""),"")</f>
        <v/>
      </c>
      <c r="T865" s="2" t="str">
        <f ca="1">IFERROR(__xludf.DUMMYFUNCTION("""COMPUTED_VALUE"""),"")</f>
        <v/>
      </c>
      <c r="U865" s="2" t="e">
        <f ca="1"/>
        <v>#NAME?</v>
      </c>
      <c r="V865" s="2" t="e">
        <f ca="1"/>
        <v>#NAME?</v>
      </c>
      <c r="W865" s="2" t="str">
        <f ca="1"/>
        <v/>
      </c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tr">
        <v/>
      </c>
      <c r="S866" s="2" t="str">
        <f ca="1">IFERROR(__xludf.DUMMYFUNCTION("""COMPUTED_VALUE"""),"")</f>
        <v/>
      </c>
      <c r="T866" s="2" t="str">
        <f ca="1">IFERROR(__xludf.DUMMYFUNCTION("""COMPUTED_VALUE"""),"")</f>
        <v/>
      </c>
      <c r="U866" s="2" t="e">
        <f ca="1"/>
        <v>#NAME?</v>
      </c>
      <c r="V866" s="2" t="e">
        <f ca="1"/>
        <v>#NAME?</v>
      </c>
      <c r="W866" s="2" t="str">
        <f ca="1"/>
        <v/>
      </c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tr">
        <v/>
      </c>
      <c r="S867" s="2" t="str">
        <f ca="1">IFERROR(__xludf.DUMMYFUNCTION("""COMPUTED_VALUE"""),"")</f>
        <v/>
      </c>
      <c r="T867" s="2" t="str">
        <f ca="1">IFERROR(__xludf.DUMMYFUNCTION("""COMPUTED_VALUE"""),"")</f>
        <v/>
      </c>
      <c r="U867" s="2" t="e">
        <f ca="1"/>
        <v>#NAME?</v>
      </c>
      <c r="V867" s="2" t="e">
        <f ca="1"/>
        <v>#NAME?</v>
      </c>
      <c r="W867" s="2" t="str">
        <f ca="1"/>
        <v/>
      </c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tr">
        <v/>
      </c>
      <c r="S868" s="2" t="str">
        <f ca="1">IFERROR(__xludf.DUMMYFUNCTION("""COMPUTED_VALUE"""),"")</f>
        <v/>
      </c>
      <c r="T868" s="2" t="str">
        <f ca="1">IFERROR(__xludf.DUMMYFUNCTION("""COMPUTED_VALUE"""),"")</f>
        <v/>
      </c>
      <c r="U868" s="2" t="e">
        <f ca="1"/>
        <v>#NAME?</v>
      </c>
      <c r="V868" s="2" t="e">
        <f ca="1"/>
        <v>#NAME?</v>
      </c>
      <c r="W868" s="2" t="str">
        <f ca="1"/>
        <v/>
      </c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tr">
        <v/>
      </c>
      <c r="S869" s="2" t="str">
        <f ca="1">IFERROR(__xludf.DUMMYFUNCTION("""COMPUTED_VALUE"""),"")</f>
        <v/>
      </c>
      <c r="T869" s="2" t="str">
        <f ca="1">IFERROR(__xludf.DUMMYFUNCTION("""COMPUTED_VALUE"""),"")</f>
        <v/>
      </c>
      <c r="U869" s="2" t="e">
        <f ca="1"/>
        <v>#NAME?</v>
      </c>
      <c r="V869" s="2" t="e">
        <f ca="1"/>
        <v>#NAME?</v>
      </c>
      <c r="W869" s="2" t="str">
        <f ca="1"/>
        <v/>
      </c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tr">
        <v/>
      </c>
      <c r="S870" s="2" t="str">
        <f ca="1">IFERROR(__xludf.DUMMYFUNCTION("""COMPUTED_VALUE"""),"")</f>
        <v/>
      </c>
      <c r="T870" s="2" t="str">
        <f ca="1">IFERROR(__xludf.DUMMYFUNCTION("""COMPUTED_VALUE"""),"")</f>
        <v/>
      </c>
      <c r="U870" s="2" t="e">
        <f ca="1"/>
        <v>#NAME?</v>
      </c>
      <c r="V870" s="2" t="e">
        <f ca="1"/>
        <v>#NAME?</v>
      </c>
      <c r="W870" s="2" t="str">
        <f ca="1"/>
        <v/>
      </c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tr">
        <v/>
      </c>
      <c r="S871" s="2" t="str">
        <f ca="1">IFERROR(__xludf.DUMMYFUNCTION("""COMPUTED_VALUE"""),"")</f>
        <v/>
      </c>
      <c r="T871" s="2" t="str">
        <f ca="1">IFERROR(__xludf.DUMMYFUNCTION("""COMPUTED_VALUE"""),"")</f>
        <v/>
      </c>
      <c r="U871" s="2" t="e">
        <f ca="1"/>
        <v>#NAME?</v>
      </c>
      <c r="V871" s="2" t="e">
        <f ca="1"/>
        <v>#NAME?</v>
      </c>
      <c r="W871" s="2" t="str">
        <f ca="1"/>
        <v/>
      </c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tr">
        <v/>
      </c>
      <c r="S872" s="2" t="str">
        <f ca="1">IFERROR(__xludf.DUMMYFUNCTION("""COMPUTED_VALUE"""),"")</f>
        <v/>
      </c>
      <c r="T872" s="2" t="str">
        <f ca="1">IFERROR(__xludf.DUMMYFUNCTION("""COMPUTED_VALUE"""),"")</f>
        <v/>
      </c>
      <c r="U872" s="2" t="e">
        <f ca="1"/>
        <v>#NAME?</v>
      </c>
      <c r="V872" s="2" t="e">
        <f ca="1"/>
        <v>#NAME?</v>
      </c>
      <c r="W872" s="2" t="str">
        <f ca="1"/>
        <v/>
      </c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tr">
        <v/>
      </c>
      <c r="S873" s="2" t="str">
        <f ca="1">IFERROR(__xludf.DUMMYFUNCTION("""COMPUTED_VALUE"""),"")</f>
        <v/>
      </c>
      <c r="T873" s="2" t="str">
        <f ca="1">IFERROR(__xludf.DUMMYFUNCTION("""COMPUTED_VALUE"""),"")</f>
        <v/>
      </c>
      <c r="U873" s="2" t="e">
        <f ca="1"/>
        <v>#NAME?</v>
      </c>
      <c r="V873" s="2" t="e">
        <f ca="1"/>
        <v>#NAME?</v>
      </c>
      <c r="W873" s="2" t="str">
        <f ca="1"/>
        <v/>
      </c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tr">
        <v/>
      </c>
      <c r="S874" s="2" t="str">
        <f ca="1">IFERROR(__xludf.DUMMYFUNCTION("""COMPUTED_VALUE"""),"")</f>
        <v/>
      </c>
      <c r="T874" s="2" t="str">
        <f ca="1">IFERROR(__xludf.DUMMYFUNCTION("""COMPUTED_VALUE"""),"")</f>
        <v/>
      </c>
      <c r="U874" s="2" t="e">
        <f ca="1"/>
        <v>#NAME?</v>
      </c>
      <c r="V874" s="2" t="e">
        <f ca="1"/>
        <v>#NAME?</v>
      </c>
      <c r="W874" s="2" t="str">
        <f ca="1"/>
        <v/>
      </c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tr">
        <v/>
      </c>
      <c r="S875" s="2" t="str">
        <f ca="1">IFERROR(__xludf.DUMMYFUNCTION("""COMPUTED_VALUE"""),"")</f>
        <v/>
      </c>
      <c r="T875" s="2" t="str">
        <f ca="1">IFERROR(__xludf.DUMMYFUNCTION("""COMPUTED_VALUE"""),"")</f>
        <v/>
      </c>
      <c r="U875" s="2" t="e">
        <f ca="1"/>
        <v>#NAME?</v>
      </c>
      <c r="V875" s="2" t="e">
        <f ca="1"/>
        <v>#NAME?</v>
      </c>
      <c r="W875" s="2" t="str">
        <f ca="1"/>
        <v/>
      </c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tr">
        <v/>
      </c>
      <c r="S876" s="2" t="str">
        <f ca="1">IFERROR(__xludf.DUMMYFUNCTION("""COMPUTED_VALUE"""),"")</f>
        <v/>
      </c>
      <c r="T876" s="2" t="str">
        <f ca="1">IFERROR(__xludf.DUMMYFUNCTION("""COMPUTED_VALUE"""),"")</f>
        <v/>
      </c>
      <c r="U876" s="2" t="e">
        <f ca="1"/>
        <v>#NAME?</v>
      </c>
      <c r="V876" s="2" t="e">
        <f ca="1"/>
        <v>#NAME?</v>
      </c>
      <c r="W876" s="2" t="str">
        <f ca="1"/>
        <v/>
      </c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tr">
        <v/>
      </c>
      <c r="S877" s="2" t="str">
        <f ca="1">IFERROR(__xludf.DUMMYFUNCTION("""COMPUTED_VALUE"""),"")</f>
        <v/>
      </c>
      <c r="T877" s="2" t="str">
        <f ca="1">IFERROR(__xludf.DUMMYFUNCTION("""COMPUTED_VALUE"""),"")</f>
        <v/>
      </c>
      <c r="U877" s="2" t="e">
        <f ca="1"/>
        <v>#NAME?</v>
      </c>
      <c r="V877" s="2" t="e">
        <f ca="1"/>
        <v>#NAME?</v>
      </c>
      <c r="W877" s="2" t="str">
        <f ca="1"/>
        <v/>
      </c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tr">
        <v/>
      </c>
      <c r="S878" s="2" t="str">
        <f ca="1">IFERROR(__xludf.DUMMYFUNCTION("""COMPUTED_VALUE"""),"")</f>
        <v/>
      </c>
      <c r="T878" s="2" t="str">
        <f ca="1">IFERROR(__xludf.DUMMYFUNCTION("""COMPUTED_VALUE"""),"")</f>
        <v/>
      </c>
      <c r="U878" s="2" t="e">
        <f ca="1"/>
        <v>#NAME?</v>
      </c>
      <c r="V878" s="2" t="e">
        <f ca="1"/>
        <v>#NAME?</v>
      </c>
      <c r="W878" s="2" t="str">
        <f ca="1"/>
        <v/>
      </c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tr">
        <v/>
      </c>
      <c r="S879" s="2" t="str">
        <f ca="1">IFERROR(__xludf.DUMMYFUNCTION("""COMPUTED_VALUE"""),"")</f>
        <v/>
      </c>
      <c r="T879" s="2" t="str">
        <f ca="1">IFERROR(__xludf.DUMMYFUNCTION("""COMPUTED_VALUE"""),"")</f>
        <v/>
      </c>
      <c r="U879" s="2" t="e">
        <f ca="1"/>
        <v>#NAME?</v>
      </c>
      <c r="V879" s="2" t="e">
        <f ca="1"/>
        <v>#NAME?</v>
      </c>
      <c r="W879" s="2" t="str">
        <f ca="1"/>
        <v/>
      </c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tr">
        <v/>
      </c>
      <c r="S880" s="2" t="str">
        <f ca="1">IFERROR(__xludf.DUMMYFUNCTION("""COMPUTED_VALUE"""),"")</f>
        <v/>
      </c>
      <c r="T880" s="2" t="str">
        <f ca="1">IFERROR(__xludf.DUMMYFUNCTION("""COMPUTED_VALUE"""),"")</f>
        <v/>
      </c>
      <c r="U880" s="2" t="e">
        <f ca="1"/>
        <v>#NAME?</v>
      </c>
      <c r="V880" s="2" t="e">
        <f ca="1"/>
        <v>#NAME?</v>
      </c>
      <c r="W880" s="2" t="str">
        <f ca="1"/>
        <v/>
      </c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tr">
        <v/>
      </c>
      <c r="S881" s="2" t="str">
        <f ca="1">IFERROR(__xludf.DUMMYFUNCTION("""COMPUTED_VALUE"""),"")</f>
        <v/>
      </c>
      <c r="T881" s="2" t="str">
        <f ca="1">IFERROR(__xludf.DUMMYFUNCTION("""COMPUTED_VALUE"""),"")</f>
        <v/>
      </c>
      <c r="U881" s="2" t="e">
        <f ca="1"/>
        <v>#NAME?</v>
      </c>
      <c r="V881" s="2" t="e">
        <f ca="1"/>
        <v>#NAME?</v>
      </c>
      <c r="W881" s="2" t="str">
        <f ca="1"/>
        <v/>
      </c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tr">
        <v/>
      </c>
      <c r="S882" s="2" t="str">
        <f ca="1">IFERROR(__xludf.DUMMYFUNCTION("""COMPUTED_VALUE"""),"")</f>
        <v/>
      </c>
      <c r="T882" s="2" t="str">
        <f ca="1">IFERROR(__xludf.DUMMYFUNCTION("""COMPUTED_VALUE"""),"")</f>
        <v/>
      </c>
      <c r="U882" s="2" t="e">
        <f ca="1"/>
        <v>#NAME?</v>
      </c>
      <c r="V882" s="2" t="e">
        <f ca="1"/>
        <v>#NAME?</v>
      </c>
      <c r="W882" s="2" t="str">
        <f ca="1"/>
        <v/>
      </c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tr">
        <v/>
      </c>
      <c r="S883" s="2" t="str">
        <f ca="1">IFERROR(__xludf.DUMMYFUNCTION("""COMPUTED_VALUE"""),"")</f>
        <v/>
      </c>
      <c r="T883" s="2" t="str">
        <f ca="1">IFERROR(__xludf.DUMMYFUNCTION("""COMPUTED_VALUE"""),"")</f>
        <v/>
      </c>
      <c r="U883" s="2" t="e">
        <f ca="1"/>
        <v>#NAME?</v>
      </c>
      <c r="V883" s="2" t="e">
        <f ca="1"/>
        <v>#NAME?</v>
      </c>
      <c r="W883" s="2" t="str">
        <f ca="1"/>
        <v/>
      </c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tr">
        <v/>
      </c>
      <c r="S884" s="2" t="str">
        <f ca="1">IFERROR(__xludf.DUMMYFUNCTION("""COMPUTED_VALUE"""),"")</f>
        <v/>
      </c>
      <c r="T884" s="2" t="str">
        <f ca="1">IFERROR(__xludf.DUMMYFUNCTION("""COMPUTED_VALUE"""),"")</f>
        <v/>
      </c>
      <c r="U884" s="2" t="e">
        <f ca="1"/>
        <v>#NAME?</v>
      </c>
      <c r="V884" s="2" t="e">
        <f ca="1"/>
        <v>#NAME?</v>
      </c>
      <c r="W884" s="2" t="str">
        <f ca="1"/>
        <v/>
      </c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tr">
        <v/>
      </c>
      <c r="S885" s="2" t="str">
        <f ca="1">IFERROR(__xludf.DUMMYFUNCTION("""COMPUTED_VALUE"""),"")</f>
        <v/>
      </c>
      <c r="T885" s="2" t="str">
        <f ca="1">IFERROR(__xludf.DUMMYFUNCTION("""COMPUTED_VALUE"""),"")</f>
        <v/>
      </c>
      <c r="U885" s="2" t="e">
        <f ca="1"/>
        <v>#NAME?</v>
      </c>
      <c r="V885" s="2" t="e">
        <f ca="1"/>
        <v>#NAME?</v>
      </c>
      <c r="W885" s="2" t="str">
        <f ca="1"/>
        <v/>
      </c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tr">
        <v/>
      </c>
      <c r="S886" s="2" t="str">
        <f ca="1">IFERROR(__xludf.DUMMYFUNCTION("""COMPUTED_VALUE"""),"")</f>
        <v/>
      </c>
      <c r="T886" s="2" t="str">
        <f ca="1">IFERROR(__xludf.DUMMYFUNCTION("""COMPUTED_VALUE"""),"")</f>
        <v/>
      </c>
      <c r="U886" s="2" t="e">
        <f ca="1"/>
        <v>#NAME?</v>
      </c>
      <c r="V886" s="2" t="e">
        <f ca="1"/>
        <v>#NAME?</v>
      </c>
      <c r="W886" s="2" t="str">
        <f ca="1"/>
        <v/>
      </c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tr">
        <v/>
      </c>
      <c r="S887" s="2" t="str">
        <f ca="1">IFERROR(__xludf.DUMMYFUNCTION("""COMPUTED_VALUE"""),"")</f>
        <v/>
      </c>
      <c r="T887" s="2" t="str">
        <f ca="1">IFERROR(__xludf.DUMMYFUNCTION("""COMPUTED_VALUE"""),"")</f>
        <v/>
      </c>
      <c r="U887" s="2" t="e">
        <f ca="1"/>
        <v>#NAME?</v>
      </c>
      <c r="V887" s="2" t="e">
        <f ca="1"/>
        <v>#NAME?</v>
      </c>
      <c r="W887" s="2" t="str">
        <f ca="1"/>
        <v/>
      </c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tr">
        <v/>
      </c>
      <c r="S888" s="2" t="str">
        <f ca="1">IFERROR(__xludf.DUMMYFUNCTION("""COMPUTED_VALUE"""),"")</f>
        <v/>
      </c>
      <c r="T888" s="2" t="str">
        <f ca="1">IFERROR(__xludf.DUMMYFUNCTION("""COMPUTED_VALUE"""),"")</f>
        <v/>
      </c>
      <c r="U888" s="2" t="e">
        <f ca="1"/>
        <v>#NAME?</v>
      </c>
      <c r="V888" s="2" t="e">
        <f ca="1"/>
        <v>#NAME?</v>
      </c>
      <c r="W888" s="2" t="str">
        <f ca="1"/>
        <v/>
      </c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tr">
        <v/>
      </c>
      <c r="S889" s="2" t="str">
        <f ca="1">IFERROR(__xludf.DUMMYFUNCTION("""COMPUTED_VALUE"""),"")</f>
        <v/>
      </c>
      <c r="T889" s="2" t="str">
        <f ca="1">IFERROR(__xludf.DUMMYFUNCTION("""COMPUTED_VALUE"""),"")</f>
        <v/>
      </c>
      <c r="U889" s="2" t="e">
        <f ca="1"/>
        <v>#NAME?</v>
      </c>
      <c r="V889" s="2" t="e">
        <f ca="1"/>
        <v>#NAME?</v>
      </c>
      <c r="W889" s="2" t="str">
        <f ca="1"/>
        <v/>
      </c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tr">
        <v/>
      </c>
      <c r="S890" s="2" t="str">
        <f ca="1">IFERROR(__xludf.DUMMYFUNCTION("""COMPUTED_VALUE"""),"")</f>
        <v/>
      </c>
      <c r="T890" s="2" t="str">
        <f ca="1">IFERROR(__xludf.DUMMYFUNCTION("""COMPUTED_VALUE"""),"")</f>
        <v/>
      </c>
      <c r="U890" s="2" t="e">
        <f ca="1"/>
        <v>#NAME?</v>
      </c>
      <c r="V890" s="2" t="e">
        <f ca="1"/>
        <v>#NAME?</v>
      </c>
      <c r="W890" s="2" t="str">
        <f ca="1"/>
        <v/>
      </c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tr">
        <v/>
      </c>
      <c r="S891" s="2" t="str">
        <f ca="1">IFERROR(__xludf.DUMMYFUNCTION("""COMPUTED_VALUE"""),"")</f>
        <v/>
      </c>
      <c r="T891" s="2" t="str">
        <f ca="1">IFERROR(__xludf.DUMMYFUNCTION("""COMPUTED_VALUE"""),"")</f>
        <v/>
      </c>
      <c r="U891" s="2" t="e">
        <f ca="1"/>
        <v>#NAME?</v>
      </c>
      <c r="V891" s="2" t="e">
        <f ca="1"/>
        <v>#NAME?</v>
      </c>
      <c r="W891" s="2" t="str">
        <f ca="1"/>
        <v/>
      </c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tr">
        <v/>
      </c>
      <c r="S892" s="2" t="str">
        <f ca="1">IFERROR(__xludf.DUMMYFUNCTION("""COMPUTED_VALUE"""),"")</f>
        <v/>
      </c>
      <c r="T892" s="2" t="str">
        <f ca="1">IFERROR(__xludf.DUMMYFUNCTION("""COMPUTED_VALUE"""),"")</f>
        <v/>
      </c>
      <c r="U892" s="2" t="e">
        <f ca="1"/>
        <v>#NAME?</v>
      </c>
      <c r="V892" s="2" t="e">
        <f ca="1"/>
        <v>#NAME?</v>
      </c>
      <c r="W892" s="2" t="str">
        <f ca="1"/>
        <v/>
      </c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tr">
        <v/>
      </c>
      <c r="S893" s="2" t="str">
        <f ca="1">IFERROR(__xludf.DUMMYFUNCTION("""COMPUTED_VALUE"""),"")</f>
        <v/>
      </c>
      <c r="T893" s="2" t="str">
        <f ca="1">IFERROR(__xludf.DUMMYFUNCTION("""COMPUTED_VALUE"""),"")</f>
        <v/>
      </c>
      <c r="U893" s="2" t="e">
        <f ca="1"/>
        <v>#NAME?</v>
      </c>
      <c r="V893" s="2" t="e">
        <f ca="1"/>
        <v>#NAME?</v>
      </c>
      <c r="W893" s="2" t="str">
        <f ca="1"/>
        <v/>
      </c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tr">
        <v/>
      </c>
      <c r="S894" s="2" t="str">
        <f ca="1">IFERROR(__xludf.DUMMYFUNCTION("""COMPUTED_VALUE"""),"")</f>
        <v/>
      </c>
      <c r="T894" s="2" t="str">
        <f ca="1">IFERROR(__xludf.DUMMYFUNCTION("""COMPUTED_VALUE"""),"")</f>
        <v/>
      </c>
      <c r="U894" s="2" t="e">
        <f ca="1"/>
        <v>#NAME?</v>
      </c>
      <c r="V894" s="2" t="e">
        <f ca="1"/>
        <v>#NAME?</v>
      </c>
      <c r="W894" s="2" t="str">
        <f ca="1"/>
        <v/>
      </c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tr">
        <v/>
      </c>
      <c r="S895" s="2" t="str">
        <f ca="1">IFERROR(__xludf.DUMMYFUNCTION("""COMPUTED_VALUE"""),"")</f>
        <v/>
      </c>
      <c r="T895" s="2" t="str">
        <f ca="1">IFERROR(__xludf.DUMMYFUNCTION("""COMPUTED_VALUE"""),"")</f>
        <v/>
      </c>
      <c r="U895" s="2" t="e">
        <f ca="1"/>
        <v>#NAME?</v>
      </c>
      <c r="V895" s="2" t="e">
        <f ca="1"/>
        <v>#NAME?</v>
      </c>
      <c r="W895" s="2" t="str">
        <f ca="1"/>
        <v/>
      </c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tr">
        <v/>
      </c>
      <c r="S896" s="2" t="str">
        <f ca="1">IFERROR(__xludf.DUMMYFUNCTION("""COMPUTED_VALUE"""),"")</f>
        <v/>
      </c>
      <c r="T896" s="2" t="str">
        <f ca="1">IFERROR(__xludf.DUMMYFUNCTION("""COMPUTED_VALUE"""),"")</f>
        <v/>
      </c>
      <c r="U896" s="2" t="e">
        <f ca="1"/>
        <v>#NAME?</v>
      </c>
      <c r="V896" s="2" t="e">
        <f ca="1"/>
        <v>#NAME?</v>
      </c>
      <c r="W896" s="2" t="str">
        <f ca="1"/>
        <v/>
      </c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tr">
        <v/>
      </c>
      <c r="S897" s="2" t="str">
        <f ca="1">IFERROR(__xludf.DUMMYFUNCTION("""COMPUTED_VALUE"""),"")</f>
        <v/>
      </c>
      <c r="T897" s="2" t="str">
        <f ca="1">IFERROR(__xludf.DUMMYFUNCTION("""COMPUTED_VALUE"""),"")</f>
        <v/>
      </c>
      <c r="U897" s="2" t="e">
        <f ca="1"/>
        <v>#NAME?</v>
      </c>
      <c r="V897" s="2" t="e">
        <f ca="1"/>
        <v>#NAME?</v>
      </c>
      <c r="W897" s="2" t="str">
        <f ca="1"/>
        <v/>
      </c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tr">
        <v/>
      </c>
      <c r="S898" s="2" t="str">
        <f ca="1">IFERROR(__xludf.DUMMYFUNCTION("""COMPUTED_VALUE"""),"")</f>
        <v/>
      </c>
      <c r="T898" s="2" t="str">
        <f ca="1">IFERROR(__xludf.DUMMYFUNCTION("""COMPUTED_VALUE"""),"")</f>
        <v/>
      </c>
      <c r="U898" s="2" t="e">
        <f ca="1"/>
        <v>#NAME?</v>
      </c>
      <c r="V898" s="2" t="e">
        <f ca="1"/>
        <v>#NAME?</v>
      </c>
      <c r="W898" s="2" t="str">
        <f ca="1"/>
        <v/>
      </c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tr">
        <v/>
      </c>
      <c r="S899" s="2" t="str">
        <f ca="1">IFERROR(__xludf.DUMMYFUNCTION("""COMPUTED_VALUE"""),"")</f>
        <v/>
      </c>
      <c r="T899" s="2" t="str">
        <f ca="1">IFERROR(__xludf.DUMMYFUNCTION("""COMPUTED_VALUE"""),"")</f>
        <v/>
      </c>
      <c r="U899" s="2" t="e">
        <f ca="1"/>
        <v>#NAME?</v>
      </c>
      <c r="V899" s="2" t="e">
        <f ca="1"/>
        <v>#NAME?</v>
      </c>
      <c r="W899" s="2" t="str">
        <f ca="1"/>
        <v/>
      </c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tr">
        <v/>
      </c>
      <c r="S900" s="2" t="str">
        <f ca="1">IFERROR(__xludf.DUMMYFUNCTION("""COMPUTED_VALUE"""),"")</f>
        <v/>
      </c>
      <c r="T900" s="2" t="str">
        <f ca="1">IFERROR(__xludf.DUMMYFUNCTION("""COMPUTED_VALUE"""),"")</f>
        <v/>
      </c>
      <c r="U900" s="2" t="e">
        <f ca="1"/>
        <v>#NAME?</v>
      </c>
      <c r="V900" s="2" t="e">
        <f ca="1"/>
        <v>#NAME?</v>
      </c>
      <c r="W900" s="2" t="str">
        <f ca="1"/>
        <v/>
      </c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tr">
        <v/>
      </c>
      <c r="S901" s="2" t="str">
        <f ca="1">IFERROR(__xludf.DUMMYFUNCTION("""COMPUTED_VALUE"""),"")</f>
        <v/>
      </c>
      <c r="T901" s="2" t="str">
        <f ca="1">IFERROR(__xludf.DUMMYFUNCTION("""COMPUTED_VALUE"""),"")</f>
        <v/>
      </c>
      <c r="U901" s="2" t="e">
        <f ca="1"/>
        <v>#NAME?</v>
      </c>
      <c r="V901" s="2" t="e">
        <f ca="1"/>
        <v>#NAME?</v>
      </c>
      <c r="W901" s="2" t="str">
        <f ca="1"/>
        <v/>
      </c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tr">
        <v/>
      </c>
      <c r="S902" s="2" t="str">
        <f ca="1">IFERROR(__xludf.DUMMYFUNCTION("""COMPUTED_VALUE"""),"")</f>
        <v/>
      </c>
      <c r="T902" s="2" t="str">
        <f ca="1">IFERROR(__xludf.DUMMYFUNCTION("""COMPUTED_VALUE"""),"")</f>
        <v/>
      </c>
      <c r="U902" s="2" t="e">
        <f ca="1"/>
        <v>#NAME?</v>
      </c>
      <c r="V902" s="2" t="e">
        <f ca="1"/>
        <v>#NAME?</v>
      </c>
      <c r="W902" s="2" t="str">
        <f ca="1"/>
        <v/>
      </c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tr">
        <v/>
      </c>
      <c r="S903" s="2" t="str">
        <f ca="1">IFERROR(__xludf.DUMMYFUNCTION("""COMPUTED_VALUE"""),"")</f>
        <v/>
      </c>
      <c r="T903" s="2" t="str">
        <f ca="1">IFERROR(__xludf.DUMMYFUNCTION("""COMPUTED_VALUE"""),"")</f>
        <v/>
      </c>
      <c r="U903" s="2" t="e">
        <f ca="1"/>
        <v>#NAME?</v>
      </c>
      <c r="V903" s="2" t="e">
        <f ca="1"/>
        <v>#NAME?</v>
      </c>
      <c r="W903" s="2" t="str">
        <f ca="1"/>
        <v/>
      </c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tr">
        <v/>
      </c>
      <c r="S904" s="2" t="str">
        <f ca="1">IFERROR(__xludf.DUMMYFUNCTION("""COMPUTED_VALUE"""),"")</f>
        <v/>
      </c>
      <c r="T904" s="2" t="str">
        <f ca="1">IFERROR(__xludf.DUMMYFUNCTION("""COMPUTED_VALUE"""),"")</f>
        <v/>
      </c>
      <c r="U904" s="2" t="e">
        <f ca="1"/>
        <v>#NAME?</v>
      </c>
      <c r="V904" s="2" t="e">
        <f ca="1"/>
        <v>#NAME?</v>
      </c>
      <c r="W904" s="2" t="str">
        <f ca="1"/>
        <v/>
      </c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tr">
        <v/>
      </c>
      <c r="S905" s="2" t="str">
        <f ca="1">IFERROR(__xludf.DUMMYFUNCTION("""COMPUTED_VALUE"""),"")</f>
        <v/>
      </c>
      <c r="T905" s="2" t="str">
        <f ca="1">IFERROR(__xludf.DUMMYFUNCTION("""COMPUTED_VALUE"""),"")</f>
        <v/>
      </c>
      <c r="U905" s="2" t="e">
        <f ca="1"/>
        <v>#NAME?</v>
      </c>
      <c r="V905" s="2" t="e">
        <f ca="1"/>
        <v>#NAME?</v>
      </c>
      <c r="W905" s="2" t="str">
        <f ca="1"/>
        <v/>
      </c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tr">
        <v/>
      </c>
      <c r="S906" s="2" t="str">
        <f ca="1">IFERROR(__xludf.DUMMYFUNCTION("""COMPUTED_VALUE"""),"")</f>
        <v/>
      </c>
      <c r="T906" s="2" t="str">
        <f ca="1">IFERROR(__xludf.DUMMYFUNCTION("""COMPUTED_VALUE"""),"")</f>
        <v/>
      </c>
      <c r="U906" s="2" t="e">
        <f ca="1"/>
        <v>#NAME?</v>
      </c>
      <c r="V906" s="2" t="e">
        <f ca="1"/>
        <v>#NAME?</v>
      </c>
      <c r="W906" s="2" t="str">
        <f ca="1"/>
        <v/>
      </c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tr">
        <v/>
      </c>
      <c r="S907" s="2" t="str">
        <f ca="1">IFERROR(__xludf.DUMMYFUNCTION("""COMPUTED_VALUE"""),"")</f>
        <v/>
      </c>
      <c r="T907" s="2" t="str">
        <f ca="1">IFERROR(__xludf.DUMMYFUNCTION("""COMPUTED_VALUE"""),"")</f>
        <v/>
      </c>
      <c r="U907" s="2" t="e">
        <f ca="1"/>
        <v>#NAME?</v>
      </c>
      <c r="V907" s="2" t="e">
        <f ca="1"/>
        <v>#NAME?</v>
      </c>
      <c r="W907" s="2" t="str">
        <f ca="1"/>
        <v/>
      </c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tr">
        <v/>
      </c>
      <c r="S908" s="2" t="str">
        <f ca="1">IFERROR(__xludf.DUMMYFUNCTION("""COMPUTED_VALUE"""),"")</f>
        <v/>
      </c>
      <c r="T908" s="2" t="str">
        <f ca="1">IFERROR(__xludf.DUMMYFUNCTION("""COMPUTED_VALUE"""),"")</f>
        <v/>
      </c>
      <c r="U908" s="2" t="e">
        <f ca="1"/>
        <v>#NAME?</v>
      </c>
      <c r="V908" s="2" t="e">
        <f ca="1"/>
        <v>#NAME?</v>
      </c>
      <c r="W908" s="2" t="str">
        <f ca="1"/>
        <v/>
      </c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tr">
        <v/>
      </c>
      <c r="S909" s="2" t="str">
        <f ca="1">IFERROR(__xludf.DUMMYFUNCTION("""COMPUTED_VALUE"""),"")</f>
        <v/>
      </c>
      <c r="T909" s="2" t="str">
        <f ca="1">IFERROR(__xludf.DUMMYFUNCTION("""COMPUTED_VALUE"""),"")</f>
        <v/>
      </c>
      <c r="U909" s="2" t="e">
        <f ca="1"/>
        <v>#NAME?</v>
      </c>
      <c r="V909" s="2" t="e">
        <f ca="1"/>
        <v>#NAME?</v>
      </c>
      <c r="W909" s="2" t="str">
        <f ca="1"/>
        <v/>
      </c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tr">
        <v/>
      </c>
      <c r="S910" s="2" t="str">
        <f ca="1">IFERROR(__xludf.DUMMYFUNCTION("""COMPUTED_VALUE"""),"")</f>
        <v/>
      </c>
      <c r="T910" s="2" t="str">
        <f ca="1">IFERROR(__xludf.DUMMYFUNCTION("""COMPUTED_VALUE"""),"")</f>
        <v/>
      </c>
      <c r="U910" s="2" t="e">
        <f ca="1"/>
        <v>#NAME?</v>
      </c>
      <c r="V910" s="2" t="e">
        <f ca="1"/>
        <v>#NAME?</v>
      </c>
      <c r="W910" s="2" t="str">
        <f ca="1"/>
        <v/>
      </c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tr">
        <v/>
      </c>
      <c r="S911" s="2" t="str">
        <f ca="1">IFERROR(__xludf.DUMMYFUNCTION("""COMPUTED_VALUE"""),"")</f>
        <v/>
      </c>
      <c r="T911" s="2" t="str">
        <f ca="1">IFERROR(__xludf.DUMMYFUNCTION("""COMPUTED_VALUE"""),"")</f>
        <v/>
      </c>
      <c r="U911" s="2" t="e">
        <f ca="1"/>
        <v>#NAME?</v>
      </c>
      <c r="V911" s="2" t="e">
        <f ca="1"/>
        <v>#NAME?</v>
      </c>
      <c r="W911" s="2" t="str">
        <f ca="1"/>
        <v/>
      </c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tr">
        <v/>
      </c>
      <c r="S912" s="2" t="str">
        <f ca="1">IFERROR(__xludf.DUMMYFUNCTION("""COMPUTED_VALUE"""),"")</f>
        <v/>
      </c>
      <c r="T912" s="2" t="str">
        <f ca="1">IFERROR(__xludf.DUMMYFUNCTION("""COMPUTED_VALUE"""),"")</f>
        <v/>
      </c>
      <c r="U912" s="2" t="e">
        <f ca="1"/>
        <v>#NAME?</v>
      </c>
      <c r="V912" s="2" t="e">
        <f ca="1"/>
        <v>#NAME?</v>
      </c>
      <c r="W912" s="2" t="str">
        <f ca="1"/>
        <v/>
      </c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tr">
        <v/>
      </c>
      <c r="S913" s="2" t="str">
        <f ca="1">IFERROR(__xludf.DUMMYFUNCTION("""COMPUTED_VALUE"""),"")</f>
        <v/>
      </c>
      <c r="T913" s="2" t="str">
        <f ca="1">IFERROR(__xludf.DUMMYFUNCTION("""COMPUTED_VALUE"""),"")</f>
        <v/>
      </c>
      <c r="U913" s="2" t="e">
        <f ca="1"/>
        <v>#NAME?</v>
      </c>
      <c r="V913" s="2" t="e">
        <f ca="1"/>
        <v>#NAME?</v>
      </c>
      <c r="W913" s="2" t="str">
        <f ca="1"/>
        <v/>
      </c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tr">
        <v/>
      </c>
      <c r="S914" s="2" t="str">
        <f ca="1">IFERROR(__xludf.DUMMYFUNCTION("""COMPUTED_VALUE"""),"")</f>
        <v/>
      </c>
      <c r="T914" s="2" t="str">
        <f ca="1">IFERROR(__xludf.DUMMYFUNCTION("""COMPUTED_VALUE"""),"")</f>
        <v/>
      </c>
      <c r="U914" s="2" t="e">
        <f ca="1"/>
        <v>#NAME?</v>
      </c>
      <c r="V914" s="2" t="e">
        <f ca="1"/>
        <v>#NAME?</v>
      </c>
      <c r="W914" s="2" t="str">
        <f ca="1"/>
        <v/>
      </c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tr">
        <v/>
      </c>
      <c r="S915" s="2" t="str">
        <f ca="1">IFERROR(__xludf.DUMMYFUNCTION("""COMPUTED_VALUE"""),"")</f>
        <v/>
      </c>
      <c r="T915" s="2" t="str">
        <f ca="1">IFERROR(__xludf.DUMMYFUNCTION("""COMPUTED_VALUE"""),"")</f>
        <v/>
      </c>
      <c r="U915" s="2" t="e">
        <f ca="1"/>
        <v>#NAME?</v>
      </c>
      <c r="V915" s="2" t="e">
        <f ca="1"/>
        <v>#NAME?</v>
      </c>
      <c r="W915" s="2" t="str">
        <f ca="1"/>
        <v/>
      </c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tr">
        <v/>
      </c>
      <c r="S916" s="2" t="str">
        <f ca="1">IFERROR(__xludf.DUMMYFUNCTION("""COMPUTED_VALUE"""),"")</f>
        <v/>
      </c>
      <c r="T916" s="2" t="str">
        <f ca="1">IFERROR(__xludf.DUMMYFUNCTION("""COMPUTED_VALUE"""),"")</f>
        <v/>
      </c>
      <c r="U916" s="2" t="e">
        <f ca="1"/>
        <v>#NAME?</v>
      </c>
      <c r="V916" s="2" t="e">
        <f ca="1"/>
        <v>#NAME?</v>
      </c>
      <c r="W916" s="2" t="str">
        <f ca="1"/>
        <v/>
      </c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tr">
        <v/>
      </c>
      <c r="S917" s="2" t="str">
        <f ca="1">IFERROR(__xludf.DUMMYFUNCTION("""COMPUTED_VALUE"""),"")</f>
        <v/>
      </c>
      <c r="T917" s="2" t="str">
        <f ca="1">IFERROR(__xludf.DUMMYFUNCTION("""COMPUTED_VALUE"""),"")</f>
        <v/>
      </c>
      <c r="U917" s="2" t="e">
        <f ca="1"/>
        <v>#NAME?</v>
      </c>
      <c r="V917" s="2" t="e">
        <f ca="1"/>
        <v>#NAME?</v>
      </c>
      <c r="W917" s="2" t="str">
        <f ca="1"/>
        <v/>
      </c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tr">
        <v/>
      </c>
      <c r="S918" s="2" t="str">
        <f ca="1">IFERROR(__xludf.DUMMYFUNCTION("""COMPUTED_VALUE"""),"")</f>
        <v/>
      </c>
      <c r="T918" s="2" t="str">
        <f ca="1">IFERROR(__xludf.DUMMYFUNCTION("""COMPUTED_VALUE"""),"")</f>
        <v/>
      </c>
      <c r="U918" s="2" t="e">
        <f ca="1"/>
        <v>#NAME?</v>
      </c>
      <c r="V918" s="2" t="e">
        <f ca="1"/>
        <v>#NAME?</v>
      </c>
      <c r="W918" s="2" t="str">
        <f ca="1"/>
        <v/>
      </c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tr">
        <v/>
      </c>
      <c r="S919" s="2" t="str">
        <f ca="1">IFERROR(__xludf.DUMMYFUNCTION("""COMPUTED_VALUE"""),"")</f>
        <v/>
      </c>
      <c r="T919" s="2" t="str">
        <f ca="1">IFERROR(__xludf.DUMMYFUNCTION("""COMPUTED_VALUE"""),"")</f>
        <v/>
      </c>
      <c r="U919" s="2" t="e">
        <f ca="1"/>
        <v>#NAME?</v>
      </c>
      <c r="V919" s="2" t="e">
        <f ca="1"/>
        <v>#NAME?</v>
      </c>
      <c r="W919" s="2" t="str">
        <f ca="1"/>
        <v/>
      </c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tr">
        <v/>
      </c>
      <c r="S920" s="2" t="str">
        <f ca="1">IFERROR(__xludf.DUMMYFUNCTION("""COMPUTED_VALUE"""),"")</f>
        <v/>
      </c>
      <c r="T920" s="2" t="str">
        <f ca="1">IFERROR(__xludf.DUMMYFUNCTION("""COMPUTED_VALUE"""),"")</f>
        <v/>
      </c>
      <c r="U920" s="2" t="e">
        <f ca="1"/>
        <v>#NAME?</v>
      </c>
      <c r="V920" s="2" t="e">
        <f ca="1"/>
        <v>#NAME?</v>
      </c>
      <c r="W920" s="2" t="str">
        <f ca="1"/>
        <v/>
      </c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tr">
        <v/>
      </c>
      <c r="S921" s="2" t="str">
        <f ca="1">IFERROR(__xludf.DUMMYFUNCTION("""COMPUTED_VALUE"""),"")</f>
        <v/>
      </c>
      <c r="T921" s="2" t="str">
        <f ca="1">IFERROR(__xludf.DUMMYFUNCTION("""COMPUTED_VALUE"""),"")</f>
        <v/>
      </c>
      <c r="U921" s="2" t="e">
        <f ca="1"/>
        <v>#NAME?</v>
      </c>
      <c r="V921" s="2" t="e">
        <f ca="1"/>
        <v>#NAME?</v>
      </c>
      <c r="W921" s="2" t="str">
        <f ca="1"/>
        <v/>
      </c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tr">
        <v/>
      </c>
      <c r="S922" s="2" t="str">
        <f ca="1">IFERROR(__xludf.DUMMYFUNCTION("""COMPUTED_VALUE"""),"")</f>
        <v/>
      </c>
      <c r="T922" s="2" t="str">
        <f ca="1">IFERROR(__xludf.DUMMYFUNCTION("""COMPUTED_VALUE"""),"")</f>
        <v/>
      </c>
      <c r="U922" s="2" t="e">
        <f ca="1"/>
        <v>#NAME?</v>
      </c>
      <c r="V922" s="2" t="e">
        <f ca="1"/>
        <v>#NAME?</v>
      </c>
      <c r="W922" s="2" t="str">
        <f ca="1"/>
        <v/>
      </c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tr">
        <v/>
      </c>
      <c r="S923" s="2" t="str">
        <f ca="1">IFERROR(__xludf.DUMMYFUNCTION("""COMPUTED_VALUE"""),"")</f>
        <v/>
      </c>
      <c r="T923" s="2" t="str">
        <f ca="1">IFERROR(__xludf.DUMMYFUNCTION("""COMPUTED_VALUE"""),"")</f>
        <v/>
      </c>
      <c r="U923" s="2" t="e">
        <f ca="1"/>
        <v>#NAME?</v>
      </c>
      <c r="V923" s="2" t="e">
        <f ca="1"/>
        <v>#NAME?</v>
      </c>
      <c r="W923" s="2" t="str">
        <f ca="1"/>
        <v/>
      </c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tr">
        <v/>
      </c>
      <c r="S924" s="2" t="str">
        <f ca="1">IFERROR(__xludf.DUMMYFUNCTION("""COMPUTED_VALUE"""),"")</f>
        <v/>
      </c>
      <c r="T924" s="2" t="str">
        <f ca="1">IFERROR(__xludf.DUMMYFUNCTION("""COMPUTED_VALUE"""),"")</f>
        <v/>
      </c>
      <c r="U924" s="2" t="e">
        <f ca="1"/>
        <v>#NAME?</v>
      </c>
      <c r="V924" s="2" t="e">
        <f ca="1"/>
        <v>#NAME?</v>
      </c>
      <c r="W924" s="2" t="str">
        <f ca="1"/>
        <v/>
      </c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tr">
        <v/>
      </c>
      <c r="S925" s="2" t="str">
        <f ca="1">IFERROR(__xludf.DUMMYFUNCTION("""COMPUTED_VALUE"""),"")</f>
        <v/>
      </c>
      <c r="T925" s="2" t="str">
        <f ca="1">IFERROR(__xludf.DUMMYFUNCTION("""COMPUTED_VALUE"""),"")</f>
        <v/>
      </c>
      <c r="U925" s="2" t="e">
        <f ca="1"/>
        <v>#NAME?</v>
      </c>
      <c r="V925" s="2" t="e">
        <f ca="1"/>
        <v>#NAME?</v>
      </c>
      <c r="W925" s="2" t="str">
        <f ca="1"/>
        <v/>
      </c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tr">
        <v/>
      </c>
      <c r="S926" s="2" t="str">
        <f ca="1">IFERROR(__xludf.DUMMYFUNCTION("""COMPUTED_VALUE"""),"")</f>
        <v/>
      </c>
      <c r="T926" s="2" t="str">
        <f ca="1">IFERROR(__xludf.DUMMYFUNCTION("""COMPUTED_VALUE"""),"")</f>
        <v/>
      </c>
      <c r="U926" s="2" t="e">
        <f ca="1"/>
        <v>#NAME?</v>
      </c>
      <c r="V926" s="2" t="e">
        <f ca="1"/>
        <v>#NAME?</v>
      </c>
      <c r="W926" s="2" t="str">
        <f ca="1"/>
        <v/>
      </c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tr">
        <v/>
      </c>
      <c r="S927" s="2" t="str">
        <f ca="1">IFERROR(__xludf.DUMMYFUNCTION("""COMPUTED_VALUE"""),"")</f>
        <v/>
      </c>
      <c r="T927" s="2" t="str">
        <f ca="1">IFERROR(__xludf.DUMMYFUNCTION("""COMPUTED_VALUE"""),"")</f>
        <v/>
      </c>
      <c r="U927" s="2" t="e">
        <f ca="1"/>
        <v>#NAME?</v>
      </c>
      <c r="V927" s="2" t="e">
        <f ca="1"/>
        <v>#NAME?</v>
      </c>
      <c r="W927" s="2" t="str">
        <f ca="1"/>
        <v/>
      </c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tr">
        <v/>
      </c>
      <c r="S928" s="2" t="str">
        <f ca="1">IFERROR(__xludf.DUMMYFUNCTION("""COMPUTED_VALUE"""),"")</f>
        <v/>
      </c>
      <c r="T928" s="2" t="str">
        <f ca="1">IFERROR(__xludf.DUMMYFUNCTION("""COMPUTED_VALUE"""),"")</f>
        <v/>
      </c>
      <c r="U928" s="2" t="e">
        <f ca="1"/>
        <v>#NAME?</v>
      </c>
      <c r="V928" s="2" t="e">
        <f ca="1"/>
        <v>#NAME?</v>
      </c>
      <c r="W928" s="2" t="str">
        <f ca="1"/>
        <v/>
      </c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tr">
        <v/>
      </c>
      <c r="S929" s="2" t="str">
        <f ca="1">IFERROR(__xludf.DUMMYFUNCTION("""COMPUTED_VALUE"""),"")</f>
        <v/>
      </c>
      <c r="T929" s="2" t="str">
        <f ca="1">IFERROR(__xludf.DUMMYFUNCTION("""COMPUTED_VALUE"""),"")</f>
        <v/>
      </c>
      <c r="U929" s="2" t="e">
        <f ca="1"/>
        <v>#NAME?</v>
      </c>
      <c r="V929" s="2" t="e">
        <f ca="1"/>
        <v>#NAME?</v>
      </c>
      <c r="W929" s="2" t="str">
        <f ca="1"/>
        <v/>
      </c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tr">
        <v/>
      </c>
      <c r="S930" s="2" t="str">
        <f ca="1">IFERROR(__xludf.DUMMYFUNCTION("""COMPUTED_VALUE"""),"")</f>
        <v/>
      </c>
      <c r="T930" s="2" t="str">
        <f ca="1">IFERROR(__xludf.DUMMYFUNCTION("""COMPUTED_VALUE"""),"")</f>
        <v/>
      </c>
      <c r="U930" s="2" t="e">
        <f ca="1"/>
        <v>#NAME?</v>
      </c>
      <c r="V930" s="2" t="e">
        <f ca="1"/>
        <v>#NAME?</v>
      </c>
      <c r="W930" s="2" t="str">
        <f ca="1"/>
        <v/>
      </c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tr">
        <v/>
      </c>
      <c r="S931" s="2" t="str">
        <f ca="1">IFERROR(__xludf.DUMMYFUNCTION("""COMPUTED_VALUE"""),"")</f>
        <v/>
      </c>
      <c r="T931" s="2" t="str">
        <f ca="1">IFERROR(__xludf.DUMMYFUNCTION("""COMPUTED_VALUE"""),"")</f>
        <v/>
      </c>
      <c r="U931" s="2" t="e">
        <f ca="1"/>
        <v>#NAME?</v>
      </c>
      <c r="V931" s="2" t="e">
        <f ca="1"/>
        <v>#NAME?</v>
      </c>
      <c r="W931" s="2" t="str">
        <f ca="1"/>
        <v/>
      </c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tr">
        <v/>
      </c>
      <c r="S932" s="2" t="str">
        <f ca="1">IFERROR(__xludf.DUMMYFUNCTION("""COMPUTED_VALUE"""),"")</f>
        <v/>
      </c>
      <c r="T932" s="2" t="str">
        <f ca="1">IFERROR(__xludf.DUMMYFUNCTION("""COMPUTED_VALUE"""),"")</f>
        <v/>
      </c>
      <c r="U932" s="2" t="e">
        <f ca="1"/>
        <v>#NAME?</v>
      </c>
      <c r="V932" s="2" t="e">
        <f ca="1"/>
        <v>#NAME?</v>
      </c>
      <c r="W932" s="2" t="str">
        <f ca="1"/>
        <v/>
      </c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tr">
        <v/>
      </c>
      <c r="S933" s="2" t="str">
        <f ca="1">IFERROR(__xludf.DUMMYFUNCTION("""COMPUTED_VALUE"""),"")</f>
        <v/>
      </c>
      <c r="T933" s="2" t="str">
        <f ca="1">IFERROR(__xludf.DUMMYFUNCTION("""COMPUTED_VALUE"""),"")</f>
        <v/>
      </c>
      <c r="U933" s="2" t="e">
        <f ca="1"/>
        <v>#NAME?</v>
      </c>
      <c r="V933" s="2" t="e">
        <f ca="1"/>
        <v>#NAME?</v>
      </c>
      <c r="W933" s="2" t="str">
        <f ca="1"/>
        <v/>
      </c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tr">
        <v/>
      </c>
      <c r="S934" s="2" t="str">
        <f ca="1">IFERROR(__xludf.DUMMYFUNCTION("""COMPUTED_VALUE"""),"")</f>
        <v/>
      </c>
      <c r="T934" s="2" t="str">
        <f ca="1">IFERROR(__xludf.DUMMYFUNCTION("""COMPUTED_VALUE"""),"")</f>
        <v/>
      </c>
      <c r="U934" s="2" t="e">
        <f ca="1"/>
        <v>#NAME?</v>
      </c>
      <c r="V934" s="2" t="e">
        <f ca="1"/>
        <v>#NAME?</v>
      </c>
      <c r="W934" s="2" t="str">
        <f ca="1"/>
        <v/>
      </c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tr">
        <v/>
      </c>
      <c r="S935" s="2" t="str">
        <f ca="1">IFERROR(__xludf.DUMMYFUNCTION("""COMPUTED_VALUE"""),"")</f>
        <v/>
      </c>
      <c r="T935" s="2" t="str">
        <f ca="1">IFERROR(__xludf.DUMMYFUNCTION("""COMPUTED_VALUE"""),"")</f>
        <v/>
      </c>
      <c r="U935" s="2" t="e">
        <f ca="1"/>
        <v>#NAME?</v>
      </c>
      <c r="V935" s="2" t="e">
        <f ca="1"/>
        <v>#NAME?</v>
      </c>
      <c r="W935" s="2" t="str">
        <f ca="1"/>
        <v/>
      </c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tr">
        <v/>
      </c>
      <c r="S936" s="2" t="str">
        <f ca="1">IFERROR(__xludf.DUMMYFUNCTION("""COMPUTED_VALUE"""),"")</f>
        <v/>
      </c>
      <c r="T936" s="2" t="str">
        <f ca="1">IFERROR(__xludf.DUMMYFUNCTION("""COMPUTED_VALUE"""),"")</f>
        <v/>
      </c>
      <c r="U936" s="2" t="e">
        <f ca="1"/>
        <v>#NAME?</v>
      </c>
      <c r="V936" s="2" t="e">
        <f ca="1"/>
        <v>#NAME?</v>
      </c>
      <c r="W936" s="2" t="str">
        <f ca="1"/>
        <v/>
      </c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tr">
        <v/>
      </c>
      <c r="S937" s="2" t="str">
        <f ca="1">IFERROR(__xludf.DUMMYFUNCTION("""COMPUTED_VALUE"""),"")</f>
        <v/>
      </c>
      <c r="T937" s="2" t="str">
        <f ca="1">IFERROR(__xludf.DUMMYFUNCTION("""COMPUTED_VALUE"""),"")</f>
        <v/>
      </c>
      <c r="U937" s="2" t="e">
        <f ca="1"/>
        <v>#NAME?</v>
      </c>
      <c r="V937" s="2" t="e">
        <f ca="1"/>
        <v>#NAME?</v>
      </c>
      <c r="W937" s="2" t="str">
        <f ca="1"/>
        <v/>
      </c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tr">
        <v/>
      </c>
      <c r="S938" s="2" t="str">
        <f ca="1">IFERROR(__xludf.DUMMYFUNCTION("""COMPUTED_VALUE"""),"")</f>
        <v/>
      </c>
      <c r="T938" s="2" t="str">
        <f ca="1">IFERROR(__xludf.DUMMYFUNCTION("""COMPUTED_VALUE"""),"")</f>
        <v/>
      </c>
      <c r="U938" s="2" t="e">
        <f ca="1"/>
        <v>#NAME?</v>
      </c>
      <c r="V938" s="2" t="e">
        <f ca="1"/>
        <v>#NAME?</v>
      </c>
      <c r="W938" s="2" t="str">
        <f ca="1"/>
        <v/>
      </c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tr">
        <v/>
      </c>
      <c r="S939" s="2" t="str">
        <f ca="1">IFERROR(__xludf.DUMMYFUNCTION("""COMPUTED_VALUE"""),"")</f>
        <v/>
      </c>
      <c r="T939" s="2" t="str">
        <f ca="1">IFERROR(__xludf.DUMMYFUNCTION("""COMPUTED_VALUE"""),"")</f>
        <v/>
      </c>
      <c r="U939" s="2" t="e">
        <f ca="1"/>
        <v>#NAME?</v>
      </c>
      <c r="V939" s="2" t="e">
        <f ca="1"/>
        <v>#NAME?</v>
      </c>
      <c r="W939" s="2" t="str">
        <f ca="1"/>
        <v/>
      </c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tr">
        <v/>
      </c>
      <c r="S940" s="2" t="str">
        <f ca="1">IFERROR(__xludf.DUMMYFUNCTION("""COMPUTED_VALUE"""),"")</f>
        <v/>
      </c>
      <c r="T940" s="2" t="str">
        <f ca="1">IFERROR(__xludf.DUMMYFUNCTION("""COMPUTED_VALUE"""),"")</f>
        <v/>
      </c>
      <c r="U940" s="2" t="e">
        <f ca="1"/>
        <v>#NAME?</v>
      </c>
      <c r="V940" s="2" t="e">
        <f ca="1"/>
        <v>#NAME?</v>
      </c>
      <c r="W940" s="2" t="str">
        <f ca="1"/>
        <v/>
      </c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tr">
        <v/>
      </c>
      <c r="S941" s="2" t="str">
        <f ca="1">IFERROR(__xludf.DUMMYFUNCTION("""COMPUTED_VALUE"""),"")</f>
        <v/>
      </c>
      <c r="T941" s="2" t="str">
        <f ca="1">IFERROR(__xludf.DUMMYFUNCTION("""COMPUTED_VALUE"""),"")</f>
        <v/>
      </c>
      <c r="U941" s="2" t="e">
        <f ca="1"/>
        <v>#NAME?</v>
      </c>
      <c r="V941" s="2" t="e">
        <f ca="1"/>
        <v>#NAME?</v>
      </c>
      <c r="W941" s="2" t="str">
        <f ca="1"/>
        <v/>
      </c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tr">
        <v/>
      </c>
      <c r="S942" s="2" t="str">
        <f ca="1">IFERROR(__xludf.DUMMYFUNCTION("""COMPUTED_VALUE"""),"")</f>
        <v/>
      </c>
      <c r="T942" s="2" t="str">
        <f ca="1">IFERROR(__xludf.DUMMYFUNCTION("""COMPUTED_VALUE"""),"")</f>
        <v/>
      </c>
      <c r="U942" s="2" t="e">
        <f ca="1"/>
        <v>#NAME?</v>
      </c>
      <c r="V942" s="2" t="e">
        <f ca="1"/>
        <v>#NAME?</v>
      </c>
      <c r="W942" s="2" t="str">
        <f ca="1"/>
        <v/>
      </c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tr">
        <v/>
      </c>
      <c r="S943" s="2" t="str">
        <f ca="1">IFERROR(__xludf.DUMMYFUNCTION("""COMPUTED_VALUE"""),"")</f>
        <v/>
      </c>
      <c r="T943" s="2" t="str">
        <f ca="1">IFERROR(__xludf.DUMMYFUNCTION("""COMPUTED_VALUE"""),"")</f>
        <v/>
      </c>
      <c r="U943" s="2" t="e">
        <f ca="1"/>
        <v>#NAME?</v>
      </c>
      <c r="V943" s="2" t="e">
        <f ca="1"/>
        <v>#NAME?</v>
      </c>
      <c r="W943" s="2" t="str">
        <f ca="1"/>
        <v/>
      </c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tr">
        <v/>
      </c>
      <c r="S944" s="2" t="str">
        <f ca="1">IFERROR(__xludf.DUMMYFUNCTION("""COMPUTED_VALUE"""),"")</f>
        <v/>
      </c>
      <c r="T944" s="2" t="str">
        <f ca="1">IFERROR(__xludf.DUMMYFUNCTION("""COMPUTED_VALUE"""),"")</f>
        <v/>
      </c>
      <c r="U944" s="2" t="e">
        <f ca="1"/>
        <v>#NAME?</v>
      </c>
      <c r="V944" s="2" t="e">
        <f ca="1"/>
        <v>#NAME?</v>
      </c>
      <c r="W944" s="2" t="str">
        <f ca="1"/>
        <v/>
      </c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tr">
        <v/>
      </c>
      <c r="S945" s="2" t="str">
        <f ca="1">IFERROR(__xludf.DUMMYFUNCTION("""COMPUTED_VALUE"""),"")</f>
        <v/>
      </c>
      <c r="T945" s="2" t="str">
        <f ca="1">IFERROR(__xludf.DUMMYFUNCTION("""COMPUTED_VALUE"""),"")</f>
        <v/>
      </c>
      <c r="U945" s="2" t="e">
        <f ca="1"/>
        <v>#NAME?</v>
      </c>
      <c r="V945" s="2" t="e">
        <f ca="1"/>
        <v>#NAME?</v>
      </c>
      <c r="W945" s="2" t="str">
        <f ca="1"/>
        <v/>
      </c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tr">
        <v/>
      </c>
      <c r="S946" s="2" t="str">
        <f ca="1">IFERROR(__xludf.DUMMYFUNCTION("""COMPUTED_VALUE"""),"")</f>
        <v/>
      </c>
      <c r="T946" s="2" t="str">
        <f ca="1">IFERROR(__xludf.DUMMYFUNCTION("""COMPUTED_VALUE"""),"")</f>
        <v/>
      </c>
      <c r="U946" s="2" t="e">
        <f ca="1"/>
        <v>#NAME?</v>
      </c>
      <c r="V946" s="2" t="e">
        <f ca="1"/>
        <v>#NAME?</v>
      </c>
      <c r="W946" s="2" t="str">
        <f ca="1"/>
        <v/>
      </c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tr">
        <v/>
      </c>
      <c r="S947" s="2" t="str">
        <f ca="1">IFERROR(__xludf.DUMMYFUNCTION("""COMPUTED_VALUE"""),"")</f>
        <v/>
      </c>
      <c r="T947" s="2" t="str">
        <f ca="1">IFERROR(__xludf.DUMMYFUNCTION("""COMPUTED_VALUE"""),"")</f>
        <v/>
      </c>
      <c r="U947" s="2" t="e">
        <f ca="1"/>
        <v>#NAME?</v>
      </c>
      <c r="V947" s="2" t="e">
        <f ca="1"/>
        <v>#NAME?</v>
      </c>
      <c r="W947" s="2" t="str">
        <f ca="1"/>
        <v/>
      </c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tr">
        <v/>
      </c>
      <c r="S948" s="2" t="str">
        <f ca="1">IFERROR(__xludf.DUMMYFUNCTION("""COMPUTED_VALUE"""),"")</f>
        <v/>
      </c>
      <c r="T948" s="2" t="str">
        <f ca="1">IFERROR(__xludf.DUMMYFUNCTION("""COMPUTED_VALUE"""),"")</f>
        <v/>
      </c>
      <c r="U948" s="2" t="e">
        <f ca="1"/>
        <v>#NAME?</v>
      </c>
      <c r="V948" s="2" t="e">
        <f ca="1"/>
        <v>#NAME?</v>
      </c>
      <c r="W948" s="2" t="str">
        <f ca="1"/>
        <v/>
      </c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tr">
        <v/>
      </c>
      <c r="S949" s="2" t="str">
        <f ca="1">IFERROR(__xludf.DUMMYFUNCTION("""COMPUTED_VALUE"""),"")</f>
        <v/>
      </c>
      <c r="T949" s="2" t="str">
        <f ca="1">IFERROR(__xludf.DUMMYFUNCTION("""COMPUTED_VALUE"""),"")</f>
        <v/>
      </c>
      <c r="U949" s="2" t="e">
        <f ca="1"/>
        <v>#NAME?</v>
      </c>
      <c r="V949" s="2" t="e">
        <f ca="1"/>
        <v>#NAME?</v>
      </c>
      <c r="W949" s="2" t="str">
        <f ca="1"/>
        <v/>
      </c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tr">
        <v/>
      </c>
      <c r="S950" s="2" t="str">
        <f ca="1">IFERROR(__xludf.DUMMYFUNCTION("""COMPUTED_VALUE"""),"")</f>
        <v/>
      </c>
      <c r="T950" s="2" t="str">
        <f ca="1">IFERROR(__xludf.DUMMYFUNCTION("""COMPUTED_VALUE"""),"")</f>
        <v/>
      </c>
      <c r="U950" s="2" t="e">
        <f ca="1"/>
        <v>#NAME?</v>
      </c>
      <c r="V950" s="2" t="e">
        <f ca="1"/>
        <v>#NAME?</v>
      </c>
      <c r="W950" s="2" t="str">
        <f ca="1"/>
        <v/>
      </c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tr">
        <v/>
      </c>
      <c r="S951" s="2" t="str">
        <f ca="1">IFERROR(__xludf.DUMMYFUNCTION("""COMPUTED_VALUE"""),"")</f>
        <v/>
      </c>
      <c r="T951" s="2" t="str">
        <f ca="1">IFERROR(__xludf.DUMMYFUNCTION("""COMPUTED_VALUE"""),"")</f>
        <v/>
      </c>
      <c r="U951" s="2" t="e">
        <f ca="1"/>
        <v>#NAME?</v>
      </c>
      <c r="V951" s="2" t="e">
        <f ca="1"/>
        <v>#NAME?</v>
      </c>
      <c r="W951" s="2" t="str">
        <f ca="1"/>
        <v/>
      </c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tr">
        <v/>
      </c>
      <c r="S952" s="2" t="str">
        <f ca="1">IFERROR(__xludf.DUMMYFUNCTION("""COMPUTED_VALUE"""),"")</f>
        <v/>
      </c>
      <c r="T952" s="2" t="str">
        <f ca="1">IFERROR(__xludf.DUMMYFUNCTION("""COMPUTED_VALUE"""),"")</f>
        <v/>
      </c>
      <c r="U952" s="2" t="e">
        <f ca="1"/>
        <v>#NAME?</v>
      </c>
      <c r="V952" s="2" t="e">
        <f ca="1"/>
        <v>#NAME?</v>
      </c>
      <c r="W952" s="2" t="str">
        <f ca="1"/>
        <v/>
      </c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tr">
        <v/>
      </c>
      <c r="S953" s="2" t="str">
        <f ca="1">IFERROR(__xludf.DUMMYFUNCTION("""COMPUTED_VALUE"""),"")</f>
        <v/>
      </c>
      <c r="T953" s="2" t="str">
        <f ca="1">IFERROR(__xludf.DUMMYFUNCTION("""COMPUTED_VALUE"""),"")</f>
        <v/>
      </c>
      <c r="U953" s="2" t="e">
        <f ca="1"/>
        <v>#NAME?</v>
      </c>
      <c r="V953" s="2" t="e">
        <f ca="1"/>
        <v>#NAME?</v>
      </c>
      <c r="W953" s="2" t="str">
        <f ca="1"/>
        <v/>
      </c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tr">
        <v/>
      </c>
      <c r="S954" s="2" t="str">
        <f ca="1">IFERROR(__xludf.DUMMYFUNCTION("""COMPUTED_VALUE"""),"")</f>
        <v/>
      </c>
      <c r="T954" s="2" t="str">
        <f ca="1">IFERROR(__xludf.DUMMYFUNCTION("""COMPUTED_VALUE"""),"")</f>
        <v/>
      </c>
      <c r="U954" s="2" t="e">
        <f ca="1"/>
        <v>#NAME?</v>
      </c>
      <c r="V954" s="2" t="e">
        <f ca="1"/>
        <v>#NAME?</v>
      </c>
      <c r="W954" s="2" t="str">
        <f ca="1"/>
        <v/>
      </c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tr">
        <v/>
      </c>
      <c r="S955" s="2" t="str">
        <f ca="1">IFERROR(__xludf.DUMMYFUNCTION("""COMPUTED_VALUE"""),"")</f>
        <v/>
      </c>
      <c r="T955" s="2" t="str">
        <f ca="1">IFERROR(__xludf.DUMMYFUNCTION("""COMPUTED_VALUE"""),"")</f>
        <v/>
      </c>
      <c r="U955" s="2" t="e">
        <f ca="1"/>
        <v>#NAME?</v>
      </c>
      <c r="V955" s="2" t="e">
        <f ca="1"/>
        <v>#NAME?</v>
      </c>
      <c r="W955" s="2" t="str">
        <f ca="1"/>
        <v/>
      </c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tr">
        <v/>
      </c>
      <c r="S956" s="2" t="str">
        <f ca="1">IFERROR(__xludf.DUMMYFUNCTION("""COMPUTED_VALUE"""),"")</f>
        <v/>
      </c>
      <c r="T956" s="2" t="str">
        <f ca="1">IFERROR(__xludf.DUMMYFUNCTION("""COMPUTED_VALUE"""),"")</f>
        <v/>
      </c>
      <c r="U956" s="2" t="e">
        <f ca="1"/>
        <v>#NAME?</v>
      </c>
      <c r="V956" s="2" t="e">
        <f ca="1"/>
        <v>#NAME?</v>
      </c>
      <c r="W956" s="2" t="str">
        <f ca="1"/>
        <v/>
      </c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tr">
        <v/>
      </c>
      <c r="S957" s="2" t="str">
        <f ca="1">IFERROR(__xludf.DUMMYFUNCTION("""COMPUTED_VALUE"""),"")</f>
        <v/>
      </c>
      <c r="T957" s="2" t="str">
        <f ca="1">IFERROR(__xludf.DUMMYFUNCTION("""COMPUTED_VALUE"""),"")</f>
        <v/>
      </c>
      <c r="U957" s="2" t="e">
        <f ca="1"/>
        <v>#NAME?</v>
      </c>
      <c r="V957" s="2" t="e">
        <f ca="1"/>
        <v>#NAME?</v>
      </c>
      <c r="W957" s="2" t="str">
        <f ca="1"/>
        <v/>
      </c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tr">
        <v/>
      </c>
      <c r="S958" s="2" t="str">
        <f ca="1">IFERROR(__xludf.DUMMYFUNCTION("""COMPUTED_VALUE"""),"")</f>
        <v/>
      </c>
      <c r="T958" s="2" t="str">
        <f ca="1">IFERROR(__xludf.DUMMYFUNCTION("""COMPUTED_VALUE"""),"")</f>
        <v/>
      </c>
      <c r="U958" s="2" t="e">
        <f ca="1"/>
        <v>#NAME?</v>
      </c>
      <c r="V958" s="2" t="e">
        <f ca="1"/>
        <v>#NAME?</v>
      </c>
      <c r="W958" s="2" t="str">
        <f ca="1"/>
        <v/>
      </c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tr">
        <v/>
      </c>
      <c r="S959" s="2" t="str">
        <f ca="1">IFERROR(__xludf.DUMMYFUNCTION("""COMPUTED_VALUE"""),"")</f>
        <v/>
      </c>
      <c r="T959" s="2" t="str">
        <f ca="1">IFERROR(__xludf.DUMMYFUNCTION("""COMPUTED_VALUE"""),"")</f>
        <v/>
      </c>
      <c r="U959" s="2" t="e">
        <f ca="1"/>
        <v>#NAME?</v>
      </c>
      <c r="V959" s="2" t="e">
        <f ca="1"/>
        <v>#NAME?</v>
      </c>
      <c r="W959" s="2" t="str">
        <f ca="1"/>
        <v/>
      </c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tr">
        <v/>
      </c>
      <c r="S960" s="2" t="str">
        <f ca="1">IFERROR(__xludf.DUMMYFUNCTION("""COMPUTED_VALUE"""),"")</f>
        <v/>
      </c>
      <c r="T960" s="2" t="str">
        <f ca="1">IFERROR(__xludf.DUMMYFUNCTION("""COMPUTED_VALUE"""),"")</f>
        <v/>
      </c>
      <c r="U960" s="2" t="e">
        <f ca="1"/>
        <v>#NAME?</v>
      </c>
      <c r="V960" s="2" t="e">
        <f ca="1"/>
        <v>#NAME?</v>
      </c>
      <c r="W960" s="2" t="str">
        <f ca="1"/>
        <v/>
      </c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tr">
        <v/>
      </c>
      <c r="S961" s="2" t="str">
        <f ca="1">IFERROR(__xludf.DUMMYFUNCTION("""COMPUTED_VALUE"""),"")</f>
        <v/>
      </c>
      <c r="T961" s="2" t="str">
        <f ca="1">IFERROR(__xludf.DUMMYFUNCTION("""COMPUTED_VALUE"""),"")</f>
        <v/>
      </c>
      <c r="U961" s="2" t="e">
        <f ca="1"/>
        <v>#NAME?</v>
      </c>
      <c r="V961" s="2" t="e">
        <f ca="1"/>
        <v>#NAME?</v>
      </c>
      <c r="W961" s="2" t="str">
        <f ca="1"/>
        <v/>
      </c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tr">
        <v/>
      </c>
      <c r="S962" s="2" t="str">
        <f ca="1">IFERROR(__xludf.DUMMYFUNCTION("""COMPUTED_VALUE"""),"")</f>
        <v/>
      </c>
      <c r="T962" s="2" t="str">
        <f ca="1">IFERROR(__xludf.DUMMYFUNCTION("""COMPUTED_VALUE"""),"")</f>
        <v/>
      </c>
      <c r="U962" s="2" t="e">
        <f ca="1"/>
        <v>#NAME?</v>
      </c>
      <c r="V962" s="2" t="e">
        <f ca="1"/>
        <v>#NAME?</v>
      </c>
      <c r="W962" s="2" t="str">
        <f ca="1"/>
        <v/>
      </c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tr">
        <v/>
      </c>
      <c r="S963" s="2" t="str">
        <f ca="1">IFERROR(__xludf.DUMMYFUNCTION("""COMPUTED_VALUE"""),"")</f>
        <v/>
      </c>
      <c r="T963" s="2" t="str">
        <f ca="1">IFERROR(__xludf.DUMMYFUNCTION("""COMPUTED_VALUE"""),"")</f>
        <v/>
      </c>
      <c r="U963" s="2" t="e">
        <f ca="1"/>
        <v>#NAME?</v>
      </c>
      <c r="V963" s="2" t="e">
        <f ca="1"/>
        <v>#NAME?</v>
      </c>
      <c r="W963" s="2" t="str">
        <f ca="1"/>
        <v/>
      </c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tr">
        <v/>
      </c>
      <c r="S964" s="2" t="str">
        <f ca="1">IFERROR(__xludf.DUMMYFUNCTION("""COMPUTED_VALUE"""),"")</f>
        <v/>
      </c>
      <c r="T964" s="2" t="str">
        <f ca="1">IFERROR(__xludf.DUMMYFUNCTION("""COMPUTED_VALUE"""),"")</f>
        <v/>
      </c>
      <c r="U964" s="2" t="e">
        <f ca="1"/>
        <v>#NAME?</v>
      </c>
      <c r="V964" s="2" t="e">
        <f ca="1"/>
        <v>#NAME?</v>
      </c>
      <c r="W964" s="2" t="str">
        <f ca="1"/>
        <v/>
      </c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tr">
        <v/>
      </c>
      <c r="S965" s="2" t="str">
        <f ca="1">IFERROR(__xludf.DUMMYFUNCTION("""COMPUTED_VALUE"""),"")</f>
        <v/>
      </c>
      <c r="T965" s="2" t="str">
        <f ca="1">IFERROR(__xludf.DUMMYFUNCTION("""COMPUTED_VALUE"""),"")</f>
        <v/>
      </c>
      <c r="U965" s="2" t="e">
        <f ca="1"/>
        <v>#NAME?</v>
      </c>
      <c r="V965" s="2" t="e">
        <f ca="1"/>
        <v>#NAME?</v>
      </c>
      <c r="W965" s="2" t="str">
        <f ca="1"/>
        <v/>
      </c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tr">
        <v/>
      </c>
      <c r="S966" s="2" t="str">
        <f ca="1">IFERROR(__xludf.DUMMYFUNCTION("""COMPUTED_VALUE"""),"")</f>
        <v/>
      </c>
      <c r="T966" s="2" t="str">
        <f ca="1">IFERROR(__xludf.DUMMYFUNCTION("""COMPUTED_VALUE"""),"")</f>
        <v/>
      </c>
      <c r="U966" s="2" t="e">
        <f ca="1"/>
        <v>#NAME?</v>
      </c>
      <c r="V966" s="2" t="e">
        <f ca="1"/>
        <v>#NAME?</v>
      </c>
      <c r="W966" s="2" t="str">
        <f ca="1"/>
        <v/>
      </c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tr">
        <v/>
      </c>
      <c r="S967" s="2" t="str">
        <f ca="1">IFERROR(__xludf.DUMMYFUNCTION("""COMPUTED_VALUE"""),"")</f>
        <v/>
      </c>
      <c r="T967" s="2" t="str">
        <f ca="1">IFERROR(__xludf.DUMMYFUNCTION("""COMPUTED_VALUE"""),"")</f>
        <v/>
      </c>
      <c r="U967" s="2" t="e">
        <f ca="1"/>
        <v>#NAME?</v>
      </c>
      <c r="V967" s="2" t="e">
        <f ca="1"/>
        <v>#NAME?</v>
      </c>
      <c r="W967" s="2" t="str">
        <f ca="1"/>
        <v/>
      </c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tr">
        <v/>
      </c>
      <c r="S968" s="2" t="str">
        <f ca="1">IFERROR(__xludf.DUMMYFUNCTION("""COMPUTED_VALUE"""),"")</f>
        <v/>
      </c>
      <c r="T968" s="2" t="str">
        <f ca="1">IFERROR(__xludf.DUMMYFUNCTION("""COMPUTED_VALUE"""),"")</f>
        <v/>
      </c>
      <c r="U968" s="2" t="e">
        <f ca="1"/>
        <v>#NAME?</v>
      </c>
      <c r="V968" s="2" t="e">
        <f ca="1"/>
        <v>#NAME?</v>
      </c>
      <c r="W968" s="2" t="str">
        <f ca="1"/>
        <v/>
      </c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tr">
        <v/>
      </c>
      <c r="S969" s="2" t="str">
        <f ca="1">IFERROR(__xludf.DUMMYFUNCTION("""COMPUTED_VALUE"""),"")</f>
        <v/>
      </c>
      <c r="T969" s="2" t="str">
        <f ca="1">IFERROR(__xludf.DUMMYFUNCTION("""COMPUTED_VALUE"""),"")</f>
        <v/>
      </c>
      <c r="U969" s="2" t="e">
        <f ca="1"/>
        <v>#NAME?</v>
      </c>
      <c r="V969" s="2" t="e">
        <f ca="1"/>
        <v>#NAME?</v>
      </c>
      <c r="W969" s="2" t="str">
        <f ca="1"/>
        <v/>
      </c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tr">
        <v/>
      </c>
      <c r="S970" s="2" t="str">
        <f ca="1">IFERROR(__xludf.DUMMYFUNCTION("""COMPUTED_VALUE"""),"")</f>
        <v/>
      </c>
      <c r="T970" s="2" t="str">
        <f ca="1">IFERROR(__xludf.DUMMYFUNCTION("""COMPUTED_VALUE"""),"")</f>
        <v/>
      </c>
      <c r="U970" s="2" t="e">
        <f ca="1"/>
        <v>#NAME?</v>
      </c>
      <c r="V970" s="2" t="e">
        <f ca="1"/>
        <v>#NAME?</v>
      </c>
      <c r="W970" s="2" t="str">
        <f ca="1"/>
        <v/>
      </c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tr">
        <v/>
      </c>
      <c r="S971" s="2" t="str">
        <f ca="1">IFERROR(__xludf.DUMMYFUNCTION("""COMPUTED_VALUE"""),"")</f>
        <v/>
      </c>
      <c r="T971" s="2" t="str">
        <f ca="1">IFERROR(__xludf.DUMMYFUNCTION("""COMPUTED_VALUE"""),"")</f>
        <v/>
      </c>
      <c r="U971" s="2" t="e">
        <f ca="1"/>
        <v>#NAME?</v>
      </c>
      <c r="V971" s="2" t="e">
        <f ca="1"/>
        <v>#NAME?</v>
      </c>
      <c r="W971" s="2" t="str">
        <f ca="1"/>
        <v/>
      </c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tr">
        <v/>
      </c>
      <c r="S972" s="2" t="str">
        <f ca="1">IFERROR(__xludf.DUMMYFUNCTION("""COMPUTED_VALUE"""),"")</f>
        <v/>
      </c>
      <c r="T972" s="2" t="str">
        <f ca="1">IFERROR(__xludf.DUMMYFUNCTION("""COMPUTED_VALUE"""),"")</f>
        <v/>
      </c>
      <c r="U972" s="2" t="e">
        <f ca="1"/>
        <v>#NAME?</v>
      </c>
      <c r="V972" s="2" t="e">
        <f ca="1"/>
        <v>#NAME?</v>
      </c>
      <c r="W972" s="2" t="str">
        <f ca="1"/>
        <v/>
      </c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tr">
        <v/>
      </c>
      <c r="S973" s="2" t="str">
        <f ca="1">IFERROR(__xludf.DUMMYFUNCTION("""COMPUTED_VALUE"""),"")</f>
        <v/>
      </c>
      <c r="T973" s="2" t="str">
        <f ca="1">IFERROR(__xludf.DUMMYFUNCTION("""COMPUTED_VALUE"""),"")</f>
        <v/>
      </c>
      <c r="U973" s="2" t="e">
        <f ca="1"/>
        <v>#NAME?</v>
      </c>
      <c r="V973" s="2" t="e">
        <f ca="1"/>
        <v>#NAME?</v>
      </c>
      <c r="W973" s="2" t="str">
        <f ca="1"/>
        <v/>
      </c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tr">
        <v/>
      </c>
      <c r="S974" s="2" t="str">
        <f ca="1">IFERROR(__xludf.DUMMYFUNCTION("""COMPUTED_VALUE"""),"")</f>
        <v/>
      </c>
      <c r="T974" s="2" t="str">
        <f ca="1">IFERROR(__xludf.DUMMYFUNCTION("""COMPUTED_VALUE"""),"")</f>
        <v/>
      </c>
      <c r="U974" s="2" t="e">
        <f ca="1"/>
        <v>#NAME?</v>
      </c>
      <c r="V974" s="2" t="e">
        <f ca="1"/>
        <v>#NAME?</v>
      </c>
      <c r="W974" s="2" t="str">
        <f ca="1"/>
        <v/>
      </c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tr">
        <v/>
      </c>
      <c r="S975" s="2" t="str">
        <f ca="1">IFERROR(__xludf.DUMMYFUNCTION("""COMPUTED_VALUE"""),"")</f>
        <v/>
      </c>
      <c r="T975" s="2" t="str">
        <f ca="1">IFERROR(__xludf.DUMMYFUNCTION("""COMPUTED_VALUE"""),"")</f>
        <v/>
      </c>
      <c r="U975" s="2" t="e">
        <f ca="1"/>
        <v>#NAME?</v>
      </c>
      <c r="V975" s="2" t="e">
        <f ca="1"/>
        <v>#NAME?</v>
      </c>
      <c r="W975" s="2" t="str">
        <f ca="1"/>
        <v/>
      </c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tr">
        <v/>
      </c>
      <c r="S976" s="2" t="str">
        <f ca="1">IFERROR(__xludf.DUMMYFUNCTION("""COMPUTED_VALUE"""),"")</f>
        <v/>
      </c>
      <c r="T976" s="2" t="str">
        <f ca="1">IFERROR(__xludf.DUMMYFUNCTION("""COMPUTED_VALUE"""),"")</f>
        <v/>
      </c>
      <c r="U976" s="2" t="e">
        <f ca="1"/>
        <v>#NAME?</v>
      </c>
      <c r="V976" s="2" t="e">
        <f ca="1"/>
        <v>#NAME?</v>
      </c>
      <c r="W976" s="2" t="str">
        <f ca="1"/>
        <v/>
      </c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tr">
        <v/>
      </c>
      <c r="S977" s="2" t="str">
        <f ca="1">IFERROR(__xludf.DUMMYFUNCTION("""COMPUTED_VALUE"""),"")</f>
        <v/>
      </c>
      <c r="T977" s="2" t="str">
        <f ca="1">IFERROR(__xludf.DUMMYFUNCTION("""COMPUTED_VALUE"""),"")</f>
        <v/>
      </c>
      <c r="U977" s="2" t="e">
        <f ca="1"/>
        <v>#NAME?</v>
      </c>
      <c r="V977" s="2" t="e">
        <f ca="1"/>
        <v>#NAME?</v>
      </c>
      <c r="W977" s="2" t="str">
        <f ca="1"/>
        <v/>
      </c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tr">
        <v/>
      </c>
      <c r="S978" s="2" t="str">
        <f ca="1">IFERROR(__xludf.DUMMYFUNCTION("""COMPUTED_VALUE"""),"")</f>
        <v/>
      </c>
      <c r="T978" s="2" t="str">
        <f ca="1">IFERROR(__xludf.DUMMYFUNCTION("""COMPUTED_VALUE"""),"")</f>
        <v/>
      </c>
      <c r="U978" s="2" t="e">
        <f ca="1"/>
        <v>#NAME?</v>
      </c>
      <c r="V978" s="2" t="e">
        <f ca="1"/>
        <v>#NAME?</v>
      </c>
      <c r="W978" s="2" t="str">
        <f ca="1"/>
        <v/>
      </c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tr">
        <v/>
      </c>
      <c r="S979" s="2" t="str">
        <f ca="1">IFERROR(__xludf.DUMMYFUNCTION("""COMPUTED_VALUE"""),"")</f>
        <v/>
      </c>
      <c r="T979" s="2" t="str">
        <f ca="1">IFERROR(__xludf.DUMMYFUNCTION("""COMPUTED_VALUE"""),"")</f>
        <v/>
      </c>
      <c r="U979" s="2" t="e">
        <f ca="1"/>
        <v>#NAME?</v>
      </c>
      <c r="V979" s="2" t="e">
        <f ca="1"/>
        <v>#NAME?</v>
      </c>
      <c r="W979" s="2" t="str">
        <f ca="1"/>
        <v/>
      </c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tr">
        <v/>
      </c>
      <c r="S980" s="2" t="str">
        <f ca="1">IFERROR(__xludf.DUMMYFUNCTION("""COMPUTED_VALUE"""),"")</f>
        <v/>
      </c>
      <c r="T980" s="2" t="str">
        <f ca="1">IFERROR(__xludf.DUMMYFUNCTION("""COMPUTED_VALUE"""),"")</f>
        <v/>
      </c>
      <c r="U980" s="2" t="e">
        <f ca="1"/>
        <v>#NAME?</v>
      </c>
      <c r="V980" s="2" t="e">
        <f ca="1"/>
        <v>#NAME?</v>
      </c>
      <c r="W980" s="2" t="str">
        <f ca="1"/>
        <v/>
      </c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tr">
        <v/>
      </c>
      <c r="S981" s="2" t="str">
        <f ca="1">IFERROR(__xludf.DUMMYFUNCTION("""COMPUTED_VALUE"""),"")</f>
        <v/>
      </c>
      <c r="T981" s="2" t="str">
        <f ca="1">IFERROR(__xludf.DUMMYFUNCTION("""COMPUTED_VALUE"""),"")</f>
        <v/>
      </c>
      <c r="U981" s="2" t="e">
        <f ca="1"/>
        <v>#NAME?</v>
      </c>
      <c r="V981" s="2" t="e">
        <f ca="1"/>
        <v>#NAME?</v>
      </c>
      <c r="W981" s="2" t="str">
        <f ca="1"/>
        <v/>
      </c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tr">
        <v/>
      </c>
      <c r="S982" s="2" t="str">
        <f ca="1">IFERROR(__xludf.DUMMYFUNCTION("""COMPUTED_VALUE"""),"")</f>
        <v/>
      </c>
      <c r="T982" s="2" t="str">
        <f ca="1">IFERROR(__xludf.DUMMYFUNCTION("""COMPUTED_VALUE"""),"")</f>
        <v/>
      </c>
      <c r="U982" s="2" t="e">
        <f ca="1"/>
        <v>#NAME?</v>
      </c>
      <c r="V982" s="2" t="e">
        <f ca="1"/>
        <v>#NAME?</v>
      </c>
      <c r="W982" s="2" t="str">
        <f ca="1"/>
        <v/>
      </c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tr">
        <v/>
      </c>
      <c r="S983" s="2" t="str">
        <f ca="1">IFERROR(__xludf.DUMMYFUNCTION("""COMPUTED_VALUE"""),"")</f>
        <v/>
      </c>
      <c r="T983" s="2" t="str">
        <f ca="1">IFERROR(__xludf.DUMMYFUNCTION("""COMPUTED_VALUE"""),"")</f>
        <v/>
      </c>
      <c r="U983" s="2" t="e">
        <f ca="1"/>
        <v>#NAME?</v>
      </c>
      <c r="V983" s="2" t="e">
        <f ca="1"/>
        <v>#NAME?</v>
      </c>
      <c r="W983" s="2" t="str">
        <f ca="1"/>
        <v/>
      </c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tr">
        <v/>
      </c>
      <c r="S984" s="2" t="str">
        <f ca="1">IFERROR(__xludf.DUMMYFUNCTION("""COMPUTED_VALUE"""),"")</f>
        <v/>
      </c>
      <c r="T984" s="2" t="str">
        <f ca="1">IFERROR(__xludf.DUMMYFUNCTION("""COMPUTED_VALUE"""),"")</f>
        <v/>
      </c>
      <c r="U984" s="2" t="e">
        <f ca="1"/>
        <v>#NAME?</v>
      </c>
      <c r="V984" s="2" t="e">
        <f ca="1"/>
        <v>#NAME?</v>
      </c>
      <c r="W984" s="2" t="str">
        <f ca="1"/>
        <v/>
      </c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tr">
        <v/>
      </c>
      <c r="S985" s="2" t="str">
        <f ca="1">IFERROR(__xludf.DUMMYFUNCTION("""COMPUTED_VALUE"""),"")</f>
        <v/>
      </c>
      <c r="T985" s="2" t="str">
        <f ca="1">IFERROR(__xludf.DUMMYFUNCTION("""COMPUTED_VALUE"""),"")</f>
        <v/>
      </c>
      <c r="U985" s="2" t="e">
        <f ca="1"/>
        <v>#NAME?</v>
      </c>
      <c r="V985" s="2" t="e">
        <f ca="1"/>
        <v>#NAME?</v>
      </c>
      <c r="W985" s="2" t="str">
        <f ca="1"/>
        <v/>
      </c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tr">
        <v/>
      </c>
      <c r="S986" s="2" t="str">
        <f ca="1">IFERROR(__xludf.DUMMYFUNCTION("""COMPUTED_VALUE"""),"")</f>
        <v/>
      </c>
      <c r="T986" s="2" t="str">
        <f ca="1">IFERROR(__xludf.DUMMYFUNCTION("""COMPUTED_VALUE"""),"")</f>
        <v/>
      </c>
      <c r="U986" s="2" t="e">
        <f ca="1"/>
        <v>#NAME?</v>
      </c>
      <c r="V986" s="2" t="e">
        <f ca="1"/>
        <v>#NAME?</v>
      </c>
      <c r="W986" s="2" t="str">
        <f ca="1"/>
        <v/>
      </c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tr">
        <v/>
      </c>
      <c r="S987" s="2" t="str">
        <f ca="1">IFERROR(__xludf.DUMMYFUNCTION("""COMPUTED_VALUE"""),"")</f>
        <v/>
      </c>
      <c r="T987" s="2" t="str">
        <f ca="1">IFERROR(__xludf.DUMMYFUNCTION("""COMPUTED_VALUE"""),"")</f>
        <v/>
      </c>
      <c r="U987" s="2" t="e">
        <f ca="1"/>
        <v>#NAME?</v>
      </c>
      <c r="V987" s="2" t="e">
        <f ca="1"/>
        <v>#NAME?</v>
      </c>
      <c r="W987" s="2" t="str">
        <f ca="1"/>
        <v/>
      </c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tr">
        <v/>
      </c>
      <c r="S988" s="2" t="str">
        <f ca="1">IFERROR(__xludf.DUMMYFUNCTION("""COMPUTED_VALUE"""),"")</f>
        <v/>
      </c>
      <c r="T988" s="2" t="str">
        <f ca="1">IFERROR(__xludf.DUMMYFUNCTION("""COMPUTED_VALUE"""),"")</f>
        <v/>
      </c>
      <c r="U988" s="2" t="e">
        <f ca="1"/>
        <v>#NAME?</v>
      </c>
      <c r="V988" s="2" t="e">
        <f ca="1"/>
        <v>#NAME?</v>
      </c>
      <c r="W988" s="2" t="str">
        <f ca="1"/>
        <v/>
      </c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tr">
        <v/>
      </c>
      <c r="S989" s="2" t="str">
        <f ca="1">IFERROR(__xludf.DUMMYFUNCTION("""COMPUTED_VALUE"""),"")</f>
        <v/>
      </c>
      <c r="T989" s="2" t="str">
        <f ca="1">IFERROR(__xludf.DUMMYFUNCTION("""COMPUTED_VALUE"""),"")</f>
        <v/>
      </c>
      <c r="U989" s="2" t="e">
        <f ca="1"/>
        <v>#NAME?</v>
      </c>
      <c r="V989" s="2" t="e">
        <f ca="1"/>
        <v>#NAME?</v>
      </c>
      <c r="W989" s="2" t="str">
        <f ca="1"/>
        <v/>
      </c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tr">
        <v/>
      </c>
      <c r="S990" s="2" t="str">
        <f ca="1">IFERROR(__xludf.DUMMYFUNCTION("""COMPUTED_VALUE"""),"")</f>
        <v/>
      </c>
      <c r="T990" s="2" t="str">
        <f ca="1">IFERROR(__xludf.DUMMYFUNCTION("""COMPUTED_VALUE"""),"")</f>
        <v/>
      </c>
      <c r="U990" s="2" t="e">
        <f ca="1"/>
        <v>#NAME?</v>
      </c>
      <c r="V990" s="2" t="e">
        <f ca="1"/>
        <v>#NAME?</v>
      </c>
      <c r="W990" s="2" t="str">
        <f ca="1"/>
        <v/>
      </c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tr">
        <v/>
      </c>
      <c r="S991" s="2" t="str">
        <f ca="1">IFERROR(__xludf.DUMMYFUNCTION("""COMPUTED_VALUE"""),"")</f>
        <v/>
      </c>
      <c r="T991" s="2" t="str">
        <f ca="1">IFERROR(__xludf.DUMMYFUNCTION("""COMPUTED_VALUE"""),"")</f>
        <v/>
      </c>
      <c r="U991" s="2" t="e">
        <f ca="1"/>
        <v>#NAME?</v>
      </c>
      <c r="V991" s="2" t="e">
        <f ca="1"/>
        <v>#NAME?</v>
      </c>
      <c r="W991" s="2" t="str">
        <f ca="1"/>
        <v/>
      </c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tr">
        <v/>
      </c>
      <c r="S992" s="2" t="str">
        <f ca="1">IFERROR(__xludf.DUMMYFUNCTION("""COMPUTED_VALUE"""),"")</f>
        <v/>
      </c>
      <c r="T992" s="2" t="str">
        <f ca="1">IFERROR(__xludf.DUMMYFUNCTION("""COMPUTED_VALUE"""),"")</f>
        <v/>
      </c>
      <c r="U992" s="2" t="e">
        <f ca="1"/>
        <v>#NAME?</v>
      </c>
      <c r="V992" s="2" t="e">
        <f ca="1"/>
        <v>#NAME?</v>
      </c>
      <c r="W992" s="2" t="str">
        <f ca="1"/>
        <v/>
      </c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tr">
        <v/>
      </c>
      <c r="S993" s="2" t="str">
        <f ca="1">IFERROR(__xludf.DUMMYFUNCTION("""COMPUTED_VALUE"""),"")</f>
        <v/>
      </c>
      <c r="T993" s="2" t="str">
        <f ca="1">IFERROR(__xludf.DUMMYFUNCTION("""COMPUTED_VALUE"""),"")</f>
        <v/>
      </c>
      <c r="U993" s="2" t="e">
        <f ca="1"/>
        <v>#NAME?</v>
      </c>
      <c r="V993" s="2" t="e">
        <f ca="1"/>
        <v>#NAME?</v>
      </c>
      <c r="W993" s="2" t="str">
        <f ca="1"/>
        <v/>
      </c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tr">
        <v/>
      </c>
      <c r="S994" s="2" t="str">
        <f ca="1">IFERROR(__xludf.DUMMYFUNCTION("""COMPUTED_VALUE"""),"")</f>
        <v/>
      </c>
      <c r="T994" s="2" t="str">
        <f ca="1">IFERROR(__xludf.DUMMYFUNCTION("""COMPUTED_VALUE"""),"")</f>
        <v/>
      </c>
      <c r="U994" s="2" t="e">
        <f ca="1"/>
        <v>#NAME?</v>
      </c>
      <c r="V994" s="2" t="e">
        <f ca="1"/>
        <v>#NAME?</v>
      </c>
      <c r="W994" s="2" t="str">
        <f ca="1"/>
        <v/>
      </c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tr">
        <v/>
      </c>
      <c r="S995" s="2" t="str">
        <f ca="1">IFERROR(__xludf.DUMMYFUNCTION("""COMPUTED_VALUE"""),"")</f>
        <v/>
      </c>
      <c r="T995" s="2" t="str">
        <f ca="1">IFERROR(__xludf.DUMMYFUNCTION("""COMPUTED_VALUE"""),"")</f>
        <v/>
      </c>
      <c r="U995" s="2" t="e">
        <f ca="1"/>
        <v>#NAME?</v>
      </c>
      <c r="V995" s="2" t="e">
        <f ca="1"/>
        <v>#NAME?</v>
      </c>
      <c r="W995" s="2" t="str">
        <f ca="1"/>
        <v/>
      </c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tr">
        <v/>
      </c>
      <c r="S996" s="2" t="str">
        <f ca="1">IFERROR(__xludf.DUMMYFUNCTION("""COMPUTED_VALUE"""),"")</f>
        <v/>
      </c>
      <c r="T996" s="2" t="str">
        <f ca="1">IFERROR(__xludf.DUMMYFUNCTION("""COMPUTED_VALUE"""),"")</f>
        <v/>
      </c>
      <c r="U996" s="2" t="e">
        <f ca="1"/>
        <v>#NAME?</v>
      </c>
      <c r="V996" s="2" t="e">
        <f ca="1"/>
        <v>#NAME?</v>
      </c>
      <c r="W996" s="2" t="str">
        <f ca="1"/>
        <v/>
      </c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tr">
        <v/>
      </c>
      <c r="S997" s="2" t="str">
        <f ca="1">IFERROR(__xludf.DUMMYFUNCTION("""COMPUTED_VALUE"""),"")</f>
        <v/>
      </c>
      <c r="T997" s="2" t="str">
        <f ca="1">IFERROR(__xludf.DUMMYFUNCTION("""COMPUTED_VALUE"""),"")</f>
        <v/>
      </c>
      <c r="U997" s="2" t="e">
        <f ca="1"/>
        <v>#NAME?</v>
      </c>
      <c r="V997" s="2" t="e">
        <f ca="1"/>
        <v>#NAME?</v>
      </c>
      <c r="W997" s="2" t="str">
        <f ca="1"/>
        <v/>
      </c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tr">
        <v/>
      </c>
      <c r="S998" s="2" t="str">
        <f ca="1">IFERROR(__xludf.DUMMYFUNCTION("""COMPUTED_VALUE"""),"")</f>
        <v/>
      </c>
      <c r="T998" s="2" t="str">
        <f ca="1">IFERROR(__xludf.DUMMYFUNCTION("""COMPUTED_VALUE"""),"")</f>
        <v/>
      </c>
      <c r="U998" s="2" t="e">
        <f ca="1"/>
        <v>#NAME?</v>
      </c>
      <c r="V998" s="2" t="e">
        <f ca="1"/>
        <v>#NAME?</v>
      </c>
      <c r="W998" s="2" t="str">
        <f ca="1"/>
        <v/>
      </c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tr">
        <v/>
      </c>
      <c r="S999" s="2" t="str">
        <f ca="1">IFERROR(__xludf.DUMMYFUNCTION("""COMPUTED_VALUE"""),"")</f>
        <v/>
      </c>
      <c r="T999" s="2" t="str">
        <f ca="1">IFERROR(__xludf.DUMMYFUNCTION("""COMPUTED_VALUE"""),"")</f>
        <v/>
      </c>
      <c r="U999" s="2" t="e">
        <f ca="1"/>
        <v>#NAME?</v>
      </c>
      <c r="V999" s="2" t="e">
        <f ca="1"/>
        <v>#NAME?</v>
      </c>
      <c r="W999" s="2" t="str">
        <f ca="1"/>
        <v/>
      </c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tr">
        <v/>
      </c>
      <c r="S1000" s="2" t="str">
        <f ca="1">IFERROR(__xludf.DUMMYFUNCTION("""COMPUTED_VALUE"""),"")</f>
        <v/>
      </c>
      <c r="T1000" s="2" t="str">
        <f ca="1">IFERROR(__xludf.DUMMYFUNCTION("""COMPUTED_VALUE"""),"")</f>
        <v/>
      </c>
      <c r="U1000" s="2" t="e">
        <f ca="1"/>
        <v>#NAME?</v>
      </c>
      <c r="V1000" s="2" t="e">
        <f ca="1"/>
        <v>#NAME?</v>
      </c>
      <c r="W1000" s="2" t="str">
        <f ca="1"/>
        <v/>
      </c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2026-05-06T07:16:00Z</dcterms:created>
  <dcterms:modified xsi:type="dcterms:W3CDTF">2026-05-06T07:16:11Z</dcterms:modified>
</cp:coreProperties>
</file>