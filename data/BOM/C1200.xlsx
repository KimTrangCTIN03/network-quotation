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eDetails_CT167013261VV" r:id="rId3" sheetId="1"/>
  </sheets>
</workbook>
</file>

<file path=xl/sharedStrings.xml><?xml version="1.0" encoding="utf-8"?>
<sst xmlns="http://schemas.openxmlformats.org/spreadsheetml/2006/main" count="781" uniqueCount="149">
  <si>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</si>
  <si>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</si>
  <si>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</si>
  <si>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</si>
  <si>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</si>
  <si>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</si>
  <si>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</si>
  <si>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</si>
  <si>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</si>
  <si>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</si>
  <si>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</si>
  <si>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</si>
  <si>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</si>
  <si>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</si>
  <si>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</si>
  <si>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1.0</t>
  </si>
  <si>
    <t>C1200-8T-D</t>
  </si>
  <si>
    <t>-</t>
  </si>
  <si>
    <t>Catalyst 1200 8-port GE, Desktop, Ext PS, PoE Input</t>
  </si>
  <si>
    <t>Default</t>
  </si>
  <si>
    <t>N/A</t>
  </si>
  <si>
    <t>14</t>
  </si>
  <si>
    <t>No</t>
  </si>
  <si>
    <t>1</t>
  </si>
  <si>
    <t/>
  </si>
  <si>
    <t>1.0.1</t>
  </si>
  <si>
    <t>CON-SNT-C12008TD</t>
  </si>
  <si>
    <t>SNTC-8X5XNBD Catalyst 1200 8-port GE, Desktop, Ext PS</t>
  </si>
  <si>
    <t>24</t>
  </si>
  <si>
    <t>PRIMARYSERVICE</t>
  </si>
  <si>
    <t>1.1</t>
  </si>
  <si>
    <t>PWRADPT-WM-18-EU</t>
  </si>
  <si>
    <t>Power adaptor 18W for C1200 and C1300 switches (Europe)</t>
  </si>
  <si>
    <t>SubTotal</t>
  </si>
  <si>
    <t>2.0</t>
  </si>
  <si>
    <t>C1200-8T-E-2G</t>
  </si>
  <si>
    <t>Catalyst 1200 8-port GE, Ext PS, 2x1G Combo</t>
  </si>
  <si>
    <t>2.0.1</t>
  </si>
  <si>
    <t>CON-SNT-C12008TG</t>
  </si>
  <si>
    <t>SNTC-8X5XNBD Catalyst 1200 8-port GE, Ext PS, 2x1G Co</t>
  </si>
  <si>
    <t>2.1</t>
  </si>
  <si>
    <t>3.0</t>
  </si>
  <si>
    <t>C1200-8P-E-2G</t>
  </si>
  <si>
    <t>Catalyst 1200 8-port GE, PoE, Ext PS, 2x1G Combo</t>
  </si>
  <si>
    <t>3.0.1</t>
  </si>
  <si>
    <t>CON-SNT-C12008PG</t>
  </si>
  <si>
    <t>SNTC-8X5XNBD Catalyst 1200 8-port GE, PoE, Ext PS, 2x</t>
  </si>
  <si>
    <t>3.1</t>
  </si>
  <si>
    <t>CAB-ACE</t>
  </si>
  <si>
    <t>AC Power Cord (Europe), C13, CEE 7, 1.5M</t>
  </si>
  <si>
    <t>4.0</t>
  </si>
  <si>
    <t>C1200-8FP-2G</t>
  </si>
  <si>
    <t>Catalyst 1200 8-port GE, Full PoE, 2x1G Combo</t>
  </si>
  <si>
    <t>4.0.1</t>
  </si>
  <si>
    <t>CON-SNT-C120082G</t>
  </si>
  <si>
    <t>SNTC-8X5XNBD Catalyst 1200 8-port GE, Full PoE, 2x1G</t>
  </si>
  <si>
    <t>4.1</t>
  </si>
  <si>
    <t>5.0</t>
  </si>
  <si>
    <t>C1200-16T-2G</t>
  </si>
  <si>
    <t>Catalyst 1200 16-port GE, 2x1G SFP</t>
  </si>
  <si>
    <t>63</t>
  </si>
  <si>
    <t>5.0.1</t>
  </si>
  <si>
    <t>CON-SNT-C120162G</t>
  </si>
  <si>
    <t>SNTC-8X5XNBD Catalyst 1200 16-port GE, 2x1G SFP</t>
  </si>
  <si>
    <t>5.1</t>
  </si>
  <si>
    <t>6.0</t>
  </si>
  <si>
    <t>C1200-16P-2G</t>
  </si>
  <si>
    <t>Catalyst 1200 16-port GE, PoE, 2x1G SFP</t>
  </si>
  <si>
    <t>84</t>
  </si>
  <si>
    <t>6.0.1</t>
  </si>
  <si>
    <t>CON-SNT-C1216P2G</t>
  </si>
  <si>
    <t>SNTC-8X5XNBD Catalyst 1200 16-port GE, PoE, 2x1G SFP</t>
  </si>
  <si>
    <t>6.1</t>
  </si>
  <si>
    <t>7.0</t>
  </si>
  <si>
    <t>C1200-24T-4G</t>
  </si>
  <si>
    <t>Catalyst 1200 24-port GE, 4x1G SFP</t>
  </si>
  <si>
    <t>35</t>
  </si>
  <si>
    <t>7.0.1</t>
  </si>
  <si>
    <t>CON-SNT-C1224T4G</t>
  </si>
  <si>
    <t>SNTC-8X5XNBD Catalyst 1200 24-port GE, 4x1G SFP</t>
  </si>
  <si>
    <t>7.1</t>
  </si>
  <si>
    <t>8.0</t>
  </si>
  <si>
    <t>C1200-24P-4G</t>
  </si>
  <si>
    <t>Catalyst 1200 24-port GE, PoE, 4x1G SFP</t>
  </si>
  <si>
    <t>42</t>
  </si>
  <si>
    <t>8.0.1</t>
  </si>
  <si>
    <t>CON-SNT-C120024G</t>
  </si>
  <si>
    <t>SNTC-8X5XNBD Catalyst 1200 24-port GE, PoE, 4x1G SFP</t>
  </si>
  <si>
    <t>8.1</t>
  </si>
  <si>
    <t>9.0</t>
  </si>
  <si>
    <t>C1200-24FP-4G</t>
  </si>
  <si>
    <t>Catalyst 1200 24-port GE, Full PoE, 4x1G SFP</t>
  </si>
  <si>
    <t>9.0.1</t>
  </si>
  <si>
    <t>CON-SNT-C1224P4G</t>
  </si>
  <si>
    <t>SNTC-8X5XNBD Catalyst 1200 24-port GE, Full PoE, 4x1G</t>
  </si>
  <si>
    <t>9.1</t>
  </si>
  <si>
    <t>10.0</t>
  </si>
  <si>
    <t>C1200-48T-4G</t>
  </si>
  <si>
    <t>Catalyst 1200 48-port GE, 4x1G SFP</t>
  </si>
  <si>
    <t>10.0.1</t>
  </si>
  <si>
    <t>CON-SNT-C1200T4G</t>
  </si>
  <si>
    <t>SNTC-8X5XNBD Catalyst 1200 48-port GE, 4x1G SFP</t>
  </si>
  <si>
    <t>10.1</t>
  </si>
  <si>
    <t>11.0</t>
  </si>
  <si>
    <t>C1200-48P-4G</t>
  </si>
  <si>
    <t>Catalyst 1200 48-port GE, PoE, 4x1G SFP</t>
  </si>
  <si>
    <t>11.0.1</t>
  </si>
  <si>
    <t>CON-SNT-C1248P4G</t>
  </si>
  <si>
    <t>SNTC-8X5XNBD Catalyst 1200 48-port GE, PoE, 4x1G SFP</t>
  </si>
  <si>
    <t>11.1</t>
  </si>
  <si>
    <t>12.0</t>
  </si>
  <si>
    <t>C1200-24T-4X</t>
  </si>
  <si>
    <t>Catalyst 1200 24-port GE, 4x10G SFP+</t>
  </si>
  <si>
    <t>12.0.1</t>
  </si>
  <si>
    <t>CON-SNT-C1204T4X</t>
  </si>
  <si>
    <t>SNTC-8X5XNBD Catalyst 1200 24-port GE, 4x10G SFP+</t>
  </si>
  <si>
    <t>12.1</t>
  </si>
  <si>
    <t>13.0</t>
  </si>
  <si>
    <t>C1200-24P-4X</t>
  </si>
  <si>
    <t>Catalyst 1200 24-port GE, PoE, 4x10G SFP+</t>
  </si>
  <si>
    <t>112</t>
  </si>
  <si>
    <t>13.0.1</t>
  </si>
  <si>
    <t>CON-SNT-C1224P4X</t>
  </si>
  <si>
    <t>SNTC-8X5XNBD Catalyst 1200 24-port GE, PoE, 4x10G SFP</t>
  </si>
  <si>
    <t>13.1</t>
  </si>
  <si>
    <t>14.0</t>
  </si>
  <si>
    <t>C1200-24FP-4X</t>
  </si>
  <si>
    <t>Catalyst 1200 24-port GE, Full PoE, 4x10G SFP+</t>
  </si>
  <si>
    <t>14.0.1</t>
  </si>
  <si>
    <t>CON-SNT-C120FP4X</t>
  </si>
  <si>
    <t>SNTC-8X5XNBD Catalyst 1200 24-port GE, Full PoE, 4x1</t>
  </si>
  <si>
    <t>14.1</t>
  </si>
  <si>
    <t>15.0</t>
  </si>
  <si>
    <t>C1200-48T-4X</t>
  </si>
  <si>
    <t>Catalyst 1200 48-port GE, 4x10G SFP+</t>
  </si>
  <si>
    <t>70</t>
  </si>
  <si>
    <t>15.0.1</t>
  </si>
  <si>
    <t>CON-SNT-C1200T4X</t>
  </si>
  <si>
    <t>SNTC-8X5XNBD Catalyst 1200 48-port GE, 4x10G SFP+</t>
  </si>
  <si>
    <t>15.1</t>
  </si>
  <si>
    <t>16.0</t>
  </si>
  <si>
    <t>C1200-48P-4X</t>
  </si>
  <si>
    <t>Catalyst 1200 48-port GE, PoE, 4x10G SFP+</t>
  </si>
  <si>
    <t>77</t>
  </si>
  <si>
    <t>16.0.1</t>
  </si>
  <si>
    <t>CON-SNT-C1208P4X</t>
  </si>
  <si>
    <t>SNTC-8X5XNBD Catalyst 1200 48-port GE, PoE, 4x10G SFP</t>
  </si>
  <si>
    <t>16.1</t>
  </si>
  <si>
    <t>Estimate Total</t>
  </si>
</sst>
</file>

<file path=xl/styles.xml><?xml version="1.0" encoding="utf-8"?>
<styleSheet xmlns="http://schemas.openxmlformats.org/spreadsheetml/2006/main">
  <numFmts count="2">
    <numFmt numFmtId="164" formatCode="#.0"/>
    <numFmt numFmtId="165" formatCode="mm/dd/yyyy"/>
  </numFmts>
  <fonts count="62">
    <font>
      <sz val="11.0"/>
      <color indexed="8"/>
      <name val="Calibri"/>
      <family val="2"/>
      <scheme val="minor"/>
    </font>
    <font>
      <name val="Calibri"/>
      <sz val="8.0"/>
      <b val="true"/>
      <color indexed="8"/>
    </font>
    <font>
      <name val="Helvetica"/>
      <sz val="16.0"/>
      <b val="true"/>
      <color indexed="8"/>
    </font>
    <font>
      <name val="Helvetica"/>
      <sz val="11.0"/>
      <b val="true"/>
      <color indexed="10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10.0"/>
      <b val="true"/>
      <color indexed="9"/>
    </font>
    <font>
      <name val="Helvetica"/>
      <sz val="9.0"/>
      <b val="true"/>
      <color indexed="8"/>
    </font>
    <font>
      <name val="Helvetica"/>
      <sz val="10.0"/>
      <b val="true"/>
      <color indexed="8"/>
    </font>
    <font>
      <name val="Helvetica"/>
      <sz val="10.0"/>
      <b val="true"/>
      <color indexed="9"/>
    </font>
    <font>
      <name val="Helvetica"/>
      <sz val="7.0"/>
      <color indexed="8"/>
    </font>
    <font>
      <name val="Helvetica"/>
      <sz val="10.0"/>
      <color indexed="10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12"/>
      <u val="single"/>
    </font>
    <font>
      <name val="Calibri"/>
      <sz val="8.0"/>
      <color indexed="8"/>
    </font>
    <font>
      <name val="Helvetica"/>
      <sz val="7.0"/>
      <color indexed="8"/>
    </font>
    <font>
      <name val="Helvetica"/>
      <sz val="9.0"/>
      <b val="true"/>
      <color indexed="8"/>
    </font>
    <font>
      <name val="Helvetica"/>
      <sz val="14.0"/>
      <b val="true"/>
      <color indexed="8"/>
      <u val="single"/>
    </font>
    <font>
      <name val="Calibri"/>
      <sz val="14.0"/>
      <b val="true"/>
      <color indexed="9"/>
    </font>
    <font>
      <name val="Helvetica"/>
      <sz val="9.0"/>
      <b val="true"/>
      <color indexed="8"/>
    </font>
    <font>
      <name val="Helvetica"/>
      <sz val="9.0"/>
      <b val="true"/>
      <color indexed="8"/>
      <i val="true"/>
    </font>
    <font>
      <name val="Helvetica"/>
      <sz val="8.0"/>
      <color indexed="8"/>
      <i val="true"/>
    </font>
    <font>
      <name val="Helvetica"/>
      <sz val="9.0"/>
      <color indexed="8"/>
    </font>
    <font>
      <name val="Helvetica"/>
      <sz val="9.0"/>
      <color indexed="8"/>
    </font>
    <font>
      <name val="Calibri"/>
      <sz val="8.0"/>
      <b val="true"/>
      <color indexed="8"/>
    </font>
    <font>
      <name val="Calibri"/>
      <sz val="8.0"/>
      <b val="true"/>
      <i val="true"/>
      <color indexed="8"/>
    </font>
    <font>
      <name val="Helvetica"/>
      <sz val="9.0"/>
      <b val="true"/>
      <color indexed="12"/>
    </font>
    <font>
      <name val="Helvetica"/>
      <sz val="9.0"/>
      <color indexed="12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  <u val="single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9.0"/>
      <color indexed="8"/>
    </font>
    <font>
      <name val="Helvetica"/>
      <sz val="9.0"/>
      <b val="true"/>
      <color indexed="8"/>
    </font>
    <font>
      <name val="Helvetica"/>
      <sz val="9.0"/>
      <color indexed="8"/>
    </font>
    <font>
      <name val="Helvetica"/>
      <sz val="12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bgColor indexed="22"/>
      </patternFill>
    </fill>
    <fill>
      <patternFill patternType="solid">
        <bgColor indexed="2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medium"/>
    </border>
    <border>
      <top style="medium"/>
      <bottom>
        <color indexed="8"/>
      </bottom>
    </border>
    <border>
      <bottom style="medium"/>
    </border>
    <border>
      <bottom style="medium">
        <color indexed="8"/>
      </bottom>
    </border>
    <border>
      <right style="medium"/>
    </border>
    <border>
      <right style="medium">
        <color indexed="8"/>
      </right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22"/>
      </bottom>
    </border>
    <border>
      <left style="thin">
        <color indexed="22"/>
      </left>
      <right style="thin"/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/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right style="thin"/>
      <top style="thin"/>
      <bottom style="thin"/>
    </border>
    <border>
      <right style="thin"/>
      <top style="thin"/>
      <bottom style="thin">
        <color indexed="22"/>
      </bottom>
    </border>
    <border>
      <right style="thin">
        <color indexed="22"/>
      </right>
      <top style="thin"/>
      <bottom style="thin">
        <color indexed="22"/>
      </bottom>
    </border>
    <border>
      <right style="thin">
        <color indexed="22"/>
      </right>
      <top style="thin">
        <color indexed="22"/>
      </top>
      <bottom style="thin">
        <color indexed="22"/>
      </bottom>
    </border>
    <border>
      <left style="thin"/>
      <right/>
      <top/>
      <bottom/>
      <diagonal/>
    </border>
    <border>
      <left style="thin">
        <color indexed="8"/>
      </left>
      <right/>
      <top/>
      <bottom/>
      <diagonal/>
    </border>
    <border>
      <left style="thin"/>
      <top style="thin"/>
      <bottom style="thin">
        <color indexed="48"/>
      </bottom>
    </border>
    <border>
      <left style="thin">
        <color indexed="9"/>
      </left>
      <top style="thin"/>
      <bottom style="thin">
        <color indexed="48"/>
      </bottom>
    </border>
    <border>
      <left style="thin">
        <color indexed="9"/>
      </left>
      <top style="thin">
        <color indexed="48"/>
      </top>
      <bottom style="thin">
        <color indexed="48"/>
      </bottom>
    </border>
    <border>
      <left style="thin"/>
      <right style="thin"/>
      <top style="thin"/>
      <bottom style="thin">
        <color indexed="23"/>
      </bottom>
    </border>
    <border>
      <left style="thin">
        <color indexed="23"/>
      </left>
      <right style="thin"/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8"/>
      </left>
      <right style="thin"/>
      <top style="thin"/>
      <bottom style="thin">
        <color indexed="22"/>
      </bottom>
    </border>
    <border>
      <left style="thin">
        <color indexed="8"/>
      </left>
      <right style="thin">
        <color indexed="22"/>
      </right>
      <top style="thin"/>
      <bottom style="thin">
        <color indexed="22"/>
      </bottom>
    </border>
    <border>
      <left style="thin">
        <color indexed="8"/>
      </left>
      <right style="thin">
        <color indexed="22"/>
      </right>
      <top style="thin">
        <color indexed="22"/>
      </top>
      <bottom style="thin">
        <color indexed="22"/>
      </bottom>
    </border>
    <border>
      <top style="thin">
        <color indexed="8"/>
      </top>
      <bottom style="thin"/>
    </border>
    <border>
      <right style="thin"/>
      <top style="thin">
        <color indexed="8"/>
      </top>
      <bottom style="thin"/>
    </border>
    <border>
      <right style="thin"/>
      <top style="thin">
        <color indexed="8"/>
      </top>
      <bottom style="thin">
        <color indexed="8"/>
      </bottom>
    </border>
    <border>
      <right style="thin">
        <color indexed="22"/>
      </right>
      <top style="thin">
        <color indexed="8"/>
      </top>
      <bottom style="thin">
        <color indexed="8"/>
      </bottom>
    </border>
    <border>
      <right style="thin">
        <color indexed="22"/>
      </right>
      <top style="thin"/>
      <bottom style="thin"/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22"/>
      </left>
      <top style="thin">
        <color indexed="8"/>
      </top>
      <bottom style="thin">
        <color indexed="8"/>
      </bottom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right style="thin"/>
      <bottom style="thin"/>
    </border>
    <border>
      <right style="thin"/>
      <bottom style="thin">
        <color indexed="8"/>
      </bottom>
    </border>
    <border>
      <right style="thin">
        <color indexed="22"/>
      </right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6">
    <xf numFmtId="0" fontId="0" fillId="0" borderId="0" xfId="0"/>
    <xf numFmtId="0" fontId="0" fillId="0" borderId="2" xfId="0" applyBorder="true"/>
    <xf numFmtId="0" fontId="0" fillId="0" borderId="4" xfId="0" applyBorder="true"/>
    <xf numFmtId="0" fontId="0" fillId="0" borderId="6" xfId="0" applyBorder="true"/>
    <xf numFmtId="0" fontId="0" fillId="0" borderId="8" xfId="0" applyBorder="true"/>
    <xf numFmtId="0" fontId="1" fillId="0" borderId="10" xfId="0" applyFont="true" applyAlignment="true" applyBorder="true">
      <alignment horizontal="left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wrapText="true" horizontal="center" vertical="center"/>
    </xf>
    <xf numFmtId="0" fontId="4" fillId="0" borderId="0" xfId="0" applyFont="true" applyAlignment="true">
      <alignment horizontal="left" vertical="center"/>
    </xf>
    <xf numFmtId="0" fontId="5" fillId="0" borderId="0" xfId="0" applyFont="true" applyAlignment="true">
      <alignment horizontal="right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wrapText="true" horizontal="left" vertical="center"/>
    </xf>
    <xf numFmtId="0" fontId="8" fillId="0" borderId="17" xfId="0" applyFont="true" applyAlignment="true" applyBorder="true">
      <alignment wrapText="true" horizontal="left" vertical="center"/>
    </xf>
    <xf numFmtId="0" fontId="9" fillId="0" borderId="17" xfId="0" applyFont="true" applyAlignment="true" applyBorder="true">
      <alignment wrapText="true" horizontal="left" indent="1" vertical="center"/>
    </xf>
    <xf numFmtId="0" fontId="10" fillId="0" borderId="21" xfId="0" applyFont="true" applyAlignment="true" applyBorder="true">
      <alignment wrapText="true" horizontal="left" vertical="center"/>
    </xf>
    <xf numFmtId="0" fontId="11" fillId="0" borderId="0" xfId="0" applyFont="true" applyAlignment="true">
      <alignment horizontal="right" vertical="center"/>
    </xf>
    <xf numFmtId="4" fontId="12" fillId="0" borderId="0" xfId="0" applyFont="true" applyAlignment="true" applyNumberFormat="true">
      <alignment horizontal="right" vertical="center"/>
    </xf>
    <xf numFmtId="4" fontId="13" fillId="0" borderId="0" xfId="0" applyFont="true" applyAlignment="true" applyNumberFormat="true">
      <alignment horizontal="right" vertical="center"/>
    </xf>
    <xf numFmtId="4" fontId="14" fillId="0" borderId="0" xfId="0" applyFont="true" applyAlignment="true" applyNumberFormat="true">
      <alignment horizontal="left" vertical="center"/>
    </xf>
    <xf numFmtId="0" fontId="15" fillId="0" borderId="0" xfId="0" applyFont="true" applyAlignment="true">
      <alignment horizontal="center" vertical="center"/>
    </xf>
    <xf numFmtId="0" fontId="16" fillId="3" borderId="17" xfId="0" applyFont="true" applyAlignment="true" applyBorder="true" applyFill="true">
      <alignment wrapText="true" horizontal="left" vertical="center"/>
    </xf>
    <xf numFmtId="0" fontId="17" fillId="3" borderId="0" xfId="0" applyFont="true" applyAlignment="true" applyFill="true">
      <alignment wrapText="true" horizontal="center" vertical="center"/>
    </xf>
    <xf numFmtId="0" fontId="16" fillId="5" borderId="17" xfId="0" applyFont="true" applyAlignment="true" applyBorder="true" applyFill="true">
      <alignment wrapText="true" horizontal="left" vertical="center"/>
    </xf>
    <xf numFmtId="0" fontId="16" fillId="3" borderId="23" xfId="0" applyFont="true" applyAlignment="true" applyBorder="true" applyFill="true">
      <alignment wrapText="true" horizontal="left" vertical="center"/>
    </xf>
    <xf numFmtId="0" fontId="16" fillId="5" borderId="0" xfId="0" applyFont="true" applyBorder="true" applyFill="true">
      <alignment wrapText="true"/>
    </xf>
    <xf numFmtId="0" fontId="18" fillId="7" borderId="26" xfId="0" applyFont="true" applyAlignment="true" applyBorder="true" applyFill="true">
      <alignment wrapText="true" horizontal="left" vertical="top"/>
    </xf>
    <xf numFmtId="0" fontId="16" fillId="5" borderId="30" xfId="0" applyFont="true" applyAlignment="true" applyBorder="true" applyFill="true">
      <alignment wrapText="true" horizontal="right" vertical="center"/>
    </xf>
    <xf numFmtId="0" fontId="16" fillId="5" borderId="30" xfId="0" applyFont="true" applyAlignment="true" applyBorder="true" applyFill="true">
      <alignment wrapText="true" horizontal="left" vertical="center"/>
    </xf>
    <xf numFmtId="0" fontId="16" fillId="5" borderId="30" xfId="0" applyFont="true" applyAlignment="true" applyBorder="true" applyFill="true">
      <alignment wrapText="true" horizontal="center" vertical="center"/>
    </xf>
    <xf numFmtId="4" fontId="19" fillId="0" borderId="0" xfId="0" applyFont="true" applyAlignment="true" applyNumberFormat="true">
      <alignment horizontal="right" vertical="center"/>
    </xf>
    <xf numFmtId="0" fontId="20" fillId="5" borderId="33" xfId="0" applyFont="true" applyAlignment="true" applyBorder="true" applyFill="true">
      <alignment wrapText="true" horizontal="left" vertical="top"/>
    </xf>
    <xf numFmtId="0" fontId="21" fillId="9" borderId="0" xfId="0" applyFont="true" applyAlignment="true" applyFill="true">
      <alignment wrapText="true" horizontal="right" vertical="center"/>
    </xf>
    <xf numFmtId="0" fontId="22" fillId="0" borderId="0" xfId="0" applyFont="true" applyAlignment="true">
      <alignment wrapText="true" horizontal="right" vertical="center"/>
    </xf>
    <xf numFmtId="0" fontId="23" fillId="0" borderId="0" xfId="0" applyFont="true" applyAlignment="true">
      <alignment wrapText="true" horizontal="center" vertical="center"/>
    </xf>
    <xf numFmtId="0" fontId="16" fillId="5" borderId="17" xfId="0" applyFont="true" applyAlignment="true" applyBorder="true" applyFill="true">
      <alignment wrapText="true" horizontal="right" vertical="center"/>
    </xf>
    <xf numFmtId="0" fontId="24" fillId="0" borderId="10" xfId="0" applyFont="true" applyAlignment="true" applyBorder="true">
      <alignment wrapText="true" horizontal="left" vertical="center"/>
    </xf>
    <xf numFmtId="0" fontId="0" fillId="0" borderId="37" xfId="0" applyAlignment="true" applyBorder="true">
      <alignment wrapText="true" horizontal="left" vertical="center"/>
    </xf>
    <xf numFmtId="4" fontId="25" fillId="0" borderId="21" xfId="0" applyFont="true" applyBorder="true" applyAlignment="true" applyNumberFormat="true">
      <alignment horizontal="right" vertical="center"/>
    </xf>
    <xf numFmtId="4" fontId="25" fillId="5" borderId="17" xfId="0" applyFont="true" applyBorder="true" applyAlignment="true" applyNumberFormat="true" applyFill="true">
      <alignment horizontal="right" vertical="center"/>
    </xf>
    <xf numFmtId="0" fontId="26" fillId="0" borderId="40" xfId="0" applyFont="true" applyBorder="true" applyAlignment="true">
      <alignment horizontal="right" vertical="center"/>
    </xf>
    <xf numFmtId="0" fontId="0" fillId="0" borderId="42" xfId="0" applyAlignment="true" applyBorder="true">
      <alignment wrapText="true" horizontal="left" vertical="center"/>
    </xf>
    <xf numFmtId="0" fontId="16" fillId="3" borderId="17" xfId="0" applyFont="true" applyAlignment="true" applyBorder="true" applyFill="true">
      <alignment wrapText="true" horizontal="right" vertical="center"/>
    </xf>
    <xf numFmtId="0" fontId="16" fillId="3" borderId="17" xfId="0" applyFont="true" applyAlignment="true" applyBorder="true" applyFill="true">
      <alignment wrapText="true" horizontal="center" vertical="center"/>
    </xf>
    <xf numFmtId="0" fontId="27" fillId="0" borderId="17" xfId="0" applyFont="true" applyAlignment="true" applyBorder="true">
      <alignment wrapText="true" horizontal="left" vertical="center"/>
    </xf>
    <xf numFmtId="0" fontId="27" fillId="0" borderId="17" xfId="0" applyFont="true" applyAlignment="true" applyBorder="true">
      <alignment wrapText="true" horizontal="left" indent="1" vertical="center"/>
    </xf>
    <xf numFmtId="0" fontId="27" fillId="0" borderId="17" xfId="0" applyFont="true" applyAlignment="true" applyBorder="true">
      <alignment wrapText="true" horizontal="left" indent="2" vertical="center"/>
    </xf>
    <xf numFmtId="0" fontId="27" fillId="0" borderId="17" xfId="0" applyFont="true" applyAlignment="true" applyBorder="true">
      <alignment wrapText="true" horizontal="left" indent="3" vertical="center"/>
    </xf>
    <xf numFmtId="0" fontId="27" fillId="0" borderId="17" xfId="0" applyFont="true" applyAlignment="true" applyBorder="true">
      <alignment wrapText="false" horizontal="left" vertical="center"/>
    </xf>
    <xf numFmtId="4" fontId="27" fillId="0" borderId="17" xfId="0" applyFont="true" applyAlignment="true" applyBorder="true" applyNumberFormat="true">
      <alignment wrapText="true" horizontal="right" vertical="center"/>
    </xf>
    <xf numFmtId="0" fontId="27" fillId="0" borderId="17" xfId="0" applyFont="true" applyAlignment="true" applyBorder="true">
      <alignment wrapText="true" horizontal="center" vertical="center"/>
    </xf>
    <xf numFmtId="1" fontId="27" fillId="0" borderId="17" xfId="0" applyFont="true" applyAlignment="true" applyBorder="true" applyNumberFormat="true">
      <alignment wrapText="true" horizontal="center" vertical="center"/>
    </xf>
    <xf numFmtId="0" fontId="28" fillId="0" borderId="17" xfId="0" applyFont="true" applyAlignment="true" applyBorder="true">
      <alignment wrapText="true" horizontal="left" vertical="center"/>
    </xf>
    <xf numFmtId="0" fontId="29" fillId="0" borderId="0" xfId="0" applyFont="true" applyAlignment="true">
      <alignment wrapText="true" horizontal="left" vertical="top"/>
    </xf>
    <xf numFmtId="0" fontId="30" fillId="0" borderId="0" xfId="0" applyFont="true" applyAlignment="true">
      <alignment wrapText="true" horizontal="left" vertical="center"/>
    </xf>
    <xf numFmtId="0" fontId="27" fillId="0" borderId="0" xfId="0" applyFont="true" applyAlignment="true">
      <alignment wrapText="true" horizontal="left" vertical="top"/>
    </xf>
    <xf numFmtId="164" fontId="31" fillId="0" borderId="17" xfId="0" applyFont="true" applyAlignment="true" applyBorder="true" applyNumberFormat="true">
      <alignment wrapText="true" horizontal="left" vertical="center"/>
    </xf>
    <xf numFmtId="0" fontId="27" fillId="0" borderId="17" xfId="0" applyFont="true" applyAlignment="true" applyBorder="true">
      <alignment wrapText="true" indent="1" horizontal="left" vertical="center"/>
    </xf>
    <xf numFmtId="1" fontId="27" fillId="0" borderId="17" xfId="0" applyFont="true" applyAlignment="true" applyBorder="true" applyNumberFormat="true">
      <alignment wrapText="true" indent="1" horizontal="right" vertical="center"/>
    </xf>
    <xf numFmtId="0" fontId="32" fillId="0" borderId="0" xfId="0" applyFont="true" applyAlignment="true">
      <alignment horizontal="right" vertical="center"/>
    </xf>
    <xf numFmtId="0" fontId="33" fillId="11" borderId="0" xfId="0" applyFill="true" applyFont="true" applyAlignment="true">
      <alignment horizontal="left"/>
    </xf>
    <xf numFmtId="0" fontId="34" fillId="0" borderId="0" xfId="0" applyFont="true" applyAlignment="true">
      <alignment horizontal="left" vertical="top"/>
    </xf>
    <xf numFmtId="0" fontId="35" fillId="0" borderId="0" xfId="0" applyFont="true" applyAlignment="true">
      <alignment horizontal="left" vertical="top"/>
    </xf>
    <xf numFmtId="0" fontId="36" fillId="0" borderId="0" xfId="0" applyFont="true" applyAlignment="true">
      <alignment horizontal="left" vertical="top" wrapText="true"/>
    </xf>
    <xf numFmtId="4" fontId="37" fillId="0" borderId="13" xfId="0" applyFont="true" applyAlignment="true" applyBorder="true" applyNumberFormat="true">
      <alignment horizontal="left" vertical="center"/>
    </xf>
    <xf numFmtId="0" fontId="38" fillId="0" borderId="13" xfId="0" applyFont="true" applyAlignment="true" applyBorder="true">
      <alignment horizontal="left" vertical="center"/>
    </xf>
    <xf numFmtId="0" fontId="38" fillId="13" borderId="17" xfId="0" applyFont="true" applyAlignment="true" applyBorder="true" applyFill="true">
      <alignment wrapText="true" horizontal="center" vertical="center"/>
    </xf>
    <xf numFmtId="0" fontId="38" fillId="15" borderId="17" xfId="0" applyFont="true" applyAlignment="true" applyBorder="true" applyFill="true">
      <alignment wrapText="true" horizontal="center" vertical="center"/>
    </xf>
    <xf numFmtId="0" fontId="38" fillId="17" borderId="17" xfId="0" applyFont="true" applyAlignment="true" applyBorder="true" applyFill="true">
      <alignment wrapText="true" horizontal="center" vertical="center"/>
    </xf>
    <xf numFmtId="0" fontId="39" fillId="0" borderId="0" xfId="0" applyFont="true" applyAlignment="true">
      <alignment wrapText="true" horizontal="left" vertical="center"/>
    </xf>
    <xf numFmtId="0" fontId="16" fillId="0" borderId="0" xfId="0" applyFont="true" applyAlignment="true">
      <alignment wrapText="true" horizontal="right" vertical="center"/>
    </xf>
    <xf numFmtId="0" fontId="27" fillId="0" borderId="0" xfId="0" applyFont="true" applyAlignment="true">
      <alignment wrapText="true" horizontal="left" vertical="center"/>
    </xf>
    <xf numFmtId="0" fontId="27" fillId="0" borderId="0" xfId="0" applyFont="true" applyAlignment="true">
      <alignment wrapText="true" horizontal="right" vertical="center"/>
    </xf>
    <xf numFmtId="0" fontId="40" fillId="0" borderId="0" xfId="0" applyFont="true" applyAlignment="true">
      <alignment wrapText="true" horizontal="left" vertical="center"/>
    </xf>
    <xf numFmtId="4" fontId="41" fillId="0" borderId="47" xfId="0" applyFont="true" applyAlignment="true" applyBorder="true" applyNumberFormat="true">
      <alignment wrapText="true" horizontal="right" vertical="center"/>
    </xf>
    <xf numFmtId="4" fontId="42" fillId="0" borderId="17" xfId="0" applyFont="true" applyAlignment="true" applyBorder="true" applyNumberFormat="true">
      <alignment wrapText="true" horizontal="right" vertical="center"/>
    </xf>
    <xf numFmtId="0" fontId="27" fillId="0" borderId="17" xfId="0" applyFont="true" applyAlignment="true" applyBorder="true">
      <alignment wrapText="true" horizontal="left" vertical="top"/>
    </xf>
    <xf numFmtId="0" fontId="43" fillId="0" borderId="17" xfId="0" applyFont="true" applyAlignment="true" applyBorder="true">
      <alignment wrapText="true" horizontal="left" vertical="top"/>
    </xf>
    <xf numFmtId="0" fontId="44" fillId="0" borderId="17" xfId="0" applyNumberFormat="true" applyFont="true" applyAlignment="true" applyBorder="true">
      <alignment wrapText="true" horizontal="left" vertical="top"/>
    </xf>
    <xf numFmtId="165" fontId="45" fillId="0" borderId="17" xfId="0" applyNumberFormat="true" applyFont="true" applyAlignment="true" applyBorder="true">
      <alignment wrapText="true" horizontal="left" vertical="top"/>
    </xf>
    <xf numFmtId="0" fontId="46" fillId="0" borderId="17" xfId="0" applyFont="true" applyAlignment="true" applyBorder="true">
      <alignment wrapText="true" horizontal="left" vertical="top"/>
    </xf>
    <xf numFmtId="0" fontId="16" fillId="3" borderId="51" xfId="0" applyFont="true" applyAlignment="true" applyBorder="true" applyFill="true">
      <alignment wrapText="true" horizontal="center" vertical="center"/>
    </xf>
    <xf numFmtId="0" fontId="47" fillId="3" borderId="17" xfId="0" applyFont="true" applyAlignment="true" applyBorder="true" applyFill="true">
      <alignment wrapText="true" horizontal="left" vertical="center"/>
    </xf>
    <xf numFmtId="0" fontId="48" fillId="0" borderId="0" xfId="0" applyFont="true" applyAlignment="true">
      <alignment wrapText="true" horizontal="left" vertical="center"/>
    </xf>
    <xf numFmtId="0" fontId="49" fillId="0" borderId="0" xfId="0" applyFont="true" applyAlignment="true">
      <alignment wrapText="true" horizontal="left" vertical="center" indent="5"/>
    </xf>
    <xf numFmtId="0" fontId="50" fillId="0" borderId="0" xfId="0" applyFont="true" applyAlignment="true">
      <alignment wrapText="true" horizontal="left" vertical="center" indent="8"/>
    </xf>
    <xf numFmtId="0" fontId="51" fillId="0" borderId="0" xfId="0" applyFont="true" applyAlignment="true">
      <alignment wrapText="true" horizontal="left" vertical="center" indent="6"/>
    </xf>
    <xf numFmtId="0" fontId="52" fillId="0" borderId="0" xfId="0" applyFont="true" applyAlignment="true">
      <alignment wrapText="true" horizontal="left" vertical="center" indent="7"/>
    </xf>
    <xf numFmtId="0" fontId="53" fillId="0" borderId="0" xfId="0" applyFont="true" applyAlignment="true">
      <alignment wrapText="true" horizontal="left" vertical="center" indent="8"/>
    </xf>
    <xf numFmtId="0" fontId="54" fillId="0" borderId="0" xfId="0" applyFont="true" applyAlignment="true">
      <alignment wrapText="true" horizontal="left" vertical="center" indent="10"/>
    </xf>
    <xf numFmtId="0" fontId="55" fillId="0" borderId="0" xfId="0" applyFont="true" applyAlignment="true">
      <alignment wrapText="true" horizontal="left" vertical="center" indent="12"/>
    </xf>
    <xf numFmtId="0" fontId="56" fillId="0" borderId="0" xfId="0" applyFont="true" applyAlignment="true">
      <alignment wrapText="true" horizontal="left" vertical="center" indent="8"/>
    </xf>
    <xf numFmtId="0" fontId="57" fillId="0" borderId="0" xfId="0" applyFont="true" applyAlignment="true">
      <alignment wrapText="true" horizontal="left" vertical="center" indent="12"/>
    </xf>
    <xf numFmtId="0" fontId="58" fillId="0" borderId="0" xfId="0" applyFont="true" applyAlignment="true">
      <alignment wrapText="true" horizontal="left" vertical="center" indent="8"/>
    </xf>
    <xf numFmtId="0" fontId="59" fillId="0" borderId="0" xfId="0" applyFont="true" applyAlignment="true">
      <alignment wrapText="true" horizontal="center" vertical="center" indent="7"/>
    </xf>
    <xf numFmtId="0" fontId="60" fillId="0" borderId="0" xfId="0" applyFont="true" applyAlignment="true">
      <alignment wrapText="true" horizontal="left" vertical="center" indent="10"/>
    </xf>
    <xf numFmtId="0" fontId="61" fillId="0" borderId="0" xfId="0" applyFont="true" applyAlignment="true">
      <alignment wrapText="true" horizontal="center" vertical="center" indent="1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O66"/>
  <sheetViews>
    <sheetView workbookViewId="0" tabSelected="true" showGridLines="false"/>
  </sheetViews>
  <sheetFormatPr defaultRowHeight="12.75" baseColWidth="16" customHeight="true"/>
  <cols>
    <col min="1" max="1" width="13.671875" customWidth="true"/>
    <col min="2" max="2" width="31.25" customWidth="true"/>
    <col min="3" max="3" width="13.671875" customWidth="true"/>
    <col min="4" max="4" width="46.875" customWidth="true"/>
    <col min="5" max="5" width="13.671875" customWidth="true"/>
    <col min="6" max="6" width="13.671875" customWidth="true"/>
    <col min="7" max="7" width="9.765625" customWidth="true"/>
    <col min="8" max="8" width="13.671875" customWidth="true"/>
    <col min="9" max="9" width="9.76562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9.53125" customWidth="true"/>
    <col min="16" max="16" width="23.4375" customWidth="true"/>
    <col min="17" max="17" width="9.765625" customWidth="true"/>
  </cols>
  <sheetData>
    <row r="1" ht="50.0" customHeight="true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14</v>
      </c>
    </row>
    <row r="2">
      <c r="A2" s="55" t="s">
        <v>15</v>
      </c>
      <c r="B2" s="12" t="s">
        <v>16</v>
      </c>
      <c r="C2" s="47" t="s">
        <v>17</v>
      </c>
      <c r="D2" s="47" t="s">
        <v>18</v>
      </c>
      <c r="E2" s="47" t="s">
        <v>19</v>
      </c>
      <c r="F2" s="43" t="s">
        <v>20</v>
      </c>
      <c r="G2" s="43" t="s">
        <v>21</v>
      </c>
      <c r="H2" s="43" t="s">
        <v>22</v>
      </c>
      <c r="I2" s="48" t="s">
        <v>23</v>
      </c>
      <c r="J2" s="48" t="s">
        <v>24</v>
      </c>
      <c r="K2" s="48" t="n">
        <v>189.54</v>
      </c>
      <c r="L2" s="48" t="n">
        <f>(K2*I2)</f>
        <v>189.54</v>
      </c>
      <c r="M2" s="48" t="n">
        <v>0.0</v>
      </c>
      <c r="N2" s="48" t="n">
        <f>ROUND(ROUND(K2*(1-M2/100), 2)*I2, 2)</f>
        <v>189.54</v>
      </c>
      <c r="O2" s="47" t="s">
        <v>24</v>
      </c>
    </row>
    <row r="3">
      <c r="A3" s="48" t="s">
        <v>25</v>
      </c>
      <c r="B3" s="44" t="s">
        <v>26</v>
      </c>
      <c r="C3" s="47" t="s">
        <v>17</v>
      </c>
      <c r="D3" s="47" t="s">
        <v>27</v>
      </c>
      <c r="E3" s="47" t="s">
        <v>24</v>
      </c>
      <c r="F3" s="43" t="s">
        <v>28</v>
      </c>
      <c r="G3" s="43" t="s">
        <v>20</v>
      </c>
      <c r="H3" s="43" t="s">
        <v>22</v>
      </c>
      <c r="I3" s="48" t="s">
        <v>23</v>
      </c>
      <c r="J3" s="48" t="s">
        <v>24</v>
      </c>
      <c r="K3" s="48" t="n">
        <v>57.76</v>
      </c>
      <c r="L3" s="48" t="n">
        <f>(K3*I3)</f>
        <v>57.76</v>
      </c>
      <c r="M3" s="48" t="n">
        <v>0.0</v>
      </c>
      <c r="N3" s="48" t="n">
        <f>ROUND(ROUND(K3*(1-M3/100), 2)*I3, 2)</f>
        <v>57.76</v>
      </c>
      <c r="O3" s="47" t="s">
        <v>29</v>
      </c>
    </row>
    <row r="4">
      <c r="A4" s="48" t="s">
        <v>30</v>
      </c>
      <c r="B4" s="44" t="s">
        <v>31</v>
      </c>
      <c r="C4" s="47" t="s">
        <v>17</v>
      </c>
      <c r="D4" s="47" t="s">
        <v>32</v>
      </c>
      <c r="E4" s="47" t="s">
        <v>24</v>
      </c>
      <c r="F4" s="43" t="s">
        <v>20</v>
      </c>
      <c r="G4" s="43" t="s">
        <v>21</v>
      </c>
      <c r="H4" s="43" t="s">
        <v>22</v>
      </c>
      <c r="I4" s="48" t="s">
        <v>23</v>
      </c>
      <c r="J4" s="48" t="s">
        <v>24</v>
      </c>
      <c r="K4" s="48" t="n">
        <v>0.0</v>
      </c>
      <c r="L4" s="48" t="n">
        <f>(K4*I4)</f>
        <v>0.0</v>
      </c>
      <c r="M4" s="48" t="n">
        <v>0.0</v>
      </c>
      <c r="N4" s="48" t="n">
        <f>ROUND(ROUND(K4*(1-M4/100), 2)*I4, 2)</f>
        <v>0.0</v>
      </c>
      <c r="O4" s="47" t="s">
        <v>24</v>
      </c>
    </row>
    <row r="5">
      <c r="A5" s="1" t="s">
        <v>24</v>
      </c>
      <c r="B5" s="1" t="s">
        <v>24</v>
      </c>
      <c r="C5" s="1" t="s">
        <v>24</v>
      </c>
      <c r="D5" s="1" t="s">
        <v>24</v>
      </c>
      <c r="E5" s="1" t="s">
        <v>24</v>
      </c>
      <c r="F5" s="1" t="s">
        <v>24</v>
      </c>
      <c r="G5" s="1" t="s">
        <v>24</v>
      </c>
      <c r="H5" s="1" t="s">
        <v>24</v>
      </c>
      <c r="I5" s="1" t="s">
        <v>24</v>
      </c>
      <c r="J5" s="1" t="s">
        <v>24</v>
      </c>
      <c r="K5" s="1" t="s">
        <v>24</v>
      </c>
      <c r="L5" s="1" t="s">
        <v>24</v>
      </c>
      <c r="M5" s="73" t="s">
        <v>33</v>
      </c>
      <c r="N5" s="73" t="n">
        <f>(N2+N3+N4)</f>
        <v>0.0</v>
      </c>
      <c r="O5" s="73" t="s">
        <v>24</v>
      </c>
    </row>
    <row r="6">
      <c r="A6" s="55" t="s">
        <v>34</v>
      </c>
      <c r="B6" s="12" t="s">
        <v>35</v>
      </c>
      <c r="C6" s="47" t="s">
        <v>17</v>
      </c>
      <c r="D6" s="47" t="s">
        <v>36</v>
      </c>
      <c r="E6" s="47" t="s">
        <v>19</v>
      </c>
      <c r="F6" s="43" t="s">
        <v>20</v>
      </c>
      <c r="G6" s="43" t="s">
        <v>21</v>
      </c>
      <c r="H6" s="43" t="s">
        <v>22</v>
      </c>
      <c r="I6" s="48" t="s">
        <v>23</v>
      </c>
      <c r="J6" s="48" t="s">
        <v>24</v>
      </c>
      <c r="K6" s="48" t="n">
        <v>257.88</v>
      </c>
      <c r="L6" s="48" t="n">
        <f>(K6*I6)</f>
        <v>257.88</v>
      </c>
      <c r="M6" s="48" t="n">
        <v>0.0</v>
      </c>
      <c r="N6" s="48" t="n">
        <f>ROUND(ROUND(K6*(1-M6/100), 2)*I6, 2)</f>
        <v>257.88</v>
      </c>
      <c r="O6" s="47" t="s">
        <v>24</v>
      </c>
    </row>
    <row r="7">
      <c r="A7" s="48" t="s">
        <v>37</v>
      </c>
      <c r="B7" s="44" t="s">
        <v>38</v>
      </c>
      <c r="C7" s="47" t="s">
        <v>17</v>
      </c>
      <c r="D7" s="47" t="s">
        <v>39</v>
      </c>
      <c r="E7" s="47" t="s">
        <v>24</v>
      </c>
      <c r="F7" s="43" t="s">
        <v>28</v>
      </c>
      <c r="G7" s="43" t="s">
        <v>20</v>
      </c>
      <c r="H7" s="43" t="s">
        <v>22</v>
      </c>
      <c r="I7" s="48" t="s">
        <v>23</v>
      </c>
      <c r="J7" s="48" t="s">
        <v>24</v>
      </c>
      <c r="K7" s="48" t="n">
        <v>79.76</v>
      </c>
      <c r="L7" s="48" t="n">
        <f>(K7*I7)</f>
        <v>79.76</v>
      </c>
      <c r="M7" s="48" t="n">
        <v>0.0</v>
      </c>
      <c r="N7" s="48" t="n">
        <f>ROUND(ROUND(K7*(1-M7/100), 2)*I7, 2)</f>
        <v>79.76</v>
      </c>
      <c r="O7" s="47" t="s">
        <v>29</v>
      </c>
    </row>
    <row r="8">
      <c r="A8" s="48" t="s">
        <v>40</v>
      </c>
      <c r="B8" s="44" t="s">
        <v>31</v>
      </c>
      <c r="C8" s="47" t="s">
        <v>17</v>
      </c>
      <c r="D8" s="47" t="s">
        <v>32</v>
      </c>
      <c r="E8" s="47" t="s">
        <v>24</v>
      </c>
      <c r="F8" s="43" t="s">
        <v>20</v>
      </c>
      <c r="G8" s="43" t="s">
        <v>21</v>
      </c>
      <c r="H8" s="43" t="s">
        <v>22</v>
      </c>
      <c r="I8" s="48" t="s">
        <v>23</v>
      </c>
      <c r="J8" s="48" t="s">
        <v>24</v>
      </c>
      <c r="K8" s="48" t="n">
        <v>0.0</v>
      </c>
      <c r="L8" s="48" t="n">
        <f>(K8*I8)</f>
        <v>0.0</v>
      </c>
      <c r="M8" s="48" t="n">
        <v>0.0</v>
      </c>
      <c r="N8" s="48" t="n">
        <f>ROUND(ROUND(K8*(1-M8/100), 2)*I8, 2)</f>
        <v>0.0</v>
      </c>
      <c r="O8" s="47" t="s">
        <v>24</v>
      </c>
    </row>
    <row r="9">
      <c r="A9" s="1" t="s">
        <v>24</v>
      </c>
      <c r="B9" s="1" t="s">
        <v>24</v>
      </c>
      <c r="C9" s="1" t="s">
        <v>24</v>
      </c>
      <c r="D9" s="1" t="s">
        <v>24</v>
      </c>
      <c r="E9" s="1" t="s">
        <v>24</v>
      </c>
      <c r="F9" s="1" t="s">
        <v>24</v>
      </c>
      <c r="G9" s="1" t="s">
        <v>24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73" t="s">
        <v>33</v>
      </c>
      <c r="N9" s="73" t="n">
        <f>(N6+N7+N8)</f>
        <v>0.0</v>
      </c>
      <c r="O9" s="73" t="s">
        <v>24</v>
      </c>
    </row>
    <row r="10">
      <c r="A10" s="55" t="s">
        <v>41</v>
      </c>
      <c r="B10" s="12" t="s">
        <v>42</v>
      </c>
      <c r="C10" s="47" t="s">
        <v>17</v>
      </c>
      <c r="D10" s="47" t="s">
        <v>43</v>
      </c>
      <c r="E10" s="47" t="s">
        <v>19</v>
      </c>
      <c r="F10" s="43" t="s">
        <v>20</v>
      </c>
      <c r="G10" s="43" t="s">
        <v>21</v>
      </c>
      <c r="H10" s="43" t="s">
        <v>22</v>
      </c>
      <c r="I10" s="48" t="s">
        <v>23</v>
      </c>
      <c r="J10" s="48" t="s">
        <v>24</v>
      </c>
      <c r="K10" s="48" t="n">
        <v>346.85</v>
      </c>
      <c r="L10" s="48" t="n">
        <f>(K10*I10)</f>
        <v>346.85</v>
      </c>
      <c r="M10" s="48" t="n">
        <v>0.0</v>
      </c>
      <c r="N10" s="48" t="n">
        <f>ROUND(ROUND(K10*(1-M10/100), 2)*I10, 2)</f>
        <v>346.85</v>
      </c>
      <c r="O10" s="47" t="s">
        <v>24</v>
      </c>
    </row>
    <row r="11">
      <c r="A11" s="48" t="s">
        <v>44</v>
      </c>
      <c r="B11" s="44" t="s">
        <v>45</v>
      </c>
      <c r="C11" s="47" t="s">
        <v>17</v>
      </c>
      <c r="D11" s="47" t="s">
        <v>46</v>
      </c>
      <c r="E11" s="47" t="s">
        <v>24</v>
      </c>
      <c r="F11" s="43" t="s">
        <v>28</v>
      </c>
      <c r="G11" s="43" t="s">
        <v>20</v>
      </c>
      <c r="H11" s="43" t="s">
        <v>22</v>
      </c>
      <c r="I11" s="48" t="s">
        <v>23</v>
      </c>
      <c r="J11" s="48" t="s">
        <v>24</v>
      </c>
      <c r="K11" s="48" t="n">
        <v>107.26</v>
      </c>
      <c r="L11" s="48" t="n">
        <f>(K11*I11)</f>
        <v>107.26</v>
      </c>
      <c r="M11" s="48" t="n">
        <v>0.0</v>
      </c>
      <c r="N11" s="48" t="n">
        <f>ROUND(ROUND(K11*(1-M11/100), 2)*I11, 2)</f>
        <v>107.26</v>
      </c>
      <c r="O11" s="47" t="s">
        <v>29</v>
      </c>
    </row>
    <row r="12">
      <c r="A12" s="48" t="s">
        <v>47</v>
      </c>
      <c r="B12" s="44" t="s">
        <v>48</v>
      </c>
      <c r="C12" s="47" t="s">
        <v>17</v>
      </c>
      <c r="D12" s="47" t="s">
        <v>49</v>
      </c>
      <c r="E12" s="47" t="s">
        <v>24</v>
      </c>
      <c r="F12" s="43" t="s">
        <v>20</v>
      </c>
      <c r="G12" s="43" t="s">
        <v>21</v>
      </c>
      <c r="H12" s="43" t="s">
        <v>22</v>
      </c>
      <c r="I12" s="48" t="s">
        <v>23</v>
      </c>
      <c r="J12" s="48" t="s">
        <v>24</v>
      </c>
      <c r="K12" s="48" t="n">
        <v>0.0</v>
      </c>
      <c r="L12" s="48" t="n">
        <f>(K12*I12)</f>
        <v>0.0</v>
      </c>
      <c r="M12" s="48" t="n">
        <v>0.0</v>
      </c>
      <c r="N12" s="48" t="n">
        <f>ROUND(ROUND(K12*(1-M12/100), 2)*I12, 2)</f>
        <v>0.0</v>
      </c>
      <c r="O12" s="47" t="s">
        <v>24</v>
      </c>
    </row>
    <row r="13">
      <c r="A13" s="1" t="s">
        <v>24</v>
      </c>
      <c r="B13" s="1" t="s">
        <v>24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73" t="s">
        <v>33</v>
      </c>
      <c r="N13" s="73" t="n">
        <f>(N10+N11+N12)</f>
        <v>0.0</v>
      </c>
      <c r="O13" s="73" t="s">
        <v>24</v>
      </c>
    </row>
    <row r="14">
      <c r="A14" s="55" t="s">
        <v>50</v>
      </c>
      <c r="B14" s="12" t="s">
        <v>51</v>
      </c>
      <c r="C14" s="47" t="s">
        <v>17</v>
      </c>
      <c r="D14" s="47" t="s">
        <v>52</v>
      </c>
      <c r="E14" s="47" t="s">
        <v>19</v>
      </c>
      <c r="F14" s="43" t="s">
        <v>20</v>
      </c>
      <c r="G14" s="43" t="s">
        <v>21</v>
      </c>
      <c r="H14" s="43" t="s">
        <v>22</v>
      </c>
      <c r="I14" s="48" t="s">
        <v>23</v>
      </c>
      <c r="J14" s="48" t="s">
        <v>24</v>
      </c>
      <c r="K14" s="48" t="n">
        <v>370.05</v>
      </c>
      <c r="L14" s="48" t="n">
        <f>(K14*I14)</f>
        <v>370.05</v>
      </c>
      <c r="M14" s="48" t="n">
        <v>0.0</v>
      </c>
      <c r="N14" s="48" t="n">
        <f>ROUND(ROUND(K14*(1-M14/100), 2)*I14, 2)</f>
        <v>370.05</v>
      </c>
      <c r="O14" s="47" t="s">
        <v>24</v>
      </c>
    </row>
    <row r="15">
      <c r="A15" s="48" t="s">
        <v>53</v>
      </c>
      <c r="B15" s="44" t="s">
        <v>54</v>
      </c>
      <c r="C15" s="47" t="s">
        <v>17</v>
      </c>
      <c r="D15" s="47" t="s">
        <v>55</v>
      </c>
      <c r="E15" s="47" t="s">
        <v>24</v>
      </c>
      <c r="F15" s="43" t="s">
        <v>28</v>
      </c>
      <c r="G15" s="43" t="s">
        <v>20</v>
      </c>
      <c r="H15" s="43" t="s">
        <v>22</v>
      </c>
      <c r="I15" s="48" t="s">
        <v>23</v>
      </c>
      <c r="J15" s="48" t="s">
        <v>24</v>
      </c>
      <c r="K15" s="48" t="n">
        <v>112.76</v>
      </c>
      <c r="L15" s="48" t="n">
        <f>(K15*I15)</f>
        <v>112.76</v>
      </c>
      <c r="M15" s="48" t="n">
        <v>0.0</v>
      </c>
      <c r="N15" s="48" t="n">
        <f>ROUND(ROUND(K15*(1-M15/100), 2)*I15, 2)</f>
        <v>112.76</v>
      </c>
      <c r="O15" s="47" t="s">
        <v>29</v>
      </c>
    </row>
    <row r="16">
      <c r="A16" s="48" t="s">
        <v>56</v>
      </c>
      <c r="B16" s="44" t="s">
        <v>48</v>
      </c>
      <c r="C16" s="47" t="s">
        <v>17</v>
      </c>
      <c r="D16" s="47" t="s">
        <v>49</v>
      </c>
      <c r="E16" s="47" t="s">
        <v>24</v>
      </c>
      <c r="F16" s="43" t="s">
        <v>20</v>
      </c>
      <c r="G16" s="43" t="s">
        <v>21</v>
      </c>
      <c r="H16" s="43" t="s">
        <v>22</v>
      </c>
      <c r="I16" s="48" t="s">
        <v>23</v>
      </c>
      <c r="J16" s="48" t="s">
        <v>24</v>
      </c>
      <c r="K16" s="48" t="n">
        <v>0.0</v>
      </c>
      <c r="L16" s="48" t="n">
        <f>(K16*I16)</f>
        <v>0.0</v>
      </c>
      <c r="M16" s="48" t="n">
        <v>0.0</v>
      </c>
      <c r="N16" s="48" t="n">
        <f>ROUND(ROUND(K16*(1-M16/100), 2)*I16, 2)</f>
        <v>0.0</v>
      </c>
      <c r="O16" s="47" t="s">
        <v>24</v>
      </c>
    </row>
    <row r="17">
      <c r="A17" s="1" t="s">
        <v>24</v>
      </c>
      <c r="B17" s="1" t="s">
        <v>24</v>
      </c>
      <c r="C17" s="1" t="s">
        <v>24</v>
      </c>
      <c r="D17" s="1" t="s">
        <v>24</v>
      </c>
      <c r="E17" s="1" t="s">
        <v>24</v>
      </c>
      <c r="F17" s="1" t="s">
        <v>24</v>
      </c>
      <c r="G17" s="1" t="s">
        <v>24</v>
      </c>
      <c r="H17" s="1" t="s">
        <v>24</v>
      </c>
      <c r="I17" s="1" t="s">
        <v>24</v>
      </c>
      <c r="J17" s="1" t="s">
        <v>24</v>
      </c>
      <c r="K17" s="1" t="s">
        <v>24</v>
      </c>
      <c r="L17" s="1" t="s">
        <v>24</v>
      </c>
      <c r="M17" s="73" t="s">
        <v>33</v>
      </c>
      <c r="N17" s="73" t="n">
        <f>(N14+N15+N16)</f>
        <v>0.0</v>
      </c>
      <c r="O17" s="73" t="s">
        <v>24</v>
      </c>
    </row>
    <row r="18">
      <c r="A18" s="55" t="s">
        <v>57</v>
      </c>
      <c r="B18" s="12" t="s">
        <v>58</v>
      </c>
      <c r="C18" s="47" t="s">
        <v>17</v>
      </c>
      <c r="D18" s="47" t="s">
        <v>59</v>
      </c>
      <c r="E18" s="47" t="s">
        <v>19</v>
      </c>
      <c r="F18" s="43" t="s">
        <v>20</v>
      </c>
      <c r="G18" s="43" t="s">
        <v>60</v>
      </c>
      <c r="H18" s="43" t="s">
        <v>22</v>
      </c>
      <c r="I18" s="48" t="s">
        <v>23</v>
      </c>
      <c r="J18" s="48" t="s">
        <v>24</v>
      </c>
      <c r="K18" s="48" t="n">
        <v>346.85</v>
      </c>
      <c r="L18" s="48" t="n">
        <f>(K18*I18)</f>
        <v>346.85</v>
      </c>
      <c r="M18" s="48" t="n">
        <v>0.0</v>
      </c>
      <c r="N18" s="48" t="n">
        <f>ROUND(ROUND(K18*(1-M18/100), 2)*I18, 2)</f>
        <v>346.85</v>
      </c>
      <c r="O18" s="47" t="s">
        <v>24</v>
      </c>
    </row>
    <row r="19">
      <c r="A19" s="48" t="s">
        <v>61</v>
      </c>
      <c r="B19" s="44" t="s">
        <v>62</v>
      </c>
      <c r="C19" s="47" t="s">
        <v>17</v>
      </c>
      <c r="D19" s="47" t="s">
        <v>63</v>
      </c>
      <c r="E19" s="47" t="s">
        <v>24</v>
      </c>
      <c r="F19" s="43" t="s">
        <v>28</v>
      </c>
      <c r="G19" s="43" t="s">
        <v>20</v>
      </c>
      <c r="H19" s="43" t="s">
        <v>22</v>
      </c>
      <c r="I19" s="48" t="s">
        <v>23</v>
      </c>
      <c r="J19" s="48" t="s">
        <v>24</v>
      </c>
      <c r="K19" s="48" t="n">
        <v>107.26</v>
      </c>
      <c r="L19" s="48" t="n">
        <f>(K19*I19)</f>
        <v>107.26</v>
      </c>
      <c r="M19" s="48" t="n">
        <v>0.0</v>
      </c>
      <c r="N19" s="48" t="n">
        <f>ROUND(ROUND(K19*(1-M19/100), 2)*I19, 2)</f>
        <v>107.26</v>
      </c>
      <c r="O19" s="47" t="s">
        <v>29</v>
      </c>
    </row>
    <row r="20">
      <c r="A20" s="48" t="s">
        <v>64</v>
      </c>
      <c r="B20" s="44" t="s">
        <v>48</v>
      </c>
      <c r="C20" s="47" t="s">
        <v>17</v>
      </c>
      <c r="D20" s="47" t="s">
        <v>49</v>
      </c>
      <c r="E20" s="47" t="s">
        <v>24</v>
      </c>
      <c r="F20" s="43" t="s">
        <v>20</v>
      </c>
      <c r="G20" s="43" t="s">
        <v>21</v>
      </c>
      <c r="H20" s="43" t="s">
        <v>22</v>
      </c>
      <c r="I20" s="48" t="s">
        <v>23</v>
      </c>
      <c r="J20" s="48" t="s">
        <v>24</v>
      </c>
      <c r="K20" s="48" t="n">
        <v>0.0</v>
      </c>
      <c r="L20" s="48" t="n">
        <f>(K20*I20)</f>
        <v>0.0</v>
      </c>
      <c r="M20" s="48" t="n">
        <v>0.0</v>
      </c>
      <c r="N20" s="48" t="n">
        <f>ROUND(ROUND(K20*(1-M20/100), 2)*I20, 2)</f>
        <v>0.0</v>
      </c>
      <c r="O20" s="47" t="s">
        <v>24</v>
      </c>
    </row>
    <row r="21">
      <c r="A21" s="1" t="s">
        <v>24</v>
      </c>
      <c r="B21" s="1" t="s">
        <v>24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24</v>
      </c>
      <c r="H21" s="1" t="s">
        <v>24</v>
      </c>
      <c r="I21" s="1" t="s">
        <v>24</v>
      </c>
      <c r="J21" s="1" t="s">
        <v>24</v>
      </c>
      <c r="K21" s="1" t="s">
        <v>24</v>
      </c>
      <c r="L21" s="1" t="s">
        <v>24</v>
      </c>
      <c r="M21" s="73" t="s">
        <v>33</v>
      </c>
      <c r="N21" s="73" t="n">
        <f>(N18+N19+N20)</f>
        <v>0.0</v>
      </c>
      <c r="O21" s="73" t="s">
        <v>24</v>
      </c>
    </row>
    <row r="22">
      <c r="A22" s="55" t="s">
        <v>65</v>
      </c>
      <c r="B22" s="12" t="s">
        <v>66</v>
      </c>
      <c r="C22" s="47" t="s">
        <v>17</v>
      </c>
      <c r="D22" s="47" t="s">
        <v>67</v>
      </c>
      <c r="E22" s="47" t="s">
        <v>19</v>
      </c>
      <c r="F22" s="43" t="s">
        <v>20</v>
      </c>
      <c r="G22" s="43" t="s">
        <v>68</v>
      </c>
      <c r="H22" s="43" t="s">
        <v>22</v>
      </c>
      <c r="I22" s="48" t="s">
        <v>23</v>
      </c>
      <c r="J22" s="48" t="s">
        <v>24</v>
      </c>
      <c r="K22" s="48" t="n">
        <v>542.82</v>
      </c>
      <c r="L22" s="48" t="n">
        <f>(K22*I22)</f>
        <v>542.82</v>
      </c>
      <c r="M22" s="48" t="n">
        <v>0.0</v>
      </c>
      <c r="N22" s="48" t="n">
        <f>ROUND(ROUND(K22*(1-M22/100), 2)*I22, 2)</f>
        <v>542.82</v>
      </c>
      <c r="O22" s="47" t="s">
        <v>24</v>
      </c>
    </row>
    <row r="23">
      <c r="A23" s="48" t="s">
        <v>69</v>
      </c>
      <c r="B23" s="44" t="s">
        <v>70</v>
      </c>
      <c r="C23" s="47" t="s">
        <v>17</v>
      </c>
      <c r="D23" s="47" t="s">
        <v>71</v>
      </c>
      <c r="E23" s="47" t="s">
        <v>24</v>
      </c>
      <c r="F23" s="43" t="s">
        <v>28</v>
      </c>
      <c r="G23" s="43" t="s">
        <v>20</v>
      </c>
      <c r="H23" s="43" t="s">
        <v>22</v>
      </c>
      <c r="I23" s="48" t="s">
        <v>23</v>
      </c>
      <c r="J23" s="48" t="s">
        <v>24</v>
      </c>
      <c r="K23" s="48" t="n">
        <v>167.76</v>
      </c>
      <c r="L23" s="48" t="n">
        <f>(K23*I23)</f>
        <v>167.76</v>
      </c>
      <c r="M23" s="48" t="n">
        <v>0.0</v>
      </c>
      <c r="N23" s="48" t="n">
        <f>ROUND(ROUND(K23*(1-M23/100), 2)*I23, 2)</f>
        <v>167.76</v>
      </c>
      <c r="O23" s="47" t="s">
        <v>29</v>
      </c>
    </row>
    <row r="24">
      <c r="A24" s="48" t="s">
        <v>72</v>
      </c>
      <c r="B24" s="44" t="s">
        <v>48</v>
      </c>
      <c r="C24" s="47" t="s">
        <v>17</v>
      </c>
      <c r="D24" s="47" t="s">
        <v>49</v>
      </c>
      <c r="E24" s="47" t="s">
        <v>24</v>
      </c>
      <c r="F24" s="43" t="s">
        <v>20</v>
      </c>
      <c r="G24" s="43" t="s">
        <v>21</v>
      </c>
      <c r="H24" s="43" t="s">
        <v>22</v>
      </c>
      <c r="I24" s="48" t="s">
        <v>23</v>
      </c>
      <c r="J24" s="48" t="s">
        <v>24</v>
      </c>
      <c r="K24" s="48" t="n">
        <v>0.0</v>
      </c>
      <c r="L24" s="48" t="n">
        <f>(K24*I24)</f>
        <v>0.0</v>
      </c>
      <c r="M24" s="48" t="n">
        <v>0.0</v>
      </c>
      <c r="N24" s="48" t="n">
        <f>ROUND(ROUND(K24*(1-M24/100), 2)*I24, 2)</f>
        <v>0.0</v>
      </c>
      <c r="O24" s="47" t="s">
        <v>24</v>
      </c>
    </row>
    <row r="25">
      <c r="A25" s="1" t="s">
        <v>24</v>
      </c>
      <c r="B25" s="1" t="s">
        <v>24</v>
      </c>
      <c r="C25" s="1" t="s">
        <v>24</v>
      </c>
      <c r="D25" s="1" t="s">
        <v>24</v>
      </c>
      <c r="E25" s="1" t="s">
        <v>24</v>
      </c>
      <c r="F25" s="1" t="s">
        <v>24</v>
      </c>
      <c r="G25" s="1" t="s">
        <v>24</v>
      </c>
      <c r="H25" s="1" t="s">
        <v>24</v>
      </c>
      <c r="I25" s="1" t="s">
        <v>24</v>
      </c>
      <c r="J25" s="1" t="s">
        <v>24</v>
      </c>
      <c r="K25" s="1" t="s">
        <v>24</v>
      </c>
      <c r="L25" s="1" t="s">
        <v>24</v>
      </c>
      <c r="M25" s="73" t="s">
        <v>33</v>
      </c>
      <c r="N25" s="73" t="n">
        <f>(N22+N23+N24)</f>
        <v>0.0</v>
      </c>
      <c r="O25" s="73" t="s">
        <v>24</v>
      </c>
    </row>
    <row r="26">
      <c r="A26" s="55" t="s">
        <v>73</v>
      </c>
      <c r="B26" s="12" t="s">
        <v>74</v>
      </c>
      <c r="C26" s="47" t="s">
        <v>17</v>
      </c>
      <c r="D26" s="47" t="s">
        <v>75</v>
      </c>
      <c r="E26" s="47" t="s">
        <v>19</v>
      </c>
      <c r="F26" s="43" t="s">
        <v>20</v>
      </c>
      <c r="G26" s="43" t="s">
        <v>76</v>
      </c>
      <c r="H26" s="43" t="s">
        <v>22</v>
      </c>
      <c r="I26" s="48" t="s">
        <v>23</v>
      </c>
      <c r="J26" s="48" t="s">
        <v>24</v>
      </c>
      <c r="K26" s="48" t="n">
        <v>379.08</v>
      </c>
      <c r="L26" s="48" t="n">
        <f>(K26*I26)</f>
        <v>379.08</v>
      </c>
      <c r="M26" s="48" t="n">
        <v>0.0</v>
      </c>
      <c r="N26" s="48" t="n">
        <f>ROUND(ROUND(K26*(1-M26/100), 2)*I26, 2)</f>
        <v>379.08</v>
      </c>
      <c r="O26" s="47" t="s">
        <v>24</v>
      </c>
    </row>
    <row r="27">
      <c r="A27" s="48" t="s">
        <v>77</v>
      </c>
      <c r="B27" s="44" t="s">
        <v>78</v>
      </c>
      <c r="C27" s="47" t="s">
        <v>17</v>
      </c>
      <c r="D27" s="47" t="s">
        <v>79</v>
      </c>
      <c r="E27" s="47" t="s">
        <v>24</v>
      </c>
      <c r="F27" s="43" t="s">
        <v>28</v>
      </c>
      <c r="G27" s="43" t="s">
        <v>20</v>
      </c>
      <c r="H27" s="43" t="s">
        <v>22</v>
      </c>
      <c r="I27" s="48" t="s">
        <v>23</v>
      </c>
      <c r="J27" s="48" t="s">
        <v>24</v>
      </c>
      <c r="K27" s="48" t="n">
        <v>115.5</v>
      </c>
      <c r="L27" s="48" t="n">
        <f>(K27*I27)</f>
        <v>115.5</v>
      </c>
      <c r="M27" s="48" t="n">
        <v>0.0</v>
      </c>
      <c r="N27" s="48" t="n">
        <f>ROUND(ROUND(K27*(1-M27/100), 2)*I27, 2)</f>
        <v>115.5</v>
      </c>
      <c r="O27" s="47" t="s">
        <v>29</v>
      </c>
    </row>
    <row r="28">
      <c r="A28" s="48" t="s">
        <v>80</v>
      </c>
      <c r="B28" s="44" t="s">
        <v>48</v>
      </c>
      <c r="C28" s="47" t="s">
        <v>17</v>
      </c>
      <c r="D28" s="47" t="s">
        <v>49</v>
      </c>
      <c r="E28" s="47" t="s">
        <v>24</v>
      </c>
      <c r="F28" s="43" t="s">
        <v>20</v>
      </c>
      <c r="G28" s="43" t="s">
        <v>21</v>
      </c>
      <c r="H28" s="43" t="s">
        <v>22</v>
      </c>
      <c r="I28" s="48" t="s">
        <v>23</v>
      </c>
      <c r="J28" s="48" t="s">
        <v>24</v>
      </c>
      <c r="K28" s="48" t="n">
        <v>0.0</v>
      </c>
      <c r="L28" s="48" t="n">
        <f>(K28*I28)</f>
        <v>0.0</v>
      </c>
      <c r="M28" s="48" t="n">
        <v>0.0</v>
      </c>
      <c r="N28" s="48" t="n">
        <f>ROUND(ROUND(K28*(1-M28/100), 2)*I28, 2)</f>
        <v>0.0</v>
      </c>
      <c r="O28" s="47" t="s">
        <v>24</v>
      </c>
    </row>
    <row r="29">
      <c r="A29" s="1" t="s">
        <v>24</v>
      </c>
      <c r="B29" s="1" t="s">
        <v>24</v>
      </c>
      <c r="C29" s="1" t="s">
        <v>24</v>
      </c>
      <c r="D29" s="1" t="s">
        <v>24</v>
      </c>
      <c r="E29" s="1" t="s">
        <v>24</v>
      </c>
      <c r="F29" s="1" t="s">
        <v>24</v>
      </c>
      <c r="G29" s="1" t="s">
        <v>24</v>
      </c>
      <c r="H29" s="1" t="s">
        <v>24</v>
      </c>
      <c r="I29" s="1" t="s">
        <v>24</v>
      </c>
      <c r="J29" s="1" t="s">
        <v>24</v>
      </c>
      <c r="K29" s="1" t="s">
        <v>24</v>
      </c>
      <c r="L29" s="1" t="s">
        <v>24</v>
      </c>
      <c r="M29" s="73" t="s">
        <v>33</v>
      </c>
      <c r="N29" s="73" t="n">
        <f>(N26+N27+N28)</f>
        <v>0.0</v>
      </c>
      <c r="O29" s="73" t="s">
        <v>24</v>
      </c>
    </row>
    <row r="30">
      <c r="A30" s="55" t="s">
        <v>81</v>
      </c>
      <c r="B30" s="12" t="s">
        <v>82</v>
      </c>
      <c r="C30" s="47" t="s">
        <v>17</v>
      </c>
      <c r="D30" s="47" t="s">
        <v>83</v>
      </c>
      <c r="E30" s="47" t="s">
        <v>19</v>
      </c>
      <c r="F30" s="43" t="s">
        <v>20</v>
      </c>
      <c r="G30" s="43" t="s">
        <v>84</v>
      </c>
      <c r="H30" s="43" t="s">
        <v>22</v>
      </c>
      <c r="I30" s="48" t="s">
        <v>23</v>
      </c>
      <c r="J30" s="48" t="s">
        <v>24</v>
      </c>
      <c r="K30" s="48" t="n">
        <v>675.63</v>
      </c>
      <c r="L30" s="48" t="n">
        <f>(K30*I30)</f>
        <v>675.63</v>
      </c>
      <c r="M30" s="48" t="n">
        <v>0.0</v>
      </c>
      <c r="N30" s="48" t="n">
        <f>ROUND(ROUND(K30*(1-M30/100), 2)*I30, 2)</f>
        <v>675.63</v>
      </c>
      <c r="O30" s="47" t="s">
        <v>24</v>
      </c>
    </row>
    <row r="31">
      <c r="A31" s="48" t="s">
        <v>85</v>
      </c>
      <c r="B31" s="44" t="s">
        <v>86</v>
      </c>
      <c r="C31" s="47" t="s">
        <v>17</v>
      </c>
      <c r="D31" s="47" t="s">
        <v>87</v>
      </c>
      <c r="E31" s="47" t="s">
        <v>24</v>
      </c>
      <c r="F31" s="43" t="s">
        <v>28</v>
      </c>
      <c r="G31" s="43" t="s">
        <v>20</v>
      </c>
      <c r="H31" s="43" t="s">
        <v>22</v>
      </c>
      <c r="I31" s="48" t="s">
        <v>23</v>
      </c>
      <c r="J31" s="48" t="s">
        <v>24</v>
      </c>
      <c r="K31" s="48" t="n">
        <v>209.0</v>
      </c>
      <c r="L31" s="48" t="n">
        <f>(K31*I31)</f>
        <v>209.0</v>
      </c>
      <c r="M31" s="48" t="n">
        <v>0.0</v>
      </c>
      <c r="N31" s="48" t="n">
        <f>ROUND(ROUND(K31*(1-M31/100), 2)*I31, 2)</f>
        <v>209.0</v>
      </c>
      <c r="O31" s="47" t="s">
        <v>29</v>
      </c>
    </row>
    <row r="32">
      <c r="A32" s="48" t="s">
        <v>88</v>
      </c>
      <c r="B32" s="44" t="s">
        <v>48</v>
      </c>
      <c r="C32" s="47" t="s">
        <v>17</v>
      </c>
      <c r="D32" s="47" t="s">
        <v>49</v>
      </c>
      <c r="E32" s="47" t="s">
        <v>24</v>
      </c>
      <c r="F32" s="43" t="s">
        <v>20</v>
      </c>
      <c r="G32" s="43" t="s">
        <v>21</v>
      </c>
      <c r="H32" s="43" t="s">
        <v>22</v>
      </c>
      <c r="I32" s="48" t="s">
        <v>23</v>
      </c>
      <c r="J32" s="48" t="s">
        <v>24</v>
      </c>
      <c r="K32" s="48" t="n">
        <v>0.0</v>
      </c>
      <c r="L32" s="48" t="n">
        <f>(K32*I32)</f>
        <v>0.0</v>
      </c>
      <c r="M32" s="48" t="n">
        <v>0.0</v>
      </c>
      <c r="N32" s="48" t="n">
        <f>ROUND(ROUND(K32*(1-M32/100), 2)*I32, 2)</f>
        <v>0.0</v>
      </c>
      <c r="O32" s="47" t="s">
        <v>24</v>
      </c>
    </row>
    <row r="33">
      <c r="A33" s="1" t="s">
        <v>24</v>
      </c>
      <c r="B33" s="1" t="s">
        <v>24</v>
      </c>
      <c r="C33" s="1" t="s">
        <v>24</v>
      </c>
      <c r="D33" s="1" t="s">
        <v>24</v>
      </c>
      <c r="E33" s="1" t="s">
        <v>24</v>
      </c>
      <c r="F33" s="1" t="s">
        <v>24</v>
      </c>
      <c r="G33" s="1" t="s">
        <v>24</v>
      </c>
      <c r="H33" s="1" t="s">
        <v>24</v>
      </c>
      <c r="I33" s="1" t="s">
        <v>24</v>
      </c>
      <c r="J33" s="1" t="s">
        <v>24</v>
      </c>
      <c r="K33" s="1" t="s">
        <v>24</v>
      </c>
      <c r="L33" s="1" t="s">
        <v>24</v>
      </c>
      <c r="M33" s="73" t="s">
        <v>33</v>
      </c>
      <c r="N33" s="73" t="n">
        <f>(N30+N31+N32)</f>
        <v>0.0</v>
      </c>
      <c r="O33" s="73" t="s">
        <v>24</v>
      </c>
    </row>
    <row r="34">
      <c r="A34" s="55" t="s">
        <v>89</v>
      </c>
      <c r="B34" s="12" t="s">
        <v>90</v>
      </c>
      <c r="C34" s="47" t="s">
        <v>17</v>
      </c>
      <c r="D34" s="47" t="s">
        <v>91</v>
      </c>
      <c r="E34" s="47" t="s">
        <v>19</v>
      </c>
      <c r="F34" s="43" t="s">
        <v>20</v>
      </c>
      <c r="G34" s="43" t="s">
        <v>76</v>
      </c>
      <c r="H34" s="43" t="s">
        <v>22</v>
      </c>
      <c r="I34" s="48" t="s">
        <v>23</v>
      </c>
      <c r="J34" s="48" t="s">
        <v>24</v>
      </c>
      <c r="K34" s="48" t="n">
        <v>1012.15</v>
      </c>
      <c r="L34" s="48" t="n">
        <f>(K34*I34)</f>
        <v>1012.15</v>
      </c>
      <c r="M34" s="48" t="n">
        <v>0.0</v>
      </c>
      <c r="N34" s="48" t="n">
        <f>ROUND(ROUND(K34*(1-M34/100), 2)*I34, 2)</f>
        <v>1012.15</v>
      </c>
      <c r="O34" s="47" t="s">
        <v>24</v>
      </c>
    </row>
    <row r="35">
      <c r="A35" s="48" t="s">
        <v>92</v>
      </c>
      <c r="B35" s="44" t="s">
        <v>93</v>
      </c>
      <c r="C35" s="47" t="s">
        <v>17</v>
      </c>
      <c r="D35" s="47" t="s">
        <v>94</v>
      </c>
      <c r="E35" s="47" t="s">
        <v>24</v>
      </c>
      <c r="F35" s="43" t="s">
        <v>28</v>
      </c>
      <c r="G35" s="43" t="s">
        <v>20</v>
      </c>
      <c r="H35" s="43" t="s">
        <v>22</v>
      </c>
      <c r="I35" s="48" t="s">
        <v>23</v>
      </c>
      <c r="J35" s="48" t="s">
        <v>24</v>
      </c>
      <c r="K35" s="48" t="n">
        <v>310.76</v>
      </c>
      <c r="L35" s="48" t="n">
        <f>(K35*I35)</f>
        <v>310.76</v>
      </c>
      <c r="M35" s="48" t="n">
        <v>0.0</v>
      </c>
      <c r="N35" s="48" t="n">
        <f>ROUND(ROUND(K35*(1-M35/100), 2)*I35, 2)</f>
        <v>310.76</v>
      </c>
      <c r="O35" s="47" t="s">
        <v>29</v>
      </c>
    </row>
    <row r="36">
      <c r="A36" s="48" t="s">
        <v>95</v>
      </c>
      <c r="B36" s="44" t="s">
        <v>48</v>
      </c>
      <c r="C36" s="47" t="s">
        <v>17</v>
      </c>
      <c r="D36" s="47" t="s">
        <v>49</v>
      </c>
      <c r="E36" s="47" t="s">
        <v>24</v>
      </c>
      <c r="F36" s="43" t="s">
        <v>20</v>
      </c>
      <c r="G36" s="43" t="s">
        <v>21</v>
      </c>
      <c r="H36" s="43" t="s">
        <v>22</v>
      </c>
      <c r="I36" s="48" t="s">
        <v>23</v>
      </c>
      <c r="J36" s="48" t="s">
        <v>24</v>
      </c>
      <c r="K36" s="48" t="n">
        <v>0.0</v>
      </c>
      <c r="L36" s="48" t="n">
        <f>(K36*I36)</f>
        <v>0.0</v>
      </c>
      <c r="M36" s="48" t="n">
        <v>0.0</v>
      </c>
      <c r="N36" s="48" t="n">
        <f>ROUND(ROUND(K36*(1-M36/100), 2)*I36, 2)</f>
        <v>0.0</v>
      </c>
      <c r="O36" s="47" t="s">
        <v>24</v>
      </c>
    </row>
    <row r="37">
      <c r="A37" s="1" t="s">
        <v>24</v>
      </c>
      <c r="B37" s="1" t="s">
        <v>24</v>
      </c>
      <c r="C37" s="1" t="s">
        <v>24</v>
      </c>
      <c r="D37" s="1" t="s">
        <v>24</v>
      </c>
      <c r="E37" s="1" t="s">
        <v>24</v>
      </c>
      <c r="F37" s="1" t="s">
        <v>24</v>
      </c>
      <c r="G37" s="1" t="s">
        <v>24</v>
      </c>
      <c r="H37" s="1" t="s">
        <v>24</v>
      </c>
      <c r="I37" s="1" t="s">
        <v>24</v>
      </c>
      <c r="J37" s="1" t="s">
        <v>24</v>
      </c>
      <c r="K37" s="1" t="s">
        <v>24</v>
      </c>
      <c r="L37" s="1" t="s">
        <v>24</v>
      </c>
      <c r="M37" s="73" t="s">
        <v>33</v>
      </c>
      <c r="N37" s="73" t="n">
        <f>(N34+N35+N36)</f>
        <v>0.0</v>
      </c>
      <c r="O37" s="73" t="s">
        <v>24</v>
      </c>
    </row>
    <row r="38">
      <c r="A38" s="55" t="s">
        <v>96</v>
      </c>
      <c r="B38" s="12" t="s">
        <v>97</v>
      </c>
      <c r="C38" s="47" t="s">
        <v>17</v>
      </c>
      <c r="D38" s="47" t="s">
        <v>98</v>
      </c>
      <c r="E38" s="47" t="s">
        <v>19</v>
      </c>
      <c r="F38" s="43" t="s">
        <v>20</v>
      </c>
      <c r="G38" s="43" t="s">
        <v>21</v>
      </c>
      <c r="H38" s="43" t="s">
        <v>22</v>
      </c>
      <c r="I38" s="48" t="s">
        <v>23</v>
      </c>
      <c r="J38" s="48" t="s">
        <v>24</v>
      </c>
      <c r="K38" s="48" t="n">
        <v>724.62</v>
      </c>
      <c r="L38" s="48" t="n">
        <f>(K38*I38)</f>
        <v>724.62</v>
      </c>
      <c r="M38" s="48" t="n">
        <v>0.0</v>
      </c>
      <c r="N38" s="48" t="n">
        <f>ROUND(ROUND(K38*(1-M38/100), 2)*I38, 2)</f>
        <v>724.62</v>
      </c>
      <c r="O38" s="47" t="s">
        <v>24</v>
      </c>
    </row>
    <row r="39">
      <c r="A39" s="48" t="s">
        <v>99</v>
      </c>
      <c r="B39" s="44" t="s">
        <v>100</v>
      </c>
      <c r="C39" s="47" t="s">
        <v>17</v>
      </c>
      <c r="D39" s="47" t="s">
        <v>101</v>
      </c>
      <c r="E39" s="47" t="s">
        <v>24</v>
      </c>
      <c r="F39" s="43" t="s">
        <v>28</v>
      </c>
      <c r="G39" s="43" t="s">
        <v>20</v>
      </c>
      <c r="H39" s="43" t="s">
        <v>22</v>
      </c>
      <c r="I39" s="48" t="s">
        <v>23</v>
      </c>
      <c r="J39" s="48" t="s">
        <v>24</v>
      </c>
      <c r="K39" s="48" t="n">
        <v>222.76</v>
      </c>
      <c r="L39" s="48" t="n">
        <f>(K39*I39)</f>
        <v>222.76</v>
      </c>
      <c r="M39" s="48" t="n">
        <v>0.0</v>
      </c>
      <c r="N39" s="48" t="n">
        <f>ROUND(ROUND(K39*(1-M39/100), 2)*I39, 2)</f>
        <v>222.76</v>
      </c>
      <c r="O39" s="47" t="s">
        <v>29</v>
      </c>
    </row>
    <row r="40">
      <c r="A40" s="48" t="s">
        <v>102</v>
      </c>
      <c r="B40" s="44" t="s">
        <v>48</v>
      </c>
      <c r="C40" s="47" t="s">
        <v>17</v>
      </c>
      <c r="D40" s="47" t="s">
        <v>49</v>
      </c>
      <c r="E40" s="47" t="s">
        <v>24</v>
      </c>
      <c r="F40" s="43" t="s">
        <v>20</v>
      </c>
      <c r="G40" s="43" t="s">
        <v>21</v>
      </c>
      <c r="H40" s="43" t="s">
        <v>22</v>
      </c>
      <c r="I40" s="48" t="s">
        <v>23</v>
      </c>
      <c r="J40" s="48" t="s">
        <v>24</v>
      </c>
      <c r="K40" s="48" t="n">
        <v>0.0</v>
      </c>
      <c r="L40" s="48" t="n">
        <f>(K40*I40)</f>
        <v>0.0</v>
      </c>
      <c r="M40" s="48" t="n">
        <v>0.0</v>
      </c>
      <c r="N40" s="48" t="n">
        <f>ROUND(ROUND(K40*(1-M40/100), 2)*I40, 2)</f>
        <v>0.0</v>
      </c>
      <c r="O40" s="47" t="s">
        <v>24</v>
      </c>
    </row>
    <row r="41">
      <c r="A41" s="1" t="s">
        <v>24</v>
      </c>
      <c r="B41" s="1" t="s">
        <v>24</v>
      </c>
      <c r="C41" s="1" t="s">
        <v>24</v>
      </c>
      <c r="D41" s="1" t="s">
        <v>24</v>
      </c>
      <c r="E41" s="1" t="s">
        <v>24</v>
      </c>
      <c r="F41" s="1" t="s">
        <v>24</v>
      </c>
      <c r="G41" s="1" t="s">
        <v>24</v>
      </c>
      <c r="H41" s="1" t="s">
        <v>24</v>
      </c>
      <c r="I41" s="1" t="s">
        <v>24</v>
      </c>
      <c r="J41" s="1" t="s">
        <v>24</v>
      </c>
      <c r="K41" s="1" t="s">
        <v>24</v>
      </c>
      <c r="L41" s="1" t="s">
        <v>24</v>
      </c>
      <c r="M41" s="73" t="s">
        <v>33</v>
      </c>
      <c r="N41" s="73" t="n">
        <f>(N38+N39+N40)</f>
        <v>0.0</v>
      </c>
      <c r="O41" s="73" t="s">
        <v>24</v>
      </c>
    </row>
    <row r="42">
      <c r="A42" s="55" t="s">
        <v>103</v>
      </c>
      <c r="B42" s="12" t="s">
        <v>104</v>
      </c>
      <c r="C42" s="47" t="s">
        <v>17</v>
      </c>
      <c r="D42" s="47" t="s">
        <v>105</v>
      </c>
      <c r="E42" s="47" t="s">
        <v>19</v>
      </c>
      <c r="F42" s="43" t="s">
        <v>20</v>
      </c>
      <c r="G42" s="43" t="s">
        <v>21</v>
      </c>
      <c r="H42" s="43" t="s">
        <v>22</v>
      </c>
      <c r="I42" s="48" t="s">
        <v>23</v>
      </c>
      <c r="J42" s="48" t="s">
        <v>24</v>
      </c>
      <c r="K42" s="48" t="n">
        <v>1127.74</v>
      </c>
      <c r="L42" s="48" t="n">
        <f>(K42*I42)</f>
        <v>1127.74</v>
      </c>
      <c r="M42" s="48" t="n">
        <v>0.0</v>
      </c>
      <c r="N42" s="48" t="n">
        <f>ROUND(ROUND(K42*(1-M42/100), 2)*I42, 2)</f>
        <v>1127.74</v>
      </c>
      <c r="O42" s="47" t="s">
        <v>24</v>
      </c>
    </row>
    <row r="43">
      <c r="A43" s="48" t="s">
        <v>106</v>
      </c>
      <c r="B43" s="44" t="s">
        <v>107</v>
      </c>
      <c r="C43" s="47" t="s">
        <v>17</v>
      </c>
      <c r="D43" s="47" t="s">
        <v>108</v>
      </c>
      <c r="E43" s="47" t="s">
        <v>24</v>
      </c>
      <c r="F43" s="43" t="s">
        <v>28</v>
      </c>
      <c r="G43" s="43" t="s">
        <v>20</v>
      </c>
      <c r="H43" s="43" t="s">
        <v>22</v>
      </c>
      <c r="I43" s="48" t="s">
        <v>23</v>
      </c>
      <c r="J43" s="48" t="s">
        <v>24</v>
      </c>
      <c r="K43" s="48" t="n">
        <v>346.5</v>
      </c>
      <c r="L43" s="48" t="n">
        <f>(K43*I43)</f>
        <v>346.5</v>
      </c>
      <c r="M43" s="48" t="n">
        <v>0.0</v>
      </c>
      <c r="N43" s="48" t="n">
        <f>ROUND(ROUND(K43*(1-M43/100), 2)*I43, 2)</f>
        <v>346.5</v>
      </c>
      <c r="O43" s="47" t="s">
        <v>29</v>
      </c>
    </row>
    <row r="44">
      <c r="A44" s="48" t="s">
        <v>109</v>
      </c>
      <c r="B44" s="44" t="s">
        <v>48</v>
      </c>
      <c r="C44" s="47" t="s">
        <v>17</v>
      </c>
      <c r="D44" s="47" t="s">
        <v>49</v>
      </c>
      <c r="E44" s="47" t="s">
        <v>24</v>
      </c>
      <c r="F44" s="43" t="s">
        <v>20</v>
      </c>
      <c r="G44" s="43" t="s">
        <v>21</v>
      </c>
      <c r="H44" s="43" t="s">
        <v>22</v>
      </c>
      <c r="I44" s="48" t="s">
        <v>23</v>
      </c>
      <c r="J44" s="48" t="s">
        <v>24</v>
      </c>
      <c r="K44" s="48" t="n">
        <v>0.0</v>
      </c>
      <c r="L44" s="48" t="n">
        <f>(K44*I44)</f>
        <v>0.0</v>
      </c>
      <c r="M44" s="48" t="n">
        <v>0.0</v>
      </c>
      <c r="N44" s="48" t="n">
        <f>ROUND(ROUND(K44*(1-M44/100), 2)*I44, 2)</f>
        <v>0.0</v>
      </c>
      <c r="O44" s="47" t="s">
        <v>24</v>
      </c>
    </row>
    <row r="45">
      <c r="A45" s="1" t="s">
        <v>24</v>
      </c>
      <c r="B45" s="1" t="s">
        <v>24</v>
      </c>
      <c r="C45" s="1" t="s">
        <v>24</v>
      </c>
      <c r="D45" s="1" t="s">
        <v>24</v>
      </c>
      <c r="E45" s="1" t="s">
        <v>24</v>
      </c>
      <c r="F45" s="1" t="s">
        <v>24</v>
      </c>
      <c r="G45" s="1" t="s">
        <v>24</v>
      </c>
      <c r="H45" s="1" t="s">
        <v>24</v>
      </c>
      <c r="I45" s="1" t="s">
        <v>24</v>
      </c>
      <c r="J45" s="1" t="s">
        <v>24</v>
      </c>
      <c r="K45" s="1" t="s">
        <v>24</v>
      </c>
      <c r="L45" s="1" t="s">
        <v>24</v>
      </c>
      <c r="M45" s="73" t="s">
        <v>33</v>
      </c>
      <c r="N45" s="73" t="n">
        <f>(N42+N43+N44)</f>
        <v>0.0</v>
      </c>
      <c r="O45" s="73" t="s">
        <v>24</v>
      </c>
    </row>
    <row r="46">
      <c r="A46" s="55" t="s">
        <v>110</v>
      </c>
      <c r="B46" s="12" t="s">
        <v>111</v>
      </c>
      <c r="C46" s="47" t="s">
        <v>17</v>
      </c>
      <c r="D46" s="47" t="s">
        <v>112</v>
      </c>
      <c r="E46" s="47" t="s">
        <v>19</v>
      </c>
      <c r="F46" s="43" t="s">
        <v>20</v>
      </c>
      <c r="G46" s="43" t="s">
        <v>60</v>
      </c>
      <c r="H46" s="43" t="s">
        <v>22</v>
      </c>
      <c r="I46" s="48" t="s">
        <v>23</v>
      </c>
      <c r="J46" s="48" t="s">
        <v>24</v>
      </c>
      <c r="K46" s="48" t="n">
        <v>629.53</v>
      </c>
      <c r="L46" s="48" t="n">
        <f>(K46*I46)</f>
        <v>629.53</v>
      </c>
      <c r="M46" s="48" t="n">
        <v>0.0</v>
      </c>
      <c r="N46" s="48" t="n">
        <f>ROUND(ROUND(K46*(1-M46/100), 2)*I46, 2)</f>
        <v>629.53</v>
      </c>
      <c r="O46" s="47" t="s">
        <v>24</v>
      </c>
    </row>
    <row r="47">
      <c r="A47" s="48" t="s">
        <v>113</v>
      </c>
      <c r="B47" s="44" t="s">
        <v>114</v>
      </c>
      <c r="C47" s="47" t="s">
        <v>17</v>
      </c>
      <c r="D47" s="47" t="s">
        <v>115</v>
      </c>
      <c r="E47" s="47" t="s">
        <v>24</v>
      </c>
      <c r="F47" s="43" t="s">
        <v>28</v>
      </c>
      <c r="G47" s="43" t="s">
        <v>20</v>
      </c>
      <c r="H47" s="43" t="s">
        <v>22</v>
      </c>
      <c r="I47" s="48" t="s">
        <v>23</v>
      </c>
      <c r="J47" s="48" t="s">
        <v>24</v>
      </c>
      <c r="K47" s="48" t="n">
        <v>195.26</v>
      </c>
      <c r="L47" s="48" t="n">
        <f>(K47*I47)</f>
        <v>195.26</v>
      </c>
      <c r="M47" s="48" t="n">
        <v>0.0</v>
      </c>
      <c r="N47" s="48" t="n">
        <f>ROUND(ROUND(K47*(1-M47/100), 2)*I47, 2)</f>
        <v>195.26</v>
      </c>
      <c r="O47" s="47" t="s">
        <v>29</v>
      </c>
    </row>
    <row r="48">
      <c r="A48" s="48" t="s">
        <v>116</v>
      </c>
      <c r="B48" s="44" t="s">
        <v>48</v>
      </c>
      <c r="C48" s="47" t="s">
        <v>17</v>
      </c>
      <c r="D48" s="47" t="s">
        <v>49</v>
      </c>
      <c r="E48" s="47" t="s">
        <v>24</v>
      </c>
      <c r="F48" s="43" t="s">
        <v>20</v>
      </c>
      <c r="G48" s="43" t="s">
        <v>21</v>
      </c>
      <c r="H48" s="43" t="s">
        <v>22</v>
      </c>
      <c r="I48" s="48" t="s">
        <v>23</v>
      </c>
      <c r="J48" s="48" t="s">
        <v>24</v>
      </c>
      <c r="K48" s="48" t="n">
        <v>0.0</v>
      </c>
      <c r="L48" s="48" t="n">
        <f>(K48*I48)</f>
        <v>0.0</v>
      </c>
      <c r="M48" s="48" t="n">
        <v>0.0</v>
      </c>
      <c r="N48" s="48" t="n">
        <f>ROUND(ROUND(K48*(1-M48/100), 2)*I48, 2)</f>
        <v>0.0</v>
      </c>
      <c r="O48" s="47" t="s">
        <v>24</v>
      </c>
    </row>
    <row r="49">
      <c r="A49" s="1" t="s">
        <v>24</v>
      </c>
      <c r="B49" s="1" t="s">
        <v>24</v>
      </c>
      <c r="C49" s="1" t="s">
        <v>24</v>
      </c>
      <c r="D49" s="1" t="s">
        <v>24</v>
      </c>
      <c r="E49" s="1" t="s">
        <v>24</v>
      </c>
      <c r="F49" s="1" t="s">
        <v>24</v>
      </c>
      <c r="G49" s="1" t="s">
        <v>24</v>
      </c>
      <c r="H49" s="1" t="s">
        <v>24</v>
      </c>
      <c r="I49" s="1" t="s">
        <v>24</v>
      </c>
      <c r="J49" s="1" t="s">
        <v>24</v>
      </c>
      <c r="K49" s="1" t="s">
        <v>24</v>
      </c>
      <c r="L49" s="1" t="s">
        <v>24</v>
      </c>
      <c r="M49" s="73" t="s">
        <v>33</v>
      </c>
      <c r="N49" s="73" t="n">
        <f>(N46+N47+N48)</f>
        <v>0.0</v>
      </c>
      <c r="O49" s="73" t="s">
        <v>24</v>
      </c>
    </row>
    <row r="50">
      <c r="A50" s="55" t="s">
        <v>117</v>
      </c>
      <c r="B50" s="12" t="s">
        <v>118</v>
      </c>
      <c r="C50" s="47" t="s">
        <v>17</v>
      </c>
      <c r="D50" s="47" t="s">
        <v>119</v>
      </c>
      <c r="E50" s="47" t="s">
        <v>19</v>
      </c>
      <c r="F50" s="43" t="s">
        <v>20</v>
      </c>
      <c r="G50" s="43" t="s">
        <v>120</v>
      </c>
      <c r="H50" s="43" t="s">
        <v>22</v>
      </c>
      <c r="I50" s="48" t="s">
        <v>23</v>
      </c>
      <c r="J50" s="48" t="s">
        <v>24</v>
      </c>
      <c r="K50" s="48" t="n">
        <v>755.25</v>
      </c>
      <c r="L50" s="48" t="n">
        <f>(K50*I50)</f>
        <v>755.25</v>
      </c>
      <c r="M50" s="48" t="n">
        <v>0.0</v>
      </c>
      <c r="N50" s="48" t="n">
        <f>ROUND(ROUND(K50*(1-M50/100), 2)*I50, 2)</f>
        <v>755.25</v>
      </c>
      <c r="O50" s="47" t="s">
        <v>24</v>
      </c>
    </row>
    <row r="51">
      <c r="A51" s="48" t="s">
        <v>121</v>
      </c>
      <c r="B51" s="44" t="s">
        <v>122</v>
      </c>
      <c r="C51" s="47" t="s">
        <v>17</v>
      </c>
      <c r="D51" s="47" t="s">
        <v>123</v>
      </c>
      <c r="E51" s="47" t="s">
        <v>24</v>
      </c>
      <c r="F51" s="43" t="s">
        <v>28</v>
      </c>
      <c r="G51" s="43" t="s">
        <v>20</v>
      </c>
      <c r="H51" s="43" t="s">
        <v>22</v>
      </c>
      <c r="I51" s="48" t="s">
        <v>23</v>
      </c>
      <c r="J51" s="48" t="s">
        <v>24</v>
      </c>
      <c r="K51" s="48" t="n">
        <v>233.76</v>
      </c>
      <c r="L51" s="48" t="n">
        <f>(K51*I51)</f>
        <v>233.76</v>
      </c>
      <c r="M51" s="48" t="n">
        <v>0.0</v>
      </c>
      <c r="N51" s="48" t="n">
        <f>ROUND(ROUND(K51*(1-M51/100), 2)*I51, 2)</f>
        <v>233.76</v>
      </c>
      <c r="O51" s="47" t="s">
        <v>29</v>
      </c>
    </row>
    <row r="52">
      <c r="A52" s="48" t="s">
        <v>124</v>
      </c>
      <c r="B52" s="44" t="s">
        <v>48</v>
      </c>
      <c r="C52" s="47" t="s">
        <v>17</v>
      </c>
      <c r="D52" s="47" t="s">
        <v>49</v>
      </c>
      <c r="E52" s="47" t="s">
        <v>24</v>
      </c>
      <c r="F52" s="43" t="s">
        <v>20</v>
      </c>
      <c r="G52" s="43" t="s">
        <v>21</v>
      </c>
      <c r="H52" s="43" t="s">
        <v>22</v>
      </c>
      <c r="I52" s="48" t="s">
        <v>23</v>
      </c>
      <c r="J52" s="48" t="s">
        <v>24</v>
      </c>
      <c r="K52" s="48" t="n">
        <v>0.0</v>
      </c>
      <c r="L52" s="48" t="n">
        <f>(K52*I52)</f>
        <v>0.0</v>
      </c>
      <c r="M52" s="48" t="n">
        <v>0.0</v>
      </c>
      <c r="N52" s="48" t="n">
        <f>ROUND(ROUND(K52*(1-M52/100), 2)*I52, 2)</f>
        <v>0.0</v>
      </c>
      <c r="O52" s="47" t="s">
        <v>24</v>
      </c>
    </row>
    <row r="53">
      <c r="A53" s="1" t="s">
        <v>24</v>
      </c>
      <c r="B53" s="1" t="s">
        <v>24</v>
      </c>
      <c r="C53" s="1" t="s">
        <v>24</v>
      </c>
      <c r="D53" s="1" t="s">
        <v>24</v>
      </c>
      <c r="E53" s="1" t="s">
        <v>24</v>
      </c>
      <c r="F53" s="1" t="s">
        <v>24</v>
      </c>
      <c r="G53" s="1" t="s">
        <v>24</v>
      </c>
      <c r="H53" s="1" t="s">
        <v>24</v>
      </c>
      <c r="I53" s="1" t="s">
        <v>24</v>
      </c>
      <c r="J53" s="1" t="s">
        <v>24</v>
      </c>
      <c r="K53" s="1" t="s">
        <v>24</v>
      </c>
      <c r="L53" s="1" t="s">
        <v>24</v>
      </c>
      <c r="M53" s="73" t="s">
        <v>33</v>
      </c>
      <c r="N53" s="73" t="n">
        <f>(N50+N51+N52)</f>
        <v>0.0</v>
      </c>
      <c r="O53" s="73" t="s">
        <v>24</v>
      </c>
    </row>
    <row r="54">
      <c r="A54" s="55" t="s">
        <v>125</v>
      </c>
      <c r="B54" s="12" t="s">
        <v>126</v>
      </c>
      <c r="C54" s="47" t="s">
        <v>17</v>
      </c>
      <c r="D54" s="47" t="s">
        <v>127</v>
      </c>
      <c r="E54" s="47" t="s">
        <v>19</v>
      </c>
      <c r="F54" s="43" t="s">
        <v>20</v>
      </c>
      <c r="G54" s="43" t="s">
        <v>60</v>
      </c>
      <c r="H54" s="43" t="s">
        <v>22</v>
      </c>
      <c r="I54" s="48" t="s">
        <v>23</v>
      </c>
      <c r="J54" s="48" t="s">
        <v>24</v>
      </c>
      <c r="K54" s="48" t="n">
        <v>1074.36</v>
      </c>
      <c r="L54" s="48" t="n">
        <f>(K54*I54)</f>
        <v>1074.36</v>
      </c>
      <c r="M54" s="48" t="n">
        <v>0.0</v>
      </c>
      <c r="N54" s="48" t="n">
        <f>ROUND(ROUND(K54*(1-M54/100), 2)*I54, 2)</f>
        <v>1074.36</v>
      </c>
      <c r="O54" s="47" t="s">
        <v>24</v>
      </c>
    </row>
    <row r="55">
      <c r="A55" s="48" t="s">
        <v>128</v>
      </c>
      <c r="B55" s="44" t="s">
        <v>129</v>
      </c>
      <c r="C55" s="47" t="s">
        <v>17</v>
      </c>
      <c r="D55" s="47" t="s">
        <v>130</v>
      </c>
      <c r="E55" s="47" t="s">
        <v>24</v>
      </c>
      <c r="F55" s="43" t="s">
        <v>28</v>
      </c>
      <c r="G55" s="43" t="s">
        <v>20</v>
      </c>
      <c r="H55" s="43" t="s">
        <v>22</v>
      </c>
      <c r="I55" s="48" t="s">
        <v>23</v>
      </c>
      <c r="J55" s="48" t="s">
        <v>24</v>
      </c>
      <c r="K55" s="48" t="n">
        <v>330.0</v>
      </c>
      <c r="L55" s="48" t="n">
        <f>(K55*I55)</f>
        <v>330.0</v>
      </c>
      <c r="M55" s="48" t="n">
        <v>0.0</v>
      </c>
      <c r="N55" s="48" t="n">
        <f>ROUND(ROUND(K55*(1-M55/100), 2)*I55, 2)</f>
        <v>330.0</v>
      </c>
      <c r="O55" s="47" t="s">
        <v>29</v>
      </c>
    </row>
    <row r="56">
      <c r="A56" s="48" t="s">
        <v>131</v>
      </c>
      <c r="B56" s="44" t="s">
        <v>48</v>
      </c>
      <c r="C56" s="47" t="s">
        <v>17</v>
      </c>
      <c r="D56" s="47" t="s">
        <v>49</v>
      </c>
      <c r="E56" s="47" t="s">
        <v>24</v>
      </c>
      <c r="F56" s="43" t="s">
        <v>20</v>
      </c>
      <c r="G56" s="43" t="s">
        <v>21</v>
      </c>
      <c r="H56" s="43" t="s">
        <v>22</v>
      </c>
      <c r="I56" s="48" t="s">
        <v>23</v>
      </c>
      <c r="J56" s="48" t="s">
        <v>24</v>
      </c>
      <c r="K56" s="48" t="n">
        <v>0.0</v>
      </c>
      <c r="L56" s="48" t="n">
        <f>(K56*I56)</f>
        <v>0.0</v>
      </c>
      <c r="M56" s="48" t="n">
        <v>0.0</v>
      </c>
      <c r="N56" s="48" t="n">
        <f>ROUND(ROUND(K56*(1-M56/100), 2)*I56, 2)</f>
        <v>0.0</v>
      </c>
      <c r="O56" s="47" t="s">
        <v>24</v>
      </c>
    </row>
    <row r="57">
      <c r="A57" s="1" t="s">
        <v>24</v>
      </c>
      <c r="B57" s="1" t="s">
        <v>24</v>
      </c>
      <c r="C57" s="1" t="s">
        <v>24</v>
      </c>
      <c r="D57" s="1" t="s">
        <v>24</v>
      </c>
      <c r="E57" s="1" t="s">
        <v>24</v>
      </c>
      <c r="F57" s="1" t="s">
        <v>24</v>
      </c>
      <c r="G57" s="1" t="s">
        <v>24</v>
      </c>
      <c r="H57" s="1" t="s">
        <v>24</v>
      </c>
      <c r="I57" s="1" t="s">
        <v>24</v>
      </c>
      <c r="J57" s="1" t="s">
        <v>24</v>
      </c>
      <c r="K57" s="1" t="s">
        <v>24</v>
      </c>
      <c r="L57" s="1" t="s">
        <v>24</v>
      </c>
      <c r="M57" s="73" t="s">
        <v>33</v>
      </c>
      <c r="N57" s="73" t="n">
        <f>(N54+N55+N56)</f>
        <v>0.0</v>
      </c>
      <c r="O57" s="73" t="s">
        <v>24</v>
      </c>
    </row>
    <row r="58">
      <c r="A58" s="55" t="s">
        <v>132</v>
      </c>
      <c r="B58" s="12" t="s">
        <v>133</v>
      </c>
      <c r="C58" s="47" t="s">
        <v>17</v>
      </c>
      <c r="D58" s="47" t="s">
        <v>134</v>
      </c>
      <c r="E58" s="47" t="s">
        <v>19</v>
      </c>
      <c r="F58" s="43" t="s">
        <v>20</v>
      </c>
      <c r="G58" s="43" t="s">
        <v>135</v>
      </c>
      <c r="H58" s="43" t="s">
        <v>22</v>
      </c>
      <c r="I58" s="48" t="s">
        <v>23</v>
      </c>
      <c r="J58" s="48" t="s">
        <v>24</v>
      </c>
      <c r="K58" s="48" t="n">
        <v>987.33</v>
      </c>
      <c r="L58" s="48" t="n">
        <f>(K58*I58)</f>
        <v>987.33</v>
      </c>
      <c r="M58" s="48" t="n">
        <v>0.0</v>
      </c>
      <c r="N58" s="48" t="n">
        <f>ROUND(ROUND(K58*(1-M58/100), 2)*I58, 2)</f>
        <v>987.33</v>
      </c>
      <c r="O58" s="47" t="s">
        <v>24</v>
      </c>
    </row>
    <row r="59">
      <c r="A59" s="48" t="s">
        <v>136</v>
      </c>
      <c r="B59" s="44" t="s">
        <v>137</v>
      </c>
      <c r="C59" s="47" t="s">
        <v>17</v>
      </c>
      <c r="D59" s="47" t="s">
        <v>138</v>
      </c>
      <c r="E59" s="47" t="s">
        <v>24</v>
      </c>
      <c r="F59" s="43" t="s">
        <v>28</v>
      </c>
      <c r="G59" s="43" t="s">
        <v>20</v>
      </c>
      <c r="H59" s="43" t="s">
        <v>22</v>
      </c>
      <c r="I59" s="48" t="s">
        <v>23</v>
      </c>
      <c r="J59" s="48" t="s">
        <v>24</v>
      </c>
      <c r="K59" s="48" t="n">
        <v>305.26</v>
      </c>
      <c r="L59" s="48" t="n">
        <f>(K59*I59)</f>
        <v>305.26</v>
      </c>
      <c r="M59" s="48" t="n">
        <v>0.0</v>
      </c>
      <c r="N59" s="48" t="n">
        <f>ROUND(ROUND(K59*(1-M59/100), 2)*I59, 2)</f>
        <v>305.26</v>
      </c>
      <c r="O59" s="47" t="s">
        <v>29</v>
      </c>
    </row>
    <row r="60">
      <c r="A60" s="48" t="s">
        <v>139</v>
      </c>
      <c r="B60" s="44" t="s">
        <v>48</v>
      </c>
      <c r="C60" s="47" t="s">
        <v>17</v>
      </c>
      <c r="D60" s="47" t="s">
        <v>49</v>
      </c>
      <c r="E60" s="47" t="s">
        <v>24</v>
      </c>
      <c r="F60" s="43" t="s">
        <v>20</v>
      </c>
      <c r="G60" s="43" t="s">
        <v>21</v>
      </c>
      <c r="H60" s="43" t="s">
        <v>22</v>
      </c>
      <c r="I60" s="48" t="s">
        <v>23</v>
      </c>
      <c r="J60" s="48" t="s">
        <v>24</v>
      </c>
      <c r="K60" s="48" t="n">
        <v>0.0</v>
      </c>
      <c r="L60" s="48" t="n">
        <f>(K60*I60)</f>
        <v>0.0</v>
      </c>
      <c r="M60" s="48" t="n">
        <v>0.0</v>
      </c>
      <c r="N60" s="48" t="n">
        <f>ROUND(ROUND(K60*(1-M60/100), 2)*I60, 2)</f>
        <v>0.0</v>
      </c>
      <c r="O60" s="47" t="s">
        <v>24</v>
      </c>
    </row>
    <row r="61">
      <c r="A61" s="1" t="s">
        <v>24</v>
      </c>
      <c r="B61" s="1" t="s">
        <v>24</v>
      </c>
      <c r="C61" s="1" t="s">
        <v>24</v>
      </c>
      <c r="D61" s="1" t="s">
        <v>24</v>
      </c>
      <c r="E61" s="1" t="s">
        <v>24</v>
      </c>
      <c r="F61" s="1" t="s">
        <v>24</v>
      </c>
      <c r="G61" s="1" t="s">
        <v>24</v>
      </c>
      <c r="H61" s="1" t="s">
        <v>24</v>
      </c>
      <c r="I61" s="1" t="s">
        <v>24</v>
      </c>
      <c r="J61" s="1" t="s">
        <v>24</v>
      </c>
      <c r="K61" s="1" t="s">
        <v>24</v>
      </c>
      <c r="L61" s="1" t="s">
        <v>24</v>
      </c>
      <c r="M61" s="73" t="s">
        <v>33</v>
      </c>
      <c r="N61" s="73" t="n">
        <f>(N58+N59+N60)</f>
        <v>0.0</v>
      </c>
      <c r="O61" s="73" t="s">
        <v>24</v>
      </c>
    </row>
    <row r="62">
      <c r="A62" s="55" t="s">
        <v>140</v>
      </c>
      <c r="B62" s="12" t="s">
        <v>141</v>
      </c>
      <c r="C62" s="47" t="s">
        <v>17</v>
      </c>
      <c r="D62" s="47" t="s">
        <v>142</v>
      </c>
      <c r="E62" s="47" t="s">
        <v>19</v>
      </c>
      <c r="F62" s="43" t="s">
        <v>20</v>
      </c>
      <c r="G62" s="43" t="s">
        <v>143</v>
      </c>
      <c r="H62" s="43" t="s">
        <v>22</v>
      </c>
      <c r="I62" s="48" t="s">
        <v>23</v>
      </c>
      <c r="J62" s="48" t="s">
        <v>24</v>
      </c>
      <c r="K62" s="48" t="n">
        <v>1221.35</v>
      </c>
      <c r="L62" s="48" t="n">
        <f>(K62*I62)</f>
        <v>1221.35</v>
      </c>
      <c r="M62" s="48" t="n">
        <v>0.0</v>
      </c>
      <c r="N62" s="48" t="n">
        <f>ROUND(ROUND(K62*(1-M62/100), 2)*I62, 2)</f>
        <v>1221.35</v>
      </c>
      <c r="O62" s="47" t="s">
        <v>24</v>
      </c>
    </row>
    <row r="63">
      <c r="A63" s="48" t="s">
        <v>144</v>
      </c>
      <c r="B63" s="44" t="s">
        <v>145</v>
      </c>
      <c r="C63" s="47" t="s">
        <v>17</v>
      </c>
      <c r="D63" s="47" t="s">
        <v>146</v>
      </c>
      <c r="E63" s="47" t="s">
        <v>24</v>
      </c>
      <c r="F63" s="43" t="s">
        <v>28</v>
      </c>
      <c r="G63" s="43" t="s">
        <v>20</v>
      </c>
      <c r="H63" s="43" t="s">
        <v>22</v>
      </c>
      <c r="I63" s="48" t="s">
        <v>23</v>
      </c>
      <c r="J63" s="48" t="s">
        <v>24</v>
      </c>
      <c r="K63" s="48" t="n">
        <v>376.76</v>
      </c>
      <c r="L63" s="48" t="n">
        <f>(K63*I63)</f>
        <v>376.76</v>
      </c>
      <c r="M63" s="48" t="n">
        <v>0.0</v>
      </c>
      <c r="N63" s="48" t="n">
        <f>ROUND(ROUND(K63*(1-M63/100), 2)*I63, 2)</f>
        <v>376.76</v>
      </c>
      <c r="O63" s="47" t="s">
        <v>29</v>
      </c>
    </row>
    <row r="64">
      <c r="A64" s="48" t="s">
        <v>147</v>
      </c>
      <c r="B64" s="44" t="s">
        <v>48</v>
      </c>
      <c r="C64" s="47" t="s">
        <v>17</v>
      </c>
      <c r="D64" s="47" t="s">
        <v>49</v>
      </c>
      <c r="E64" s="47" t="s">
        <v>24</v>
      </c>
      <c r="F64" s="43" t="s">
        <v>20</v>
      </c>
      <c r="G64" s="43" t="s">
        <v>21</v>
      </c>
      <c r="H64" s="43" t="s">
        <v>22</v>
      </c>
      <c r="I64" s="48" t="s">
        <v>23</v>
      </c>
      <c r="J64" s="48" t="s">
        <v>24</v>
      </c>
      <c r="K64" s="48" t="n">
        <v>0.0</v>
      </c>
      <c r="L64" s="48" t="n">
        <f>(K64*I64)</f>
        <v>0.0</v>
      </c>
      <c r="M64" s="48" t="n">
        <v>0.0</v>
      </c>
      <c r="N64" s="48" t="n">
        <f>ROUND(ROUND(K64*(1-M64/100), 2)*I64, 2)</f>
        <v>0.0</v>
      </c>
      <c r="O64" s="47" t="s">
        <v>24</v>
      </c>
    </row>
    <row r="65">
      <c r="A65" s="1" t="s">
        <v>24</v>
      </c>
      <c r="B65" s="1" t="s">
        <v>24</v>
      </c>
      <c r="C65" s="1" t="s">
        <v>24</v>
      </c>
      <c r="D65" s="1" t="s">
        <v>24</v>
      </c>
      <c r="E65" s="1" t="s">
        <v>24</v>
      </c>
      <c r="F65" s="1" t="s">
        <v>24</v>
      </c>
      <c r="G65" s="1" t="s">
        <v>24</v>
      </c>
      <c r="H65" s="1" t="s">
        <v>24</v>
      </c>
      <c r="I65" s="1" t="s">
        <v>24</v>
      </c>
      <c r="J65" s="1" t="s">
        <v>24</v>
      </c>
      <c r="K65" s="1" t="s">
        <v>24</v>
      </c>
      <c r="L65" s="1" t="s">
        <v>24</v>
      </c>
      <c r="M65" s="73" t="s">
        <v>33</v>
      </c>
      <c r="N65" s="73" t="n">
        <f>(N62+N63+N64)</f>
        <v>0.0</v>
      </c>
      <c r="O65" s="73" t="s">
        <v>24</v>
      </c>
    </row>
    <row r="66">
      <c r="A66" s="1" t="s">
        <v>24</v>
      </c>
      <c r="B66" s="1" t="s">
        <v>24</v>
      </c>
      <c r="C66" s="1" t="s">
        <v>24</v>
      </c>
      <c r="D66" s="1" t="s">
        <v>24</v>
      </c>
      <c r="E66" s="1" t="s">
        <v>24</v>
      </c>
      <c r="F66" s="1" t="s">
        <v>24</v>
      </c>
      <c r="G66" s="1" t="s">
        <v>24</v>
      </c>
      <c r="H66" s="1" t="s">
        <v>24</v>
      </c>
      <c r="I66" s="1" t="s">
        <v>24</v>
      </c>
      <c r="J66" s="1" t="s">
        <v>24</v>
      </c>
      <c r="K66" s="1" t="s">
        <v>24</v>
      </c>
      <c r="L66" s="1" t="s">
        <v>24</v>
      </c>
      <c r="M66" s="73" t="s">
        <v>148</v>
      </c>
      <c r="N66" s="73" t="n">
        <f>(N5+N9+N13+N17+N21+N25+N29+N33+N37+N41+N45+N49+N53+N57+N61+N65)</f>
        <v>100.0</v>
      </c>
      <c r="O66" s="73" t="s">
        <v>24</v>
      </c>
    </row>
  </sheetData>
  <printOptions gridLines="false" horizontalCentered="true"/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2026-05-10T10:54:52Z</dcterms:created>
  <dc:creator>Apache POI</dc:creator>
</cp:coreProperties>
</file>