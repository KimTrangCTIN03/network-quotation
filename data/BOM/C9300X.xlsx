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eDetails_KP167084433XN" r:id="rId3" sheetId="1"/>
  </sheets>
</workbook>
</file>

<file path=xl/sharedStrings.xml><?xml version="1.0" encoding="utf-8"?>
<sst xmlns="http://schemas.openxmlformats.org/spreadsheetml/2006/main" count="1697" uniqueCount="269">
  <si>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</si>
  <si>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</si>
  <si>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</si>
  <si>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</si>
  <si>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</si>
  <si>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</si>
  <si>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</si>
  <si>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</si>
  <si>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</si>
  <si>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</si>
  <si>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</si>
  <si>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</si>
  <si>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</si>
  <si>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</si>
  <si>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</si>
  <si>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1.0</t>
  </si>
  <si>
    <t>C9300X-48HX-A</t>
  </si>
  <si>
    <t>-</t>
  </si>
  <si>
    <t>Catalyst 9300 48-port mGig UPoE+, Network Advantage</t>
  </si>
  <si>
    <t>Default</t>
  </si>
  <si>
    <t>N/A</t>
  </si>
  <si>
    <t>42</t>
  </si>
  <si>
    <t>No</t>
  </si>
  <si>
    <t>1</t>
  </si>
  <si>
    <t/>
  </si>
  <si>
    <t>1.0.1</t>
  </si>
  <si>
    <t>CON-L1NBD-C9300XY4</t>
  </si>
  <si>
    <t>CX LEVEL 1 8X5XNBD Catalyst 9300 48-port mGig UPoE+, Networ</t>
  </si>
  <si>
    <t>36</t>
  </si>
  <si>
    <t>PRIMARYSERVICE</t>
  </si>
  <si>
    <t>1.1</t>
  </si>
  <si>
    <t>C9300-DNA-A-48</t>
  </si>
  <si>
    <t>Yes</t>
  </si>
  <si>
    <t>C9300 DNA Advantage, 48-Port Term Licenses</t>
  </si>
  <si>
    <t>14</t>
  </si>
  <si>
    <t>1.1.0.1</t>
  </si>
  <si>
    <t>CON-L1SWT-C93A48</t>
  </si>
  <si>
    <t>CX LEVEL 1 SW SUB C9300 DNA Advantage</t>
  </si>
  <si>
    <t>1.1.1</t>
  </si>
  <si>
    <t>C9300-DNA-A-48-3Y</t>
  </si>
  <si>
    <t>C9300 DNA Advantage, 48-Port, 3 Year Term License</t>
  </si>
  <si>
    <t>1.2</t>
  </si>
  <si>
    <t>TE-EMBEDDED-T</t>
  </si>
  <si>
    <t>Cisco ThousandEyes Enterprise Agent IBN Embedded</t>
  </si>
  <si>
    <t>1.2.1</t>
  </si>
  <si>
    <t>TE-EMBEDDED-T-3Y</t>
  </si>
  <si>
    <t>ThousandEyes - Enterprise Agents</t>
  </si>
  <si>
    <t>1.3</t>
  </si>
  <si>
    <t>D-DNAS-EXT-S-T</t>
  </si>
  <si>
    <t>Cisco DNA Spaces Extend Term License for Catalyst Switches</t>
  </si>
  <si>
    <t>1.3.1</t>
  </si>
  <si>
    <t>D-DNAS-EXT-S-3Y</t>
  </si>
  <si>
    <t>Cisco DNA Spaces Extend for Catalyst Switching - 3Year</t>
  </si>
  <si>
    <t>1.4</t>
  </si>
  <si>
    <t>C9300-NW-A-48</t>
  </si>
  <si>
    <t>C9300 Network Advantage, 48-port license</t>
  </si>
  <si>
    <t>1.5</t>
  </si>
  <si>
    <t>SC9300UK9-1715</t>
  </si>
  <si>
    <t>CAT9300/9400/9500/9600 UNIVERSAL</t>
  </si>
  <si>
    <t>1.6</t>
  </si>
  <si>
    <t>PWR-C1-BLANK</t>
  </si>
  <si>
    <t>Config 1 Power Supply Blank</t>
  </si>
  <si>
    <t>1.7</t>
  </si>
  <si>
    <t>TE-C9K-SW</t>
  </si>
  <si>
    <t>TE agent for IOSXE on C9K</t>
  </si>
  <si>
    <t>1.8</t>
  </si>
  <si>
    <t>PWR-C1-1100WAC-P</t>
  </si>
  <si>
    <t>1100W AC 80+ platinum Config 1 Power Supply</t>
  </si>
  <si>
    <t>1.9</t>
  </si>
  <si>
    <t>C9300-SPS-NONE</t>
  </si>
  <si>
    <t>No Secondary Power Supply Selected</t>
  </si>
  <si>
    <t>1.10</t>
  </si>
  <si>
    <t>CAB-TA-EU</t>
  </si>
  <si>
    <t>Europe AC Type A Power Cable</t>
  </si>
  <si>
    <t>1.11</t>
  </si>
  <si>
    <t>SSD-240G</t>
  </si>
  <si>
    <t>Cisco pluggable USB3.0 SSD storage</t>
  </si>
  <si>
    <t>1.12</t>
  </si>
  <si>
    <t>STACK-T1-50CM</t>
  </si>
  <si>
    <t>50CM Type 1 Stacking Cable</t>
  </si>
  <si>
    <t>1.13</t>
  </si>
  <si>
    <t>CAB-SPWR-30CM</t>
  </si>
  <si>
    <t>Catalyst Stack Power Cable 30 CM</t>
  </si>
  <si>
    <t>1.14</t>
  </si>
  <si>
    <t>C9K-ACC-RBFT</t>
  </si>
  <si>
    <t>RUBBER FEET FOR TABLE TOP SETUP 9200 and 93xx</t>
  </si>
  <si>
    <t>1.15</t>
  </si>
  <si>
    <t>C9K-ACC-SCR-4</t>
  </si>
  <si>
    <t>12-24 and 10-32 SCREWS FOR RACK INSTALLATION, QTY 4</t>
  </si>
  <si>
    <t>1.16</t>
  </si>
  <si>
    <t>CAB-GUIDE-1RU</t>
  </si>
  <si>
    <t>1RU CABLE MANAGEMENT GUIDES 9200 and 9300</t>
  </si>
  <si>
    <t>1.17</t>
  </si>
  <si>
    <t>C9300X-NM-8M</t>
  </si>
  <si>
    <t>Catalyst 9300 8 x mGig Network Module</t>
  </si>
  <si>
    <t>1.18</t>
  </si>
  <si>
    <t>NETWORK-PNP-LIC</t>
  </si>
  <si>
    <t>Network Plug-n-Play Connect for zero-touch device deployment</t>
  </si>
  <si>
    <t>2</t>
  </si>
  <si>
    <t>SubTotal</t>
  </si>
  <si>
    <t>2.0</t>
  </si>
  <si>
    <t>C9300X-48TX-A</t>
  </si>
  <si>
    <t>Catalyst 9300 48-port mGig data only, Network Advantage</t>
  </si>
  <si>
    <t>35</t>
  </si>
  <si>
    <t>2.0.1</t>
  </si>
  <si>
    <t>CON-L1NBD-C9300XZ4</t>
  </si>
  <si>
    <t>CX LEVEL 1 8X5XNBD Catalyst 9300 48-port mGig data only, Ne</t>
  </si>
  <si>
    <t>2.1</t>
  </si>
  <si>
    <t>2.1.0.1</t>
  </si>
  <si>
    <t>2.1.1</t>
  </si>
  <si>
    <t>2.2</t>
  </si>
  <si>
    <t>2.2.1</t>
  </si>
  <si>
    <t>2.3</t>
  </si>
  <si>
    <t>2.3.1</t>
  </si>
  <si>
    <t>2.4</t>
  </si>
  <si>
    <t>2.5</t>
  </si>
  <si>
    <t>2.6</t>
  </si>
  <si>
    <t>2.7</t>
  </si>
  <si>
    <t>2.8</t>
  </si>
  <si>
    <t>PWR-C1-715WAC-P</t>
  </si>
  <si>
    <t>715W AC 80+ platinum Config 1 Power Supply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</si>
  <si>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</si>
  <si>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</si>
  <si>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</si>
  <si>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</si>
  <si>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</si>
  <si>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</si>
  <si>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</si>
  <si>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</si>
  <si>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</si>
  <si>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</si>
  <si>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3.0</t>
  </si>
  <si>
    <t>C9300X-48HXN-A</t>
  </si>
  <si>
    <t>Catalyst 9300 48-port, 8xmGig+40x5G 90W UPOE+, Network Adv</t>
  </si>
  <si>
    <t>56</t>
  </si>
  <si>
    <t>3.0.1</t>
  </si>
  <si>
    <t>CON-L1NBD-C9300XM4</t>
  </si>
  <si>
    <t>CX LEVEL 1 8X5XNBD Catalyst 9300 48-port, 8xmGig+40x5G 90W</t>
  </si>
  <si>
    <t>3.1</t>
  </si>
  <si>
    <t>3.1.0.1</t>
  </si>
  <si>
    <t>3.1.1</t>
  </si>
  <si>
    <t>3.2</t>
  </si>
  <si>
    <t>3.2.1</t>
  </si>
  <si>
    <t>3.3</t>
  </si>
  <si>
    <t>3.3.1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</si>
  <si>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</si>
  <si>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</si>
  <si>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</si>
  <si>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</si>
  <si>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</si>
  <si>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</si>
  <si>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</si>
  <si>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</si>
  <si>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</si>
  <si>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</si>
  <si>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</si>
  <si>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</si>
  <si>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</si>
  <si>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</si>
  <si>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</si>
  <si>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4.0</t>
  </si>
  <si>
    <t>C9300X-24HX-A</t>
  </si>
  <si>
    <t>Catalyst 9300 24-port mGig UPoE+, Network Advantage</t>
  </si>
  <si>
    <t>119</t>
  </si>
  <si>
    <t>4.0.1</t>
  </si>
  <si>
    <t>CON-L1NBD-C9300X3A</t>
  </si>
  <si>
    <t>CX LEVEL 1 8X5XNBD Catalyst 9300 24-port mGig UPoE, Networ</t>
  </si>
  <si>
    <t>4.1</t>
  </si>
  <si>
    <t>C9300-DNA-A-24</t>
  </si>
  <si>
    <t>C9300 DNA Advantage, 24-port Term Licenses</t>
  </si>
  <si>
    <t>4.1.0.1</t>
  </si>
  <si>
    <t>CON-L1SWT-C93A24</t>
  </si>
  <si>
    <t>4.1.1</t>
  </si>
  <si>
    <t>C9300-DNA-A-24-3Y</t>
  </si>
  <si>
    <t>C9300 DNA Advantage, 24-Port, 3 Year Term License</t>
  </si>
  <si>
    <t>4.2</t>
  </si>
  <si>
    <t>4.2.1</t>
  </si>
  <si>
    <t>4.3</t>
  </si>
  <si>
    <t>4.3.1</t>
  </si>
  <si>
    <t>4.4</t>
  </si>
  <si>
    <t>C9300-NW-A-24</t>
  </si>
  <si>
    <t>C9300 Network Advantage, 24-port license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</si>
  <si>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</si>
  <si>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</si>
  <si>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</si>
  <si>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</si>
  <si>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</si>
  <si>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</si>
  <si>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</si>
  <si>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</si>
  <si>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</si>
  <si>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</si>
  <si>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</si>
  <si>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</si>
  <si>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</si>
  <si>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</si>
  <si>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5.0</t>
  </si>
  <si>
    <t>C9300X-12Y-A</t>
  </si>
  <si>
    <t>Catalyst 9300X 12x25G Fiber Ports, modular uplink Switch</t>
  </si>
  <si>
    <t>5.0.1</t>
  </si>
  <si>
    <t>CON-L1NBD-C9300X21</t>
  </si>
  <si>
    <t>CX LEVEL 1 8X5XNBD Catalyst 9300X 12x25G Fiber Ports, modul</t>
  </si>
  <si>
    <t>5.1</t>
  </si>
  <si>
    <t>C9300X-DNA-12Y-A</t>
  </si>
  <si>
    <t>C9300 DNA Advantage, Term License</t>
  </si>
  <si>
    <t>5.1.0.1</t>
  </si>
  <si>
    <t>CON-L1SWT-C9300XXD</t>
  </si>
  <si>
    <t>CX LEVEL 1 SW SUB C9300 DNA Advantage,</t>
  </si>
  <si>
    <t>5.1.1</t>
  </si>
  <si>
    <t>C9300-DNA-L-A-3Y</t>
  </si>
  <si>
    <t>DNA Advantage 3 Year License</t>
  </si>
  <si>
    <t>5.2</t>
  </si>
  <si>
    <t>5.2.1</t>
  </si>
  <si>
    <t>5.3</t>
  </si>
  <si>
    <t>5.3.1</t>
  </si>
  <si>
    <t>5.4</t>
  </si>
  <si>
    <t>SC9300UK9-1718</t>
  </si>
  <si>
    <t>5.5</t>
  </si>
  <si>
    <t>5.6</t>
  </si>
  <si>
    <t>5.7</t>
  </si>
  <si>
    <t>5.8</t>
  </si>
  <si>
    <t>5.9</t>
  </si>
  <si>
    <t>5.10</t>
  </si>
  <si>
    <t>C9300X-NW-A-12</t>
  </si>
  <si>
    <t>C9300 Network Advantage, 12-port license</t>
  </si>
  <si>
    <t>5.11</t>
  </si>
  <si>
    <t>5.12</t>
  </si>
  <si>
    <t>CAB-SPWR-150CM</t>
  </si>
  <si>
    <t>Catalyst Stack Power Cable 150 CM - Upgrade</t>
  </si>
  <si>
    <t>5.13</t>
  </si>
  <si>
    <t>5.14</t>
  </si>
  <si>
    <t>5.15</t>
  </si>
  <si>
    <t>5.16</t>
  </si>
  <si>
    <t>5.17</t>
  </si>
  <si>
    <t>5.18</t>
  </si>
  <si>
    <t>6.0</t>
  </si>
  <si>
    <t>C9300X-24Y-A</t>
  </si>
  <si>
    <t>Catalyst 9300X  24x25G Fiber Ports, modular uplink Switch</t>
  </si>
  <si>
    <t>77</t>
  </si>
  <si>
    <t>6.0.1</t>
  </si>
  <si>
    <t>CON-L1NBD-C9300XYA</t>
  </si>
  <si>
    <t>CX LEVEL 1 8X5XNBD Catalyst 9300X 24x25G Fiber Ports, modul</t>
  </si>
  <si>
    <t>6.1</t>
  </si>
  <si>
    <t>C9300X-DNA-24Y-A</t>
  </si>
  <si>
    <t>6.1.0.1</t>
  </si>
  <si>
    <t>CON-L1SWT-C930024</t>
  </si>
  <si>
    <t>CX LEVEL 1 SW SUB C9300 DNA Advantage, Term License</t>
  </si>
  <si>
    <t>6.1.1</t>
  </si>
  <si>
    <t>6.2</t>
  </si>
  <si>
    <t>6.2.1</t>
  </si>
  <si>
    <t>6.3</t>
  </si>
  <si>
    <t>6.3.1</t>
  </si>
  <si>
    <t>6.4</t>
  </si>
  <si>
    <t>6.5</t>
  </si>
  <si>
    <t>6.6</t>
  </si>
  <si>
    <t>6.7</t>
  </si>
  <si>
    <t>6.8</t>
  </si>
  <si>
    <t>6.9</t>
  </si>
  <si>
    <t>6.10</t>
  </si>
  <si>
    <t>C9300X-NW-A-24</t>
  </si>
  <si>
    <t>6.11</t>
  </si>
  <si>
    <t>6.12</t>
  </si>
  <si>
    <t>6.13</t>
  </si>
  <si>
    <t>6.14</t>
  </si>
  <si>
    <t>6.15</t>
  </si>
  <si>
    <t>6.16</t>
  </si>
  <si>
    <t>6.17</t>
  </si>
  <si>
    <t>6.18</t>
  </si>
  <si>
    <t>Estimate Total</t>
  </si>
</sst>
</file>

<file path=xl/styles.xml><?xml version="1.0" encoding="utf-8"?>
<styleSheet xmlns="http://schemas.openxmlformats.org/spreadsheetml/2006/main">
  <numFmts count="2">
    <numFmt numFmtId="164" formatCode="#.0"/>
    <numFmt numFmtId="165" formatCode="mm/dd/yyyy"/>
  </numFmts>
  <fonts count="62">
    <font>
      <sz val="11.0"/>
      <color indexed="8"/>
      <name val="Calibri"/>
      <family val="2"/>
      <scheme val="minor"/>
    </font>
    <font>
      <name val="Calibri"/>
      <sz val="8.0"/>
      <b val="true"/>
      <color indexed="8"/>
    </font>
    <font>
      <name val="Helvetica"/>
      <sz val="16.0"/>
      <b val="true"/>
      <color indexed="8"/>
    </font>
    <font>
      <name val="Helvetica"/>
      <sz val="11.0"/>
      <b val="true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10.0"/>
      <b val="true"/>
      <color indexed="9"/>
    </font>
    <font>
      <name val="Helvetica"/>
      <sz val="9.0"/>
      <b val="true"/>
      <color indexed="8"/>
    </font>
    <font>
      <name val="Helvetica"/>
      <sz val="10.0"/>
      <b val="true"/>
      <color indexed="8"/>
    </font>
    <font>
      <name val="Helvetica"/>
      <sz val="10.0"/>
      <b val="true"/>
      <color indexed="9"/>
    </font>
    <font>
      <name val="Helvetica"/>
      <sz val="7.0"/>
      <color indexed="8"/>
    </font>
    <font>
      <name val="Helvetica"/>
      <sz val="10.0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12"/>
      <u val="single"/>
    </font>
    <font>
      <name val="Calibri"/>
      <sz val="8.0"/>
      <color indexed="8"/>
    </font>
    <font>
      <name val="Helvetica"/>
      <sz val="7.0"/>
      <color indexed="8"/>
    </font>
    <font>
      <name val="Helvetica"/>
      <sz val="9.0"/>
      <b val="true"/>
      <color indexed="8"/>
    </font>
    <font>
      <name val="Helvetica"/>
      <sz val="14.0"/>
      <b val="true"/>
      <color indexed="8"/>
      <u val="single"/>
    </font>
    <font>
      <name val="Calibri"/>
      <sz val="14.0"/>
      <b val="true"/>
      <color indexed="9"/>
    </font>
    <font>
      <name val="Helvetica"/>
      <sz val="9.0"/>
      <b val="true"/>
      <color indexed="8"/>
    </font>
    <font>
      <name val="Helvetica"/>
      <sz val="9.0"/>
      <b val="true"/>
      <color indexed="8"/>
      <i val="true"/>
    </font>
    <font>
      <name val="Helvetica"/>
      <sz val="8.0"/>
      <color indexed="8"/>
      <i val="true"/>
    </font>
    <font>
      <name val="Helvetica"/>
      <sz val="9.0"/>
      <color indexed="8"/>
    </font>
    <font>
      <name val="Helvetica"/>
      <sz val="9.0"/>
      <color indexed="8"/>
    </font>
    <font>
      <name val="Calibri"/>
      <sz val="8.0"/>
      <b val="true"/>
      <color indexed="8"/>
    </font>
    <font>
      <name val="Calibri"/>
      <sz val="8.0"/>
      <b val="true"/>
      <i val="true"/>
      <color indexed="8"/>
    </font>
    <font>
      <name val="Helvetica"/>
      <sz val="9.0"/>
      <b val="true"/>
      <color indexed="12"/>
    </font>
    <font>
      <name val="Helvetica"/>
      <sz val="9.0"/>
      <color indexed="12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  <u val="single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12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medium"/>
    </border>
    <border>
      <top style="medium"/>
      <bottom>
        <color indexed="8"/>
      </bottom>
    </border>
    <border>
      <bottom style="medium"/>
    </border>
    <border>
      <bottom style="medium">
        <color indexed="8"/>
      </bottom>
    </border>
    <border>
      <right style="medium"/>
    </border>
    <border>
      <right style="medium">
        <color indexed="8"/>
      </right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right style="thin"/>
      <top style="thin"/>
      <bottom style="thin"/>
    </border>
    <border>
      <right style="thin"/>
      <top style="thin"/>
      <bottom style="thin">
        <color indexed="22"/>
      </bottom>
    </border>
    <border>
      <right style="thin">
        <color indexed="22"/>
      </right>
      <top style="thin"/>
      <bottom style="thin">
        <color indexed="22"/>
      </bottom>
    </border>
    <border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/>
      <top/>
      <bottom/>
      <diagonal/>
    </border>
    <border>
      <left style="thin">
        <color indexed="8"/>
      </left>
      <right/>
      <top/>
      <bottom/>
      <diagonal/>
    </border>
    <border>
      <left style="thin"/>
      <top style="thin"/>
      <bottom style="thin">
        <color indexed="48"/>
      </bottom>
    </border>
    <border>
      <left style="thin">
        <color indexed="9"/>
      </left>
      <top style="thin"/>
      <bottom style="thin">
        <color indexed="48"/>
      </bottom>
    </border>
    <border>
      <left style="thin">
        <color indexed="9"/>
      </left>
      <top style="thin">
        <color indexed="48"/>
      </top>
      <bottom style="thin">
        <color indexed="48"/>
      </bottom>
    </border>
    <border>
      <left style="thin"/>
      <right style="thin"/>
      <top style="thin"/>
      <bottom style="thin">
        <color indexed="23"/>
      </bottom>
    </border>
    <border>
      <left style="thin">
        <color indexed="23"/>
      </left>
      <right style="thin"/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8"/>
      </left>
      <right style="thin"/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>
        <color indexed="8"/>
      </top>
      <bottom style="thin"/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22"/>
      </right>
      <top style="thin">
        <color indexed="8"/>
      </top>
      <bottom style="thin">
        <color indexed="8"/>
      </bottom>
    </border>
    <border>
      <right style="thin">
        <color indexed="22"/>
      </right>
      <top style="thin"/>
      <bottom style="thin"/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22"/>
      </lef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right style="thin"/>
      <bottom style="thin"/>
    </border>
    <border>
      <right style="thin"/>
      <bottom style="thin">
        <color indexed="8"/>
      </bottom>
    </border>
    <border>
      <right style="thin">
        <color indexed="22"/>
      </right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6" xfId="0" applyBorder="true"/>
    <xf numFmtId="0" fontId="0" fillId="0" borderId="8" xfId="0" applyBorder="true"/>
    <xf numFmtId="0" fontId="1" fillId="0" borderId="10" xfId="0" applyFont="true" applyAlignment="true" applyBorder="true">
      <alignment horizontal="left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horizontal="left" vertical="center"/>
    </xf>
    <xf numFmtId="0" fontId="5" fillId="0" borderId="0" xfId="0" applyFont="true" applyAlignment="true">
      <alignment horizontal="right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wrapText="true" horizontal="left" vertical="center"/>
    </xf>
    <xf numFmtId="0" fontId="8" fillId="0" borderId="17" xfId="0" applyFont="true" applyAlignment="true" applyBorder="true">
      <alignment wrapText="true" horizontal="left" vertical="center"/>
    </xf>
    <xf numFmtId="0" fontId="9" fillId="0" borderId="17" xfId="0" applyFont="true" applyAlignment="true" applyBorder="true">
      <alignment wrapText="true" horizontal="left" indent="1" vertical="center"/>
    </xf>
    <xf numFmtId="0" fontId="10" fillId="0" borderId="21" xfId="0" applyFont="true" applyAlignment="true" applyBorder="true">
      <alignment wrapText="true" horizontal="left" vertical="center"/>
    </xf>
    <xf numFmtId="0" fontId="11" fillId="0" borderId="0" xfId="0" applyFont="true" applyAlignment="true">
      <alignment horizontal="right" vertical="center"/>
    </xf>
    <xf numFmtId="4" fontId="12" fillId="0" borderId="0" xfId="0" applyFont="true" applyAlignment="true" applyNumberFormat="true">
      <alignment horizontal="right" vertical="center"/>
    </xf>
    <xf numFmtId="4" fontId="13" fillId="0" borderId="0" xfId="0" applyFont="true" applyAlignment="true" applyNumberFormat="true">
      <alignment horizontal="right" vertical="center"/>
    </xf>
    <xf numFmtId="4" fontId="14" fillId="0" borderId="0" xfId="0" applyFont="true" applyAlignment="true" applyNumberFormat="true">
      <alignment horizontal="left" vertical="center"/>
    </xf>
    <xf numFmtId="0" fontId="15" fillId="0" borderId="0" xfId="0" applyFont="true" applyAlignment="true">
      <alignment horizontal="center" vertical="center"/>
    </xf>
    <xf numFmtId="0" fontId="16" fillId="3" borderId="17" xfId="0" applyFont="true" applyAlignment="true" applyBorder="true" applyFill="true">
      <alignment wrapText="true" horizontal="left" vertical="center"/>
    </xf>
    <xf numFmtId="0" fontId="17" fillId="3" borderId="0" xfId="0" applyFont="true" applyAlignment="true" applyFill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left" vertical="center"/>
    </xf>
    <xf numFmtId="0" fontId="16" fillId="3" borderId="23" xfId="0" applyFont="true" applyAlignment="true" applyBorder="true" applyFill="true">
      <alignment wrapText="true" horizontal="left" vertical="center"/>
    </xf>
    <xf numFmtId="0" fontId="16" fillId="5" borderId="0" xfId="0" applyFont="true" applyBorder="true" applyFill="true">
      <alignment wrapText="true"/>
    </xf>
    <xf numFmtId="0" fontId="18" fillId="7" borderId="26" xfId="0" applyFont="true" applyAlignment="true" applyBorder="true" applyFill="true">
      <alignment wrapText="true" horizontal="left" vertical="top"/>
    </xf>
    <xf numFmtId="0" fontId="16" fillId="5" borderId="30" xfId="0" applyFont="true" applyAlignment="true" applyBorder="true" applyFill="true">
      <alignment wrapText="true" horizontal="right" vertical="center"/>
    </xf>
    <xf numFmtId="0" fontId="16" fillId="5" borderId="30" xfId="0" applyFont="true" applyAlignment="true" applyBorder="true" applyFill="true">
      <alignment wrapText="true" horizontal="left" vertical="center"/>
    </xf>
    <xf numFmtId="0" fontId="16" fillId="5" borderId="30" xfId="0" applyFont="true" applyAlignment="true" applyBorder="true" applyFill="true">
      <alignment wrapText="true" horizontal="center" vertical="center"/>
    </xf>
    <xf numFmtId="4" fontId="19" fillId="0" borderId="0" xfId="0" applyFont="true" applyAlignment="true" applyNumberFormat="true">
      <alignment horizontal="right" vertical="center"/>
    </xf>
    <xf numFmtId="0" fontId="20" fillId="5" borderId="33" xfId="0" applyFont="true" applyAlignment="true" applyBorder="true" applyFill="true">
      <alignment wrapText="true" horizontal="left" vertical="top"/>
    </xf>
    <xf numFmtId="0" fontId="21" fillId="9" borderId="0" xfId="0" applyFont="true" applyAlignment="true" applyFill="true">
      <alignment wrapText="true" horizontal="right" vertical="center"/>
    </xf>
    <xf numFmtId="0" fontId="22" fillId="0" borderId="0" xfId="0" applyFont="true" applyAlignment="true">
      <alignment wrapText="true" horizontal="right" vertical="center"/>
    </xf>
    <xf numFmtId="0" fontId="23" fillId="0" borderId="0" xfId="0" applyFont="true" applyAlignment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right" vertical="center"/>
    </xf>
    <xf numFmtId="0" fontId="24" fillId="0" borderId="10" xfId="0" applyFont="true" applyAlignment="true" applyBorder="true">
      <alignment wrapText="true" horizontal="left" vertical="center"/>
    </xf>
    <xf numFmtId="0" fontId="0" fillId="0" borderId="37" xfId="0" applyAlignment="true" applyBorder="true">
      <alignment wrapText="true" horizontal="left" vertical="center"/>
    </xf>
    <xf numFmtId="4" fontId="25" fillId="0" borderId="21" xfId="0" applyFont="true" applyBorder="true" applyAlignment="true" applyNumberFormat="true">
      <alignment horizontal="right" vertical="center"/>
    </xf>
    <xf numFmtId="4" fontId="25" fillId="5" borderId="17" xfId="0" applyFont="true" applyBorder="true" applyAlignment="true" applyNumberFormat="true" applyFill="true">
      <alignment horizontal="right" vertical="center"/>
    </xf>
    <xf numFmtId="0" fontId="26" fillId="0" borderId="40" xfId="0" applyFont="true" applyBorder="true" applyAlignment="true">
      <alignment horizontal="right" vertical="center"/>
    </xf>
    <xf numFmtId="0" fontId="0" fillId="0" borderId="42" xfId="0" applyAlignment="true" applyBorder="true">
      <alignment wrapText="true" horizontal="left" vertical="center"/>
    </xf>
    <xf numFmtId="0" fontId="16" fillId="3" borderId="17" xfId="0" applyFont="true" applyAlignment="true" applyBorder="true" applyFill="true">
      <alignment wrapText="true" horizontal="right" vertical="center"/>
    </xf>
    <xf numFmtId="0" fontId="16" fillId="3" borderId="17" xfId="0" applyFont="true" applyAlignment="true" applyBorder="true" applyFill="true">
      <alignment wrapText="true" horizontal="center" vertical="center"/>
    </xf>
    <xf numFmtId="0" fontId="27" fillId="0" borderId="17" xfId="0" applyFont="true" applyAlignment="true" applyBorder="true">
      <alignment wrapText="true" horizontal="left" vertical="center"/>
    </xf>
    <xf numFmtId="0" fontId="27" fillId="0" borderId="17" xfId="0" applyFont="true" applyAlignment="true" applyBorder="true">
      <alignment wrapText="true" horizontal="left" indent="1" vertical="center"/>
    </xf>
    <xf numFmtId="0" fontId="27" fillId="0" borderId="17" xfId="0" applyFont="true" applyAlignment="true" applyBorder="true">
      <alignment wrapText="true" horizontal="left" indent="2" vertical="center"/>
    </xf>
    <xf numFmtId="0" fontId="27" fillId="0" borderId="17" xfId="0" applyFont="true" applyAlignment="true" applyBorder="true">
      <alignment wrapText="true" horizontal="left" indent="3" vertical="center"/>
    </xf>
    <xf numFmtId="0" fontId="27" fillId="0" borderId="17" xfId="0" applyFont="true" applyAlignment="true" applyBorder="true">
      <alignment wrapText="false" horizontal="left" vertical="center"/>
    </xf>
    <xf numFmtId="4" fontId="27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center" vertical="center"/>
    </xf>
    <xf numFmtId="1" fontId="27" fillId="0" borderId="17" xfId="0" applyFont="true" applyAlignment="true" applyBorder="true" applyNumberFormat="true">
      <alignment wrapText="true" horizontal="center" vertical="center"/>
    </xf>
    <xf numFmtId="0" fontId="28" fillId="0" borderId="17" xfId="0" applyFont="true" applyAlignment="true" applyBorder="true">
      <alignment wrapText="true" horizontal="left" vertical="center"/>
    </xf>
    <xf numFmtId="0" fontId="29" fillId="0" borderId="0" xfId="0" applyFont="true" applyAlignment="true">
      <alignment wrapText="true" horizontal="left" vertical="top"/>
    </xf>
    <xf numFmtId="0" fontId="30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left" vertical="top"/>
    </xf>
    <xf numFmtId="164" fontId="31" fillId="0" borderId="17" xfId="0" applyFont="true" applyAlignment="true" applyBorder="true" applyNumberFormat="true">
      <alignment wrapText="true" horizontal="left" vertical="center"/>
    </xf>
    <xf numFmtId="0" fontId="27" fillId="0" borderId="17" xfId="0" applyFont="true" applyAlignment="true" applyBorder="true">
      <alignment wrapText="true" indent="1" horizontal="left" vertical="center"/>
    </xf>
    <xf numFmtId="1" fontId="27" fillId="0" borderId="17" xfId="0" applyFont="true" applyAlignment="true" applyBorder="true" applyNumberFormat="true">
      <alignment wrapText="true" indent="1" horizontal="right" vertical="center"/>
    </xf>
    <xf numFmtId="0" fontId="32" fillId="0" borderId="0" xfId="0" applyFont="true" applyAlignment="true">
      <alignment horizontal="right" vertical="center"/>
    </xf>
    <xf numFmtId="0" fontId="33" fillId="11" borderId="0" xfId="0" applyFill="true" applyFont="true" applyAlignment="true">
      <alignment horizontal="left"/>
    </xf>
    <xf numFmtId="0" fontId="34" fillId="0" borderId="0" xfId="0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 wrapText="true"/>
    </xf>
    <xf numFmtId="4" fontId="37" fillId="0" borderId="13" xfId="0" applyFont="true" applyAlignment="true" applyBorder="true" applyNumberFormat="true">
      <alignment horizontal="left" vertical="center"/>
    </xf>
    <xf numFmtId="0" fontId="38" fillId="0" borderId="13" xfId="0" applyFont="true" applyAlignment="true" applyBorder="true">
      <alignment horizontal="left" vertical="center"/>
    </xf>
    <xf numFmtId="0" fontId="38" fillId="13" borderId="17" xfId="0" applyFont="true" applyAlignment="true" applyBorder="true" applyFill="true">
      <alignment wrapText="true" horizontal="center" vertical="center"/>
    </xf>
    <xf numFmtId="0" fontId="38" fillId="15" borderId="17" xfId="0" applyFont="true" applyAlignment="true" applyBorder="true" applyFill="true">
      <alignment wrapText="true" horizontal="center" vertical="center"/>
    </xf>
    <xf numFmtId="0" fontId="38" fillId="17" borderId="17" xfId="0" applyFont="true" applyAlignment="true" applyBorder="true" applyFill="true">
      <alignment wrapText="true" horizontal="center" vertical="center"/>
    </xf>
    <xf numFmtId="0" fontId="39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27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right" vertical="center"/>
    </xf>
    <xf numFmtId="0" fontId="40" fillId="0" borderId="0" xfId="0" applyFont="true" applyAlignment="true">
      <alignment wrapText="true" horizontal="left" vertical="center"/>
    </xf>
    <xf numFmtId="4" fontId="41" fillId="0" borderId="47" xfId="0" applyFont="true" applyAlignment="true" applyBorder="true" applyNumberFormat="true">
      <alignment wrapText="true" horizontal="right" vertical="center"/>
    </xf>
    <xf numFmtId="4" fontId="42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left" vertical="top"/>
    </xf>
    <xf numFmtId="0" fontId="43" fillId="0" borderId="17" xfId="0" applyFont="true" applyAlignment="true" applyBorder="true">
      <alignment wrapText="true" horizontal="left" vertical="top"/>
    </xf>
    <xf numFmtId="0" fontId="44" fillId="0" borderId="17" xfId="0" applyNumberFormat="true" applyFont="true" applyAlignment="true" applyBorder="true">
      <alignment wrapText="true" horizontal="left" vertical="top"/>
    </xf>
    <xf numFmtId="165" fontId="45" fillId="0" borderId="17" xfId="0" applyNumberFormat="true" applyFont="true" applyAlignment="true" applyBorder="true">
      <alignment wrapText="true" horizontal="left" vertical="top"/>
    </xf>
    <xf numFmtId="0" fontId="46" fillId="0" borderId="17" xfId="0" applyFont="true" applyAlignment="true" applyBorder="true">
      <alignment wrapText="true" horizontal="left" vertical="top"/>
    </xf>
    <xf numFmtId="0" fontId="16" fillId="3" borderId="51" xfId="0" applyFont="true" applyAlignment="true" applyBorder="true" applyFill="true">
      <alignment wrapText="true" horizontal="center" vertical="center"/>
    </xf>
    <xf numFmtId="0" fontId="47" fillId="3" borderId="17" xfId="0" applyFont="true" applyAlignment="true" applyBorder="true" applyFill="true">
      <alignment wrapText="true" horizontal="left" vertical="center"/>
    </xf>
    <xf numFmtId="0" fontId="48" fillId="0" borderId="0" xfId="0" applyFont="true" applyAlignment="true">
      <alignment wrapText="true" horizontal="left" vertical="center"/>
    </xf>
    <xf numFmtId="0" fontId="49" fillId="0" borderId="0" xfId="0" applyFont="true" applyAlignment="true">
      <alignment wrapText="true" horizontal="left" vertical="center" indent="5"/>
    </xf>
    <xf numFmtId="0" fontId="50" fillId="0" borderId="0" xfId="0" applyFont="true" applyAlignment="true">
      <alignment wrapText="true" horizontal="left" vertical="center" indent="8"/>
    </xf>
    <xf numFmtId="0" fontId="51" fillId="0" borderId="0" xfId="0" applyFont="true" applyAlignment="true">
      <alignment wrapText="true" horizontal="left" vertical="center" indent="6"/>
    </xf>
    <xf numFmtId="0" fontId="52" fillId="0" borderId="0" xfId="0" applyFont="true" applyAlignment="true">
      <alignment wrapText="true" horizontal="left" vertical="center" indent="7"/>
    </xf>
    <xf numFmtId="0" fontId="53" fillId="0" borderId="0" xfId="0" applyFont="true" applyAlignment="true">
      <alignment wrapText="true" horizontal="left" vertical="center" indent="8"/>
    </xf>
    <xf numFmtId="0" fontId="54" fillId="0" borderId="0" xfId="0" applyFont="true" applyAlignment="true">
      <alignment wrapText="true" horizontal="left" vertical="center" indent="10"/>
    </xf>
    <xf numFmtId="0" fontId="55" fillId="0" borderId="0" xfId="0" applyFont="true" applyAlignment="true">
      <alignment wrapText="true" horizontal="left" vertical="center" indent="12"/>
    </xf>
    <xf numFmtId="0" fontId="56" fillId="0" borderId="0" xfId="0" applyFont="true" applyAlignment="true">
      <alignment wrapText="true" horizontal="left" vertical="center" indent="8"/>
    </xf>
    <xf numFmtId="0" fontId="57" fillId="0" borderId="0" xfId="0" applyFont="true" applyAlignment="true">
      <alignment wrapText="true" horizontal="left" vertical="center" indent="12"/>
    </xf>
    <xf numFmtId="0" fontId="58" fillId="0" borderId="0" xfId="0" applyFont="true" applyAlignment="true">
      <alignment wrapText="true" horizontal="left" vertical="center" indent="8"/>
    </xf>
    <xf numFmtId="0" fontId="59" fillId="0" borderId="0" xfId="0" applyFont="true" applyAlignment="true">
      <alignment wrapText="true" horizontal="center" vertical="center" indent="7"/>
    </xf>
    <xf numFmtId="0" fontId="60" fillId="0" borderId="0" xfId="0" applyFont="true" applyAlignment="true">
      <alignment wrapText="true" horizontal="left" vertical="center" indent="10"/>
    </xf>
    <xf numFmtId="0" fontId="61" fillId="0" borderId="0" xfId="0" applyFont="true" applyAlignment="true">
      <alignment wrapText="true" horizontal="center" vertical="center" indent="1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O152"/>
  <sheetViews>
    <sheetView workbookViewId="0" tabSelected="true" showGridLines="false"/>
  </sheetViews>
  <sheetFormatPr defaultRowHeight="12.75" baseColWidth="16" customHeight="true"/>
  <cols>
    <col min="1" max="1" width="13.671875" customWidth="true"/>
    <col min="2" max="2" width="31.25" customWidth="true"/>
    <col min="3" max="3" width="13.671875" customWidth="true"/>
    <col min="4" max="4" width="46.875" customWidth="true"/>
    <col min="5" max="5" width="13.671875" customWidth="true"/>
    <col min="6" max="6" width="13.671875" customWidth="true"/>
    <col min="7" max="7" width="9.765625" customWidth="true"/>
    <col min="8" max="8" width="13.671875" customWidth="true"/>
    <col min="9" max="9" width="9.76562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9.53125" customWidth="true"/>
    <col min="16" max="16" width="23.4375" customWidth="true"/>
    <col min="17" max="17" width="9.765625" customWidth="true"/>
  </cols>
  <sheetData>
    <row r="1" ht="50.0" customHeight="tru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</row>
    <row r="2">
      <c r="A2" s="55" t="s">
        <v>15</v>
      </c>
      <c r="B2" s="12" t="s">
        <v>16</v>
      </c>
      <c r="C2" s="47" t="s">
        <v>17</v>
      </c>
      <c r="D2" s="47" t="s">
        <v>18</v>
      </c>
      <c r="E2" s="47" t="s">
        <v>19</v>
      </c>
      <c r="F2" s="43" t="s">
        <v>20</v>
      </c>
      <c r="G2" s="43" t="s">
        <v>21</v>
      </c>
      <c r="H2" s="43" t="s">
        <v>22</v>
      </c>
      <c r="I2" s="48" t="s">
        <v>23</v>
      </c>
      <c r="J2" s="48" t="s">
        <v>24</v>
      </c>
      <c r="K2" s="48" t="n">
        <v>23140.39</v>
      </c>
      <c r="L2" s="48" t="n">
        <f>(K2*I2)</f>
        <v>23140.39</v>
      </c>
      <c r="M2" s="48" t="n">
        <v>0.0</v>
      </c>
      <c r="N2" s="48" t="n">
        <f>ROUND(ROUND(K2*(1-M2/100), 2)*I2, 2)</f>
        <v>23140.39</v>
      </c>
      <c r="O2" s="47" t="s">
        <v>24</v>
      </c>
    </row>
    <row r="3">
      <c r="A3" s="48" t="s">
        <v>25</v>
      </c>
      <c r="B3" s="44" t="s">
        <v>26</v>
      </c>
      <c r="C3" s="47" t="s">
        <v>17</v>
      </c>
      <c r="D3" s="47" t="s">
        <v>27</v>
      </c>
      <c r="E3" s="47" t="s">
        <v>24</v>
      </c>
      <c r="F3" s="43" t="s">
        <v>28</v>
      </c>
      <c r="G3" s="43" t="s">
        <v>20</v>
      </c>
      <c r="H3" s="43" t="s">
        <v>22</v>
      </c>
      <c r="I3" s="48" t="s">
        <v>23</v>
      </c>
      <c r="J3" s="48" t="s">
        <v>24</v>
      </c>
      <c r="K3" s="48" t="n">
        <v>6950.64</v>
      </c>
      <c r="L3" s="48" t="n">
        <f>(K3*I3)</f>
        <v>6950.64</v>
      </c>
      <c r="M3" s="48" t="n">
        <v>0.0</v>
      </c>
      <c r="N3" s="48" t="n">
        <f>ROUND(ROUND(K3*(1-M3/100), 2)*I3, 2)</f>
        <v>6950.64</v>
      </c>
      <c r="O3" s="47" t="s">
        <v>29</v>
      </c>
    </row>
    <row r="4">
      <c r="A4" s="48" t="s">
        <v>30</v>
      </c>
      <c r="B4" s="44" t="s">
        <v>31</v>
      </c>
      <c r="C4" s="47" t="s">
        <v>32</v>
      </c>
      <c r="D4" s="47" t="s">
        <v>33</v>
      </c>
      <c r="E4" s="47" t="s">
        <v>24</v>
      </c>
      <c r="F4" s="43" t="s">
        <v>20</v>
      </c>
      <c r="G4" s="43" t="s">
        <v>34</v>
      </c>
      <c r="H4" s="43" t="s">
        <v>22</v>
      </c>
      <c r="I4" s="48" t="s">
        <v>23</v>
      </c>
      <c r="J4" s="48" t="s">
        <v>24</v>
      </c>
      <c r="K4" s="48" t="n">
        <v>0.0</v>
      </c>
      <c r="L4" s="48" t="n">
        <f>(K4*I4)</f>
        <v>0.0</v>
      </c>
      <c r="M4" s="48" t="n">
        <v>0.0</v>
      </c>
      <c r="N4" s="48" t="n">
        <f>ROUND(ROUND(K4*(1-M4/100), 2)*I4, 2)</f>
        <v>0.0</v>
      </c>
      <c r="O4" s="47" t="s">
        <v>24</v>
      </c>
    </row>
    <row r="5">
      <c r="A5" s="48" t="s">
        <v>35</v>
      </c>
      <c r="B5" s="45" t="s">
        <v>36</v>
      </c>
      <c r="C5" s="47" t="s">
        <v>17</v>
      </c>
      <c r="D5" s="47" t="s">
        <v>37</v>
      </c>
      <c r="E5" s="47" t="s">
        <v>24</v>
      </c>
      <c r="F5" s="43" t="s">
        <v>28</v>
      </c>
      <c r="G5" s="43" t="s">
        <v>20</v>
      </c>
      <c r="H5" s="43" t="s">
        <v>22</v>
      </c>
      <c r="I5" s="48" t="s">
        <v>23</v>
      </c>
      <c r="J5" s="48" t="s">
        <v>24</v>
      </c>
      <c r="K5" s="48" t="n">
        <v>915.75</v>
      </c>
      <c r="L5" s="48" t="n">
        <f>(K5*I5)</f>
        <v>915.75</v>
      </c>
      <c r="M5" s="48" t="n">
        <v>0.0</v>
      </c>
      <c r="N5" s="48" t="n">
        <f>ROUND(ROUND(K5*(1-M5/100), 2)*I5, 2)</f>
        <v>915.75</v>
      </c>
      <c r="O5" s="47" t="s">
        <v>29</v>
      </c>
    </row>
    <row r="6">
      <c r="A6" s="48" t="s">
        <v>38</v>
      </c>
      <c r="B6" s="45" t="s">
        <v>39</v>
      </c>
      <c r="C6" s="47" t="s">
        <v>17</v>
      </c>
      <c r="D6" s="47" t="s">
        <v>40</v>
      </c>
      <c r="E6" s="47" t="s">
        <v>24</v>
      </c>
      <c r="F6" s="43" t="s">
        <v>28</v>
      </c>
      <c r="G6" s="43" t="s">
        <v>20</v>
      </c>
      <c r="H6" s="43" t="s">
        <v>22</v>
      </c>
      <c r="I6" s="48" t="s">
        <v>23</v>
      </c>
      <c r="J6" s="48" t="s">
        <v>24</v>
      </c>
      <c r="K6" s="48" t="n">
        <v>4437.29</v>
      </c>
      <c r="L6" s="48" t="n">
        <f>(K6*I6)</f>
        <v>4437.29</v>
      </c>
      <c r="M6" s="48" t="n">
        <v>0.0</v>
      </c>
      <c r="N6" s="48" t="n">
        <f>ROUND(ROUND(K6*(1-M6/100), 2)*I6, 2)</f>
        <v>4437.29</v>
      </c>
      <c r="O6" s="47" t="s">
        <v>24</v>
      </c>
    </row>
    <row r="7">
      <c r="A7" s="48" t="s">
        <v>41</v>
      </c>
      <c r="B7" s="44" t="s">
        <v>42</v>
      </c>
      <c r="C7" s="47" t="s">
        <v>32</v>
      </c>
      <c r="D7" s="47" t="s">
        <v>43</v>
      </c>
      <c r="E7" s="47" t="s">
        <v>24</v>
      </c>
      <c r="F7" s="43" t="s">
        <v>20</v>
      </c>
      <c r="G7" s="43" t="s">
        <v>34</v>
      </c>
      <c r="H7" s="43" t="s">
        <v>32</v>
      </c>
      <c r="I7" s="48" t="s">
        <v>23</v>
      </c>
      <c r="J7" s="48" t="s">
        <v>24</v>
      </c>
      <c r="K7" s="48" t="n">
        <v>0.0</v>
      </c>
      <c r="L7" s="48" t="n">
        <f>(K7*I7)</f>
        <v>0.0</v>
      </c>
      <c r="M7" s="48" t="n">
        <v>0.0</v>
      </c>
      <c r="N7" s="48" t="n">
        <f>ROUND(ROUND(K7*(1-M7/100), 2)*I7, 2)</f>
        <v>0.0</v>
      </c>
      <c r="O7" s="47" t="s">
        <v>24</v>
      </c>
    </row>
    <row r="8">
      <c r="A8" s="48" t="s">
        <v>44</v>
      </c>
      <c r="B8" s="45" t="s">
        <v>45</v>
      </c>
      <c r="C8" s="47" t="s">
        <v>17</v>
      </c>
      <c r="D8" s="47" t="s">
        <v>46</v>
      </c>
      <c r="E8" s="47" t="s">
        <v>24</v>
      </c>
      <c r="F8" s="43" t="s">
        <v>28</v>
      </c>
      <c r="G8" s="43" t="s">
        <v>20</v>
      </c>
      <c r="H8" s="43" t="s">
        <v>22</v>
      </c>
      <c r="I8" s="48" t="s">
        <v>23</v>
      </c>
      <c r="J8" s="48" t="s">
        <v>24</v>
      </c>
      <c r="K8" s="48" t="n">
        <v>0.0</v>
      </c>
      <c r="L8" s="48" t="n">
        <f>(K8*I8)</f>
        <v>0.0</v>
      </c>
      <c r="M8" s="48" t="n">
        <v>0.0</v>
      </c>
      <c r="N8" s="48" t="n">
        <f>ROUND(ROUND(K8*(1-M8/100), 2)*I8, 2)</f>
        <v>0.0</v>
      </c>
      <c r="O8" s="47" t="s">
        <v>24</v>
      </c>
    </row>
    <row r="9">
      <c r="A9" s="48" t="s">
        <v>47</v>
      </c>
      <c r="B9" s="44" t="s">
        <v>48</v>
      </c>
      <c r="C9" s="47" t="s">
        <v>32</v>
      </c>
      <c r="D9" s="47" t="s">
        <v>49</v>
      </c>
      <c r="E9" s="47" t="s">
        <v>24</v>
      </c>
      <c r="F9" s="43" t="s">
        <v>20</v>
      </c>
      <c r="G9" s="43" t="s">
        <v>34</v>
      </c>
      <c r="H9" s="43" t="s">
        <v>32</v>
      </c>
      <c r="I9" s="48" t="s">
        <v>23</v>
      </c>
      <c r="J9" s="48" t="s">
        <v>24</v>
      </c>
      <c r="K9" s="48" t="n">
        <v>0.0</v>
      </c>
      <c r="L9" s="48" t="n">
        <f>(K9*I9)</f>
        <v>0.0</v>
      </c>
      <c r="M9" s="48" t="n">
        <v>0.0</v>
      </c>
      <c r="N9" s="48" t="n">
        <f>ROUND(ROUND(K9*(1-M9/100), 2)*I9, 2)</f>
        <v>0.0</v>
      </c>
      <c r="O9" s="47" t="s">
        <v>24</v>
      </c>
    </row>
    <row r="10">
      <c r="A10" s="48" t="s">
        <v>50</v>
      </c>
      <c r="B10" s="45" t="s">
        <v>51</v>
      </c>
      <c r="C10" s="47" t="s">
        <v>17</v>
      </c>
      <c r="D10" s="47" t="s">
        <v>52</v>
      </c>
      <c r="E10" s="47" t="s">
        <v>24</v>
      </c>
      <c r="F10" s="43" t="s">
        <v>28</v>
      </c>
      <c r="G10" s="43" t="s">
        <v>20</v>
      </c>
      <c r="H10" s="43" t="s">
        <v>22</v>
      </c>
      <c r="I10" s="48" t="s">
        <v>23</v>
      </c>
      <c r="J10" s="48" t="s">
        <v>24</v>
      </c>
      <c r="K10" s="48" t="n">
        <v>0.0</v>
      </c>
      <c r="L10" s="48" t="n">
        <f>(K10*I10)</f>
        <v>0.0</v>
      </c>
      <c r="M10" s="48" t="n">
        <v>0.0</v>
      </c>
      <c r="N10" s="48" t="n">
        <f>ROUND(ROUND(K10*(1-M10/100), 2)*I10, 2)</f>
        <v>0.0</v>
      </c>
      <c r="O10" s="47" t="s">
        <v>24</v>
      </c>
    </row>
    <row r="11">
      <c r="A11" s="48" t="s">
        <v>53</v>
      </c>
      <c r="B11" s="44" t="s">
        <v>54</v>
      </c>
      <c r="C11" s="47" t="s">
        <v>32</v>
      </c>
      <c r="D11" s="47" t="s">
        <v>55</v>
      </c>
      <c r="E11" s="47" t="s">
        <v>24</v>
      </c>
      <c r="F11" s="43" t="s">
        <v>20</v>
      </c>
      <c r="G11" s="43" t="s">
        <v>34</v>
      </c>
      <c r="H11" s="43" t="s">
        <v>32</v>
      </c>
      <c r="I11" s="48" t="s">
        <v>23</v>
      </c>
      <c r="J11" s="48" t="s">
        <v>24</v>
      </c>
      <c r="K11" s="48" t="n">
        <v>0.0</v>
      </c>
      <c r="L11" s="48" t="n">
        <f>(K11*I11)</f>
        <v>0.0</v>
      </c>
      <c r="M11" s="48" t="n">
        <v>0.0</v>
      </c>
      <c r="N11" s="48" t="n">
        <f>ROUND(ROUND(K11*(1-M11/100), 2)*I11, 2)</f>
        <v>0.0</v>
      </c>
      <c r="O11" s="47" t="s">
        <v>24</v>
      </c>
    </row>
    <row r="12">
      <c r="A12" s="48" t="s">
        <v>56</v>
      </c>
      <c r="B12" s="44" t="s">
        <v>57</v>
      </c>
      <c r="C12" s="47" t="s">
        <v>17</v>
      </c>
      <c r="D12" s="47" t="s">
        <v>58</v>
      </c>
      <c r="E12" s="47" t="s">
        <v>24</v>
      </c>
      <c r="F12" s="43" t="s">
        <v>20</v>
      </c>
      <c r="G12" s="43" t="s">
        <v>34</v>
      </c>
      <c r="H12" s="43" t="s">
        <v>32</v>
      </c>
      <c r="I12" s="48" t="s">
        <v>23</v>
      </c>
      <c r="J12" s="48" t="s">
        <v>24</v>
      </c>
      <c r="K12" s="48" t="n">
        <v>0.0</v>
      </c>
      <c r="L12" s="48" t="n">
        <f>(K12*I12)</f>
        <v>0.0</v>
      </c>
      <c r="M12" s="48" t="n">
        <v>0.0</v>
      </c>
      <c r="N12" s="48" t="n">
        <f>ROUND(ROUND(K12*(1-M12/100), 2)*I12, 2)</f>
        <v>0.0</v>
      </c>
      <c r="O12" s="47" t="s">
        <v>24</v>
      </c>
    </row>
    <row r="13">
      <c r="A13" s="48" t="s">
        <v>59</v>
      </c>
      <c r="B13" s="44" t="s">
        <v>60</v>
      </c>
      <c r="C13" s="47" t="s">
        <v>17</v>
      </c>
      <c r="D13" s="47" t="s">
        <v>61</v>
      </c>
      <c r="E13" s="47" t="s">
        <v>24</v>
      </c>
      <c r="F13" s="43" t="s">
        <v>20</v>
      </c>
      <c r="G13" s="43" t="s">
        <v>34</v>
      </c>
      <c r="H13" s="43" t="s">
        <v>32</v>
      </c>
      <c r="I13" s="48" t="s">
        <v>23</v>
      </c>
      <c r="J13" s="48" t="s">
        <v>24</v>
      </c>
      <c r="K13" s="48" t="n">
        <v>0.0</v>
      </c>
      <c r="L13" s="48" t="n">
        <f>(K13*I13)</f>
        <v>0.0</v>
      </c>
      <c r="M13" s="48" t="n">
        <v>0.0</v>
      </c>
      <c r="N13" s="48" t="n">
        <f>ROUND(ROUND(K13*(1-M13/100), 2)*I13, 2)</f>
        <v>0.0</v>
      </c>
      <c r="O13" s="47" t="s">
        <v>24</v>
      </c>
    </row>
    <row r="14">
      <c r="A14" s="48" t="s">
        <v>62</v>
      </c>
      <c r="B14" s="44" t="s">
        <v>63</v>
      </c>
      <c r="C14" s="47" t="s">
        <v>17</v>
      </c>
      <c r="D14" s="47" t="s">
        <v>64</v>
      </c>
      <c r="E14" s="47" t="s">
        <v>24</v>
      </c>
      <c r="F14" s="43" t="s">
        <v>20</v>
      </c>
      <c r="G14" s="43" t="s">
        <v>34</v>
      </c>
      <c r="H14" s="43" t="s">
        <v>32</v>
      </c>
      <c r="I14" s="48" t="s">
        <v>23</v>
      </c>
      <c r="J14" s="48" t="s">
        <v>24</v>
      </c>
      <c r="K14" s="48" t="n">
        <v>0.0</v>
      </c>
      <c r="L14" s="48" t="n">
        <f>(K14*I14)</f>
        <v>0.0</v>
      </c>
      <c r="M14" s="48" t="n">
        <v>0.0</v>
      </c>
      <c r="N14" s="48" t="n">
        <f>ROUND(ROUND(K14*(1-M14/100), 2)*I14, 2)</f>
        <v>0.0</v>
      </c>
      <c r="O14" s="47" t="s">
        <v>24</v>
      </c>
    </row>
    <row r="15">
      <c r="A15" s="48" t="s">
        <v>65</v>
      </c>
      <c r="B15" s="44" t="s">
        <v>66</v>
      </c>
      <c r="C15" s="47" t="s">
        <v>17</v>
      </c>
      <c r="D15" s="47" t="s">
        <v>67</v>
      </c>
      <c r="E15" s="47" t="s">
        <v>24</v>
      </c>
      <c r="F15" s="43" t="s">
        <v>20</v>
      </c>
      <c r="G15" s="43" t="s">
        <v>34</v>
      </c>
      <c r="H15" s="43" t="s">
        <v>32</v>
      </c>
      <c r="I15" s="48" t="s">
        <v>23</v>
      </c>
      <c r="J15" s="48" t="s">
        <v>24</v>
      </c>
      <c r="K15" s="48" t="n">
        <v>0.0</v>
      </c>
      <c r="L15" s="48" t="n">
        <f>(K15*I15)</f>
        <v>0.0</v>
      </c>
      <c r="M15" s="48" t="n">
        <v>0.0</v>
      </c>
      <c r="N15" s="48" t="n">
        <f>ROUND(ROUND(K15*(1-M15/100), 2)*I15, 2)</f>
        <v>0.0</v>
      </c>
      <c r="O15" s="47" t="s">
        <v>24</v>
      </c>
    </row>
    <row r="16">
      <c r="A16" s="48" t="s">
        <v>68</v>
      </c>
      <c r="B16" s="44" t="s">
        <v>69</v>
      </c>
      <c r="C16" s="47" t="s">
        <v>17</v>
      </c>
      <c r="D16" s="47" t="s">
        <v>70</v>
      </c>
      <c r="E16" s="47" t="s">
        <v>24</v>
      </c>
      <c r="F16" s="43" t="s">
        <v>20</v>
      </c>
      <c r="G16" s="43" t="s">
        <v>34</v>
      </c>
      <c r="H16" s="43" t="s">
        <v>32</v>
      </c>
      <c r="I16" s="48" t="s">
        <v>23</v>
      </c>
      <c r="J16" s="48" t="s">
        <v>24</v>
      </c>
      <c r="K16" s="48" t="n">
        <v>0.0</v>
      </c>
      <c r="L16" s="48" t="n">
        <f>(K16*I16)</f>
        <v>0.0</v>
      </c>
      <c r="M16" s="48" t="n">
        <v>0.0</v>
      </c>
      <c r="N16" s="48" t="n">
        <f>ROUND(ROUND(K16*(1-M16/100), 2)*I16, 2)</f>
        <v>0.0</v>
      </c>
      <c r="O16" s="47" t="s">
        <v>24</v>
      </c>
    </row>
    <row r="17">
      <c r="A17" s="48" t="s">
        <v>71</v>
      </c>
      <c r="B17" s="44" t="s">
        <v>72</v>
      </c>
      <c r="C17" s="47" t="s">
        <v>17</v>
      </c>
      <c r="D17" s="47" t="s">
        <v>73</v>
      </c>
      <c r="E17" s="47" t="s">
        <v>24</v>
      </c>
      <c r="F17" s="43" t="s">
        <v>20</v>
      </c>
      <c r="G17" s="43" t="s">
        <v>34</v>
      </c>
      <c r="H17" s="43" t="s">
        <v>22</v>
      </c>
      <c r="I17" s="48" t="s">
        <v>23</v>
      </c>
      <c r="J17" s="48" t="s">
        <v>24</v>
      </c>
      <c r="K17" s="48" t="n">
        <v>0.0</v>
      </c>
      <c r="L17" s="48" t="n">
        <f>(K17*I17)</f>
        <v>0.0</v>
      </c>
      <c r="M17" s="48" t="n">
        <v>0.0</v>
      </c>
      <c r="N17" s="48" t="n">
        <f>ROUND(ROUND(K17*(1-M17/100), 2)*I17, 2)</f>
        <v>0.0</v>
      </c>
      <c r="O17" s="47" t="s">
        <v>24</v>
      </c>
    </row>
    <row r="18">
      <c r="A18" s="48" t="s">
        <v>74</v>
      </c>
      <c r="B18" s="44" t="s">
        <v>75</v>
      </c>
      <c r="C18" s="47" t="s">
        <v>17</v>
      </c>
      <c r="D18" s="47" t="s">
        <v>76</v>
      </c>
      <c r="E18" s="47" t="s">
        <v>24</v>
      </c>
      <c r="F18" s="43" t="s">
        <v>20</v>
      </c>
      <c r="G18" s="43" t="s">
        <v>34</v>
      </c>
      <c r="H18" s="43" t="s">
        <v>22</v>
      </c>
      <c r="I18" s="48" t="s">
        <v>23</v>
      </c>
      <c r="J18" s="48" t="s">
        <v>24</v>
      </c>
      <c r="K18" s="48" t="n">
        <v>3162.96</v>
      </c>
      <c r="L18" s="48" t="n">
        <f>(K18*I18)</f>
        <v>3162.96</v>
      </c>
      <c r="M18" s="48" t="n">
        <v>0.0</v>
      </c>
      <c r="N18" s="48" t="n">
        <f>ROUND(ROUND(K18*(1-M18/100), 2)*I18, 2)</f>
        <v>3162.96</v>
      </c>
      <c r="O18" s="47" t="s">
        <v>24</v>
      </c>
    </row>
    <row r="19">
      <c r="A19" s="48" t="s">
        <v>77</v>
      </c>
      <c r="B19" s="44" t="s">
        <v>78</v>
      </c>
      <c r="C19" s="47" t="s">
        <v>17</v>
      </c>
      <c r="D19" s="47" t="s">
        <v>79</v>
      </c>
      <c r="E19" s="47" t="s">
        <v>24</v>
      </c>
      <c r="F19" s="43" t="s">
        <v>20</v>
      </c>
      <c r="G19" s="43" t="s">
        <v>34</v>
      </c>
      <c r="H19" s="43" t="s">
        <v>22</v>
      </c>
      <c r="I19" s="48" t="s">
        <v>23</v>
      </c>
      <c r="J19" s="48" t="s">
        <v>24</v>
      </c>
      <c r="K19" s="48" t="n">
        <v>121.7</v>
      </c>
      <c r="L19" s="48" t="n">
        <f>(K19*I19)</f>
        <v>121.7</v>
      </c>
      <c r="M19" s="48" t="n">
        <v>0.0</v>
      </c>
      <c r="N19" s="48" t="n">
        <f>ROUND(ROUND(K19*(1-M19/100), 2)*I19, 2)</f>
        <v>121.7</v>
      </c>
      <c r="O19" s="47" t="s">
        <v>24</v>
      </c>
    </row>
    <row r="20">
      <c r="A20" s="48" t="s">
        <v>80</v>
      </c>
      <c r="B20" s="44" t="s">
        <v>81</v>
      </c>
      <c r="C20" s="47" t="s">
        <v>17</v>
      </c>
      <c r="D20" s="47" t="s">
        <v>82</v>
      </c>
      <c r="E20" s="47" t="s">
        <v>24</v>
      </c>
      <c r="F20" s="43" t="s">
        <v>20</v>
      </c>
      <c r="G20" s="43" t="s">
        <v>34</v>
      </c>
      <c r="H20" s="43" t="s">
        <v>22</v>
      </c>
      <c r="I20" s="48" t="s">
        <v>23</v>
      </c>
      <c r="J20" s="48" t="s">
        <v>24</v>
      </c>
      <c r="K20" s="48" t="n">
        <v>115.62</v>
      </c>
      <c r="L20" s="48" t="n">
        <f>(K20*I20)</f>
        <v>115.62</v>
      </c>
      <c r="M20" s="48" t="n">
        <v>0.0</v>
      </c>
      <c r="N20" s="48" t="n">
        <f>ROUND(ROUND(K20*(1-M20/100), 2)*I20, 2)</f>
        <v>115.62</v>
      </c>
      <c r="O20" s="47" t="s">
        <v>24</v>
      </c>
    </row>
    <row r="21">
      <c r="A21" s="48" t="s">
        <v>83</v>
      </c>
      <c r="B21" s="44" t="s">
        <v>84</v>
      </c>
      <c r="C21" s="47" t="s">
        <v>17</v>
      </c>
      <c r="D21" s="47" t="s">
        <v>85</v>
      </c>
      <c r="E21" s="47" t="s">
        <v>24</v>
      </c>
      <c r="F21" s="43" t="s">
        <v>20</v>
      </c>
      <c r="G21" s="43" t="s">
        <v>34</v>
      </c>
      <c r="H21" s="43" t="s">
        <v>32</v>
      </c>
      <c r="I21" s="48" t="s">
        <v>23</v>
      </c>
      <c r="J21" s="48" t="s">
        <v>24</v>
      </c>
      <c r="K21" s="48" t="n">
        <v>0.0</v>
      </c>
      <c r="L21" s="48" t="n">
        <f>(K21*I21)</f>
        <v>0.0</v>
      </c>
      <c r="M21" s="48" t="n">
        <v>0.0</v>
      </c>
      <c r="N21" s="48" t="n">
        <f>ROUND(ROUND(K21*(1-M21/100), 2)*I21, 2)</f>
        <v>0.0</v>
      </c>
      <c r="O21" s="47" t="s">
        <v>24</v>
      </c>
    </row>
    <row r="22">
      <c r="A22" s="48" t="s">
        <v>86</v>
      </c>
      <c r="B22" s="44" t="s">
        <v>87</v>
      </c>
      <c r="C22" s="47" t="s">
        <v>17</v>
      </c>
      <c r="D22" s="47" t="s">
        <v>88</v>
      </c>
      <c r="E22" s="47" t="s">
        <v>24</v>
      </c>
      <c r="F22" s="43" t="s">
        <v>20</v>
      </c>
      <c r="G22" s="43" t="s">
        <v>34</v>
      </c>
      <c r="H22" s="43" t="s">
        <v>32</v>
      </c>
      <c r="I22" s="48" t="s">
        <v>23</v>
      </c>
      <c r="J22" s="48" t="s">
        <v>24</v>
      </c>
      <c r="K22" s="48" t="n">
        <v>0.0</v>
      </c>
      <c r="L22" s="48" t="n">
        <f>(K22*I22)</f>
        <v>0.0</v>
      </c>
      <c r="M22" s="48" t="n">
        <v>0.0</v>
      </c>
      <c r="N22" s="48" t="n">
        <f>ROUND(ROUND(K22*(1-M22/100), 2)*I22, 2)</f>
        <v>0.0</v>
      </c>
      <c r="O22" s="47" t="s">
        <v>24</v>
      </c>
    </row>
    <row r="23">
      <c r="A23" s="48" t="s">
        <v>89</v>
      </c>
      <c r="B23" s="44" t="s">
        <v>90</v>
      </c>
      <c r="C23" s="47" t="s">
        <v>17</v>
      </c>
      <c r="D23" s="47" t="s">
        <v>91</v>
      </c>
      <c r="E23" s="47" t="s">
        <v>24</v>
      </c>
      <c r="F23" s="43" t="s">
        <v>20</v>
      </c>
      <c r="G23" s="43" t="s">
        <v>34</v>
      </c>
      <c r="H23" s="43" t="s">
        <v>32</v>
      </c>
      <c r="I23" s="48" t="s">
        <v>23</v>
      </c>
      <c r="J23" s="48" t="s">
        <v>24</v>
      </c>
      <c r="K23" s="48" t="n">
        <v>0.0</v>
      </c>
      <c r="L23" s="48" t="n">
        <f>(K23*I23)</f>
        <v>0.0</v>
      </c>
      <c r="M23" s="48" t="n">
        <v>0.0</v>
      </c>
      <c r="N23" s="48" t="n">
        <f>ROUND(ROUND(K23*(1-M23/100), 2)*I23, 2)</f>
        <v>0.0</v>
      </c>
      <c r="O23" s="47" t="s">
        <v>24</v>
      </c>
    </row>
    <row r="24">
      <c r="A24" s="48" t="s">
        <v>92</v>
      </c>
      <c r="B24" s="44" t="s">
        <v>93</v>
      </c>
      <c r="C24" s="47" t="s">
        <v>17</v>
      </c>
      <c r="D24" s="47" t="s">
        <v>94</v>
      </c>
      <c r="E24" s="47" t="s">
        <v>24</v>
      </c>
      <c r="F24" s="43" t="s">
        <v>20</v>
      </c>
      <c r="G24" s="43" t="s">
        <v>34</v>
      </c>
      <c r="H24" s="43" t="s">
        <v>22</v>
      </c>
      <c r="I24" s="48" t="s">
        <v>23</v>
      </c>
      <c r="J24" s="48" t="s">
        <v>24</v>
      </c>
      <c r="K24" s="48" t="n">
        <v>3103.4</v>
      </c>
      <c r="L24" s="48" t="n">
        <f>(K24*I24)</f>
        <v>3103.4</v>
      </c>
      <c r="M24" s="48" t="n">
        <v>0.0</v>
      </c>
      <c r="N24" s="48" t="n">
        <f>ROUND(ROUND(K24*(1-M24/100), 2)*I24, 2)</f>
        <v>3103.4</v>
      </c>
      <c r="O24" s="47" t="s">
        <v>24</v>
      </c>
    </row>
    <row r="25">
      <c r="A25" s="48" t="s">
        <v>95</v>
      </c>
      <c r="B25" s="44" t="s">
        <v>96</v>
      </c>
      <c r="C25" s="47" t="s">
        <v>32</v>
      </c>
      <c r="D25" s="47" t="s">
        <v>97</v>
      </c>
      <c r="E25" s="47" t="s">
        <v>24</v>
      </c>
      <c r="F25" s="43" t="s">
        <v>20</v>
      </c>
      <c r="G25" s="43" t="s">
        <v>98</v>
      </c>
      <c r="H25" s="43" t="s">
        <v>32</v>
      </c>
      <c r="I25" s="48" t="s">
        <v>23</v>
      </c>
      <c r="J25" s="48" t="s">
        <v>24</v>
      </c>
      <c r="K25" s="48" t="n">
        <v>0.0</v>
      </c>
      <c r="L25" s="48" t="n">
        <f>(K25*I25)</f>
        <v>0.0</v>
      </c>
      <c r="M25" s="48" t="n">
        <v>0.0</v>
      </c>
      <c r="N25" s="48" t="n">
        <f>ROUND(ROUND(K25*(1-M25/100), 2)*I25, 2)</f>
        <v>0.0</v>
      </c>
      <c r="O25" s="47" t="s">
        <v>24</v>
      </c>
    </row>
    <row r="26">
      <c r="A26" s="1" t="s">
        <v>24</v>
      </c>
      <c r="B26" s="1" t="s">
        <v>24</v>
      </c>
      <c r="C26" s="1" t="s">
        <v>24</v>
      </c>
      <c r="D26" s="1" t="s">
        <v>24</v>
      </c>
      <c r="E26" s="1" t="s">
        <v>24</v>
      </c>
      <c r="F26" s="1" t="s">
        <v>24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24</v>
      </c>
      <c r="L26" s="1" t="s">
        <v>24</v>
      </c>
      <c r="M26" s="73" t="s">
        <v>99</v>
      </c>
      <c r="N26" s="73" t="n">
        <f>(N2+N3+N4+N5+N6+N7+N8+N9+N10+N11+N12+N13+N14+N15+N16+N17+N18+N19+N20+N21+N22+N23+N24+N25)</f>
        <v>0.0</v>
      </c>
      <c r="O26" s="73" t="s">
        <v>24</v>
      </c>
    </row>
    <row r="27">
      <c r="A27" s="55" t="s">
        <v>100</v>
      </c>
      <c r="B27" s="12" t="s">
        <v>101</v>
      </c>
      <c r="C27" s="47" t="s">
        <v>17</v>
      </c>
      <c r="D27" s="47" t="s">
        <v>102</v>
      </c>
      <c r="E27" s="47" t="s">
        <v>19</v>
      </c>
      <c r="F27" s="43" t="s">
        <v>20</v>
      </c>
      <c r="G27" s="43" t="s">
        <v>103</v>
      </c>
      <c r="H27" s="43" t="s">
        <v>22</v>
      </c>
      <c r="I27" s="48" t="s">
        <v>23</v>
      </c>
      <c r="J27" s="48" t="s">
        <v>24</v>
      </c>
      <c r="K27" s="48" t="n">
        <v>21112.44</v>
      </c>
      <c r="L27" s="48" t="n">
        <f>(K27*I27)</f>
        <v>21112.44</v>
      </c>
      <c r="M27" s="48" t="n">
        <v>0.0</v>
      </c>
      <c r="N27" s="48" t="n">
        <f>ROUND(ROUND(K27*(1-M27/100), 2)*I27, 2)</f>
        <v>21112.44</v>
      </c>
      <c r="O27" s="47" t="s">
        <v>24</v>
      </c>
    </row>
    <row r="28">
      <c r="A28" s="48" t="s">
        <v>104</v>
      </c>
      <c r="B28" s="44" t="s">
        <v>105</v>
      </c>
      <c r="C28" s="47" t="s">
        <v>17</v>
      </c>
      <c r="D28" s="47" t="s">
        <v>106</v>
      </c>
      <c r="E28" s="47" t="s">
        <v>24</v>
      </c>
      <c r="F28" s="43" t="s">
        <v>28</v>
      </c>
      <c r="G28" s="43" t="s">
        <v>20</v>
      </c>
      <c r="H28" s="43" t="s">
        <v>22</v>
      </c>
      <c r="I28" s="48" t="s">
        <v>23</v>
      </c>
      <c r="J28" s="48" t="s">
        <v>24</v>
      </c>
      <c r="K28" s="48" t="n">
        <v>6344.25</v>
      </c>
      <c r="L28" s="48" t="n">
        <f>(K28*I28)</f>
        <v>6344.25</v>
      </c>
      <c r="M28" s="48" t="n">
        <v>0.0</v>
      </c>
      <c r="N28" s="48" t="n">
        <f>ROUND(ROUND(K28*(1-M28/100), 2)*I28, 2)</f>
        <v>6344.25</v>
      </c>
      <c r="O28" s="47" t="s">
        <v>29</v>
      </c>
    </row>
    <row r="29">
      <c r="A29" s="48" t="s">
        <v>107</v>
      </c>
      <c r="B29" s="44" t="s">
        <v>31</v>
      </c>
      <c r="C29" s="47" t="s">
        <v>32</v>
      </c>
      <c r="D29" s="47" t="s">
        <v>33</v>
      </c>
      <c r="E29" s="47" t="s">
        <v>24</v>
      </c>
      <c r="F29" s="43" t="s">
        <v>20</v>
      </c>
      <c r="G29" s="43" t="s">
        <v>34</v>
      </c>
      <c r="H29" s="43" t="s">
        <v>22</v>
      </c>
      <c r="I29" s="48" t="s">
        <v>23</v>
      </c>
      <c r="J29" s="48" t="s">
        <v>24</v>
      </c>
      <c r="K29" s="48" t="n">
        <v>0.0</v>
      </c>
      <c r="L29" s="48" t="n">
        <f>(K29*I29)</f>
        <v>0.0</v>
      </c>
      <c r="M29" s="48" t="n">
        <v>0.0</v>
      </c>
      <c r="N29" s="48" t="n">
        <f>ROUND(ROUND(K29*(1-M29/100), 2)*I29, 2)</f>
        <v>0.0</v>
      </c>
      <c r="O29" s="47" t="s">
        <v>24</v>
      </c>
    </row>
    <row r="30">
      <c r="A30" s="48" t="s">
        <v>108</v>
      </c>
      <c r="B30" s="45" t="s">
        <v>36</v>
      </c>
      <c r="C30" s="47" t="s">
        <v>17</v>
      </c>
      <c r="D30" s="47" t="s">
        <v>37</v>
      </c>
      <c r="E30" s="47" t="s">
        <v>24</v>
      </c>
      <c r="F30" s="43" t="s">
        <v>28</v>
      </c>
      <c r="G30" s="43" t="s">
        <v>20</v>
      </c>
      <c r="H30" s="43" t="s">
        <v>22</v>
      </c>
      <c r="I30" s="48" t="s">
        <v>23</v>
      </c>
      <c r="J30" s="48" t="s">
        <v>24</v>
      </c>
      <c r="K30" s="48" t="n">
        <v>915.75</v>
      </c>
      <c r="L30" s="48" t="n">
        <f>(K30*I30)</f>
        <v>915.75</v>
      </c>
      <c r="M30" s="48" t="n">
        <v>0.0</v>
      </c>
      <c r="N30" s="48" t="n">
        <f>ROUND(ROUND(K30*(1-M30/100), 2)*I30, 2)</f>
        <v>915.75</v>
      </c>
      <c r="O30" s="47" t="s">
        <v>29</v>
      </c>
    </row>
    <row r="31">
      <c r="A31" s="48" t="s">
        <v>109</v>
      </c>
      <c r="B31" s="45" t="s">
        <v>39</v>
      </c>
      <c r="C31" s="47" t="s">
        <v>17</v>
      </c>
      <c r="D31" s="47" t="s">
        <v>40</v>
      </c>
      <c r="E31" s="47" t="s">
        <v>24</v>
      </c>
      <c r="F31" s="43" t="s">
        <v>28</v>
      </c>
      <c r="G31" s="43" t="s">
        <v>20</v>
      </c>
      <c r="H31" s="43" t="s">
        <v>22</v>
      </c>
      <c r="I31" s="48" t="s">
        <v>23</v>
      </c>
      <c r="J31" s="48" t="s">
        <v>24</v>
      </c>
      <c r="K31" s="48" t="n">
        <v>4437.29</v>
      </c>
      <c r="L31" s="48" t="n">
        <f>(K31*I31)</f>
        <v>4437.29</v>
      </c>
      <c r="M31" s="48" t="n">
        <v>0.0</v>
      </c>
      <c r="N31" s="48" t="n">
        <f>ROUND(ROUND(K31*(1-M31/100), 2)*I31, 2)</f>
        <v>4437.29</v>
      </c>
      <c r="O31" s="47" t="s">
        <v>24</v>
      </c>
    </row>
    <row r="32">
      <c r="A32" s="48" t="s">
        <v>110</v>
      </c>
      <c r="B32" s="44" t="s">
        <v>42</v>
      </c>
      <c r="C32" s="47" t="s">
        <v>32</v>
      </c>
      <c r="D32" s="47" t="s">
        <v>43</v>
      </c>
      <c r="E32" s="47" t="s">
        <v>24</v>
      </c>
      <c r="F32" s="43" t="s">
        <v>20</v>
      </c>
      <c r="G32" s="43" t="s">
        <v>34</v>
      </c>
      <c r="H32" s="43" t="s">
        <v>32</v>
      </c>
      <c r="I32" s="48" t="s">
        <v>23</v>
      </c>
      <c r="J32" s="48" t="s">
        <v>24</v>
      </c>
      <c r="K32" s="48" t="n">
        <v>0.0</v>
      </c>
      <c r="L32" s="48" t="n">
        <f>(K32*I32)</f>
        <v>0.0</v>
      </c>
      <c r="M32" s="48" t="n">
        <v>0.0</v>
      </c>
      <c r="N32" s="48" t="n">
        <f>ROUND(ROUND(K32*(1-M32/100), 2)*I32, 2)</f>
        <v>0.0</v>
      </c>
      <c r="O32" s="47" t="s">
        <v>24</v>
      </c>
    </row>
    <row r="33">
      <c r="A33" s="48" t="s">
        <v>111</v>
      </c>
      <c r="B33" s="45" t="s">
        <v>45</v>
      </c>
      <c r="C33" s="47" t="s">
        <v>17</v>
      </c>
      <c r="D33" s="47" t="s">
        <v>46</v>
      </c>
      <c r="E33" s="47" t="s">
        <v>24</v>
      </c>
      <c r="F33" s="43" t="s">
        <v>28</v>
      </c>
      <c r="G33" s="43" t="s">
        <v>20</v>
      </c>
      <c r="H33" s="43" t="s">
        <v>22</v>
      </c>
      <c r="I33" s="48" t="s">
        <v>23</v>
      </c>
      <c r="J33" s="48" t="s">
        <v>24</v>
      </c>
      <c r="K33" s="48" t="n">
        <v>0.0</v>
      </c>
      <c r="L33" s="48" t="n">
        <f>(K33*I33)</f>
        <v>0.0</v>
      </c>
      <c r="M33" s="48" t="n">
        <v>0.0</v>
      </c>
      <c r="N33" s="48" t="n">
        <f>ROUND(ROUND(K33*(1-M33/100), 2)*I33, 2)</f>
        <v>0.0</v>
      </c>
      <c r="O33" s="47" t="s">
        <v>24</v>
      </c>
    </row>
    <row r="34">
      <c r="A34" s="48" t="s">
        <v>112</v>
      </c>
      <c r="B34" s="44" t="s">
        <v>48</v>
      </c>
      <c r="C34" s="47" t="s">
        <v>32</v>
      </c>
      <c r="D34" s="47" t="s">
        <v>49</v>
      </c>
      <c r="E34" s="47" t="s">
        <v>24</v>
      </c>
      <c r="F34" s="43" t="s">
        <v>20</v>
      </c>
      <c r="G34" s="43" t="s">
        <v>34</v>
      </c>
      <c r="H34" s="43" t="s">
        <v>32</v>
      </c>
      <c r="I34" s="48" t="s">
        <v>23</v>
      </c>
      <c r="J34" s="48" t="s">
        <v>24</v>
      </c>
      <c r="K34" s="48" t="n">
        <v>0.0</v>
      </c>
      <c r="L34" s="48" t="n">
        <f>(K34*I34)</f>
        <v>0.0</v>
      </c>
      <c r="M34" s="48" t="n">
        <v>0.0</v>
      </c>
      <c r="N34" s="48" t="n">
        <f>ROUND(ROUND(K34*(1-M34/100), 2)*I34, 2)</f>
        <v>0.0</v>
      </c>
      <c r="O34" s="47" t="s">
        <v>24</v>
      </c>
    </row>
    <row r="35">
      <c r="A35" s="48" t="s">
        <v>113</v>
      </c>
      <c r="B35" s="45" t="s">
        <v>51</v>
      </c>
      <c r="C35" s="47" t="s">
        <v>17</v>
      </c>
      <c r="D35" s="47" t="s">
        <v>52</v>
      </c>
      <c r="E35" s="47" t="s">
        <v>24</v>
      </c>
      <c r="F35" s="43" t="s">
        <v>28</v>
      </c>
      <c r="G35" s="43" t="s">
        <v>20</v>
      </c>
      <c r="H35" s="43" t="s">
        <v>22</v>
      </c>
      <c r="I35" s="48" t="s">
        <v>23</v>
      </c>
      <c r="J35" s="48" t="s">
        <v>24</v>
      </c>
      <c r="K35" s="48" t="n">
        <v>0.0</v>
      </c>
      <c r="L35" s="48" t="n">
        <f>(K35*I35)</f>
        <v>0.0</v>
      </c>
      <c r="M35" s="48" t="n">
        <v>0.0</v>
      </c>
      <c r="N35" s="48" t="n">
        <f>ROUND(ROUND(K35*(1-M35/100), 2)*I35, 2)</f>
        <v>0.0</v>
      </c>
      <c r="O35" s="47" t="s">
        <v>24</v>
      </c>
    </row>
    <row r="36">
      <c r="A36" s="48" t="s">
        <v>114</v>
      </c>
      <c r="B36" s="44" t="s">
        <v>54</v>
      </c>
      <c r="C36" s="47" t="s">
        <v>32</v>
      </c>
      <c r="D36" s="47" t="s">
        <v>55</v>
      </c>
      <c r="E36" s="47" t="s">
        <v>24</v>
      </c>
      <c r="F36" s="43" t="s">
        <v>20</v>
      </c>
      <c r="G36" s="43" t="s">
        <v>34</v>
      </c>
      <c r="H36" s="43" t="s">
        <v>32</v>
      </c>
      <c r="I36" s="48" t="s">
        <v>23</v>
      </c>
      <c r="J36" s="48" t="s">
        <v>24</v>
      </c>
      <c r="K36" s="48" t="n">
        <v>0.0</v>
      </c>
      <c r="L36" s="48" t="n">
        <f>(K36*I36)</f>
        <v>0.0</v>
      </c>
      <c r="M36" s="48" t="n">
        <v>0.0</v>
      </c>
      <c r="N36" s="48" t="n">
        <f>ROUND(ROUND(K36*(1-M36/100), 2)*I36, 2)</f>
        <v>0.0</v>
      </c>
      <c r="O36" s="47" t="s">
        <v>24</v>
      </c>
    </row>
    <row r="37">
      <c r="A37" s="48" t="s">
        <v>115</v>
      </c>
      <c r="B37" s="44" t="s">
        <v>57</v>
      </c>
      <c r="C37" s="47" t="s">
        <v>17</v>
      </c>
      <c r="D37" s="47" t="s">
        <v>58</v>
      </c>
      <c r="E37" s="47" t="s">
        <v>24</v>
      </c>
      <c r="F37" s="43" t="s">
        <v>20</v>
      </c>
      <c r="G37" s="43" t="s">
        <v>34</v>
      </c>
      <c r="H37" s="43" t="s">
        <v>32</v>
      </c>
      <c r="I37" s="48" t="s">
        <v>23</v>
      </c>
      <c r="J37" s="48" t="s">
        <v>24</v>
      </c>
      <c r="K37" s="48" t="n">
        <v>0.0</v>
      </c>
      <c r="L37" s="48" t="n">
        <f>(K37*I37)</f>
        <v>0.0</v>
      </c>
      <c r="M37" s="48" t="n">
        <v>0.0</v>
      </c>
      <c r="N37" s="48" t="n">
        <f>ROUND(ROUND(K37*(1-M37/100), 2)*I37, 2)</f>
        <v>0.0</v>
      </c>
      <c r="O37" s="47" t="s">
        <v>24</v>
      </c>
    </row>
    <row r="38">
      <c r="A38" s="48" t="s">
        <v>116</v>
      </c>
      <c r="B38" s="44" t="s">
        <v>60</v>
      </c>
      <c r="C38" s="47" t="s">
        <v>17</v>
      </c>
      <c r="D38" s="47" t="s">
        <v>61</v>
      </c>
      <c r="E38" s="47" t="s">
        <v>24</v>
      </c>
      <c r="F38" s="43" t="s">
        <v>20</v>
      </c>
      <c r="G38" s="43" t="s">
        <v>34</v>
      </c>
      <c r="H38" s="43" t="s">
        <v>32</v>
      </c>
      <c r="I38" s="48" t="s">
        <v>23</v>
      </c>
      <c r="J38" s="48" t="s">
        <v>24</v>
      </c>
      <c r="K38" s="48" t="n">
        <v>0.0</v>
      </c>
      <c r="L38" s="48" t="n">
        <f>(K38*I38)</f>
        <v>0.0</v>
      </c>
      <c r="M38" s="48" t="n">
        <v>0.0</v>
      </c>
      <c r="N38" s="48" t="n">
        <f>ROUND(ROUND(K38*(1-M38/100), 2)*I38, 2)</f>
        <v>0.0</v>
      </c>
      <c r="O38" s="47" t="s">
        <v>24</v>
      </c>
    </row>
    <row r="39">
      <c r="A39" s="48" t="s">
        <v>117</v>
      </c>
      <c r="B39" s="44" t="s">
        <v>63</v>
      </c>
      <c r="C39" s="47" t="s">
        <v>17</v>
      </c>
      <c r="D39" s="47" t="s">
        <v>64</v>
      </c>
      <c r="E39" s="47" t="s">
        <v>24</v>
      </c>
      <c r="F39" s="43" t="s">
        <v>20</v>
      </c>
      <c r="G39" s="43" t="s">
        <v>34</v>
      </c>
      <c r="H39" s="43" t="s">
        <v>32</v>
      </c>
      <c r="I39" s="48" t="s">
        <v>23</v>
      </c>
      <c r="J39" s="48" t="s">
        <v>24</v>
      </c>
      <c r="K39" s="48" t="n">
        <v>0.0</v>
      </c>
      <c r="L39" s="48" t="n">
        <f>(K39*I39)</f>
        <v>0.0</v>
      </c>
      <c r="M39" s="48" t="n">
        <v>0.0</v>
      </c>
      <c r="N39" s="48" t="n">
        <f>ROUND(ROUND(K39*(1-M39/100), 2)*I39, 2)</f>
        <v>0.0</v>
      </c>
      <c r="O39" s="47" t="s">
        <v>24</v>
      </c>
    </row>
    <row r="40">
      <c r="A40" s="48" t="s">
        <v>118</v>
      </c>
      <c r="B40" s="44" t="s">
        <v>119</v>
      </c>
      <c r="C40" s="47" t="s">
        <v>17</v>
      </c>
      <c r="D40" s="47" t="s">
        <v>120</v>
      </c>
      <c r="E40" s="47" t="s">
        <v>24</v>
      </c>
      <c r="F40" s="43" t="s">
        <v>20</v>
      </c>
      <c r="G40" s="43" t="s">
        <v>34</v>
      </c>
      <c r="H40" s="43" t="s">
        <v>32</v>
      </c>
      <c r="I40" s="48" t="s">
        <v>23</v>
      </c>
      <c r="J40" s="48" t="s">
        <v>24</v>
      </c>
      <c r="K40" s="48" t="n">
        <v>0.0</v>
      </c>
      <c r="L40" s="48" t="n">
        <f>(K40*I40)</f>
        <v>0.0</v>
      </c>
      <c r="M40" s="48" t="n">
        <v>0.0</v>
      </c>
      <c r="N40" s="48" t="n">
        <f>ROUND(ROUND(K40*(1-M40/100), 2)*I40, 2)</f>
        <v>0.0</v>
      </c>
      <c r="O40" s="47" t="s">
        <v>24</v>
      </c>
    </row>
    <row r="41">
      <c r="A41" s="48" t="s">
        <v>121</v>
      </c>
      <c r="B41" s="44" t="s">
        <v>69</v>
      </c>
      <c r="C41" s="47" t="s">
        <v>17</v>
      </c>
      <c r="D41" s="47" t="s">
        <v>70</v>
      </c>
      <c r="E41" s="47" t="s">
        <v>24</v>
      </c>
      <c r="F41" s="43" t="s">
        <v>20</v>
      </c>
      <c r="G41" s="43" t="s">
        <v>34</v>
      </c>
      <c r="H41" s="43" t="s">
        <v>32</v>
      </c>
      <c r="I41" s="48" t="s">
        <v>23</v>
      </c>
      <c r="J41" s="48" t="s">
        <v>24</v>
      </c>
      <c r="K41" s="48" t="n">
        <v>0.0</v>
      </c>
      <c r="L41" s="48" t="n">
        <f>(K41*I41)</f>
        <v>0.0</v>
      </c>
      <c r="M41" s="48" t="n">
        <v>0.0</v>
      </c>
      <c r="N41" s="48" t="n">
        <f>ROUND(ROUND(K41*(1-M41/100), 2)*I41, 2)</f>
        <v>0.0</v>
      </c>
      <c r="O41" s="47" t="s">
        <v>24</v>
      </c>
    </row>
    <row r="42">
      <c r="A42" s="48" t="s">
        <v>122</v>
      </c>
      <c r="B42" s="44" t="s">
        <v>72</v>
      </c>
      <c r="C42" s="47" t="s">
        <v>17</v>
      </c>
      <c r="D42" s="47" t="s">
        <v>73</v>
      </c>
      <c r="E42" s="47" t="s">
        <v>24</v>
      </c>
      <c r="F42" s="43" t="s">
        <v>20</v>
      </c>
      <c r="G42" s="43" t="s">
        <v>34</v>
      </c>
      <c r="H42" s="43" t="s">
        <v>22</v>
      </c>
      <c r="I42" s="48" t="s">
        <v>23</v>
      </c>
      <c r="J42" s="48" t="s">
        <v>24</v>
      </c>
      <c r="K42" s="48" t="n">
        <v>0.0</v>
      </c>
      <c r="L42" s="48" t="n">
        <f>(K42*I42)</f>
        <v>0.0</v>
      </c>
      <c r="M42" s="48" t="n">
        <v>0.0</v>
      </c>
      <c r="N42" s="48" t="n">
        <f>ROUND(ROUND(K42*(1-M42/100), 2)*I42, 2)</f>
        <v>0.0</v>
      </c>
      <c r="O42" s="47" t="s">
        <v>24</v>
      </c>
    </row>
    <row r="43">
      <c r="A43" s="48" t="s">
        <v>123</v>
      </c>
      <c r="B43" s="44" t="s">
        <v>75</v>
      </c>
      <c r="C43" s="47" t="s">
        <v>17</v>
      </c>
      <c r="D43" s="47" t="s">
        <v>76</v>
      </c>
      <c r="E43" s="47" t="s">
        <v>24</v>
      </c>
      <c r="F43" s="43" t="s">
        <v>20</v>
      </c>
      <c r="G43" s="43" t="s">
        <v>34</v>
      </c>
      <c r="H43" s="43" t="s">
        <v>22</v>
      </c>
      <c r="I43" s="48" t="s">
        <v>23</v>
      </c>
      <c r="J43" s="48" t="s">
        <v>24</v>
      </c>
      <c r="K43" s="48" t="n">
        <v>3162.96</v>
      </c>
      <c r="L43" s="48" t="n">
        <f>(K43*I43)</f>
        <v>3162.96</v>
      </c>
      <c r="M43" s="48" t="n">
        <v>0.0</v>
      </c>
      <c r="N43" s="48" t="n">
        <f>ROUND(ROUND(K43*(1-M43/100), 2)*I43, 2)</f>
        <v>3162.96</v>
      </c>
      <c r="O43" s="47" t="s">
        <v>24</v>
      </c>
    </row>
    <row r="44">
      <c r="A44" s="48" t="s">
        <v>124</v>
      </c>
      <c r="B44" s="44" t="s">
        <v>78</v>
      </c>
      <c r="C44" s="47" t="s">
        <v>17</v>
      </c>
      <c r="D44" s="47" t="s">
        <v>79</v>
      </c>
      <c r="E44" s="47" t="s">
        <v>24</v>
      </c>
      <c r="F44" s="43" t="s">
        <v>20</v>
      </c>
      <c r="G44" s="43" t="s">
        <v>34</v>
      </c>
      <c r="H44" s="43" t="s">
        <v>22</v>
      </c>
      <c r="I44" s="48" t="s">
        <v>23</v>
      </c>
      <c r="J44" s="48" t="s">
        <v>24</v>
      </c>
      <c r="K44" s="48" t="n">
        <v>121.7</v>
      </c>
      <c r="L44" s="48" t="n">
        <f>(K44*I44)</f>
        <v>121.7</v>
      </c>
      <c r="M44" s="48" t="n">
        <v>0.0</v>
      </c>
      <c r="N44" s="48" t="n">
        <f>ROUND(ROUND(K44*(1-M44/100), 2)*I44, 2)</f>
        <v>121.7</v>
      </c>
      <c r="O44" s="47" t="s">
        <v>24</v>
      </c>
    </row>
    <row r="45">
      <c r="A45" s="48" t="s">
        <v>125</v>
      </c>
      <c r="B45" s="44" t="s">
        <v>81</v>
      </c>
      <c r="C45" s="47" t="s">
        <v>17</v>
      </c>
      <c r="D45" s="47" t="s">
        <v>82</v>
      </c>
      <c r="E45" s="47" t="s">
        <v>24</v>
      </c>
      <c r="F45" s="43" t="s">
        <v>20</v>
      </c>
      <c r="G45" s="43" t="s">
        <v>34</v>
      </c>
      <c r="H45" s="43" t="s">
        <v>22</v>
      </c>
      <c r="I45" s="48" t="s">
        <v>23</v>
      </c>
      <c r="J45" s="48" t="s">
        <v>24</v>
      </c>
      <c r="K45" s="48" t="n">
        <v>115.62</v>
      </c>
      <c r="L45" s="48" t="n">
        <f>(K45*I45)</f>
        <v>115.62</v>
      </c>
      <c r="M45" s="48" t="n">
        <v>0.0</v>
      </c>
      <c r="N45" s="48" t="n">
        <f>ROUND(ROUND(K45*(1-M45/100), 2)*I45, 2)</f>
        <v>115.62</v>
      </c>
      <c r="O45" s="47" t="s">
        <v>24</v>
      </c>
    </row>
    <row r="46">
      <c r="A46" s="48" t="s">
        <v>126</v>
      </c>
      <c r="B46" s="44" t="s">
        <v>84</v>
      </c>
      <c r="C46" s="47" t="s">
        <v>17</v>
      </c>
      <c r="D46" s="47" t="s">
        <v>85</v>
      </c>
      <c r="E46" s="47" t="s">
        <v>24</v>
      </c>
      <c r="F46" s="43" t="s">
        <v>20</v>
      </c>
      <c r="G46" s="43" t="s">
        <v>34</v>
      </c>
      <c r="H46" s="43" t="s">
        <v>32</v>
      </c>
      <c r="I46" s="48" t="s">
        <v>23</v>
      </c>
      <c r="J46" s="48" t="s">
        <v>24</v>
      </c>
      <c r="K46" s="48" t="n">
        <v>0.0</v>
      </c>
      <c r="L46" s="48" t="n">
        <f>(K46*I46)</f>
        <v>0.0</v>
      </c>
      <c r="M46" s="48" t="n">
        <v>0.0</v>
      </c>
      <c r="N46" s="48" t="n">
        <f>ROUND(ROUND(K46*(1-M46/100), 2)*I46, 2)</f>
        <v>0.0</v>
      </c>
      <c r="O46" s="47" t="s">
        <v>24</v>
      </c>
    </row>
    <row r="47">
      <c r="A47" s="48" t="s">
        <v>127</v>
      </c>
      <c r="B47" s="44" t="s">
        <v>87</v>
      </c>
      <c r="C47" s="47" t="s">
        <v>17</v>
      </c>
      <c r="D47" s="47" t="s">
        <v>88</v>
      </c>
      <c r="E47" s="47" t="s">
        <v>24</v>
      </c>
      <c r="F47" s="43" t="s">
        <v>20</v>
      </c>
      <c r="G47" s="43" t="s">
        <v>34</v>
      </c>
      <c r="H47" s="43" t="s">
        <v>32</v>
      </c>
      <c r="I47" s="48" t="s">
        <v>23</v>
      </c>
      <c r="J47" s="48" t="s">
        <v>24</v>
      </c>
      <c r="K47" s="48" t="n">
        <v>0.0</v>
      </c>
      <c r="L47" s="48" t="n">
        <f>(K47*I47)</f>
        <v>0.0</v>
      </c>
      <c r="M47" s="48" t="n">
        <v>0.0</v>
      </c>
      <c r="N47" s="48" t="n">
        <f>ROUND(ROUND(K47*(1-M47/100), 2)*I47, 2)</f>
        <v>0.0</v>
      </c>
      <c r="O47" s="47" t="s">
        <v>24</v>
      </c>
    </row>
    <row r="48">
      <c r="A48" s="48" t="s">
        <v>128</v>
      </c>
      <c r="B48" s="44" t="s">
        <v>90</v>
      </c>
      <c r="C48" s="47" t="s">
        <v>17</v>
      </c>
      <c r="D48" s="47" t="s">
        <v>91</v>
      </c>
      <c r="E48" s="47" t="s">
        <v>24</v>
      </c>
      <c r="F48" s="43" t="s">
        <v>20</v>
      </c>
      <c r="G48" s="43" t="s">
        <v>34</v>
      </c>
      <c r="H48" s="43" t="s">
        <v>32</v>
      </c>
      <c r="I48" s="48" t="s">
        <v>23</v>
      </c>
      <c r="J48" s="48" t="s">
        <v>24</v>
      </c>
      <c r="K48" s="48" t="n">
        <v>0.0</v>
      </c>
      <c r="L48" s="48" t="n">
        <f>(K48*I48)</f>
        <v>0.0</v>
      </c>
      <c r="M48" s="48" t="n">
        <v>0.0</v>
      </c>
      <c r="N48" s="48" t="n">
        <f>ROUND(ROUND(K48*(1-M48/100), 2)*I48, 2)</f>
        <v>0.0</v>
      </c>
      <c r="O48" s="47" t="s">
        <v>24</v>
      </c>
    </row>
    <row r="49">
      <c r="A49" s="48" t="s">
        <v>129</v>
      </c>
      <c r="B49" s="44" t="s">
        <v>96</v>
      </c>
      <c r="C49" s="47" t="s">
        <v>32</v>
      </c>
      <c r="D49" s="47" t="s">
        <v>97</v>
      </c>
      <c r="E49" s="47" t="s">
        <v>24</v>
      </c>
      <c r="F49" s="43" t="s">
        <v>20</v>
      </c>
      <c r="G49" s="43" t="s">
        <v>98</v>
      </c>
      <c r="H49" s="43" t="s">
        <v>32</v>
      </c>
      <c r="I49" s="48" t="s">
        <v>23</v>
      </c>
      <c r="J49" s="48" t="s">
        <v>24</v>
      </c>
      <c r="K49" s="48" t="n">
        <v>0.0</v>
      </c>
      <c r="L49" s="48" t="n">
        <f>(K49*I49)</f>
        <v>0.0</v>
      </c>
      <c r="M49" s="48" t="n">
        <v>0.0</v>
      </c>
      <c r="N49" s="48" t="n">
        <f>ROUND(ROUND(K49*(1-M49/100), 2)*I49, 2)</f>
        <v>0.0</v>
      </c>
      <c r="O49" s="47" t="s">
        <v>24</v>
      </c>
    </row>
    <row r="50">
      <c r="A50" s="48" t="s">
        <v>130</v>
      </c>
      <c r="B50" s="44" t="s">
        <v>93</v>
      </c>
      <c r="C50" s="47" t="s">
        <v>17</v>
      </c>
      <c r="D50" s="47" t="s">
        <v>94</v>
      </c>
      <c r="E50" s="47" t="s">
        <v>24</v>
      </c>
      <c r="F50" s="43" t="s">
        <v>20</v>
      </c>
      <c r="G50" s="43" t="s">
        <v>34</v>
      </c>
      <c r="H50" s="43" t="s">
        <v>22</v>
      </c>
      <c r="I50" s="48" t="s">
        <v>23</v>
      </c>
      <c r="J50" s="48" t="s">
        <v>24</v>
      </c>
      <c r="K50" s="48" t="n">
        <v>3103.4</v>
      </c>
      <c r="L50" s="48" t="n">
        <f>(K50*I50)</f>
        <v>3103.4</v>
      </c>
      <c r="M50" s="48" t="n">
        <v>0.0</v>
      </c>
      <c r="N50" s="48" t="n">
        <f>ROUND(ROUND(K50*(1-M50/100), 2)*I50, 2)</f>
        <v>3103.4</v>
      </c>
      <c r="O50" s="47" t="s">
        <v>24</v>
      </c>
    </row>
    <row r="51">
      <c r="A51" s="1" t="s">
        <v>24</v>
      </c>
      <c r="B51" s="1" t="s">
        <v>24</v>
      </c>
      <c r="C51" s="1" t="s">
        <v>24</v>
      </c>
      <c r="D51" s="1" t="s">
        <v>24</v>
      </c>
      <c r="E51" s="1" t="s">
        <v>24</v>
      </c>
      <c r="F51" s="1" t="s">
        <v>24</v>
      </c>
      <c r="G51" s="1" t="s">
        <v>24</v>
      </c>
      <c r="H51" s="1" t="s">
        <v>24</v>
      </c>
      <c r="I51" s="1" t="s">
        <v>24</v>
      </c>
      <c r="J51" s="1" t="s">
        <v>24</v>
      </c>
      <c r="K51" s="1" t="s">
        <v>24</v>
      </c>
      <c r="L51" s="1" t="s">
        <v>24</v>
      </c>
      <c r="M51" s="73" t="s">
        <v>99</v>
      </c>
      <c r="N51" s="73" t="n">
        <f>(N27+N28+N29+N30+N31+N32+N33+N34+N35+N36+N37+N38+N39+N40+N41+N42+N43+N44+N45+N46+N47+N48+N49+N50)</f>
        <v>0.0</v>
      </c>
      <c r="O51" s="73" t="s">
        <v>24</v>
      </c>
    </row>
    <row r="52">
      <c r="A52" s="55" t="s">
        <v>131</v>
      </c>
      <c r="B52" s="12" t="s">
        <v>132</v>
      </c>
      <c r="C52" s="47" t="s">
        <v>17</v>
      </c>
      <c r="D52" s="47" t="s">
        <v>133</v>
      </c>
      <c r="E52" s="47" t="s">
        <v>19</v>
      </c>
      <c r="F52" s="43" t="s">
        <v>20</v>
      </c>
      <c r="G52" s="43" t="s">
        <v>134</v>
      </c>
      <c r="H52" s="43" t="s">
        <v>22</v>
      </c>
      <c r="I52" s="48" t="s">
        <v>23</v>
      </c>
      <c r="J52" s="48" t="s">
        <v>24</v>
      </c>
      <c r="K52" s="48" t="n">
        <v>21112.44</v>
      </c>
      <c r="L52" s="48" t="n">
        <f>(K52*I52)</f>
        <v>21112.44</v>
      </c>
      <c r="M52" s="48" t="n">
        <v>0.0</v>
      </c>
      <c r="N52" s="48" t="n">
        <f>ROUND(ROUND(K52*(1-M52/100), 2)*I52, 2)</f>
        <v>21112.44</v>
      </c>
      <c r="O52" s="47" t="s">
        <v>24</v>
      </c>
    </row>
    <row r="53">
      <c r="A53" s="48" t="s">
        <v>135</v>
      </c>
      <c r="B53" s="44" t="s">
        <v>136</v>
      </c>
      <c r="C53" s="47" t="s">
        <v>17</v>
      </c>
      <c r="D53" s="47" t="s">
        <v>137</v>
      </c>
      <c r="E53" s="47" t="s">
        <v>24</v>
      </c>
      <c r="F53" s="43" t="s">
        <v>28</v>
      </c>
      <c r="G53" s="43" t="s">
        <v>20</v>
      </c>
      <c r="H53" s="43" t="s">
        <v>22</v>
      </c>
      <c r="I53" s="48" t="s">
        <v>23</v>
      </c>
      <c r="J53" s="48" t="s">
        <v>24</v>
      </c>
      <c r="K53" s="48" t="n">
        <v>6344.25</v>
      </c>
      <c r="L53" s="48" t="n">
        <f>(K53*I53)</f>
        <v>6344.25</v>
      </c>
      <c r="M53" s="48" t="n">
        <v>0.0</v>
      </c>
      <c r="N53" s="48" t="n">
        <f>ROUND(ROUND(K53*(1-M53/100), 2)*I53, 2)</f>
        <v>6344.25</v>
      </c>
      <c r="O53" s="47" t="s">
        <v>29</v>
      </c>
    </row>
    <row r="54">
      <c r="A54" s="48" t="s">
        <v>138</v>
      </c>
      <c r="B54" s="44" t="s">
        <v>31</v>
      </c>
      <c r="C54" s="47" t="s">
        <v>32</v>
      </c>
      <c r="D54" s="47" t="s">
        <v>33</v>
      </c>
      <c r="E54" s="47" t="s">
        <v>24</v>
      </c>
      <c r="F54" s="43" t="s">
        <v>20</v>
      </c>
      <c r="G54" s="43" t="s">
        <v>34</v>
      </c>
      <c r="H54" s="43" t="s">
        <v>22</v>
      </c>
      <c r="I54" s="48" t="s">
        <v>23</v>
      </c>
      <c r="J54" s="48" t="s">
        <v>24</v>
      </c>
      <c r="K54" s="48" t="n">
        <v>0.0</v>
      </c>
      <c r="L54" s="48" t="n">
        <f>(K54*I54)</f>
        <v>0.0</v>
      </c>
      <c r="M54" s="48" t="n">
        <v>0.0</v>
      </c>
      <c r="N54" s="48" t="n">
        <f>ROUND(ROUND(K54*(1-M54/100), 2)*I54, 2)</f>
        <v>0.0</v>
      </c>
      <c r="O54" s="47" t="s">
        <v>24</v>
      </c>
    </row>
    <row r="55">
      <c r="A55" s="48" t="s">
        <v>139</v>
      </c>
      <c r="B55" s="45" t="s">
        <v>36</v>
      </c>
      <c r="C55" s="47" t="s">
        <v>17</v>
      </c>
      <c r="D55" s="47" t="s">
        <v>37</v>
      </c>
      <c r="E55" s="47" t="s">
        <v>24</v>
      </c>
      <c r="F55" s="43" t="s">
        <v>28</v>
      </c>
      <c r="G55" s="43" t="s">
        <v>20</v>
      </c>
      <c r="H55" s="43" t="s">
        <v>22</v>
      </c>
      <c r="I55" s="48" t="s">
        <v>23</v>
      </c>
      <c r="J55" s="48" t="s">
        <v>24</v>
      </c>
      <c r="K55" s="48" t="n">
        <v>915.75</v>
      </c>
      <c r="L55" s="48" t="n">
        <f>(K55*I55)</f>
        <v>915.75</v>
      </c>
      <c r="M55" s="48" t="n">
        <v>0.0</v>
      </c>
      <c r="N55" s="48" t="n">
        <f>ROUND(ROUND(K55*(1-M55/100), 2)*I55, 2)</f>
        <v>915.75</v>
      </c>
      <c r="O55" s="47" t="s">
        <v>29</v>
      </c>
    </row>
    <row r="56">
      <c r="A56" s="48" t="s">
        <v>140</v>
      </c>
      <c r="B56" s="45" t="s">
        <v>39</v>
      </c>
      <c r="C56" s="47" t="s">
        <v>17</v>
      </c>
      <c r="D56" s="47" t="s">
        <v>40</v>
      </c>
      <c r="E56" s="47" t="s">
        <v>24</v>
      </c>
      <c r="F56" s="43" t="s">
        <v>28</v>
      </c>
      <c r="G56" s="43" t="s">
        <v>20</v>
      </c>
      <c r="H56" s="43" t="s">
        <v>22</v>
      </c>
      <c r="I56" s="48" t="s">
        <v>23</v>
      </c>
      <c r="J56" s="48" t="s">
        <v>24</v>
      </c>
      <c r="K56" s="48" t="n">
        <v>4437.29</v>
      </c>
      <c r="L56" s="48" t="n">
        <f>(K56*I56)</f>
        <v>4437.29</v>
      </c>
      <c r="M56" s="48" t="n">
        <v>0.0</v>
      </c>
      <c r="N56" s="48" t="n">
        <f>ROUND(ROUND(K56*(1-M56/100), 2)*I56, 2)</f>
        <v>4437.29</v>
      </c>
      <c r="O56" s="47" t="s">
        <v>24</v>
      </c>
    </row>
    <row r="57">
      <c r="A57" s="48" t="s">
        <v>141</v>
      </c>
      <c r="B57" s="44" t="s">
        <v>42</v>
      </c>
      <c r="C57" s="47" t="s">
        <v>32</v>
      </c>
      <c r="D57" s="47" t="s">
        <v>43</v>
      </c>
      <c r="E57" s="47" t="s">
        <v>24</v>
      </c>
      <c r="F57" s="43" t="s">
        <v>20</v>
      </c>
      <c r="G57" s="43" t="s">
        <v>34</v>
      </c>
      <c r="H57" s="43" t="s">
        <v>32</v>
      </c>
      <c r="I57" s="48" t="s">
        <v>23</v>
      </c>
      <c r="J57" s="48" t="s">
        <v>24</v>
      </c>
      <c r="K57" s="48" t="n">
        <v>0.0</v>
      </c>
      <c r="L57" s="48" t="n">
        <f>(K57*I57)</f>
        <v>0.0</v>
      </c>
      <c r="M57" s="48" t="n">
        <v>0.0</v>
      </c>
      <c r="N57" s="48" t="n">
        <f>ROUND(ROUND(K57*(1-M57/100), 2)*I57, 2)</f>
        <v>0.0</v>
      </c>
      <c r="O57" s="47" t="s">
        <v>24</v>
      </c>
    </row>
    <row r="58">
      <c r="A58" s="48" t="s">
        <v>142</v>
      </c>
      <c r="B58" s="45" t="s">
        <v>45</v>
      </c>
      <c r="C58" s="47" t="s">
        <v>17</v>
      </c>
      <c r="D58" s="47" t="s">
        <v>46</v>
      </c>
      <c r="E58" s="47" t="s">
        <v>24</v>
      </c>
      <c r="F58" s="43" t="s">
        <v>28</v>
      </c>
      <c r="G58" s="43" t="s">
        <v>20</v>
      </c>
      <c r="H58" s="43" t="s">
        <v>22</v>
      </c>
      <c r="I58" s="48" t="s">
        <v>23</v>
      </c>
      <c r="J58" s="48" t="s">
        <v>24</v>
      </c>
      <c r="K58" s="48" t="n">
        <v>0.0</v>
      </c>
      <c r="L58" s="48" t="n">
        <f>(K58*I58)</f>
        <v>0.0</v>
      </c>
      <c r="M58" s="48" t="n">
        <v>0.0</v>
      </c>
      <c r="N58" s="48" t="n">
        <f>ROUND(ROUND(K58*(1-M58/100), 2)*I58, 2)</f>
        <v>0.0</v>
      </c>
      <c r="O58" s="47" t="s">
        <v>24</v>
      </c>
    </row>
    <row r="59">
      <c r="A59" s="48" t="s">
        <v>143</v>
      </c>
      <c r="B59" s="44" t="s">
        <v>48</v>
      </c>
      <c r="C59" s="47" t="s">
        <v>32</v>
      </c>
      <c r="D59" s="47" t="s">
        <v>49</v>
      </c>
      <c r="E59" s="47" t="s">
        <v>24</v>
      </c>
      <c r="F59" s="43" t="s">
        <v>20</v>
      </c>
      <c r="G59" s="43" t="s">
        <v>34</v>
      </c>
      <c r="H59" s="43" t="s">
        <v>32</v>
      </c>
      <c r="I59" s="48" t="s">
        <v>23</v>
      </c>
      <c r="J59" s="48" t="s">
        <v>24</v>
      </c>
      <c r="K59" s="48" t="n">
        <v>0.0</v>
      </c>
      <c r="L59" s="48" t="n">
        <f>(K59*I59)</f>
        <v>0.0</v>
      </c>
      <c r="M59" s="48" t="n">
        <v>0.0</v>
      </c>
      <c r="N59" s="48" t="n">
        <f>ROUND(ROUND(K59*(1-M59/100), 2)*I59, 2)</f>
        <v>0.0</v>
      </c>
      <c r="O59" s="47" t="s">
        <v>24</v>
      </c>
    </row>
    <row r="60">
      <c r="A60" s="48" t="s">
        <v>144</v>
      </c>
      <c r="B60" s="45" t="s">
        <v>51</v>
      </c>
      <c r="C60" s="47" t="s">
        <v>17</v>
      </c>
      <c r="D60" s="47" t="s">
        <v>52</v>
      </c>
      <c r="E60" s="47" t="s">
        <v>24</v>
      </c>
      <c r="F60" s="43" t="s">
        <v>28</v>
      </c>
      <c r="G60" s="43" t="s">
        <v>20</v>
      </c>
      <c r="H60" s="43" t="s">
        <v>22</v>
      </c>
      <c r="I60" s="48" t="s">
        <v>23</v>
      </c>
      <c r="J60" s="48" t="s">
        <v>24</v>
      </c>
      <c r="K60" s="48" t="n">
        <v>0.0</v>
      </c>
      <c r="L60" s="48" t="n">
        <f>(K60*I60)</f>
        <v>0.0</v>
      </c>
      <c r="M60" s="48" t="n">
        <v>0.0</v>
      </c>
      <c r="N60" s="48" t="n">
        <f>ROUND(ROUND(K60*(1-M60/100), 2)*I60, 2)</f>
        <v>0.0</v>
      </c>
      <c r="O60" s="47" t="s">
        <v>24</v>
      </c>
    </row>
    <row r="61">
      <c r="A61" s="48" t="s">
        <v>145</v>
      </c>
      <c r="B61" s="44" t="s">
        <v>54</v>
      </c>
      <c r="C61" s="47" t="s">
        <v>32</v>
      </c>
      <c r="D61" s="47" t="s">
        <v>55</v>
      </c>
      <c r="E61" s="47" t="s">
        <v>24</v>
      </c>
      <c r="F61" s="43" t="s">
        <v>20</v>
      </c>
      <c r="G61" s="43" t="s">
        <v>34</v>
      </c>
      <c r="H61" s="43" t="s">
        <v>32</v>
      </c>
      <c r="I61" s="48" t="s">
        <v>23</v>
      </c>
      <c r="J61" s="48" t="s">
        <v>24</v>
      </c>
      <c r="K61" s="48" t="n">
        <v>0.0</v>
      </c>
      <c r="L61" s="48" t="n">
        <f>(K61*I61)</f>
        <v>0.0</v>
      </c>
      <c r="M61" s="48" t="n">
        <v>0.0</v>
      </c>
      <c r="N61" s="48" t="n">
        <f>ROUND(ROUND(K61*(1-M61/100), 2)*I61, 2)</f>
        <v>0.0</v>
      </c>
      <c r="O61" s="47" t="s">
        <v>24</v>
      </c>
    </row>
    <row r="62">
      <c r="A62" s="48" t="s">
        <v>146</v>
      </c>
      <c r="B62" s="44" t="s">
        <v>57</v>
      </c>
      <c r="C62" s="47" t="s">
        <v>17</v>
      </c>
      <c r="D62" s="47" t="s">
        <v>58</v>
      </c>
      <c r="E62" s="47" t="s">
        <v>24</v>
      </c>
      <c r="F62" s="43" t="s">
        <v>20</v>
      </c>
      <c r="G62" s="43" t="s">
        <v>34</v>
      </c>
      <c r="H62" s="43" t="s">
        <v>32</v>
      </c>
      <c r="I62" s="48" t="s">
        <v>23</v>
      </c>
      <c r="J62" s="48" t="s">
        <v>24</v>
      </c>
      <c r="K62" s="48" t="n">
        <v>0.0</v>
      </c>
      <c r="L62" s="48" t="n">
        <f>(K62*I62)</f>
        <v>0.0</v>
      </c>
      <c r="M62" s="48" t="n">
        <v>0.0</v>
      </c>
      <c r="N62" s="48" t="n">
        <f>ROUND(ROUND(K62*(1-M62/100), 2)*I62, 2)</f>
        <v>0.0</v>
      </c>
      <c r="O62" s="47" t="s">
        <v>24</v>
      </c>
    </row>
    <row r="63">
      <c r="A63" s="48" t="s">
        <v>147</v>
      </c>
      <c r="B63" s="44" t="s">
        <v>60</v>
      </c>
      <c r="C63" s="47" t="s">
        <v>17</v>
      </c>
      <c r="D63" s="47" t="s">
        <v>61</v>
      </c>
      <c r="E63" s="47" t="s">
        <v>24</v>
      </c>
      <c r="F63" s="43" t="s">
        <v>20</v>
      </c>
      <c r="G63" s="43" t="s">
        <v>34</v>
      </c>
      <c r="H63" s="43" t="s">
        <v>32</v>
      </c>
      <c r="I63" s="48" t="s">
        <v>23</v>
      </c>
      <c r="J63" s="48" t="s">
        <v>24</v>
      </c>
      <c r="K63" s="48" t="n">
        <v>0.0</v>
      </c>
      <c r="L63" s="48" t="n">
        <f>(K63*I63)</f>
        <v>0.0</v>
      </c>
      <c r="M63" s="48" t="n">
        <v>0.0</v>
      </c>
      <c r="N63" s="48" t="n">
        <f>ROUND(ROUND(K63*(1-M63/100), 2)*I63, 2)</f>
        <v>0.0</v>
      </c>
      <c r="O63" s="47" t="s">
        <v>24</v>
      </c>
    </row>
    <row r="64">
      <c r="A64" s="48" t="s">
        <v>148</v>
      </c>
      <c r="B64" s="44" t="s">
        <v>63</v>
      </c>
      <c r="C64" s="47" t="s">
        <v>17</v>
      </c>
      <c r="D64" s="47" t="s">
        <v>64</v>
      </c>
      <c r="E64" s="47" t="s">
        <v>24</v>
      </c>
      <c r="F64" s="43" t="s">
        <v>20</v>
      </c>
      <c r="G64" s="43" t="s">
        <v>34</v>
      </c>
      <c r="H64" s="43" t="s">
        <v>32</v>
      </c>
      <c r="I64" s="48" t="s">
        <v>23</v>
      </c>
      <c r="J64" s="48" t="s">
        <v>24</v>
      </c>
      <c r="K64" s="48" t="n">
        <v>0.0</v>
      </c>
      <c r="L64" s="48" t="n">
        <f>(K64*I64)</f>
        <v>0.0</v>
      </c>
      <c r="M64" s="48" t="n">
        <v>0.0</v>
      </c>
      <c r="N64" s="48" t="n">
        <f>ROUND(ROUND(K64*(1-M64/100), 2)*I64, 2)</f>
        <v>0.0</v>
      </c>
      <c r="O64" s="47" t="s">
        <v>24</v>
      </c>
    </row>
    <row r="65">
      <c r="A65" s="48" t="s">
        <v>149</v>
      </c>
      <c r="B65" s="44" t="s">
        <v>66</v>
      </c>
      <c r="C65" s="47" t="s">
        <v>17</v>
      </c>
      <c r="D65" s="47" t="s">
        <v>67</v>
      </c>
      <c r="E65" s="47" t="s">
        <v>24</v>
      </c>
      <c r="F65" s="43" t="s">
        <v>20</v>
      </c>
      <c r="G65" s="43" t="s">
        <v>34</v>
      </c>
      <c r="H65" s="43" t="s">
        <v>32</v>
      </c>
      <c r="I65" s="48" t="s">
        <v>23</v>
      </c>
      <c r="J65" s="48" t="s">
        <v>24</v>
      </c>
      <c r="K65" s="48" t="n">
        <v>0.0</v>
      </c>
      <c r="L65" s="48" t="n">
        <f>(K65*I65)</f>
        <v>0.0</v>
      </c>
      <c r="M65" s="48" t="n">
        <v>0.0</v>
      </c>
      <c r="N65" s="48" t="n">
        <f>ROUND(ROUND(K65*(1-M65/100), 2)*I65, 2)</f>
        <v>0.0</v>
      </c>
      <c r="O65" s="47" t="s">
        <v>24</v>
      </c>
    </row>
    <row r="66">
      <c r="A66" s="48" t="s">
        <v>150</v>
      </c>
      <c r="B66" s="44" t="s">
        <v>69</v>
      </c>
      <c r="C66" s="47" t="s">
        <v>17</v>
      </c>
      <c r="D66" s="47" t="s">
        <v>70</v>
      </c>
      <c r="E66" s="47" t="s">
        <v>24</v>
      </c>
      <c r="F66" s="43" t="s">
        <v>20</v>
      </c>
      <c r="G66" s="43" t="s">
        <v>34</v>
      </c>
      <c r="H66" s="43" t="s">
        <v>32</v>
      </c>
      <c r="I66" s="48" t="s">
        <v>23</v>
      </c>
      <c r="J66" s="48" t="s">
        <v>24</v>
      </c>
      <c r="K66" s="48" t="n">
        <v>0.0</v>
      </c>
      <c r="L66" s="48" t="n">
        <f>(K66*I66)</f>
        <v>0.0</v>
      </c>
      <c r="M66" s="48" t="n">
        <v>0.0</v>
      </c>
      <c r="N66" s="48" t="n">
        <f>ROUND(ROUND(K66*(1-M66/100), 2)*I66, 2)</f>
        <v>0.0</v>
      </c>
      <c r="O66" s="47" t="s">
        <v>24</v>
      </c>
    </row>
    <row r="67">
      <c r="A67" s="48" t="s">
        <v>151</v>
      </c>
      <c r="B67" s="44" t="s">
        <v>72</v>
      </c>
      <c r="C67" s="47" t="s">
        <v>17</v>
      </c>
      <c r="D67" s="47" t="s">
        <v>73</v>
      </c>
      <c r="E67" s="47" t="s">
        <v>24</v>
      </c>
      <c r="F67" s="43" t="s">
        <v>20</v>
      </c>
      <c r="G67" s="43" t="s">
        <v>34</v>
      </c>
      <c r="H67" s="43" t="s">
        <v>22</v>
      </c>
      <c r="I67" s="48" t="s">
        <v>23</v>
      </c>
      <c r="J67" s="48" t="s">
        <v>24</v>
      </c>
      <c r="K67" s="48" t="n">
        <v>0.0</v>
      </c>
      <c r="L67" s="48" t="n">
        <f>(K67*I67)</f>
        <v>0.0</v>
      </c>
      <c r="M67" s="48" t="n">
        <v>0.0</v>
      </c>
      <c r="N67" s="48" t="n">
        <f>ROUND(ROUND(K67*(1-M67/100), 2)*I67, 2)</f>
        <v>0.0</v>
      </c>
      <c r="O67" s="47" t="s">
        <v>24</v>
      </c>
    </row>
    <row r="68">
      <c r="A68" s="48" t="s">
        <v>152</v>
      </c>
      <c r="B68" s="44" t="s">
        <v>75</v>
      </c>
      <c r="C68" s="47" t="s">
        <v>17</v>
      </c>
      <c r="D68" s="47" t="s">
        <v>76</v>
      </c>
      <c r="E68" s="47" t="s">
        <v>24</v>
      </c>
      <c r="F68" s="43" t="s">
        <v>20</v>
      </c>
      <c r="G68" s="43" t="s">
        <v>34</v>
      </c>
      <c r="H68" s="43" t="s">
        <v>22</v>
      </c>
      <c r="I68" s="48" t="s">
        <v>23</v>
      </c>
      <c r="J68" s="48" t="s">
        <v>24</v>
      </c>
      <c r="K68" s="48" t="n">
        <v>3162.96</v>
      </c>
      <c r="L68" s="48" t="n">
        <f>(K68*I68)</f>
        <v>3162.96</v>
      </c>
      <c r="M68" s="48" t="n">
        <v>0.0</v>
      </c>
      <c r="N68" s="48" t="n">
        <f>ROUND(ROUND(K68*(1-M68/100), 2)*I68, 2)</f>
        <v>3162.96</v>
      </c>
      <c r="O68" s="47" t="s">
        <v>24</v>
      </c>
    </row>
    <row r="69">
      <c r="A69" s="48" t="s">
        <v>153</v>
      </c>
      <c r="B69" s="44" t="s">
        <v>78</v>
      </c>
      <c r="C69" s="47" t="s">
        <v>17</v>
      </c>
      <c r="D69" s="47" t="s">
        <v>79</v>
      </c>
      <c r="E69" s="47" t="s">
        <v>24</v>
      </c>
      <c r="F69" s="43" t="s">
        <v>20</v>
      </c>
      <c r="G69" s="43" t="s">
        <v>34</v>
      </c>
      <c r="H69" s="43" t="s">
        <v>22</v>
      </c>
      <c r="I69" s="48" t="s">
        <v>23</v>
      </c>
      <c r="J69" s="48" t="s">
        <v>24</v>
      </c>
      <c r="K69" s="48" t="n">
        <v>121.7</v>
      </c>
      <c r="L69" s="48" t="n">
        <f>(K69*I69)</f>
        <v>121.7</v>
      </c>
      <c r="M69" s="48" t="n">
        <v>0.0</v>
      </c>
      <c r="N69" s="48" t="n">
        <f>ROUND(ROUND(K69*(1-M69/100), 2)*I69, 2)</f>
        <v>121.7</v>
      </c>
      <c r="O69" s="47" t="s">
        <v>24</v>
      </c>
    </row>
    <row r="70">
      <c r="A70" s="48" t="s">
        <v>154</v>
      </c>
      <c r="B70" s="44" t="s">
        <v>81</v>
      </c>
      <c r="C70" s="47" t="s">
        <v>17</v>
      </c>
      <c r="D70" s="47" t="s">
        <v>82</v>
      </c>
      <c r="E70" s="47" t="s">
        <v>24</v>
      </c>
      <c r="F70" s="43" t="s">
        <v>20</v>
      </c>
      <c r="G70" s="43" t="s">
        <v>34</v>
      </c>
      <c r="H70" s="43" t="s">
        <v>22</v>
      </c>
      <c r="I70" s="48" t="s">
        <v>23</v>
      </c>
      <c r="J70" s="48" t="s">
        <v>24</v>
      </c>
      <c r="K70" s="48" t="n">
        <v>115.62</v>
      </c>
      <c r="L70" s="48" t="n">
        <f>(K70*I70)</f>
        <v>115.62</v>
      </c>
      <c r="M70" s="48" t="n">
        <v>0.0</v>
      </c>
      <c r="N70" s="48" t="n">
        <f>ROUND(ROUND(K70*(1-M70/100), 2)*I70, 2)</f>
        <v>115.62</v>
      </c>
      <c r="O70" s="47" t="s">
        <v>24</v>
      </c>
    </row>
    <row r="71">
      <c r="A71" s="48" t="s">
        <v>155</v>
      </c>
      <c r="B71" s="44" t="s">
        <v>84</v>
      </c>
      <c r="C71" s="47" t="s">
        <v>17</v>
      </c>
      <c r="D71" s="47" t="s">
        <v>85</v>
      </c>
      <c r="E71" s="47" t="s">
        <v>24</v>
      </c>
      <c r="F71" s="43" t="s">
        <v>20</v>
      </c>
      <c r="G71" s="43" t="s">
        <v>34</v>
      </c>
      <c r="H71" s="43" t="s">
        <v>32</v>
      </c>
      <c r="I71" s="48" t="s">
        <v>23</v>
      </c>
      <c r="J71" s="48" t="s">
        <v>24</v>
      </c>
      <c r="K71" s="48" t="n">
        <v>0.0</v>
      </c>
      <c r="L71" s="48" t="n">
        <f>(K71*I71)</f>
        <v>0.0</v>
      </c>
      <c r="M71" s="48" t="n">
        <v>0.0</v>
      </c>
      <c r="N71" s="48" t="n">
        <f>ROUND(ROUND(K71*(1-M71/100), 2)*I71, 2)</f>
        <v>0.0</v>
      </c>
      <c r="O71" s="47" t="s">
        <v>24</v>
      </c>
    </row>
    <row r="72">
      <c r="A72" s="48" t="s">
        <v>156</v>
      </c>
      <c r="B72" s="44" t="s">
        <v>87</v>
      </c>
      <c r="C72" s="47" t="s">
        <v>17</v>
      </c>
      <c r="D72" s="47" t="s">
        <v>88</v>
      </c>
      <c r="E72" s="47" t="s">
        <v>24</v>
      </c>
      <c r="F72" s="43" t="s">
        <v>20</v>
      </c>
      <c r="G72" s="43" t="s">
        <v>34</v>
      </c>
      <c r="H72" s="43" t="s">
        <v>32</v>
      </c>
      <c r="I72" s="48" t="s">
        <v>23</v>
      </c>
      <c r="J72" s="48" t="s">
        <v>24</v>
      </c>
      <c r="K72" s="48" t="n">
        <v>0.0</v>
      </c>
      <c r="L72" s="48" t="n">
        <f>(K72*I72)</f>
        <v>0.0</v>
      </c>
      <c r="M72" s="48" t="n">
        <v>0.0</v>
      </c>
      <c r="N72" s="48" t="n">
        <f>ROUND(ROUND(K72*(1-M72/100), 2)*I72, 2)</f>
        <v>0.0</v>
      </c>
      <c r="O72" s="47" t="s">
        <v>24</v>
      </c>
    </row>
    <row r="73">
      <c r="A73" s="48" t="s">
        <v>157</v>
      </c>
      <c r="B73" s="44" t="s">
        <v>90</v>
      </c>
      <c r="C73" s="47" t="s">
        <v>17</v>
      </c>
      <c r="D73" s="47" t="s">
        <v>91</v>
      </c>
      <c r="E73" s="47" t="s">
        <v>24</v>
      </c>
      <c r="F73" s="43" t="s">
        <v>20</v>
      </c>
      <c r="G73" s="43" t="s">
        <v>34</v>
      </c>
      <c r="H73" s="43" t="s">
        <v>32</v>
      </c>
      <c r="I73" s="48" t="s">
        <v>23</v>
      </c>
      <c r="J73" s="48" t="s">
        <v>24</v>
      </c>
      <c r="K73" s="48" t="n">
        <v>0.0</v>
      </c>
      <c r="L73" s="48" t="n">
        <f>(K73*I73)</f>
        <v>0.0</v>
      </c>
      <c r="M73" s="48" t="n">
        <v>0.0</v>
      </c>
      <c r="N73" s="48" t="n">
        <f>ROUND(ROUND(K73*(1-M73/100), 2)*I73, 2)</f>
        <v>0.0</v>
      </c>
      <c r="O73" s="47" t="s">
        <v>24</v>
      </c>
    </row>
    <row r="74">
      <c r="A74" s="48" t="s">
        <v>158</v>
      </c>
      <c r="B74" s="44" t="s">
        <v>96</v>
      </c>
      <c r="C74" s="47" t="s">
        <v>32</v>
      </c>
      <c r="D74" s="47" t="s">
        <v>97</v>
      </c>
      <c r="E74" s="47" t="s">
        <v>24</v>
      </c>
      <c r="F74" s="43" t="s">
        <v>20</v>
      </c>
      <c r="G74" s="43" t="s">
        <v>98</v>
      </c>
      <c r="H74" s="43" t="s">
        <v>32</v>
      </c>
      <c r="I74" s="48" t="s">
        <v>23</v>
      </c>
      <c r="J74" s="48" t="s">
        <v>24</v>
      </c>
      <c r="K74" s="48" t="n">
        <v>0.0</v>
      </c>
      <c r="L74" s="48" t="n">
        <f>(K74*I74)</f>
        <v>0.0</v>
      </c>
      <c r="M74" s="48" t="n">
        <v>0.0</v>
      </c>
      <c r="N74" s="48" t="n">
        <f>ROUND(ROUND(K74*(1-M74/100), 2)*I74, 2)</f>
        <v>0.0</v>
      </c>
      <c r="O74" s="47" t="s">
        <v>24</v>
      </c>
    </row>
    <row r="75">
      <c r="A75" s="48" t="s">
        <v>159</v>
      </c>
      <c r="B75" s="44" t="s">
        <v>93</v>
      </c>
      <c r="C75" s="47" t="s">
        <v>17</v>
      </c>
      <c r="D75" s="47" t="s">
        <v>94</v>
      </c>
      <c r="E75" s="47" t="s">
        <v>24</v>
      </c>
      <c r="F75" s="43" t="s">
        <v>20</v>
      </c>
      <c r="G75" s="43" t="s">
        <v>34</v>
      </c>
      <c r="H75" s="43" t="s">
        <v>22</v>
      </c>
      <c r="I75" s="48" t="s">
        <v>23</v>
      </c>
      <c r="J75" s="48" t="s">
        <v>24</v>
      </c>
      <c r="K75" s="48" t="n">
        <v>3103.4</v>
      </c>
      <c r="L75" s="48" t="n">
        <f>(K75*I75)</f>
        <v>3103.4</v>
      </c>
      <c r="M75" s="48" t="n">
        <v>0.0</v>
      </c>
      <c r="N75" s="48" t="n">
        <f>ROUND(ROUND(K75*(1-M75/100), 2)*I75, 2)</f>
        <v>3103.4</v>
      </c>
      <c r="O75" s="47" t="s">
        <v>24</v>
      </c>
    </row>
    <row r="76">
      <c r="A76" s="1" t="s">
        <v>24</v>
      </c>
      <c r="B76" s="1" t="s">
        <v>24</v>
      </c>
      <c r="C76" s="1" t="s">
        <v>24</v>
      </c>
      <c r="D76" s="1" t="s">
        <v>24</v>
      </c>
      <c r="E76" s="1" t="s">
        <v>24</v>
      </c>
      <c r="F76" s="1" t="s">
        <v>24</v>
      </c>
      <c r="G76" s="1" t="s">
        <v>24</v>
      </c>
      <c r="H76" s="1" t="s">
        <v>24</v>
      </c>
      <c r="I76" s="1" t="s">
        <v>24</v>
      </c>
      <c r="J76" s="1" t="s">
        <v>24</v>
      </c>
      <c r="K76" s="1" t="s">
        <v>24</v>
      </c>
      <c r="L76" s="1" t="s">
        <v>24</v>
      </c>
      <c r="M76" s="73" t="s">
        <v>99</v>
      </c>
      <c r="N76" s="73" t="n">
        <f>(N52+N53+N54+N55+N56+N57+N58+N59+N60+N61+N62+N63+N64+N65+N66+N67+N68+N69+N70+N71+N72+N73+N74+N75)</f>
        <v>0.0</v>
      </c>
      <c r="O76" s="73" t="s">
        <v>24</v>
      </c>
    </row>
    <row r="77">
      <c r="A77" s="55" t="s">
        <v>160</v>
      </c>
      <c r="B77" s="12" t="s">
        <v>161</v>
      </c>
      <c r="C77" s="47" t="s">
        <v>17</v>
      </c>
      <c r="D77" s="47" t="s">
        <v>162</v>
      </c>
      <c r="E77" s="47" t="s">
        <v>19</v>
      </c>
      <c r="F77" s="43" t="s">
        <v>20</v>
      </c>
      <c r="G77" s="43" t="s">
        <v>163</v>
      </c>
      <c r="H77" s="43" t="s">
        <v>22</v>
      </c>
      <c r="I77" s="48" t="s">
        <v>23</v>
      </c>
      <c r="J77" s="48" t="s">
        <v>24</v>
      </c>
      <c r="K77" s="48" t="n">
        <v>20098.47</v>
      </c>
      <c r="L77" s="48" t="n">
        <f>(K77*I77)</f>
        <v>20098.47</v>
      </c>
      <c r="M77" s="48" t="n">
        <v>0.0</v>
      </c>
      <c r="N77" s="48" t="n">
        <f>ROUND(ROUND(K77*(1-M77/100), 2)*I77, 2)</f>
        <v>20098.47</v>
      </c>
      <c r="O77" s="47" t="s">
        <v>24</v>
      </c>
    </row>
    <row r="78">
      <c r="A78" s="48" t="s">
        <v>164</v>
      </c>
      <c r="B78" s="44" t="s">
        <v>165</v>
      </c>
      <c r="C78" s="47" t="s">
        <v>17</v>
      </c>
      <c r="D78" s="47" t="s">
        <v>166</v>
      </c>
      <c r="E78" s="47" t="s">
        <v>24</v>
      </c>
      <c r="F78" s="43" t="s">
        <v>28</v>
      </c>
      <c r="G78" s="43" t="s">
        <v>20</v>
      </c>
      <c r="H78" s="43" t="s">
        <v>22</v>
      </c>
      <c r="I78" s="48" t="s">
        <v>23</v>
      </c>
      <c r="J78" s="48" t="s">
        <v>24</v>
      </c>
      <c r="K78" s="48" t="n">
        <v>6039.0</v>
      </c>
      <c r="L78" s="48" t="n">
        <f>(K78*I78)</f>
        <v>6039.0</v>
      </c>
      <c r="M78" s="48" t="n">
        <v>0.0</v>
      </c>
      <c r="N78" s="48" t="n">
        <f>ROUND(ROUND(K78*(1-M78/100), 2)*I78, 2)</f>
        <v>6039.0</v>
      </c>
      <c r="O78" s="47" t="s">
        <v>29</v>
      </c>
    </row>
    <row r="79">
      <c r="A79" s="48" t="s">
        <v>167</v>
      </c>
      <c r="B79" s="44" t="s">
        <v>168</v>
      </c>
      <c r="C79" s="47" t="s">
        <v>32</v>
      </c>
      <c r="D79" s="47" t="s">
        <v>169</v>
      </c>
      <c r="E79" s="47" t="s">
        <v>24</v>
      </c>
      <c r="F79" s="43" t="s">
        <v>20</v>
      </c>
      <c r="G79" s="43" t="s">
        <v>34</v>
      </c>
      <c r="H79" s="43" t="s">
        <v>22</v>
      </c>
      <c r="I79" s="48" t="s">
        <v>23</v>
      </c>
      <c r="J79" s="48" t="s">
        <v>24</v>
      </c>
      <c r="K79" s="48" t="n">
        <v>0.0</v>
      </c>
      <c r="L79" s="48" t="n">
        <f>(K79*I79)</f>
        <v>0.0</v>
      </c>
      <c r="M79" s="48" t="n">
        <v>0.0</v>
      </c>
      <c r="N79" s="48" t="n">
        <f>ROUND(ROUND(K79*(1-M79/100), 2)*I79, 2)</f>
        <v>0.0</v>
      </c>
      <c r="O79" s="47" t="s">
        <v>24</v>
      </c>
    </row>
    <row r="80">
      <c r="A80" s="48" t="s">
        <v>170</v>
      </c>
      <c r="B80" s="45" t="s">
        <v>171</v>
      </c>
      <c r="C80" s="47" t="s">
        <v>17</v>
      </c>
      <c r="D80" s="47" t="s">
        <v>37</v>
      </c>
      <c r="E80" s="47" t="s">
        <v>24</v>
      </c>
      <c r="F80" s="43" t="s">
        <v>28</v>
      </c>
      <c r="G80" s="43" t="s">
        <v>20</v>
      </c>
      <c r="H80" s="43" t="s">
        <v>22</v>
      </c>
      <c r="I80" s="48" t="s">
        <v>23</v>
      </c>
      <c r="J80" s="48" t="s">
        <v>24</v>
      </c>
      <c r="K80" s="48" t="n">
        <v>486.75</v>
      </c>
      <c r="L80" s="48" t="n">
        <f>(K80*I80)</f>
        <v>486.75</v>
      </c>
      <c r="M80" s="48" t="n">
        <v>0.0</v>
      </c>
      <c r="N80" s="48" t="n">
        <f>ROUND(ROUND(K80*(1-M80/100), 2)*I80, 2)</f>
        <v>486.75</v>
      </c>
      <c r="O80" s="47" t="s">
        <v>29</v>
      </c>
    </row>
    <row r="81">
      <c r="A81" s="48" t="s">
        <v>172</v>
      </c>
      <c r="B81" s="45" t="s">
        <v>173</v>
      </c>
      <c r="C81" s="47" t="s">
        <v>17</v>
      </c>
      <c r="D81" s="47" t="s">
        <v>174</v>
      </c>
      <c r="E81" s="47" t="s">
        <v>24</v>
      </c>
      <c r="F81" s="43" t="s">
        <v>28</v>
      </c>
      <c r="G81" s="43" t="s">
        <v>20</v>
      </c>
      <c r="H81" s="43" t="s">
        <v>22</v>
      </c>
      <c r="I81" s="48" t="s">
        <v>23</v>
      </c>
      <c r="J81" s="48" t="s">
        <v>24</v>
      </c>
      <c r="K81" s="48" t="n">
        <v>2365.77</v>
      </c>
      <c r="L81" s="48" t="n">
        <f>(K81*I81)</f>
        <v>2365.77</v>
      </c>
      <c r="M81" s="48" t="n">
        <v>0.0</v>
      </c>
      <c r="N81" s="48" t="n">
        <f>ROUND(ROUND(K81*(1-M81/100), 2)*I81, 2)</f>
        <v>2365.77</v>
      </c>
      <c r="O81" s="47" t="s">
        <v>24</v>
      </c>
    </row>
    <row r="82">
      <c r="A82" s="48" t="s">
        <v>175</v>
      </c>
      <c r="B82" s="44" t="s">
        <v>42</v>
      </c>
      <c r="C82" s="47" t="s">
        <v>32</v>
      </c>
      <c r="D82" s="47" t="s">
        <v>43</v>
      </c>
      <c r="E82" s="47" t="s">
        <v>24</v>
      </c>
      <c r="F82" s="43" t="s">
        <v>20</v>
      </c>
      <c r="G82" s="43" t="s">
        <v>34</v>
      </c>
      <c r="H82" s="43" t="s">
        <v>32</v>
      </c>
      <c r="I82" s="48" t="s">
        <v>23</v>
      </c>
      <c r="J82" s="48" t="s">
        <v>24</v>
      </c>
      <c r="K82" s="48" t="n">
        <v>0.0</v>
      </c>
      <c r="L82" s="48" t="n">
        <f>(K82*I82)</f>
        <v>0.0</v>
      </c>
      <c r="M82" s="48" t="n">
        <v>0.0</v>
      </c>
      <c r="N82" s="48" t="n">
        <f>ROUND(ROUND(K82*(1-M82/100), 2)*I82, 2)</f>
        <v>0.0</v>
      </c>
      <c r="O82" s="47" t="s">
        <v>24</v>
      </c>
    </row>
    <row r="83">
      <c r="A83" s="48" t="s">
        <v>176</v>
      </c>
      <c r="B83" s="45" t="s">
        <v>45</v>
      </c>
      <c r="C83" s="47" t="s">
        <v>17</v>
      </c>
      <c r="D83" s="47" t="s">
        <v>46</v>
      </c>
      <c r="E83" s="47" t="s">
        <v>24</v>
      </c>
      <c r="F83" s="43" t="s">
        <v>28</v>
      </c>
      <c r="G83" s="43" t="s">
        <v>20</v>
      </c>
      <c r="H83" s="43" t="s">
        <v>22</v>
      </c>
      <c r="I83" s="48" t="s">
        <v>23</v>
      </c>
      <c r="J83" s="48" t="s">
        <v>24</v>
      </c>
      <c r="K83" s="48" t="n">
        <v>0.0</v>
      </c>
      <c r="L83" s="48" t="n">
        <f>(K83*I83)</f>
        <v>0.0</v>
      </c>
      <c r="M83" s="48" t="n">
        <v>0.0</v>
      </c>
      <c r="N83" s="48" t="n">
        <f>ROUND(ROUND(K83*(1-M83/100), 2)*I83, 2)</f>
        <v>0.0</v>
      </c>
      <c r="O83" s="47" t="s">
        <v>24</v>
      </c>
    </row>
    <row r="84">
      <c r="A84" s="48" t="s">
        <v>177</v>
      </c>
      <c r="B84" s="44" t="s">
        <v>48</v>
      </c>
      <c r="C84" s="47" t="s">
        <v>32</v>
      </c>
      <c r="D84" s="47" t="s">
        <v>49</v>
      </c>
      <c r="E84" s="47" t="s">
        <v>24</v>
      </c>
      <c r="F84" s="43" t="s">
        <v>20</v>
      </c>
      <c r="G84" s="43" t="s">
        <v>34</v>
      </c>
      <c r="H84" s="43" t="s">
        <v>32</v>
      </c>
      <c r="I84" s="48" t="s">
        <v>23</v>
      </c>
      <c r="J84" s="48" t="s">
        <v>24</v>
      </c>
      <c r="K84" s="48" t="n">
        <v>0.0</v>
      </c>
      <c r="L84" s="48" t="n">
        <f>(K84*I84)</f>
        <v>0.0</v>
      </c>
      <c r="M84" s="48" t="n">
        <v>0.0</v>
      </c>
      <c r="N84" s="48" t="n">
        <f>ROUND(ROUND(K84*(1-M84/100), 2)*I84, 2)</f>
        <v>0.0</v>
      </c>
      <c r="O84" s="47" t="s">
        <v>24</v>
      </c>
    </row>
    <row r="85">
      <c r="A85" s="48" t="s">
        <v>178</v>
      </c>
      <c r="B85" s="45" t="s">
        <v>51</v>
      </c>
      <c r="C85" s="47" t="s">
        <v>17</v>
      </c>
      <c r="D85" s="47" t="s">
        <v>52</v>
      </c>
      <c r="E85" s="47" t="s">
        <v>24</v>
      </c>
      <c r="F85" s="43" t="s">
        <v>28</v>
      </c>
      <c r="G85" s="43" t="s">
        <v>20</v>
      </c>
      <c r="H85" s="43" t="s">
        <v>22</v>
      </c>
      <c r="I85" s="48" t="s">
        <v>23</v>
      </c>
      <c r="J85" s="48" t="s">
        <v>24</v>
      </c>
      <c r="K85" s="48" t="n">
        <v>0.0</v>
      </c>
      <c r="L85" s="48" t="n">
        <f>(K85*I85)</f>
        <v>0.0</v>
      </c>
      <c r="M85" s="48" t="n">
        <v>0.0</v>
      </c>
      <c r="N85" s="48" t="n">
        <f>ROUND(ROUND(K85*(1-M85/100), 2)*I85, 2)</f>
        <v>0.0</v>
      </c>
      <c r="O85" s="47" t="s">
        <v>24</v>
      </c>
    </row>
    <row r="86">
      <c r="A86" s="48" t="s">
        <v>179</v>
      </c>
      <c r="B86" s="44" t="s">
        <v>180</v>
      </c>
      <c r="C86" s="47" t="s">
        <v>32</v>
      </c>
      <c r="D86" s="47" t="s">
        <v>181</v>
      </c>
      <c r="E86" s="47" t="s">
        <v>24</v>
      </c>
      <c r="F86" s="43" t="s">
        <v>20</v>
      </c>
      <c r="G86" s="43" t="s">
        <v>34</v>
      </c>
      <c r="H86" s="43" t="s">
        <v>32</v>
      </c>
      <c r="I86" s="48" t="s">
        <v>23</v>
      </c>
      <c r="J86" s="48" t="s">
        <v>24</v>
      </c>
      <c r="K86" s="48" t="n">
        <v>0.0</v>
      </c>
      <c r="L86" s="48" t="n">
        <f>(K86*I86)</f>
        <v>0.0</v>
      </c>
      <c r="M86" s="48" t="n">
        <v>0.0</v>
      </c>
      <c r="N86" s="48" t="n">
        <f>ROUND(ROUND(K86*(1-M86/100), 2)*I86, 2)</f>
        <v>0.0</v>
      </c>
      <c r="O86" s="47" t="s">
        <v>24</v>
      </c>
    </row>
    <row r="87">
      <c r="A87" s="48" t="s">
        <v>182</v>
      </c>
      <c r="B87" s="44" t="s">
        <v>57</v>
      </c>
      <c r="C87" s="47" t="s">
        <v>17</v>
      </c>
      <c r="D87" s="47" t="s">
        <v>58</v>
      </c>
      <c r="E87" s="47" t="s">
        <v>24</v>
      </c>
      <c r="F87" s="43" t="s">
        <v>20</v>
      </c>
      <c r="G87" s="43" t="s">
        <v>34</v>
      </c>
      <c r="H87" s="43" t="s">
        <v>32</v>
      </c>
      <c r="I87" s="48" t="s">
        <v>23</v>
      </c>
      <c r="J87" s="48" t="s">
        <v>24</v>
      </c>
      <c r="K87" s="48" t="n">
        <v>0.0</v>
      </c>
      <c r="L87" s="48" t="n">
        <f>(K87*I87)</f>
        <v>0.0</v>
      </c>
      <c r="M87" s="48" t="n">
        <v>0.0</v>
      </c>
      <c r="N87" s="48" t="n">
        <f>ROUND(ROUND(K87*(1-M87/100), 2)*I87, 2)</f>
        <v>0.0</v>
      </c>
      <c r="O87" s="47" t="s">
        <v>24</v>
      </c>
    </row>
    <row r="88">
      <c r="A88" s="48" t="s">
        <v>183</v>
      </c>
      <c r="B88" s="44" t="s">
        <v>60</v>
      </c>
      <c r="C88" s="47" t="s">
        <v>17</v>
      </c>
      <c r="D88" s="47" t="s">
        <v>61</v>
      </c>
      <c r="E88" s="47" t="s">
        <v>24</v>
      </c>
      <c r="F88" s="43" t="s">
        <v>20</v>
      </c>
      <c r="G88" s="43" t="s">
        <v>34</v>
      </c>
      <c r="H88" s="43" t="s">
        <v>32</v>
      </c>
      <c r="I88" s="48" t="s">
        <v>23</v>
      </c>
      <c r="J88" s="48" t="s">
        <v>24</v>
      </c>
      <c r="K88" s="48" t="n">
        <v>0.0</v>
      </c>
      <c r="L88" s="48" t="n">
        <f>(K88*I88)</f>
        <v>0.0</v>
      </c>
      <c r="M88" s="48" t="n">
        <v>0.0</v>
      </c>
      <c r="N88" s="48" t="n">
        <f>ROUND(ROUND(K88*(1-M88/100), 2)*I88, 2)</f>
        <v>0.0</v>
      </c>
      <c r="O88" s="47" t="s">
        <v>24</v>
      </c>
    </row>
    <row r="89">
      <c r="A89" s="48" t="s">
        <v>184</v>
      </c>
      <c r="B89" s="44" t="s">
        <v>63</v>
      </c>
      <c r="C89" s="47" t="s">
        <v>17</v>
      </c>
      <c r="D89" s="47" t="s">
        <v>64</v>
      </c>
      <c r="E89" s="47" t="s">
        <v>24</v>
      </c>
      <c r="F89" s="43" t="s">
        <v>20</v>
      </c>
      <c r="G89" s="43" t="s">
        <v>34</v>
      </c>
      <c r="H89" s="43" t="s">
        <v>32</v>
      </c>
      <c r="I89" s="48" t="s">
        <v>23</v>
      </c>
      <c r="J89" s="48" t="s">
        <v>24</v>
      </c>
      <c r="K89" s="48" t="n">
        <v>0.0</v>
      </c>
      <c r="L89" s="48" t="n">
        <f>(K89*I89)</f>
        <v>0.0</v>
      </c>
      <c r="M89" s="48" t="n">
        <v>0.0</v>
      </c>
      <c r="N89" s="48" t="n">
        <f>ROUND(ROUND(K89*(1-M89/100), 2)*I89, 2)</f>
        <v>0.0</v>
      </c>
      <c r="O89" s="47" t="s">
        <v>24</v>
      </c>
    </row>
    <row r="90">
      <c r="A90" s="48" t="s">
        <v>185</v>
      </c>
      <c r="B90" s="44" t="s">
        <v>66</v>
      </c>
      <c r="C90" s="47" t="s">
        <v>17</v>
      </c>
      <c r="D90" s="47" t="s">
        <v>67</v>
      </c>
      <c r="E90" s="47" t="s">
        <v>24</v>
      </c>
      <c r="F90" s="43" t="s">
        <v>20</v>
      </c>
      <c r="G90" s="43" t="s">
        <v>34</v>
      </c>
      <c r="H90" s="43" t="s">
        <v>32</v>
      </c>
      <c r="I90" s="48" t="s">
        <v>23</v>
      </c>
      <c r="J90" s="48" t="s">
        <v>24</v>
      </c>
      <c r="K90" s="48" t="n">
        <v>0.0</v>
      </c>
      <c r="L90" s="48" t="n">
        <f>(K90*I90)</f>
        <v>0.0</v>
      </c>
      <c r="M90" s="48" t="n">
        <v>0.0</v>
      </c>
      <c r="N90" s="48" t="n">
        <f>ROUND(ROUND(K90*(1-M90/100), 2)*I90, 2)</f>
        <v>0.0</v>
      </c>
      <c r="O90" s="47" t="s">
        <v>24</v>
      </c>
    </row>
    <row r="91">
      <c r="A91" s="48" t="s">
        <v>186</v>
      </c>
      <c r="B91" s="44" t="s">
        <v>69</v>
      </c>
      <c r="C91" s="47" t="s">
        <v>17</v>
      </c>
      <c r="D91" s="47" t="s">
        <v>70</v>
      </c>
      <c r="E91" s="47" t="s">
        <v>24</v>
      </c>
      <c r="F91" s="43" t="s">
        <v>20</v>
      </c>
      <c r="G91" s="43" t="s">
        <v>34</v>
      </c>
      <c r="H91" s="43" t="s">
        <v>32</v>
      </c>
      <c r="I91" s="48" t="s">
        <v>23</v>
      </c>
      <c r="J91" s="48" t="s">
        <v>24</v>
      </c>
      <c r="K91" s="48" t="n">
        <v>0.0</v>
      </c>
      <c r="L91" s="48" t="n">
        <f>(K91*I91)</f>
        <v>0.0</v>
      </c>
      <c r="M91" s="48" t="n">
        <v>0.0</v>
      </c>
      <c r="N91" s="48" t="n">
        <f>ROUND(ROUND(K91*(1-M91/100), 2)*I91, 2)</f>
        <v>0.0</v>
      </c>
      <c r="O91" s="47" t="s">
        <v>24</v>
      </c>
    </row>
    <row r="92">
      <c r="A92" s="48" t="s">
        <v>187</v>
      </c>
      <c r="B92" s="44" t="s">
        <v>72</v>
      </c>
      <c r="C92" s="47" t="s">
        <v>17</v>
      </c>
      <c r="D92" s="47" t="s">
        <v>73</v>
      </c>
      <c r="E92" s="47" t="s">
        <v>24</v>
      </c>
      <c r="F92" s="43" t="s">
        <v>20</v>
      </c>
      <c r="G92" s="43" t="s">
        <v>34</v>
      </c>
      <c r="H92" s="43" t="s">
        <v>22</v>
      </c>
      <c r="I92" s="48" t="s">
        <v>23</v>
      </c>
      <c r="J92" s="48" t="s">
        <v>24</v>
      </c>
      <c r="K92" s="48" t="n">
        <v>0.0</v>
      </c>
      <c r="L92" s="48" t="n">
        <f>(K92*I92)</f>
        <v>0.0</v>
      </c>
      <c r="M92" s="48" t="n">
        <v>0.0</v>
      </c>
      <c r="N92" s="48" t="n">
        <f>ROUND(ROUND(K92*(1-M92/100), 2)*I92, 2)</f>
        <v>0.0</v>
      </c>
      <c r="O92" s="47" t="s">
        <v>24</v>
      </c>
    </row>
    <row r="93">
      <c r="A93" s="48" t="s">
        <v>188</v>
      </c>
      <c r="B93" s="44" t="s">
        <v>75</v>
      </c>
      <c r="C93" s="47" t="s">
        <v>17</v>
      </c>
      <c r="D93" s="47" t="s">
        <v>76</v>
      </c>
      <c r="E93" s="47" t="s">
        <v>24</v>
      </c>
      <c r="F93" s="43" t="s">
        <v>20</v>
      </c>
      <c r="G93" s="43" t="s">
        <v>34</v>
      </c>
      <c r="H93" s="43" t="s">
        <v>22</v>
      </c>
      <c r="I93" s="48" t="s">
        <v>23</v>
      </c>
      <c r="J93" s="48" t="s">
        <v>24</v>
      </c>
      <c r="K93" s="48" t="n">
        <v>3162.96</v>
      </c>
      <c r="L93" s="48" t="n">
        <f>(K93*I93)</f>
        <v>3162.96</v>
      </c>
      <c r="M93" s="48" t="n">
        <v>0.0</v>
      </c>
      <c r="N93" s="48" t="n">
        <f>ROUND(ROUND(K93*(1-M93/100), 2)*I93, 2)</f>
        <v>3162.96</v>
      </c>
      <c r="O93" s="47" t="s">
        <v>24</v>
      </c>
    </row>
    <row r="94">
      <c r="A94" s="48" t="s">
        <v>189</v>
      </c>
      <c r="B94" s="44" t="s">
        <v>78</v>
      </c>
      <c r="C94" s="47" t="s">
        <v>17</v>
      </c>
      <c r="D94" s="47" t="s">
        <v>79</v>
      </c>
      <c r="E94" s="47" t="s">
        <v>24</v>
      </c>
      <c r="F94" s="43" t="s">
        <v>20</v>
      </c>
      <c r="G94" s="43" t="s">
        <v>34</v>
      </c>
      <c r="H94" s="43" t="s">
        <v>22</v>
      </c>
      <c r="I94" s="48" t="s">
        <v>23</v>
      </c>
      <c r="J94" s="48" t="s">
        <v>24</v>
      </c>
      <c r="K94" s="48" t="n">
        <v>121.7</v>
      </c>
      <c r="L94" s="48" t="n">
        <f>(K94*I94)</f>
        <v>121.7</v>
      </c>
      <c r="M94" s="48" t="n">
        <v>0.0</v>
      </c>
      <c r="N94" s="48" t="n">
        <f>ROUND(ROUND(K94*(1-M94/100), 2)*I94, 2)</f>
        <v>121.7</v>
      </c>
      <c r="O94" s="47" t="s">
        <v>24</v>
      </c>
    </row>
    <row r="95">
      <c r="A95" s="48" t="s">
        <v>190</v>
      </c>
      <c r="B95" s="44" t="s">
        <v>81</v>
      </c>
      <c r="C95" s="47" t="s">
        <v>17</v>
      </c>
      <c r="D95" s="47" t="s">
        <v>82</v>
      </c>
      <c r="E95" s="47" t="s">
        <v>24</v>
      </c>
      <c r="F95" s="43" t="s">
        <v>20</v>
      </c>
      <c r="G95" s="43" t="s">
        <v>34</v>
      </c>
      <c r="H95" s="43" t="s">
        <v>22</v>
      </c>
      <c r="I95" s="48" t="s">
        <v>23</v>
      </c>
      <c r="J95" s="48" t="s">
        <v>24</v>
      </c>
      <c r="K95" s="48" t="n">
        <v>115.62</v>
      </c>
      <c r="L95" s="48" t="n">
        <f>(K95*I95)</f>
        <v>115.62</v>
      </c>
      <c r="M95" s="48" t="n">
        <v>0.0</v>
      </c>
      <c r="N95" s="48" t="n">
        <f>ROUND(ROUND(K95*(1-M95/100), 2)*I95, 2)</f>
        <v>115.62</v>
      </c>
      <c r="O95" s="47" t="s">
        <v>24</v>
      </c>
    </row>
    <row r="96">
      <c r="A96" s="48" t="s">
        <v>191</v>
      </c>
      <c r="B96" s="44" t="s">
        <v>84</v>
      </c>
      <c r="C96" s="47" t="s">
        <v>17</v>
      </c>
      <c r="D96" s="47" t="s">
        <v>85</v>
      </c>
      <c r="E96" s="47" t="s">
        <v>24</v>
      </c>
      <c r="F96" s="43" t="s">
        <v>20</v>
      </c>
      <c r="G96" s="43" t="s">
        <v>34</v>
      </c>
      <c r="H96" s="43" t="s">
        <v>32</v>
      </c>
      <c r="I96" s="48" t="s">
        <v>23</v>
      </c>
      <c r="J96" s="48" t="s">
        <v>24</v>
      </c>
      <c r="K96" s="48" t="n">
        <v>0.0</v>
      </c>
      <c r="L96" s="48" t="n">
        <f>(K96*I96)</f>
        <v>0.0</v>
      </c>
      <c r="M96" s="48" t="n">
        <v>0.0</v>
      </c>
      <c r="N96" s="48" t="n">
        <f>ROUND(ROUND(K96*(1-M96/100), 2)*I96, 2)</f>
        <v>0.0</v>
      </c>
      <c r="O96" s="47" t="s">
        <v>24</v>
      </c>
    </row>
    <row r="97">
      <c r="A97" s="48" t="s">
        <v>192</v>
      </c>
      <c r="B97" s="44" t="s">
        <v>87</v>
      </c>
      <c r="C97" s="47" t="s">
        <v>17</v>
      </c>
      <c r="D97" s="47" t="s">
        <v>88</v>
      </c>
      <c r="E97" s="47" t="s">
        <v>24</v>
      </c>
      <c r="F97" s="43" t="s">
        <v>20</v>
      </c>
      <c r="G97" s="43" t="s">
        <v>34</v>
      </c>
      <c r="H97" s="43" t="s">
        <v>32</v>
      </c>
      <c r="I97" s="48" t="s">
        <v>23</v>
      </c>
      <c r="J97" s="48" t="s">
        <v>24</v>
      </c>
      <c r="K97" s="48" t="n">
        <v>0.0</v>
      </c>
      <c r="L97" s="48" t="n">
        <f>(K97*I97)</f>
        <v>0.0</v>
      </c>
      <c r="M97" s="48" t="n">
        <v>0.0</v>
      </c>
      <c r="N97" s="48" t="n">
        <f>ROUND(ROUND(K97*(1-M97/100), 2)*I97, 2)</f>
        <v>0.0</v>
      </c>
      <c r="O97" s="47" t="s">
        <v>24</v>
      </c>
    </row>
    <row r="98">
      <c r="A98" s="48" t="s">
        <v>193</v>
      </c>
      <c r="B98" s="44" t="s">
        <v>90</v>
      </c>
      <c r="C98" s="47" t="s">
        <v>17</v>
      </c>
      <c r="D98" s="47" t="s">
        <v>91</v>
      </c>
      <c r="E98" s="47" t="s">
        <v>24</v>
      </c>
      <c r="F98" s="43" t="s">
        <v>20</v>
      </c>
      <c r="G98" s="43" t="s">
        <v>34</v>
      </c>
      <c r="H98" s="43" t="s">
        <v>32</v>
      </c>
      <c r="I98" s="48" t="s">
        <v>23</v>
      </c>
      <c r="J98" s="48" t="s">
        <v>24</v>
      </c>
      <c r="K98" s="48" t="n">
        <v>0.0</v>
      </c>
      <c r="L98" s="48" t="n">
        <f>(K98*I98)</f>
        <v>0.0</v>
      </c>
      <c r="M98" s="48" t="n">
        <v>0.0</v>
      </c>
      <c r="N98" s="48" t="n">
        <f>ROUND(ROUND(K98*(1-M98/100), 2)*I98, 2)</f>
        <v>0.0</v>
      </c>
      <c r="O98" s="47" t="s">
        <v>24</v>
      </c>
    </row>
    <row r="99">
      <c r="A99" s="48" t="s">
        <v>194</v>
      </c>
      <c r="B99" s="44" t="s">
        <v>96</v>
      </c>
      <c r="C99" s="47" t="s">
        <v>32</v>
      </c>
      <c r="D99" s="47" t="s">
        <v>97</v>
      </c>
      <c r="E99" s="47" t="s">
        <v>24</v>
      </c>
      <c r="F99" s="43" t="s">
        <v>20</v>
      </c>
      <c r="G99" s="43" t="s">
        <v>98</v>
      </c>
      <c r="H99" s="43" t="s">
        <v>32</v>
      </c>
      <c r="I99" s="48" t="s">
        <v>23</v>
      </c>
      <c r="J99" s="48" t="s">
        <v>24</v>
      </c>
      <c r="K99" s="48" t="n">
        <v>0.0</v>
      </c>
      <c r="L99" s="48" t="n">
        <f>(K99*I99)</f>
        <v>0.0</v>
      </c>
      <c r="M99" s="48" t="n">
        <v>0.0</v>
      </c>
      <c r="N99" s="48" t="n">
        <f>ROUND(ROUND(K99*(1-M99/100), 2)*I99, 2)</f>
        <v>0.0</v>
      </c>
      <c r="O99" s="47" t="s">
        <v>24</v>
      </c>
    </row>
    <row r="100">
      <c r="A100" s="48" t="s">
        <v>195</v>
      </c>
      <c r="B100" s="44" t="s">
        <v>93</v>
      </c>
      <c r="C100" s="47" t="s">
        <v>17</v>
      </c>
      <c r="D100" s="47" t="s">
        <v>94</v>
      </c>
      <c r="E100" s="47" t="s">
        <v>24</v>
      </c>
      <c r="F100" s="43" t="s">
        <v>20</v>
      </c>
      <c r="G100" s="43" t="s">
        <v>34</v>
      </c>
      <c r="H100" s="43" t="s">
        <v>22</v>
      </c>
      <c r="I100" s="48" t="s">
        <v>23</v>
      </c>
      <c r="J100" s="48" t="s">
        <v>24</v>
      </c>
      <c r="K100" s="48" t="n">
        <v>3103.4</v>
      </c>
      <c r="L100" s="48" t="n">
        <f>(K100*I100)</f>
        <v>3103.4</v>
      </c>
      <c r="M100" s="48" t="n">
        <v>0.0</v>
      </c>
      <c r="N100" s="48" t="n">
        <f>ROUND(ROUND(K100*(1-M100/100), 2)*I100, 2)</f>
        <v>3103.4</v>
      </c>
      <c r="O100" s="47" t="s">
        <v>24</v>
      </c>
    </row>
    <row r="101">
      <c r="A101" s="1" t="s">
        <v>24</v>
      </c>
      <c r="B101" s="1" t="s">
        <v>24</v>
      </c>
      <c r="C101" s="1" t="s">
        <v>24</v>
      </c>
      <c r="D101" s="1" t="s">
        <v>24</v>
      </c>
      <c r="E101" s="1" t="s">
        <v>24</v>
      </c>
      <c r="F101" s="1" t="s">
        <v>24</v>
      </c>
      <c r="G101" s="1" t="s">
        <v>24</v>
      </c>
      <c r="H101" s="1" t="s">
        <v>24</v>
      </c>
      <c r="I101" s="1" t="s">
        <v>24</v>
      </c>
      <c r="J101" s="1" t="s">
        <v>24</v>
      </c>
      <c r="K101" s="1" t="s">
        <v>24</v>
      </c>
      <c r="L101" s="1" t="s">
        <v>24</v>
      </c>
      <c r="M101" s="73" t="s">
        <v>99</v>
      </c>
      <c r="N101" s="73" t="n">
        <f>(N77+N78+N79+N80+N81+N82+N83+N84+N85+N86+N87+N88+N89+N90+N91+N92+N93+N94+N95+N96+N97+N98+N99+N100)</f>
        <v>0.0</v>
      </c>
      <c r="O101" s="73" t="s">
        <v>24</v>
      </c>
    </row>
    <row r="102">
      <c r="A102" s="55" t="s">
        <v>196</v>
      </c>
      <c r="B102" s="12" t="s">
        <v>197</v>
      </c>
      <c r="C102" s="47" t="s">
        <v>17</v>
      </c>
      <c r="D102" s="47" t="s">
        <v>198</v>
      </c>
      <c r="E102" s="47" t="s">
        <v>19</v>
      </c>
      <c r="F102" s="43" t="s">
        <v>20</v>
      </c>
      <c r="G102" s="43" t="s">
        <v>134</v>
      </c>
      <c r="H102" s="43" t="s">
        <v>22</v>
      </c>
      <c r="I102" s="48" t="s">
        <v>23</v>
      </c>
      <c r="J102" s="48" t="s">
        <v>24</v>
      </c>
      <c r="K102" s="48" t="n">
        <v>26348.9</v>
      </c>
      <c r="L102" s="48" t="n">
        <f>(K102*I102)</f>
        <v>26348.9</v>
      </c>
      <c r="M102" s="48" t="n">
        <v>0.0</v>
      </c>
      <c r="N102" s="48" t="n">
        <f>ROUND(ROUND(K102*(1-M102/100), 2)*I102, 2)</f>
        <v>26348.9</v>
      </c>
      <c r="O102" s="47" t="s">
        <v>24</v>
      </c>
    </row>
    <row r="103">
      <c r="A103" s="48" t="s">
        <v>199</v>
      </c>
      <c r="B103" s="44" t="s">
        <v>200</v>
      </c>
      <c r="C103" s="47" t="s">
        <v>17</v>
      </c>
      <c r="D103" s="47" t="s">
        <v>201</v>
      </c>
      <c r="E103" s="47" t="s">
        <v>24</v>
      </c>
      <c r="F103" s="43" t="s">
        <v>28</v>
      </c>
      <c r="G103" s="43" t="s">
        <v>20</v>
      </c>
      <c r="H103" s="43" t="s">
        <v>22</v>
      </c>
      <c r="I103" s="48" t="s">
        <v>23</v>
      </c>
      <c r="J103" s="48" t="s">
        <v>24</v>
      </c>
      <c r="K103" s="48" t="n">
        <v>7915.89</v>
      </c>
      <c r="L103" s="48" t="n">
        <f>(K103*I103)</f>
        <v>7915.89</v>
      </c>
      <c r="M103" s="48" t="n">
        <v>0.0</v>
      </c>
      <c r="N103" s="48" t="n">
        <f>ROUND(ROUND(K103*(1-M103/100), 2)*I103, 2)</f>
        <v>7915.89</v>
      </c>
      <c r="O103" s="47" t="s">
        <v>29</v>
      </c>
    </row>
    <row r="104">
      <c r="A104" s="48" t="s">
        <v>202</v>
      </c>
      <c r="B104" s="44" t="s">
        <v>203</v>
      </c>
      <c r="C104" s="47" t="s">
        <v>32</v>
      </c>
      <c r="D104" s="47" t="s">
        <v>204</v>
      </c>
      <c r="E104" s="47" t="s">
        <v>24</v>
      </c>
      <c r="F104" s="43" t="s">
        <v>20</v>
      </c>
      <c r="G104" s="43" t="s">
        <v>34</v>
      </c>
      <c r="H104" s="43" t="s">
        <v>22</v>
      </c>
      <c r="I104" s="48" t="s">
        <v>23</v>
      </c>
      <c r="J104" s="48" t="s">
        <v>24</v>
      </c>
      <c r="K104" s="48" t="n">
        <v>0.0</v>
      </c>
      <c r="L104" s="48" t="n">
        <f>(K104*I104)</f>
        <v>0.0</v>
      </c>
      <c r="M104" s="48" t="n">
        <v>0.0</v>
      </c>
      <c r="N104" s="48" t="n">
        <f>ROUND(ROUND(K104*(1-M104/100), 2)*I104, 2)</f>
        <v>0.0</v>
      </c>
      <c r="O104" s="47" t="s">
        <v>24</v>
      </c>
    </row>
    <row r="105">
      <c r="A105" s="48" t="s">
        <v>205</v>
      </c>
      <c r="B105" s="45" t="s">
        <v>206</v>
      </c>
      <c r="C105" s="47" t="s">
        <v>17</v>
      </c>
      <c r="D105" s="47" t="s">
        <v>207</v>
      </c>
      <c r="E105" s="47" t="s">
        <v>24</v>
      </c>
      <c r="F105" s="43" t="s">
        <v>28</v>
      </c>
      <c r="G105" s="43" t="s">
        <v>20</v>
      </c>
      <c r="H105" s="43" t="s">
        <v>22</v>
      </c>
      <c r="I105" s="48" t="s">
        <v>23</v>
      </c>
      <c r="J105" s="48" t="s">
        <v>24</v>
      </c>
      <c r="K105" s="48" t="n">
        <v>486.75</v>
      </c>
      <c r="L105" s="48" t="n">
        <f>(K105*I105)</f>
        <v>486.75</v>
      </c>
      <c r="M105" s="48" t="n">
        <v>0.0</v>
      </c>
      <c r="N105" s="48" t="n">
        <f>ROUND(ROUND(K105*(1-M105/100), 2)*I105, 2)</f>
        <v>486.75</v>
      </c>
      <c r="O105" s="47" t="s">
        <v>29</v>
      </c>
    </row>
    <row r="106">
      <c r="A106" s="48" t="s">
        <v>208</v>
      </c>
      <c r="B106" s="45" t="s">
        <v>209</v>
      </c>
      <c r="C106" s="47" t="s">
        <v>17</v>
      </c>
      <c r="D106" s="47" t="s">
        <v>210</v>
      </c>
      <c r="E106" s="47" t="s">
        <v>24</v>
      </c>
      <c r="F106" s="43" t="s">
        <v>28</v>
      </c>
      <c r="G106" s="43" t="s">
        <v>20</v>
      </c>
      <c r="H106" s="43" t="s">
        <v>22</v>
      </c>
      <c r="I106" s="48" t="s">
        <v>23</v>
      </c>
      <c r="J106" s="48" t="s">
        <v>24</v>
      </c>
      <c r="K106" s="48" t="n">
        <v>2365.77</v>
      </c>
      <c r="L106" s="48" t="n">
        <f>(K106*I106)</f>
        <v>2365.77</v>
      </c>
      <c r="M106" s="48" t="n">
        <v>0.0</v>
      </c>
      <c r="N106" s="48" t="n">
        <f>ROUND(ROUND(K106*(1-M106/100), 2)*I106, 2)</f>
        <v>2365.77</v>
      </c>
      <c r="O106" s="47" t="s">
        <v>24</v>
      </c>
    </row>
    <row r="107">
      <c r="A107" s="48" t="s">
        <v>211</v>
      </c>
      <c r="B107" s="44" t="s">
        <v>42</v>
      </c>
      <c r="C107" s="47" t="s">
        <v>32</v>
      </c>
      <c r="D107" s="47" t="s">
        <v>43</v>
      </c>
      <c r="E107" s="47" t="s">
        <v>24</v>
      </c>
      <c r="F107" s="43" t="s">
        <v>20</v>
      </c>
      <c r="G107" s="43" t="s">
        <v>34</v>
      </c>
      <c r="H107" s="43" t="s">
        <v>32</v>
      </c>
      <c r="I107" s="48" t="s">
        <v>23</v>
      </c>
      <c r="J107" s="48" t="s">
        <v>24</v>
      </c>
      <c r="K107" s="48" t="n">
        <v>0.0</v>
      </c>
      <c r="L107" s="48" t="n">
        <f>(K107*I107)</f>
        <v>0.0</v>
      </c>
      <c r="M107" s="48" t="n">
        <v>0.0</v>
      </c>
      <c r="N107" s="48" t="n">
        <f>ROUND(ROUND(K107*(1-M107/100), 2)*I107, 2)</f>
        <v>0.0</v>
      </c>
      <c r="O107" s="47" t="s">
        <v>24</v>
      </c>
    </row>
    <row r="108">
      <c r="A108" s="48" t="s">
        <v>212</v>
      </c>
      <c r="B108" s="45" t="s">
        <v>45</v>
      </c>
      <c r="C108" s="47" t="s">
        <v>17</v>
      </c>
      <c r="D108" s="47" t="s">
        <v>46</v>
      </c>
      <c r="E108" s="47" t="s">
        <v>24</v>
      </c>
      <c r="F108" s="43" t="s">
        <v>28</v>
      </c>
      <c r="G108" s="43" t="s">
        <v>20</v>
      </c>
      <c r="H108" s="43" t="s">
        <v>22</v>
      </c>
      <c r="I108" s="48" t="s">
        <v>23</v>
      </c>
      <c r="J108" s="48" t="s">
        <v>24</v>
      </c>
      <c r="K108" s="48" t="n">
        <v>0.0</v>
      </c>
      <c r="L108" s="48" t="n">
        <f>(K108*I108)</f>
        <v>0.0</v>
      </c>
      <c r="M108" s="48" t="n">
        <v>0.0</v>
      </c>
      <c r="N108" s="48" t="n">
        <f>ROUND(ROUND(K108*(1-M108/100), 2)*I108, 2)</f>
        <v>0.0</v>
      </c>
      <c r="O108" s="47" t="s">
        <v>24</v>
      </c>
    </row>
    <row r="109">
      <c r="A109" s="48" t="s">
        <v>213</v>
      </c>
      <c r="B109" s="44" t="s">
        <v>48</v>
      </c>
      <c r="C109" s="47" t="s">
        <v>32</v>
      </c>
      <c r="D109" s="47" t="s">
        <v>49</v>
      </c>
      <c r="E109" s="47" t="s">
        <v>24</v>
      </c>
      <c r="F109" s="43" t="s">
        <v>20</v>
      </c>
      <c r="G109" s="43" t="s">
        <v>34</v>
      </c>
      <c r="H109" s="43" t="s">
        <v>32</v>
      </c>
      <c r="I109" s="48" t="s">
        <v>23</v>
      </c>
      <c r="J109" s="48" t="s">
        <v>24</v>
      </c>
      <c r="K109" s="48" t="n">
        <v>0.0</v>
      </c>
      <c r="L109" s="48" t="n">
        <f>(K109*I109)</f>
        <v>0.0</v>
      </c>
      <c r="M109" s="48" t="n">
        <v>0.0</v>
      </c>
      <c r="N109" s="48" t="n">
        <f>ROUND(ROUND(K109*(1-M109/100), 2)*I109, 2)</f>
        <v>0.0</v>
      </c>
      <c r="O109" s="47" t="s">
        <v>24</v>
      </c>
    </row>
    <row r="110">
      <c r="A110" s="48" t="s">
        <v>214</v>
      </c>
      <c r="B110" s="45" t="s">
        <v>51</v>
      </c>
      <c r="C110" s="47" t="s">
        <v>17</v>
      </c>
      <c r="D110" s="47" t="s">
        <v>52</v>
      </c>
      <c r="E110" s="47" t="s">
        <v>24</v>
      </c>
      <c r="F110" s="43" t="s">
        <v>28</v>
      </c>
      <c r="G110" s="43" t="s">
        <v>20</v>
      </c>
      <c r="H110" s="43" t="s">
        <v>22</v>
      </c>
      <c r="I110" s="48" t="s">
        <v>23</v>
      </c>
      <c r="J110" s="48" t="s">
        <v>24</v>
      </c>
      <c r="K110" s="48" t="n">
        <v>0.0</v>
      </c>
      <c r="L110" s="48" t="n">
        <f>(K110*I110)</f>
        <v>0.0</v>
      </c>
      <c r="M110" s="48" t="n">
        <v>0.0</v>
      </c>
      <c r="N110" s="48" t="n">
        <f>ROUND(ROUND(K110*(1-M110/100), 2)*I110, 2)</f>
        <v>0.0</v>
      </c>
      <c r="O110" s="47" t="s">
        <v>24</v>
      </c>
    </row>
    <row r="111">
      <c r="A111" s="48" t="s">
        <v>215</v>
      </c>
      <c r="B111" s="44" t="s">
        <v>216</v>
      </c>
      <c r="C111" s="47" t="s">
        <v>17</v>
      </c>
      <c r="D111" s="47" t="s">
        <v>58</v>
      </c>
      <c r="E111" s="47" t="s">
        <v>24</v>
      </c>
      <c r="F111" s="43" t="s">
        <v>20</v>
      </c>
      <c r="G111" s="43" t="s">
        <v>34</v>
      </c>
      <c r="H111" s="43" t="s">
        <v>32</v>
      </c>
      <c r="I111" s="48" t="s">
        <v>23</v>
      </c>
      <c r="J111" s="48" t="s">
        <v>24</v>
      </c>
      <c r="K111" s="48" t="n">
        <v>0.0</v>
      </c>
      <c r="L111" s="48" t="n">
        <f>(K111*I111)</f>
        <v>0.0</v>
      </c>
      <c r="M111" s="48" t="n">
        <v>0.0</v>
      </c>
      <c r="N111" s="48" t="n">
        <f>ROUND(ROUND(K111*(1-M111/100), 2)*I111, 2)</f>
        <v>0.0</v>
      </c>
      <c r="O111" s="47" t="s">
        <v>24</v>
      </c>
    </row>
    <row r="112">
      <c r="A112" s="48" t="s">
        <v>217</v>
      </c>
      <c r="B112" s="44" t="s">
        <v>60</v>
      </c>
      <c r="C112" s="47" t="s">
        <v>17</v>
      </c>
      <c r="D112" s="47" t="s">
        <v>61</v>
      </c>
      <c r="E112" s="47" t="s">
        <v>24</v>
      </c>
      <c r="F112" s="43" t="s">
        <v>20</v>
      </c>
      <c r="G112" s="43" t="s">
        <v>34</v>
      </c>
      <c r="H112" s="43" t="s">
        <v>32</v>
      </c>
      <c r="I112" s="48" t="s">
        <v>23</v>
      </c>
      <c r="J112" s="48" t="s">
        <v>24</v>
      </c>
      <c r="K112" s="48" t="n">
        <v>0.0</v>
      </c>
      <c r="L112" s="48" t="n">
        <f>(K112*I112)</f>
        <v>0.0</v>
      </c>
      <c r="M112" s="48" t="n">
        <v>0.0</v>
      </c>
      <c r="N112" s="48" t="n">
        <f>ROUND(ROUND(K112*(1-M112/100), 2)*I112, 2)</f>
        <v>0.0</v>
      </c>
      <c r="O112" s="47" t="s">
        <v>24</v>
      </c>
    </row>
    <row r="113">
      <c r="A113" s="48" t="s">
        <v>218</v>
      </c>
      <c r="B113" s="44" t="s">
        <v>63</v>
      </c>
      <c r="C113" s="47" t="s">
        <v>17</v>
      </c>
      <c r="D113" s="47" t="s">
        <v>64</v>
      </c>
      <c r="E113" s="47" t="s">
        <v>24</v>
      </c>
      <c r="F113" s="43" t="s">
        <v>20</v>
      </c>
      <c r="G113" s="43" t="s">
        <v>34</v>
      </c>
      <c r="H113" s="43" t="s">
        <v>32</v>
      </c>
      <c r="I113" s="48" t="s">
        <v>23</v>
      </c>
      <c r="J113" s="48" t="s">
        <v>24</v>
      </c>
      <c r="K113" s="48" t="n">
        <v>0.0</v>
      </c>
      <c r="L113" s="48" t="n">
        <f>(K113*I113)</f>
        <v>0.0</v>
      </c>
      <c r="M113" s="48" t="n">
        <v>0.0</v>
      </c>
      <c r="N113" s="48" t="n">
        <f>ROUND(ROUND(K113*(1-M113/100), 2)*I113, 2)</f>
        <v>0.0</v>
      </c>
      <c r="O113" s="47" t="s">
        <v>24</v>
      </c>
    </row>
    <row r="114">
      <c r="A114" s="48" t="s">
        <v>219</v>
      </c>
      <c r="B114" s="44" t="s">
        <v>119</v>
      </c>
      <c r="C114" s="47" t="s">
        <v>17</v>
      </c>
      <c r="D114" s="47" t="s">
        <v>120</v>
      </c>
      <c r="E114" s="47" t="s">
        <v>24</v>
      </c>
      <c r="F114" s="43" t="s">
        <v>20</v>
      </c>
      <c r="G114" s="43" t="s">
        <v>34</v>
      </c>
      <c r="H114" s="43" t="s">
        <v>32</v>
      </c>
      <c r="I114" s="48" t="s">
        <v>23</v>
      </c>
      <c r="J114" s="48" t="s">
        <v>24</v>
      </c>
      <c r="K114" s="48" t="n">
        <v>0.0</v>
      </c>
      <c r="L114" s="48" t="n">
        <f>(K114*I114)</f>
        <v>0.0</v>
      </c>
      <c r="M114" s="48" t="n">
        <v>0.0</v>
      </c>
      <c r="N114" s="48" t="n">
        <f>ROUND(ROUND(K114*(1-M114/100), 2)*I114, 2)</f>
        <v>0.0</v>
      </c>
      <c r="O114" s="47" t="s">
        <v>24</v>
      </c>
    </row>
    <row r="115">
      <c r="A115" s="48" t="s">
        <v>220</v>
      </c>
      <c r="B115" s="44" t="s">
        <v>69</v>
      </c>
      <c r="C115" s="47" t="s">
        <v>17</v>
      </c>
      <c r="D115" s="47" t="s">
        <v>70</v>
      </c>
      <c r="E115" s="47" t="s">
        <v>24</v>
      </c>
      <c r="F115" s="43" t="s">
        <v>20</v>
      </c>
      <c r="G115" s="43" t="s">
        <v>34</v>
      </c>
      <c r="H115" s="43" t="s">
        <v>32</v>
      </c>
      <c r="I115" s="48" t="s">
        <v>23</v>
      </c>
      <c r="J115" s="48" t="s">
        <v>24</v>
      </c>
      <c r="K115" s="48" t="n">
        <v>0.0</v>
      </c>
      <c r="L115" s="48" t="n">
        <f>(K115*I115)</f>
        <v>0.0</v>
      </c>
      <c r="M115" s="48" t="n">
        <v>0.0</v>
      </c>
      <c r="N115" s="48" t="n">
        <f>ROUND(ROUND(K115*(1-M115/100), 2)*I115, 2)</f>
        <v>0.0</v>
      </c>
      <c r="O115" s="47" t="s">
        <v>24</v>
      </c>
    </row>
    <row r="116">
      <c r="A116" s="48" t="s">
        <v>221</v>
      </c>
      <c r="B116" s="44" t="s">
        <v>72</v>
      </c>
      <c r="C116" s="47" t="s">
        <v>17</v>
      </c>
      <c r="D116" s="47" t="s">
        <v>73</v>
      </c>
      <c r="E116" s="47" t="s">
        <v>24</v>
      </c>
      <c r="F116" s="43" t="s">
        <v>20</v>
      </c>
      <c r="G116" s="43" t="s">
        <v>34</v>
      </c>
      <c r="H116" s="43" t="s">
        <v>22</v>
      </c>
      <c r="I116" s="48" t="s">
        <v>23</v>
      </c>
      <c r="J116" s="48" t="s">
        <v>24</v>
      </c>
      <c r="K116" s="48" t="n">
        <v>0.0</v>
      </c>
      <c r="L116" s="48" t="n">
        <f>(K116*I116)</f>
        <v>0.0</v>
      </c>
      <c r="M116" s="48" t="n">
        <v>0.0</v>
      </c>
      <c r="N116" s="48" t="n">
        <f>ROUND(ROUND(K116*(1-M116/100), 2)*I116, 2)</f>
        <v>0.0</v>
      </c>
      <c r="O116" s="47" t="s">
        <v>24</v>
      </c>
    </row>
    <row r="117">
      <c r="A117" s="48" t="s">
        <v>222</v>
      </c>
      <c r="B117" s="44" t="s">
        <v>223</v>
      </c>
      <c r="C117" s="47" t="s">
        <v>32</v>
      </c>
      <c r="D117" s="47" t="s">
        <v>224</v>
      </c>
      <c r="E117" s="47" t="s">
        <v>24</v>
      </c>
      <c r="F117" s="43" t="s">
        <v>20</v>
      </c>
      <c r="G117" s="43" t="s">
        <v>34</v>
      </c>
      <c r="H117" s="43" t="s">
        <v>32</v>
      </c>
      <c r="I117" s="48" t="s">
        <v>23</v>
      </c>
      <c r="J117" s="48" t="s">
        <v>24</v>
      </c>
      <c r="K117" s="48" t="n">
        <v>0.0</v>
      </c>
      <c r="L117" s="48" t="n">
        <f>(K117*I117)</f>
        <v>0.0</v>
      </c>
      <c r="M117" s="48" t="n">
        <v>0.0</v>
      </c>
      <c r="N117" s="48" t="n">
        <f>ROUND(ROUND(K117*(1-M117/100), 2)*I117, 2)</f>
        <v>0.0</v>
      </c>
      <c r="O117" s="47" t="s">
        <v>24</v>
      </c>
    </row>
    <row r="118">
      <c r="A118" s="48" t="s">
        <v>225</v>
      </c>
      <c r="B118" s="44" t="s">
        <v>78</v>
      </c>
      <c r="C118" s="47" t="s">
        <v>17</v>
      </c>
      <c r="D118" s="47" t="s">
        <v>79</v>
      </c>
      <c r="E118" s="47" t="s">
        <v>24</v>
      </c>
      <c r="F118" s="43" t="s">
        <v>20</v>
      </c>
      <c r="G118" s="43" t="s">
        <v>34</v>
      </c>
      <c r="H118" s="43" t="s">
        <v>22</v>
      </c>
      <c r="I118" s="48" t="s">
        <v>23</v>
      </c>
      <c r="J118" s="48" t="s">
        <v>24</v>
      </c>
      <c r="K118" s="48" t="n">
        <v>121.7</v>
      </c>
      <c r="L118" s="48" t="n">
        <f>(K118*I118)</f>
        <v>121.7</v>
      </c>
      <c r="M118" s="48" t="n">
        <v>0.0</v>
      </c>
      <c r="N118" s="48" t="n">
        <f>ROUND(ROUND(K118*(1-M118/100), 2)*I118, 2)</f>
        <v>121.7</v>
      </c>
      <c r="O118" s="47" t="s">
        <v>24</v>
      </c>
    </row>
    <row r="119">
      <c r="A119" s="48" t="s">
        <v>226</v>
      </c>
      <c r="B119" s="44" t="s">
        <v>227</v>
      </c>
      <c r="C119" s="47" t="s">
        <v>17</v>
      </c>
      <c r="D119" s="47" t="s">
        <v>228</v>
      </c>
      <c r="E119" s="47" t="s">
        <v>24</v>
      </c>
      <c r="F119" s="43" t="s">
        <v>20</v>
      </c>
      <c r="G119" s="43" t="s">
        <v>34</v>
      </c>
      <c r="H119" s="43" t="s">
        <v>22</v>
      </c>
      <c r="I119" s="48" t="s">
        <v>23</v>
      </c>
      <c r="J119" s="48" t="s">
        <v>24</v>
      </c>
      <c r="K119" s="48" t="n">
        <v>121.7</v>
      </c>
      <c r="L119" s="48" t="n">
        <f>(K119*I119)</f>
        <v>121.7</v>
      </c>
      <c r="M119" s="48" t="n">
        <v>0.0</v>
      </c>
      <c r="N119" s="48" t="n">
        <f>ROUND(ROUND(K119*(1-M119/100), 2)*I119, 2)</f>
        <v>121.7</v>
      </c>
      <c r="O119" s="47" t="s">
        <v>24</v>
      </c>
    </row>
    <row r="120">
      <c r="A120" s="48" t="s">
        <v>229</v>
      </c>
      <c r="B120" s="44" t="s">
        <v>75</v>
      </c>
      <c r="C120" s="47" t="s">
        <v>17</v>
      </c>
      <c r="D120" s="47" t="s">
        <v>76</v>
      </c>
      <c r="E120" s="47" t="s">
        <v>24</v>
      </c>
      <c r="F120" s="43" t="s">
        <v>20</v>
      </c>
      <c r="G120" s="43" t="s">
        <v>34</v>
      </c>
      <c r="H120" s="43" t="s">
        <v>22</v>
      </c>
      <c r="I120" s="48" t="s">
        <v>23</v>
      </c>
      <c r="J120" s="48" t="s">
        <v>24</v>
      </c>
      <c r="K120" s="48" t="n">
        <v>3162.96</v>
      </c>
      <c r="L120" s="48" t="n">
        <f>(K120*I120)</f>
        <v>3162.96</v>
      </c>
      <c r="M120" s="48" t="n">
        <v>0.0</v>
      </c>
      <c r="N120" s="48" t="n">
        <f>ROUND(ROUND(K120*(1-M120/100), 2)*I120, 2)</f>
        <v>3162.96</v>
      </c>
      <c r="O120" s="47" t="s">
        <v>24</v>
      </c>
    </row>
    <row r="121">
      <c r="A121" s="48" t="s">
        <v>230</v>
      </c>
      <c r="B121" s="44" t="s">
        <v>84</v>
      </c>
      <c r="C121" s="47" t="s">
        <v>17</v>
      </c>
      <c r="D121" s="47" t="s">
        <v>85</v>
      </c>
      <c r="E121" s="47" t="s">
        <v>24</v>
      </c>
      <c r="F121" s="43" t="s">
        <v>20</v>
      </c>
      <c r="G121" s="43" t="s">
        <v>34</v>
      </c>
      <c r="H121" s="43" t="s">
        <v>32</v>
      </c>
      <c r="I121" s="48" t="s">
        <v>23</v>
      </c>
      <c r="J121" s="48" t="s">
        <v>24</v>
      </c>
      <c r="K121" s="48" t="n">
        <v>0.0</v>
      </c>
      <c r="L121" s="48" t="n">
        <f>(K121*I121)</f>
        <v>0.0</v>
      </c>
      <c r="M121" s="48" t="n">
        <v>0.0</v>
      </c>
      <c r="N121" s="48" t="n">
        <f>ROUND(ROUND(K121*(1-M121/100), 2)*I121, 2)</f>
        <v>0.0</v>
      </c>
      <c r="O121" s="47" t="s">
        <v>24</v>
      </c>
    </row>
    <row r="122">
      <c r="A122" s="48" t="s">
        <v>231</v>
      </c>
      <c r="B122" s="44" t="s">
        <v>87</v>
      </c>
      <c r="C122" s="47" t="s">
        <v>17</v>
      </c>
      <c r="D122" s="47" t="s">
        <v>88</v>
      </c>
      <c r="E122" s="47" t="s">
        <v>24</v>
      </c>
      <c r="F122" s="43" t="s">
        <v>20</v>
      </c>
      <c r="G122" s="43" t="s">
        <v>34</v>
      </c>
      <c r="H122" s="43" t="s">
        <v>32</v>
      </c>
      <c r="I122" s="48" t="s">
        <v>23</v>
      </c>
      <c r="J122" s="48" t="s">
        <v>24</v>
      </c>
      <c r="K122" s="48" t="n">
        <v>0.0</v>
      </c>
      <c r="L122" s="48" t="n">
        <f>(K122*I122)</f>
        <v>0.0</v>
      </c>
      <c r="M122" s="48" t="n">
        <v>0.0</v>
      </c>
      <c r="N122" s="48" t="n">
        <f>ROUND(ROUND(K122*(1-M122/100), 2)*I122, 2)</f>
        <v>0.0</v>
      </c>
      <c r="O122" s="47" t="s">
        <v>24</v>
      </c>
    </row>
    <row r="123">
      <c r="A123" s="48" t="s">
        <v>232</v>
      </c>
      <c r="B123" s="44" t="s">
        <v>90</v>
      </c>
      <c r="C123" s="47" t="s">
        <v>17</v>
      </c>
      <c r="D123" s="47" t="s">
        <v>91</v>
      </c>
      <c r="E123" s="47" t="s">
        <v>24</v>
      </c>
      <c r="F123" s="43" t="s">
        <v>20</v>
      </c>
      <c r="G123" s="43" t="s">
        <v>34</v>
      </c>
      <c r="H123" s="43" t="s">
        <v>32</v>
      </c>
      <c r="I123" s="48" t="s">
        <v>23</v>
      </c>
      <c r="J123" s="48" t="s">
        <v>24</v>
      </c>
      <c r="K123" s="48" t="n">
        <v>0.0</v>
      </c>
      <c r="L123" s="48" t="n">
        <f>(K123*I123)</f>
        <v>0.0</v>
      </c>
      <c r="M123" s="48" t="n">
        <v>0.0</v>
      </c>
      <c r="N123" s="48" t="n">
        <f>ROUND(ROUND(K123*(1-M123/100), 2)*I123, 2)</f>
        <v>0.0</v>
      </c>
      <c r="O123" s="47" t="s">
        <v>24</v>
      </c>
    </row>
    <row r="124">
      <c r="A124" s="48" t="s">
        <v>233</v>
      </c>
      <c r="B124" s="44" t="s">
        <v>96</v>
      </c>
      <c r="C124" s="47" t="s">
        <v>32</v>
      </c>
      <c r="D124" s="47" t="s">
        <v>97</v>
      </c>
      <c r="E124" s="47" t="s">
        <v>24</v>
      </c>
      <c r="F124" s="43" t="s">
        <v>20</v>
      </c>
      <c r="G124" s="43" t="s">
        <v>98</v>
      </c>
      <c r="H124" s="43" t="s">
        <v>32</v>
      </c>
      <c r="I124" s="48" t="s">
        <v>23</v>
      </c>
      <c r="J124" s="48" t="s">
        <v>24</v>
      </c>
      <c r="K124" s="48" t="n">
        <v>0.0</v>
      </c>
      <c r="L124" s="48" t="n">
        <f>(K124*I124)</f>
        <v>0.0</v>
      </c>
      <c r="M124" s="48" t="n">
        <v>0.0</v>
      </c>
      <c r="N124" s="48" t="n">
        <f>ROUND(ROUND(K124*(1-M124/100), 2)*I124, 2)</f>
        <v>0.0</v>
      </c>
      <c r="O124" s="47" t="s">
        <v>24</v>
      </c>
    </row>
    <row r="125">
      <c r="A125" s="48" t="s">
        <v>234</v>
      </c>
      <c r="B125" s="44" t="s">
        <v>93</v>
      </c>
      <c r="C125" s="47" t="s">
        <v>17</v>
      </c>
      <c r="D125" s="47" t="s">
        <v>94</v>
      </c>
      <c r="E125" s="47" t="s">
        <v>24</v>
      </c>
      <c r="F125" s="43" t="s">
        <v>20</v>
      </c>
      <c r="G125" s="43" t="s">
        <v>34</v>
      </c>
      <c r="H125" s="43" t="s">
        <v>22</v>
      </c>
      <c r="I125" s="48" t="s">
        <v>23</v>
      </c>
      <c r="J125" s="48" t="s">
        <v>24</v>
      </c>
      <c r="K125" s="48" t="n">
        <v>3103.4</v>
      </c>
      <c r="L125" s="48" t="n">
        <f>(K125*I125)</f>
        <v>3103.4</v>
      </c>
      <c r="M125" s="48" t="n">
        <v>0.0</v>
      </c>
      <c r="N125" s="48" t="n">
        <f>ROUND(ROUND(K125*(1-M125/100), 2)*I125, 2)</f>
        <v>3103.4</v>
      </c>
      <c r="O125" s="47" t="s">
        <v>24</v>
      </c>
    </row>
    <row r="126">
      <c r="A126" s="1" t="s">
        <v>24</v>
      </c>
      <c r="B126" s="1" t="s">
        <v>24</v>
      </c>
      <c r="C126" s="1" t="s">
        <v>24</v>
      </c>
      <c r="D126" s="1" t="s">
        <v>24</v>
      </c>
      <c r="E126" s="1" t="s">
        <v>24</v>
      </c>
      <c r="F126" s="1" t="s">
        <v>24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1" t="s">
        <v>24</v>
      </c>
      <c r="M126" s="73" t="s">
        <v>99</v>
      </c>
      <c r="N126" s="73" t="n">
        <f>(N102+N103+N104+N105+N106+N107+N108+N109+N110+N111+N112+N113+N114+N115+N116+N117+N118+N119+N120+N121+N122+N123+N124+N125)</f>
        <v>0.0</v>
      </c>
      <c r="O126" s="73" t="s">
        <v>24</v>
      </c>
    </row>
    <row r="127">
      <c r="A127" s="55" t="s">
        <v>235</v>
      </c>
      <c r="B127" s="12" t="s">
        <v>236</v>
      </c>
      <c r="C127" s="47" t="s">
        <v>17</v>
      </c>
      <c r="D127" s="47" t="s">
        <v>237</v>
      </c>
      <c r="E127" s="47" t="s">
        <v>19</v>
      </c>
      <c r="F127" s="43" t="s">
        <v>20</v>
      </c>
      <c r="G127" s="43" t="s">
        <v>238</v>
      </c>
      <c r="H127" s="43" t="s">
        <v>22</v>
      </c>
      <c r="I127" s="48" t="s">
        <v>23</v>
      </c>
      <c r="J127" s="48" t="s">
        <v>24</v>
      </c>
      <c r="K127" s="48" t="n">
        <v>38748.37</v>
      </c>
      <c r="L127" s="48" t="n">
        <f>(K127*I127)</f>
        <v>38748.37</v>
      </c>
      <c r="M127" s="48" t="n">
        <v>0.0</v>
      </c>
      <c r="N127" s="48" t="n">
        <f>ROUND(ROUND(K127*(1-M127/100), 2)*I127, 2)</f>
        <v>38748.37</v>
      </c>
      <c r="O127" s="47" t="s">
        <v>24</v>
      </c>
    </row>
    <row r="128">
      <c r="A128" s="48" t="s">
        <v>239</v>
      </c>
      <c r="B128" s="44" t="s">
        <v>240</v>
      </c>
      <c r="C128" s="47" t="s">
        <v>17</v>
      </c>
      <c r="D128" s="47" t="s">
        <v>241</v>
      </c>
      <c r="E128" s="47" t="s">
        <v>24</v>
      </c>
      <c r="F128" s="43" t="s">
        <v>28</v>
      </c>
      <c r="G128" s="43" t="s">
        <v>20</v>
      </c>
      <c r="H128" s="43" t="s">
        <v>22</v>
      </c>
      <c r="I128" s="48" t="s">
        <v>23</v>
      </c>
      <c r="J128" s="48" t="s">
        <v>24</v>
      </c>
      <c r="K128" s="48" t="n">
        <v>11640.75</v>
      </c>
      <c r="L128" s="48" t="n">
        <f>(K128*I128)</f>
        <v>11640.75</v>
      </c>
      <c r="M128" s="48" t="n">
        <v>0.0</v>
      </c>
      <c r="N128" s="48" t="n">
        <f>ROUND(ROUND(K128*(1-M128/100), 2)*I128, 2)</f>
        <v>11640.75</v>
      </c>
      <c r="O128" s="47" t="s">
        <v>29</v>
      </c>
    </row>
    <row r="129">
      <c r="A129" s="48" t="s">
        <v>242</v>
      </c>
      <c r="B129" s="44" t="s">
        <v>243</v>
      </c>
      <c r="C129" s="47" t="s">
        <v>32</v>
      </c>
      <c r="D129" s="47" t="s">
        <v>204</v>
      </c>
      <c r="E129" s="47" t="s">
        <v>24</v>
      </c>
      <c r="F129" s="43" t="s">
        <v>20</v>
      </c>
      <c r="G129" s="43" t="s">
        <v>34</v>
      </c>
      <c r="H129" s="43" t="s">
        <v>22</v>
      </c>
      <c r="I129" s="48" t="s">
        <v>23</v>
      </c>
      <c r="J129" s="48" t="s">
        <v>24</v>
      </c>
      <c r="K129" s="48" t="n">
        <v>0.0</v>
      </c>
      <c r="L129" s="48" t="n">
        <f>(K129*I129)</f>
        <v>0.0</v>
      </c>
      <c r="M129" s="48" t="n">
        <v>0.0</v>
      </c>
      <c r="N129" s="48" t="n">
        <f>ROUND(ROUND(K129*(1-M129/100), 2)*I129, 2)</f>
        <v>0.0</v>
      </c>
      <c r="O129" s="47" t="s">
        <v>24</v>
      </c>
    </row>
    <row r="130">
      <c r="A130" s="48" t="s">
        <v>244</v>
      </c>
      <c r="B130" s="45" t="s">
        <v>245</v>
      </c>
      <c r="C130" s="47" t="s">
        <v>17</v>
      </c>
      <c r="D130" s="47" t="s">
        <v>246</v>
      </c>
      <c r="E130" s="47" t="s">
        <v>24</v>
      </c>
      <c r="F130" s="43" t="s">
        <v>28</v>
      </c>
      <c r="G130" s="43" t="s">
        <v>20</v>
      </c>
      <c r="H130" s="43" t="s">
        <v>22</v>
      </c>
      <c r="I130" s="48" t="s">
        <v>23</v>
      </c>
      <c r="J130" s="48" t="s">
        <v>24</v>
      </c>
      <c r="K130" s="48" t="n">
        <v>486.75</v>
      </c>
      <c r="L130" s="48" t="n">
        <f>(K130*I130)</f>
        <v>486.75</v>
      </c>
      <c r="M130" s="48" t="n">
        <v>0.0</v>
      </c>
      <c r="N130" s="48" t="n">
        <f>ROUND(ROUND(K130*(1-M130/100), 2)*I130, 2)</f>
        <v>486.75</v>
      </c>
      <c r="O130" s="47" t="s">
        <v>29</v>
      </c>
    </row>
    <row r="131">
      <c r="A131" s="48" t="s">
        <v>247</v>
      </c>
      <c r="B131" s="45" t="s">
        <v>209</v>
      </c>
      <c r="C131" s="47" t="s">
        <v>17</v>
      </c>
      <c r="D131" s="47" t="s">
        <v>210</v>
      </c>
      <c r="E131" s="47" t="s">
        <v>24</v>
      </c>
      <c r="F131" s="43" t="s">
        <v>28</v>
      </c>
      <c r="G131" s="43" t="s">
        <v>20</v>
      </c>
      <c r="H131" s="43" t="s">
        <v>22</v>
      </c>
      <c r="I131" s="48" t="s">
        <v>23</v>
      </c>
      <c r="J131" s="48" t="s">
        <v>24</v>
      </c>
      <c r="K131" s="48" t="n">
        <v>2365.77</v>
      </c>
      <c r="L131" s="48" t="n">
        <f>(K131*I131)</f>
        <v>2365.77</v>
      </c>
      <c r="M131" s="48" t="n">
        <v>0.0</v>
      </c>
      <c r="N131" s="48" t="n">
        <f>ROUND(ROUND(K131*(1-M131/100), 2)*I131, 2)</f>
        <v>2365.77</v>
      </c>
      <c r="O131" s="47" t="s">
        <v>24</v>
      </c>
    </row>
    <row r="132">
      <c r="A132" s="48" t="s">
        <v>248</v>
      </c>
      <c r="B132" s="44" t="s">
        <v>42</v>
      </c>
      <c r="C132" s="47" t="s">
        <v>32</v>
      </c>
      <c r="D132" s="47" t="s">
        <v>43</v>
      </c>
      <c r="E132" s="47" t="s">
        <v>24</v>
      </c>
      <c r="F132" s="43" t="s">
        <v>20</v>
      </c>
      <c r="G132" s="43" t="s">
        <v>34</v>
      </c>
      <c r="H132" s="43" t="s">
        <v>32</v>
      </c>
      <c r="I132" s="48" t="s">
        <v>23</v>
      </c>
      <c r="J132" s="48" t="s">
        <v>24</v>
      </c>
      <c r="K132" s="48" t="n">
        <v>0.0</v>
      </c>
      <c r="L132" s="48" t="n">
        <f>(K132*I132)</f>
        <v>0.0</v>
      </c>
      <c r="M132" s="48" t="n">
        <v>0.0</v>
      </c>
      <c r="N132" s="48" t="n">
        <f>ROUND(ROUND(K132*(1-M132/100), 2)*I132, 2)</f>
        <v>0.0</v>
      </c>
      <c r="O132" s="47" t="s">
        <v>24</v>
      </c>
    </row>
    <row r="133">
      <c r="A133" s="48" t="s">
        <v>249</v>
      </c>
      <c r="B133" s="45" t="s">
        <v>45</v>
      </c>
      <c r="C133" s="47" t="s">
        <v>17</v>
      </c>
      <c r="D133" s="47" t="s">
        <v>46</v>
      </c>
      <c r="E133" s="47" t="s">
        <v>24</v>
      </c>
      <c r="F133" s="43" t="s">
        <v>28</v>
      </c>
      <c r="G133" s="43" t="s">
        <v>20</v>
      </c>
      <c r="H133" s="43" t="s">
        <v>22</v>
      </c>
      <c r="I133" s="48" t="s">
        <v>23</v>
      </c>
      <c r="J133" s="48" t="s">
        <v>24</v>
      </c>
      <c r="K133" s="48" t="n">
        <v>0.0</v>
      </c>
      <c r="L133" s="48" t="n">
        <f>(K133*I133)</f>
        <v>0.0</v>
      </c>
      <c r="M133" s="48" t="n">
        <v>0.0</v>
      </c>
      <c r="N133" s="48" t="n">
        <f>ROUND(ROUND(K133*(1-M133/100), 2)*I133, 2)</f>
        <v>0.0</v>
      </c>
      <c r="O133" s="47" t="s">
        <v>24</v>
      </c>
    </row>
    <row r="134">
      <c r="A134" s="48" t="s">
        <v>250</v>
      </c>
      <c r="B134" s="44" t="s">
        <v>48</v>
      </c>
      <c r="C134" s="47" t="s">
        <v>32</v>
      </c>
      <c r="D134" s="47" t="s">
        <v>49</v>
      </c>
      <c r="E134" s="47" t="s">
        <v>24</v>
      </c>
      <c r="F134" s="43" t="s">
        <v>20</v>
      </c>
      <c r="G134" s="43" t="s">
        <v>34</v>
      </c>
      <c r="H134" s="43" t="s">
        <v>32</v>
      </c>
      <c r="I134" s="48" t="s">
        <v>23</v>
      </c>
      <c r="J134" s="48" t="s">
        <v>24</v>
      </c>
      <c r="K134" s="48" t="n">
        <v>0.0</v>
      </c>
      <c r="L134" s="48" t="n">
        <f>(K134*I134)</f>
        <v>0.0</v>
      </c>
      <c r="M134" s="48" t="n">
        <v>0.0</v>
      </c>
      <c r="N134" s="48" t="n">
        <f>ROUND(ROUND(K134*(1-M134/100), 2)*I134, 2)</f>
        <v>0.0</v>
      </c>
      <c r="O134" s="47" t="s">
        <v>24</v>
      </c>
    </row>
    <row r="135">
      <c r="A135" s="48" t="s">
        <v>251</v>
      </c>
      <c r="B135" s="45" t="s">
        <v>51</v>
      </c>
      <c r="C135" s="47" t="s">
        <v>17</v>
      </c>
      <c r="D135" s="47" t="s">
        <v>52</v>
      </c>
      <c r="E135" s="47" t="s">
        <v>24</v>
      </c>
      <c r="F135" s="43" t="s">
        <v>28</v>
      </c>
      <c r="G135" s="43" t="s">
        <v>20</v>
      </c>
      <c r="H135" s="43" t="s">
        <v>22</v>
      </c>
      <c r="I135" s="48" t="s">
        <v>23</v>
      </c>
      <c r="J135" s="48" t="s">
        <v>24</v>
      </c>
      <c r="K135" s="48" t="n">
        <v>0.0</v>
      </c>
      <c r="L135" s="48" t="n">
        <f>(K135*I135)</f>
        <v>0.0</v>
      </c>
      <c r="M135" s="48" t="n">
        <v>0.0</v>
      </c>
      <c r="N135" s="48" t="n">
        <f>ROUND(ROUND(K135*(1-M135/100), 2)*I135, 2)</f>
        <v>0.0</v>
      </c>
      <c r="O135" s="47" t="s">
        <v>24</v>
      </c>
    </row>
    <row r="136">
      <c r="A136" s="48" t="s">
        <v>252</v>
      </c>
      <c r="B136" s="44" t="s">
        <v>216</v>
      </c>
      <c r="C136" s="47" t="s">
        <v>17</v>
      </c>
      <c r="D136" s="47" t="s">
        <v>58</v>
      </c>
      <c r="E136" s="47" t="s">
        <v>24</v>
      </c>
      <c r="F136" s="43" t="s">
        <v>20</v>
      </c>
      <c r="G136" s="43" t="s">
        <v>34</v>
      </c>
      <c r="H136" s="43" t="s">
        <v>32</v>
      </c>
      <c r="I136" s="48" t="s">
        <v>23</v>
      </c>
      <c r="J136" s="48" t="s">
        <v>24</v>
      </c>
      <c r="K136" s="48" t="n">
        <v>0.0</v>
      </c>
      <c r="L136" s="48" t="n">
        <f>(K136*I136)</f>
        <v>0.0</v>
      </c>
      <c r="M136" s="48" t="n">
        <v>0.0</v>
      </c>
      <c r="N136" s="48" t="n">
        <f>ROUND(ROUND(K136*(1-M136/100), 2)*I136, 2)</f>
        <v>0.0</v>
      </c>
      <c r="O136" s="47" t="s">
        <v>24</v>
      </c>
    </row>
    <row r="137">
      <c r="A137" s="48" t="s">
        <v>253</v>
      </c>
      <c r="B137" s="44" t="s">
        <v>60</v>
      </c>
      <c r="C137" s="47" t="s">
        <v>17</v>
      </c>
      <c r="D137" s="47" t="s">
        <v>61</v>
      </c>
      <c r="E137" s="47" t="s">
        <v>24</v>
      </c>
      <c r="F137" s="43" t="s">
        <v>20</v>
      </c>
      <c r="G137" s="43" t="s">
        <v>34</v>
      </c>
      <c r="H137" s="43" t="s">
        <v>32</v>
      </c>
      <c r="I137" s="48" t="s">
        <v>23</v>
      </c>
      <c r="J137" s="48" t="s">
        <v>24</v>
      </c>
      <c r="K137" s="48" t="n">
        <v>0.0</v>
      </c>
      <c r="L137" s="48" t="n">
        <f>(K137*I137)</f>
        <v>0.0</v>
      </c>
      <c r="M137" s="48" t="n">
        <v>0.0</v>
      </c>
      <c r="N137" s="48" t="n">
        <f>ROUND(ROUND(K137*(1-M137/100), 2)*I137, 2)</f>
        <v>0.0</v>
      </c>
      <c r="O137" s="47" t="s">
        <v>24</v>
      </c>
    </row>
    <row r="138">
      <c r="A138" s="48" t="s">
        <v>254</v>
      </c>
      <c r="B138" s="44" t="s">
        <v>63</v>
      </c>
      <c r="C138" s="47" t="s">
        <v>17</v>
      </c>
      <c r="D138" s="47" t="s">
        <v>64</v>
      </c>
      <c r="E138" s="47" t="s">
        <v>24</v>
      </c>
      <c r="F138" s="43" t="s">
        <v>20</v>
      </c>
      <c r="G138" s="43" t="s">
        <v>34</v>
      </c>
      <c r="H138" s="43" t="s">
        <v>32</v>
      </c>
      <c r="I138" s="48" t="s">
        <v>23</v>
      </c>
      <c r="J138" s="48" t="s">
        <v>24</v>
      </c>
      <c r="K138" s="48" t="n">
        <v>0.0</v>
      </c>
      <c r="L138" s="48" t="n">
        <f>(K138*I138)</f>
        <v>0.0</v>
      </c>
      <c r="M138" s="48" t="n">
        <v>0.0</v>
      </c>
      <c r="N138" s="48" t="n">
        <f>ROUND(ROUND(K138*(1-M138/100), 2)*I138, 2)</f>
        <v>0.0</v>
      </c>
      <c r="O138" s="47" t="s">
        <v>24</v>
      </c>
    </row>
    <row r="139">
      <c r="A139" s="48" t="s">
        <v>255</v>
      </c>
      <c r="B139" s="44" t="s">
        <v>119</v>
      </c>
      <c r="C139" s="47" t="s">
        <v>17</v>
      </c>
      <c r="D139" s="47" t="s">
        <v>120</v>
      </c>
      <c r="E139" s="47" t="s">
        <v>24</v>
      </c>
      <c r="F139" s="43" t="s">
        <v>20</v>
      </c>
      <c r="G139" s="43" t="s">
        <v>34</v>
      </c>
      <c r="H139" s="43" t="s">
        <v>32</v>
      </c>
      <c r="I139" s="48" t="s">
        <v>23</v>
      </c>
      <c r="J139" s="48" t="s">
        <v>24</v>
      </c>
      <c r="K139" s="48" t="n">
        <v>0.0</v>
      </c>
      <c r="L139" s="48" t="n">
        <f>(K139*I139)</f>
        <v>0.0</v>
      </c>
      <c r="M139" s="48" t="n">
        <v>0.0</v>
      </c>
      <c r="N139" s="48" t="n">
        <f>ROUND(ROUND(K139*(1-M139/100), 2)*I139, 2)</f>
        <v>0.0</v>
      </c>
      <c r="O139" s="47" t="s">
        <v>24</v>
      </c>
    </row>
    <row r="140">
      <c r="A140" s="48" t="s">
        <v>256</v>
      </c>
      <c r="B140" s="44" t="s">
        <v>69</v>
      </c>
      <c r="C140" s="47" t="s">
        <v>17</v>
      </c>
      <c r="D140" s="47" t="s">
        <v>70</v>
      </c>
      <c r="E140" s="47" t="s">
        <v>24</v>
      </c>
      <c r="F140" s="43" t="s">
        <v>20</v>
      </c>
      <c r="G140" s="43" t="s">
        <v>34</v>
      </c>
      <c r="H140" s="43" t="s">
        <v>32</v>
      </c>
      <c r="I140" s="48" t="s">
        <v>23</v>
      </c>
      <c r="J140" s="48" t="s">
        <v>24</v>
      </c>
      <c r="K140" s="48" t="n">
        <v>0.0</v>
      </c>
      <c r="L140" s="48" t="n">
        <f>(K140*I140)</f>
        <v>0.0</v>
      </c>
      <c r="M140" s="48" t="n">
        <v>0.0</v>
      </c>
      <c r="N140" s="48" t="n">
        <f>ROUND(ROUND(K140*(1-M140/100), 2)*I140, 2)</f>
        <v>0.0</v>
      </c>
      <c r="O140" s="47" t="s">
        <v>24</v>
      </c>
    </row>
    <row r="141">
      <c r="A141" s="48" t="s">
        <v>257</v>
      </c>
      <c r="B141" s="44" t="s">
        <v>72</v>
      </c>
      <c r="C141" s="47" t="s">
        <v>17</v>
      </c>
      <c r="D141" s="47" t="s">
        <v>73</v>
      </c>
      <c r="E141" s="47" t="s">
        <v>24</v>
      </c>
      <c r="F141" s="43" t="s">
        <v>20</v>
      </c>
      <c r="G141" s="43" t="s">
        <v>34</v>
      </c>
      <c r="H141" s="43" t="s">
        <v>22</v>
      </c>
      <c r="I141" s="48" t="s">
        <v>23</v>
      </c>
      <c r="J141" s="48" t="s">
        <v>24</v>
      </c>
      <c r="K141" s="48" t="n">
        <v>0.0</v>
      </c>
      <c r="L141" s="48" t="n">
        <f>(K141*I141)</f>
        <v>0.0</v>
      </c>
      <c r="M141" s="48" t="n">
        <v>0.0</v>
      </c>
      <c r="N141" s="48" t="n">
        <f>ROUND(ROUND(K141*(1-M141/100), 2)*I141, 2)</f>
        <v>0.0</v>
      </c>
      <c r="O141" s="47" t="s">
        <v>24</v>
      </c>
    </row>
    <row r="142">
      <c r="A142" s="48" t="s">
        <v>258</v>
      </c>
      <c r="B142" s="44" t="s">
        <v>259</v>
      </c>
      <c r="C142" s="47" t="s">
        <v>32</v>
      </c>
      <c r="D142" s="47" t="s">
        <v>181</v>
      </c>
      <c r="E142" s="47" t="s">
        <v>24</v>
      </c>
      <c r="F142" s="43" t="s">
        <v>20</v>
      </c>
      <c r="G142" s="43" t="s">
        <v>34</v>
      </c>
      <c r="H142" s="43" t="s">
        <v>32</v>
      </c>
      <c r="I142" s="48" t="s">
        <v>23</v>
      </c>
      <c r="J142" s="48" t="s">
        <v>24</v>
      </c>
      <c r="K142" s="48" t="n">
        <v>0.0</v>
      </c>
      <c r="L142" s="48" t="n">
        <f>(K142*I142)</f>
        <v>0.0</v>
      </c>
      <c r="M142" s="48" t="n">
        <v>0.0</v>
      </c>
      <c r="N142" s="48" t="n">
        <f>ROUND(ROUND(K142*(1-M142/100), 2)*I142, 2)</f>
        <v>0.0</v>
      </c>
      <c r="O142" s="47" t="s">
        <v>24</v>
      </c>
    </row>
    <row r="143">
      <c r="A143" s="48" t="s">
        <v>260</v>
      </c>
      <c r="B143" s="44" t="s">
        <v>78</v>
      </c>
      <c r="C143" s="47" t="s">
        <v>17</v>
      </c>
      <c r="D143" s="47" t="s">
        <v>79</v>
      </c>
      <c r="E143" s="47" t="s">
        <v>24</v>
      </c>
      <c r="F143" s="43" t="s">
        <v>20</v>
      </c>
      <c r="G143" s="43" t="s">
        <v>34</v>
      </c>
      <c r="H143" s="43" t="s">
        <v>22</v>
      </c>
      <c r="I143" s="48" t="s">
        <v>23</v>
      </c>
      <c r="J143" s="48" t="s">
        <v>24</v>
      </c>
      <c r="K143" s="48" t="n">
        <v>121.7</v>
      </c>
      <c r="L143" s="48" t="n">
        <f>(K143*I143)</f>
        <v>121.7</v>
      </c>
      <c r="M143" s="48" t="n">
        <v>0.0</v>
      </c>
      <c r="N143" s="48" t="n">
        <f>ROUND(ROUND(K143*(1-M143/100), 2)*I143, 2)</f>
        <v>121.7</v>
      </c>
      <c r="O143" s="47" t="s">
        <v>24</v>
      </c>
    </row>
    <row r="144">
      <c r="A144" s="48" t="s">
        <v>261</v>
      </c>
      <c r="B144" s="44" t="s">
        <v>227</v>
      </c>
      <c r="C144" s="47" t="s">
        <v>17</v>
      </c>
      <c r="D144" s="47" t="s">
        <v>228</v>
      </c>
      <c r="E144" s="47" t="s">
        <v>24</v>
      </c>
      <c r="F144" s="43" t="s">
        <v>20</v>
      </c>
      <c r="G144" s="43" t="s">
        <v>34</v>
      </c>
      <c r="H144" s="43" t="s">
        <v>22</v>
      </c>
      <c r="I144" s="48" t="s">
        <v>23</v>
      </c>
      <c r="J144" s="48" t="s">
        <v>24</v>
      </c>
      <c r="K144" s="48" t="n">
        <v>121.7</v>
      </c>
      <c r="L144" s="48" t="n">
        <f>(K144*I144)</f>
        <v>121.7</v>
      </c>
      <c r="M144" s="48" t="n">
        <v>0.0</v>
      </c>
      <c r="N144" s="48" t="n">
        <f>ROUND(ROUND(K144*(1-M144/100), 2)*I144, 2)</f>
        <v>121.7</v>
      </c>
      <c r="O144" s="47" t="s">
        <v>24</v>
      </c>
    </row>
    <row r="145">
      <c r="A145" s="48" t="s">
        <v>262</v>
      </c>
      <c r="B145" s="44" t="s">
        <v>75</v>
      </c>
      <c r="C145" s="47" t="s">
        <v>17</v>
      </c>
      <c r="D145" s="47" t="s">
        <v>76</v>
      </c>
      <c r="E145" s="47" t="s">
        <v>24</v>
      </c>
      <c r="F145" s="43" t="s">
        <v>20</v>
      </c>
      <c r="G145" s="43" t="s">
        <v>34</v>
      </c>
      <c r="H145" s="43" t="s">
        <v>22</v>
      </c>
      <c r="I145" s="48" t="s">
        <v>23</v>
      </c>
      <c r="J145" s="48" t="s">
        <v>24</v>
      </c>
      <c r="K145" s="48" t="n">
        <v>3162.96</v>
      </c>
      <c r="L145" s="48" t="n">
        <f>(K145*I145)</f>
        <v>3162.96</v>
      </c>
      <c r="M145" s="48" t="n">
        <v>0.0</v>
      </c>
      <c r="N145" s="48" t="n">
        <f>ROUND(ROUND(K145*(1-M145/100), 2)*I145, 2)</f>
        <v>3162.96</v>
      </c>
      <c r="O145" s="47" t="s">
        <v>24</v>
      </c>
    </row>
    <row r="146">
      <c r="A146" s="48" t="s">
        <v>263</v>
      </c>
      <c r="B146" s="44" t="s">
        <v>84</v>
      </c>
      <c r="C146" s="47" t="s">
        <v>17</v>
      </c>
      <c r="D146" s="47" t="s">
        <v>85</v>
      </c>
      <c r="E146" s="47" t="s">
        <v>24</v>
      </c>
      <c r="F146" s="43" t="s">
        <v>20</v>
      </c>
      <c r="G146" s="43" t="s">
        <v>34</v>
      </c>
      <c r="H146" s="43" t="s">
        <v>32</v>
      </c>
      <c r="I146" s="48" t="s">
        <v>23</v>
      </c>
      <c r="J146" s="48" t="s">
        <v>24</v>
      </c>
      <c r="K146" s="48" t="n">
        <v>0.0</v>
      </c>
      <c r="L146" s="48" t="n">
        <f>(K146*I146)</f>
        <v>0.0</v>
      </c>
      <c r="M146" s="48" t="n">
        <v>0.0</v>
      </c>
      <c r="N146" s="48" t="n">
        <f>ROUND(ROUND(K146*(1-M146/100), 2)*I146, 2)</f>
        <v>0.0</v>
      </c>
      <c r="O146" s="47" t="s">
        <v>24</v>
      </c>
    </row>
    <row r="147">
      <c r="A147" s="48" t="s">
        <v>264</v>
      </c>
      <c r="B147" s="44" t="s">
        <v>87</v>
      </c>
      <c r="C147" s="47" t="s">
        <v>17</v>
      </c>
      <c r="D147" s="47" t="s">
        <v>88</v>
      </c>
      <c r="E147" s="47" t="s">
        <v>24</v>
      </c>
      <c r="F147" s="43" t="s">
        <v>20</v>
      </c>
      <c r="G147" s="43" t="s">
        <v>34</v>
      </c>
      <c r="H147" s="43" t="s">
        <v>32</v>
      </c>
      <c r="I147" s="48" t="s">
        <v>23</v>
      </c>
      <c r="J147" s="48" t="s">
        <v>24</v>
      </c>
      <c r="K147" s="48" t="n">
        <v>0.0</v>
      </c>
      <c r="L147" s="48" t="n">
        <f>(K147*I147)</f>
        <v>0.0</v>
      </c>
      <c r="M147" s="48" t="n">
        <v>0.0</v>
      </c>
      <c r="N147" s="48" t="n">
        <f>ROUND(ROUND(K147*(1-M147/100), 2)*I147, 2)</f>
        <v>0.0</v>
      </c>
      <c r="O147" s="47" t="s">
        <v>24</v>
      </c>
    </row>
    <row r="148">
      <c r="A148" s="48" t="s">
        <v>265</v>
      </c>
      <c r="B148" s="44" t="s">
        <v>90</v>
      </c>
      <c r="C148" s="47" t="s">
        <v>17</v>
      </c>
      <c r="D148" s="47" t="s">
        <v>91</v>
      </c>
      <c r="E148" s="47" t="s">
        <v>24</v>
      </c>
      <c r="F148" s="43" t="s">
        <v>20</v>
      </c>
      <c r="G148" s="43" t="s">
        <v>34</v>
      </c>
      <c r="H148" s="43" t="s">
        <v>32</v>
      </c>
      <c r="I148" s="48" t="s">
        <v>23</v>
      </c>
      <c r="J148" s="48" t="s">
        <v>24</v>
      </c>
      <c r="K148" s="48" t="n">
        <v>0.0</v>
      </c>
      <c r="L148" s="48" t="n">
        <f>(K148*I148)</f>
        <v>0.0</v>
      </c>
      <c r="M148" s="48" t="n">
        <v>0.0</v>
      </c>
      <c r="N148" s="48" t="n">
        <f>ROUND(ROUND(K148*(1-M148/100), 2)*I148, 2)</f>
        <v>0.0</v>
      </c>
      <c r="O148" s="47" t="s">
        <v>24</v>
      </c>
    </row>
    <row r="149">
      <c r="A149" s="48" t="s">
        <v>266</v>
      </c>
      <c r="B149" s="44" t="s">
        <v>96</v>
      </c>
      <c r="C149" s="47" t="s">
        <v>32</v>
      </c>
      <c r="D149" s="47" t="s">
        <v>97</v>
      </c>
      <c r="E149" s="47" t="s">
        <v>24</v>
      </c>
      <c r="F149" s="43" t="s">
        <v>20</v>
      </c>
      <c r="G149" s="43" t="s">
        <v>98</v>
      </c>
      <c r="H149" s="43" t="s">
        <v>32</v>
      </c>
      <c r="I149" s="48" t="s">
        <v>23</v>
      </c>
      <c r="J149" s="48" t="s">
        <v>24</v>
      </c>
      <c r="K149" s="48" t="n">
        <v>0.0</v>
      </c>
      <c r="L149" s="48" t="n">
        <f>(K149*I149)</f>
        <v>0.0</v>
      </c>
      <c r="M149" s="48" t="n">
        <v>0.0</v>
      </c>
      <c r="N149" s="48" t="n">
        <f>ROUND(ROUND(K149*(1-M149/100), 2)*I149, 2)</f>
        <v>0.0</v>
      </c>
      <c r="O149" s="47" t="s">
        <v>24</v>
      </c>
    </row>
    <row r="150">
      <c r="A150" s="48" t="s">
        <v>267</v>
      </c>
      <c r="B150" s="44" t="s">
        <v>93</v>
      </c>
      <c r="C150" s="47" t="s">
        <v>17</v>
      </c>
      <c r="D150" s="47" t="s">
        <v>94</v>
      </c>
      <c r="E150" s="47" t="s">
        <v>24</v>
      </c>
      <c r="F150" s="43" t="s">
        <v>20</v>
      </c>
      <c r="G150" s="43" t="s">
        <v>34</v>
      </c>
      <c r="H150" s="43" t="s">
        <v>22</v>
      </c>
      <c r="I150" s="48" t="s">
        <v>23</v>
      </c>
      <c r="J150" s="48" t="s">
        <v>24</v>
      </c>
      <c r="K150" s="48" t="n">
        <v>3103.4</v>
      </c>
      <c r="L150" s="48" t="n">
        <f>(K150*I150)</f>
        <v>3103.4</v>
      </c>
      <c r="M150" s="48" t="n">
        <v>0.0</v>
      </c>
      <c r="N150" s="48" t="n">
        <f>ROUND(ROUND(K150*(1-M150/100), 2)*I150, 2)</f>
        <v>3103.4</v>
      </c>
      <c r="O150" s="47" t="s">
        <v>24</v>
      </c>
    </row>
    <row r="151">
      <c r="A151" s="1" t="s">
        <v>24</v>
      </c>
      <c r="B151" s="1" t="s">
        <v>24</v>
      </c>
      <c r="C151" s="1" t="s">
        <v>24</v>
      </c>
      <c r="D151" s="1" t="s">
        <v>24</v>
      </c>
      <c r="E151" s="1" t="s">
        <v>24</v>
      </c>
      <c r="F151" s="1" t="s">
        <v>24</v>
      </c>
      <c r="G151" s="1" t="s">
        <v>24</v>
      </c>
      <c r="H151" s="1" t="s">
        <v>24</v>
      </c>
      <c r="I151" s="1" t="s">
        <v>24</v>
      </c>
      <c r="J151" s="1" t="s">
        <v>24</v>
      </c>
      <c r="K151" s="1" t="s">
        <v>24</v>
      </c>
      <c r="L151" s="1" t="s">
        <v>24</v>
      </c>
      <c r="M151" s="73" t="s">
        <v>99</v>
      </c>
      <c r="N151" s="73" t="n">
        <f>(N127+N128+N129+N130+N131+N132+N133+N134+N135+N136+N137+N138+N139+N140+N141+N142+N143+N144+N145+N146+N147+N148+N149+N150)</f>
        <v>0.0</v>
      </c>
      <c r="O151" s="73" t="s">
        <v>24</v>
      </c>
    </row>
    <row r="152">
      <c r="A152" s="1" t="s">
        <v>24</v>
      </c>
      <c r="B152" s="1" t="s">
        <v>24</v>
      </c>
      <c r="C152" s="1" t="s">
        <v>24</v>
      </c>
      <c r="D152" s="1" t="s">
        <v>24</v>
      </c>
      <c r="E152" s="1" t="s">
        <v>24</v>
      </c>
      <c r="F152" s="1" t="s">
        <v>24</v>
      </c>
      <c r="G152" s="1" t="s">
        <v>24</v>
      </c>
      <c r="H152" s="1" t="s">
        <v>24</v>
      </c>
      <c r="I152" s="1" t="s">
        <v>24</v>
      </c>
      <c r="J152" s="1" t="s">
        <v>24</v>
      </c>
      <c r="K152" s="1" t="s">
        <v>24</v>
      </c>
      <c r="L152" s="1" t="s">
        <v>24</v>
      </c>
      <c r="M152" s="73" t="s">
        <v>268</v>
      </c>
      <c r="N152" s="73" t="n">
        <f>(N26+N51+N76+N101+N126+N151)</f>
        <v>100.0</v>
      </c>
      <c r="O152" s="73" t="s">
        <v>24</v>
      </c>
    </row>
  </sheetData>
  <printOptions gridLines="false" horizontalCentered="true"/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2026-05-14T02:50:35Z</dcterms:created>
  <dc:creator>Apache POI</dc:creator>
</cp:coreProperties>
</file>