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ĐàoThịKimTrang\network-quotation-web\data\BOM\"/>
    </mc:Choice>
  </mc:AlternateContent>
  <xr:revisionPtr revIDLastSave="0" documentId="8_{9C689CFA-A4F2-4F18-AFB0-092C2403458D}" xr6:coauthVersionLast="47" xr6:coauthVersionMax="47" xr10:uidLastSave="{00000000-0000-0000-0000-000000000000}"/>
  <bookViews>
    <workbookView xWindow="28680" yWindow="-120" windowWidth="29040" windowHeight="15720" xr2:uid="{16FA161C-6C60-40DD-8A2E-4A638EB42061}"/>
  </bookViews>
  <sheets>
    <sheet name="ISR1000_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61" i="1" l="1"/>
  <c r="T761" i="1"/>
  <c r="S761" i="1"/>
  <c r="W760" i="1"/>
  <c r="T760" i="1"/>
  <c r="S760" i="1"/>
  <c r="W759" i="1"/>
  <c r="T759" i="1"/>
  <c r="S759" i="1"/>
  <c r="W758" i="1"/>
  <c r="T758" i="1"/>
  <c r="S758" i="1"/>
  <c r="W757" i="1"/>
  <c r="T757" i="1"/>
  <c r="S757" i="1"/>
  <c r="W756" i="1"/>
  <c r="T756" i="1"/>
  <c r="S756" i="1"/>
  <c r="W755" i="1"/>
  <c r="T755" i="1"/>
  <c r="S755" i="1"/>
  <c r="W754" i="1"/>
  <c r="T754" i="1"/>
  <c r="S754" i="1"/>
  <c r="W753" i="1"/>
  <c r="T753" i="1"/>
  <c r="S753" i="1"/>
  <c r="W752" i="1"/>
  <c r="T752" i="1"/>
  <c r="S752" i="1"/>
  <c r="W751" i="1"/>
  <c r="T751" i="1"/>
  <c r="S751" i="1"/>
  <c r="W750" i="1"/>
  <c r="T750" i="1"/>
  <c r="S750" i="1"/>
  <c r="W749" i="1"/>
  <c r="T749" i="1"/>
  <c r="S749" i="1"/>
  <c r="W748" i="1"/>
  <c r="T748" i="1"/>
  <c r="S748" i="1"/>
  <c r="W747" i="1"/>
  <c r="T747" i="1"/>
  <c r="S747" i="1"/>
  <c r="W746" i="1"/>
  <c r="T746" i="1"/>
  <c r="S746" i="1"/>
  <c r="W745" i="1"/>
  <c r="T745" i="1"/>
  <c r="S745" i="1"/>
  <c r="W744" i="1"/>
  <c r="T744" i="1"/>
  <c r="S744" i="1"/>
  <c r="W743" i="1"/>
  <c r="T743" i="1"/>
  <c r="S743" i="1"/>
  <c r="W742" i="1"/>
  <c r="T742" i="1"/>
  <c r="S742" i="1"/>
  <c r="W741" i="1"/>
  <c r="T741" i="1"/>
  <c r="S741" i="1"/>
  <c r="W740" i="1"/>
  <c r="T740" i="1"/>
  <c r="S740" i="1"/>
  <c r="W739" i="1"/>
  <c r="T739" i="1"/>
  <c r="S739" i="1"/>
  <c r="W738" i="1"/>
  <c r="T738" i="1"/>
  <c r="S738" i="1"/>
  <c r="W737" i="1"/>
  <c r="T737" i="1"/>
  <c r="S737" i="1"/>
  <c r="W736" i="1"/>
  <c r="T736" i="1"/>
  <c r="S736" i="1"/>
  <c r="W735" i="1"/>
  <c r="T735" i="1"/>
  <c r="S735" i="1"/>
  <c r="W734" i="1"/>
  <c r="T734" i="1"/>
  <c r="S734" i="1"/>
  <c r="W733" i="1"/>
  <c r="T733" i="1"/>
  <c r="S733" i="1"/>
  <c r="W732" i="1"/>
  <c r="T732" i="1"/>
  <c r="S732" i="1"/>
  <c r="W731" i="1"/>
  <c r="T731" i="1"/>
  <c r="S731" i="1"/>
  <c r="W730" i="1"/>
  <c r="T730" i="1"/>
  <c r="S730" i="1"/>
  <c r="W729" i="1"/>
  <c r="T729" i="1"/>
  <c r="S729" i="1"/>
  <c r="W728" i="1"/>
  <c r="T728" i="1"/>
  <c r="S728" i="1"/>
  <c r="W727" i="1"/>
  <c r="T727" i="1"/>
  <c r="S727" i="1"/>
  <c r="W726" i="1"/>
  <c r="T726" i="1"/>
  <c r="S726" i="1"/>
  <c r="W725" i="1"/>
  <c r="T725" i="1"/>
  <c r="S725" i="1"/>
  <c r="W724" i="1"/>
  <c r="T724" i="1"/>
  <c r="S724" i="1"/>
  <c r="W723" i="1"/>
  <c r="T723" i="1"/>
  <c r="S723" i="1"/>
  <c r="W722" i="1"/>
  <c r="T722" i="1"/>
  <c r="S722" i="1"/>
  <c r="W721" i="1"/>
  <c r="T721" i="1"/>
  <c r="S721" i="1"/>
  <c r="W720" i="1"/>
  <c r="T720" i="1"/>
  <c r="S720" i="1"/>
  <c r="W719" i="1"/>
  <c r="T719" i="1"/>
  <c r="S719" i="1"/>
  <c r="W718" i="1"/>
  <c r="T718" i="1"/>
  <c r="S718" i="1"/>
  <c r="W717" i="1"/>
  <c r="T717" i="1"/>
  <c r="S717" i="1"/>
  <c r="W716" i="1"/>
  <c r="T716" i="1"/>
  <c r="S716" i="1"/>
  <c r="W715" i="1"/>
  <c r="T715" i="1"/>
  <c r="S715" i="1"/>
  <c r="W714" i="1"/>
  <c r="T714" i="1"/>
  <c r="S714" i="1"/>
  <c r="W713" i="1"/>
  <c r="T713" i="1"/>
  <c r="S713" i="1"/>
  <c r="W712" i="1"/>
  <c r="T712" i="1"/>
  <c r="S712" i="1"/>
  <c r="W711" i="1"/>
  <c r="T711" i="1"/>
  <c r="S711" i="1"/>
  <c r="W710" i="1"/>
  <c r="T710" i="1"/>
  <c r="S710" i="1"/>
  <c r="W709" i="1"/>
  <c r="T709" i="1"/>
  <c r="S709" i="1"/>
  <c r="W708" i="1"/>
  <c r="T708" i="1"/>
  <c r="S708" i="1"/>
  <c r="W707" i="1"/>
  <c r="T707" i="1"/>
  <c r="S707" i="1"/>
  <c r="W706" i="1"/>
  <c r="T706" i="1"/>
  <c r="S706" i="1"/>
  <c r="W705" i="1"/>
  <c r="T705" i="1"/>
  <c r="S705" i="1"/>
  <c r="W704" i="1"/>
  <c r="T704" i="1"/>
  <c r="S704" i="1"/>
  <c r="W703" i="1"/>
  <c r="T703" i="1"/>
  <c r="S703" i="1"/>
  <c r="W702" i="1"/>
  <c r="T702" i="1"/>
  <c r="S702" i="1"/>
  <c r="W701" i="1"/>
  <c r="T701" i="1"/>
  <c r="S701" i="1"/>
  <c r="W700" i="1"/>
  <c r="T700" i="1"/>
  <c r="S700" i="1"/>
  <c r="W699" i="1"/>
  <c r="T699" i="1"/>
  <c r="S699" i="1"/>
  <c r="W698" i="1"/>
  <c r="T698" i="1"/>
  <c r="S698" i="1"/>
  <c r="W697" i="1"/>
  <c r="T697" i="1"/>
  <c r="S697" i="1"/>
  <c r="W696" i="1"/>
  <c r="T696" i="1"/>
  <c r="S696" i="1"/>
  <c r="W695" i="1"/>
  <c r="T695" i="1"/>
  <c r="S695" i="1"/>
  <c r="W694" i="1"/>
  <c r="T694" i="1"/>
  <c r="S694" i="1"/>
  <c r="W693" i="1"/>
  <c r="T693" i="1"/>
  <c r="S693" i="1"/>
  <c r="W692" i="1"/>
  <c r="T692" i="1"/>
  <c r="S692" i="1"/>
  <c r="W691" i="1"/>
  <c r="T691" i="1"/>
  <c r="S691" i="1"/>
  <c r="W690" i="1"/>
  <c r="T690" i="1"/>
  <c r="S690" i="1"/>
  <c r="W689" i="1"/>
  <c r="T689" i="1"/>
  <c r="S689" i="1"/>
  <c r="W688" i="1"/>
  <c r="T688" i="1"/>
  <c r="S688" i="1"/>
  <c r="W687" i="1"/>
  <c r="T687" i="1"/>
  <c r="S687" i="1"/>
  <c r="W686" i="1"/>
  <c r="T686" i="1"/>
  <c r="S686" i="1"/>
  <c r="W685" i="1"/>
  <c r="T685" i="1"/>
  <c r="S685" i="1"/>
  <c r="W684" i="1"/>
  <c r="T684" i="1"/>
  <c r="S684" i="1"/>
  <c r="W683" i="1"/>
  <c r="T683" i="1"/>
  <c r="S683" i="1"/>
  <c r="W682" i="1"/>
  <c r="T682" i="1"/>
  <c r="S682" i="1"/>
  <c r="W681" i="1"/>
  <c r="T681" i="1"/>
  <c r="S681" i="1"/>
  <c r="W680" i="1"/>
  <c r="T680" i="1"/>
  <c r="S680" i="1"/>
  <c r="W679" i="1"/>
  <c r="T679" i="1"/>
  <c r="S679" i="1"/>
  <c r="W678" i="1"/>
  <c r="T678" i="1"/>
  <c r="S678" i="1"/>
  <c r="W677" i="1"/>
  <c r="T677" i="1"/>
  <c r="S677" i="1"/>
  <c r="W676" i="1"/>
  <c r="T676" i="1"/>
  <c r="S676" i="1"/>
  <c r="W675" i="1"/>
  <c r="T675" i="1"/>
  <c r="S675" i="1"/>
  <c r="W674" i="1"/>
  <c r="T674" i="1"/>
  <c r="S674" i="1"/>
  <c r="W673" i="1"/>
  <c r="T673" i="1"/>
  <c r="S673" i="1"/>
  <c r="W672" i="1"/>
  <c r="T672" i="1"/>
  <c r="S672" i="1"/>
  <c r="W671" i="1"/>
  <c r="T671" i="1"/>
  <c r="S671" i="1"/>
  <c r="W670" i="1"/>
  <c r="T670" i="1"/>
  <c r="S670" i="1"/>
  <c r="W669" i="1"/>
  <c r="T669" i="1"/>
  <c r="S669" i="1"/>
  <c r="W668" i="1"/>
  <c r="T668" i="1"/>
  <c r="S668" i="1"/>
  <c r="W667" i="1"/>
  <c r="T667" i="1"/>
  <c r="S667" i="1"/>
  <c r="W666" i="1"/>
  <c r="T666" i="1"/>
  <c r="S666" i="1"/>
  <c r="W665" i="1"/>
  <c r="T665" i="1"/>
  <c r="S665" i="1"/>
  <c r="W664" i="1"/>
  <c r="T664" i="1"/>
  <c r="S664" i="1"/>
  <c r="W663" i="1"/>
  <c r="T663" i="1"/>
  <c r="S663" i="1"/>
  <c r="W662" i="1"/>
  <c r="T662" i="1"/>
  <c r="S662" i="1"/>
  <c r="W661" i="1"/>
  <c r="T661" i="1"/>
  <c r="S661" i="1"/>
  <c r="W660" i="1"/>
  <c r="T660" i="1"/>
  <c r="S660" i="1"/>
  <c r="W659" i="1"/>
  <c r="T659" i="1"/>
  <c r="S659" i="1"/>
  <c r="W658" i="1"/>
  <c r="T658" i="1"/>
  <c r="S658" i="1"/>
  <c r="W657" i="1"/>
  <c r="T657" i="1"/>
  <c r="S657" i="1"/>
  <c r="W656" i="1"/>
  <c r="T656" i="1"/>
  <c r="S656" i="1"/>
  <c r="W655" i="1"/>
  <c r="T655" i="1"/>
  <c r="S655" i="1"/>
  <c r="W654" i="1"/>
  <c r="T654" i="1"/>
  <c r="S654" i="1"/>
  <c r="W653" i="1"/>
  <c r="T653" i="1"/>
  <c r="S653" i="1"/>
  <c r="W652" i="1"/>
  <c r="T652" i="1"/>
  <c r="S652" i="1"/>
  <c r="W651" i="1"/>
  <c r="T651" i="1"/>
  <c r="S651" i="1"/>
  <c r="W650" i="1"/>
  <c r="T650" i="1"/>
  <c r="S650" i="1"/>
  <c r="W649" i="1"/>
  <c r="T649" i="1"/>
  <c r="S649" i="1"/>
  <c r="W648" i="1"/>
  <c r="T648" i="1"/>
  <c r="S648" i="1"/>
  <c r="W647" i="1"/>
  <c r="T647" i="1"/>
  <c r="S647" i="1"/>
  <c r="W646" i="1"/>
  <c r="T646" i="1"/>
  <c r="S646" i="1"/>
  <c r="W645" i="1"/>
  <c r="T645" i="1"/>
  <c r="S645" i="1"/>
  <c r="W644" i="1"/>
  <c r="T644" i="1"/>
  <c r="S644" i="1"/>
  <c r="W643" i="1"/>
  <c r="T643" i="1"/>
  <c r="S643" i="1"/>
  <c r="W642" i="1"/>
  <c r="T642" i="1"/>
  <c r="S642" i="1"/>
  <c r="W641" i="1"/>
  <c r="T641" i="1"/>
  <c r="S641" i="1"/>
  <c r="W640" i="1"/>
  <c r="T640" i="1"/>
  <c r="S640" i="1"/>
  <c r="W639" i="1"/>
  <c r="T639" i="1"/>
  <c r="S639" i="1"/>
  <c r="W638" i="1"/>
  <c r="T638" i="1"/>
  <c r="S638" i="1"/>
  <c r="W637" i="1"/>
  <c r="T637" i="1"/>
  <c r="S637" i="1"/>
  <c r="W636" i="1"/>
  <c r="T636" i="1"/>
  <c r="S636" i="1"/>
  <c r="W635" i="1"/>
  <c r="T635" i="1"/>
  <c r="S635" i="1"/>
  <c r="W634" i="1"/>
  <c r="T634" i="1"/>
  <c r="S634" i="1"/>
  <c r="W633" i="1"/>
  <c r="T633" i="1"/>
  <c r="S633" i="1"/>
  <c r="W632" i="1"/>
  <c r="T632" i="1"/>
  <c r="S632" i="1"/>
  <c r="W631" i="1"/>
  <c r="T631" i="1"/>
  <c r="S631" i="1"/>
  <c r="W630" i="1"/>
  <c r="T630" i="1"/>
  <c r="S630" i="1"/>
  <c r="W629" i="1"/>
  <c r="T629" i="1"/>
  <c r="S629" i="1"/>
  <c r="W628" i="1"/>
  <c r="T628" i="1"/>
  <c r="S628" i="1"/>
  <c r="W627" i="1"/>
  <c r="T627" i="1"/>
  <c r="S627" i="1"/>
  <c r="W626" i="1"/>
  <c r="T626" i="1"/>
  <c r="S626" i="1"/>
  <c r="W625" i="1"/>
  <c r="T625" i="1"/>
  <c r="S625" i="1"/>
  <c r="W624" i="1"/>
  <c r="T624" i="1"/>
  <c r="S624" i="1"/>
  <c r="W623" i="1"/>
  <c r="T623" i="1"/>
  <c r="S623" i="1"/>
  <c r="W622" i="1"/>
  <c r="T622" i="1"/>
  <c r="S622" i="1"/>
  <c r="W621" i="1"/>
  <c r="T621" i="1"/>
  <c r="S621" i="1"/>
  <c r="W620" i="1"/>
  <c r="T620" i="1"/>
  <c r="S620" i="1"/>
  <c r="W619" i="1"/>
  <c r="T619" i="1"/>
  <c r="S619" i="1"/>
  <c r="W618" i="1"/>
  <c r="T618" i="1"/>
  <c r="S618" i="1"/>
  <c r="W617" i="1"/>
  <c r="T617" i="1"/>
  <c r="S617" i="1"/>
  <c r="W616" i="1"/>
  <c r="T616" i="1"/>
  <c r="S616" i="1"/>
  <c r="W615" i="1"/>
  <c r="T615" i="1"/>
  <c r="S615" i="1"/>
  <c r="W614" i="1"/>
  <c r="T614" i="1"/>
  <c r="S614" i="1"/>
  <c r="W613" i="1"/>
  <c r="T613" i="1"/>
  <c r="S613" i="1"/>
  <c r="W612" i="1"/>
  <c r="T612" i="1"/>
  <c r="S612" i="1"/>
  <c r="W611" i="1"/>
  <c r="T611" i="1"/>
  <c r="S611" i="1"/>
  <c r="W610" i="1"/>
  <c r="T610" i="1"/>
  <c r="S610" i="1"/>
  <c r="W609" i="1"/>
  <c r="T609" i="1"/>
  <c r="S609" i="1"/>
  <c r="W608" i="1"/>
  <c r="T608" i="1"/>
  <c r="S608" i="1"/>
  <c r="W607" i="1"/>
  <c r="T607" i="1"/>
  <c r="S607" i="1"/>
  <c r="W606" i="1"/>
  <c r="T606" i="1"/>
  <c r="S606" i="1"/>
  <c r="W605" i="1"/>
  <c r="T605" i="1"/>
  <c r="S605" i="1"/>
  <c r="W604" i="1"/>
  <c r="T604" i="1"/>
  <c r="S604" i="1"/>
  <c r="W603" i="1"/>
  <c r="T603" i="1"/>
  <c r="S603" i="1"/>
  <c r="W602" i="1"/>
  <c r="T602" i="1"/>
  <c r="S602" i="1"/>
  <c r="W601" i="1"/>
  <c r="T601" i="1"/>
  <c r="S601" i="1"/>
  <c r="W600" i="1"/>
  <c r="T600" i="1"/>
  <c r="S600" i="1"/>
  <c r="W599" i="1"/>
  <c r="T599" i="1"/>
  <c r="S599" i="1"/>
  <c r="W598" i="1"/>
  <c r="T598" i="1"/>
  <c r="S598" i="1"/>
  <c r="W597" i="1"/>
  <c r="T597" i="1"/>
  <c r="S597" i="1"/>
  <c r="W596" i="1"/>
  <c r="T596" i="1"/>
  <c r="S596" i="1"/>
  <c r="W595" i="1"/>
  <c r="T595" i="1"/>
  <c r="S595" i="1"/>
  <c r="W594" i="1"/>
  <c r="T594" i="1"/>
  <c r="S594" i="1"/>
  <c r="W593" i="1"/>
  <c r="T593" i="1"/>
  <c r="S593" i="1"/>
  <c r="W592" i="1"/>
  <c r="T592" i="1"/>
  <c r="S592" i="1"/>
  <c r="W591" i="1"/>
  <c r="T591" i="1"/>
  <c r="S591" i="1"/>
  <c r="W590" i="1"/>
  <c r="T590" i="1"/>
  <c r="S590" i="1"/>
  <c r="W589" i="1"/>
  <c r="T589" i="1"/>
  <c r="S589" i="1"/>
  <c r="W588" i="1"/>
  <c r="T588" i="1"/>
  <c r="S588" i="1"/>
  <c r="W587" i="1"/>
  <c r="T587" i="1"/>
  <c r="S587" i="1"/>
  <c r="W586" i="1"/>
  <c r="T586" i="1"/>
  <c r="S586" i="1"/>
  <c r="W585" i="1"/>
  <c r="T585" i="1"/>
  <c r="S585" i="1"/>
  <c r="W584" i="1"/>
  <c r="T584" i="1"/>
  <c r="S584" i="1"/>
  <c r="W583" i="1"/>
  <c r="T583" i="1"/>
  <c r="S583" i="1"/>
  <c r="W582" i="1"/>
  <c r="T582" i="1"/>
  <c r="S582" i="1"/>
  <c r="W581" i="1"/>
  <c r="T581" i="1"/>
  <c r="S581" i="1"/>
  <c r="W580" i="1"/>
  <c r="T580" i="1"/>
  <c r="S580" i="1"/>
  <c r="W579" i="1"/>
  <c r="T579" i="1"/>
  <c r="S579" i="1"/>
  <c r="W578" i="1"/>
  <c r="T578" i="1"/>
  <c r="S578" i="1"/>
  <c r="W577" i="1"/>
  <c r="T577" i="1"/>
  <c r="S577" i="1"/>
  <c r="W576" i="1"/>
  <c r="T576" i="1"/>
  <c r="S576" i="1"/>
  <c r="W575" i="1"/>
  <c r="T575" i="1"/>
  <c r="S575" i="1"/>
  <c r="W574" i="1"/>
  <c r="T574" i="1"/>
  <c r="S574" i="1"/>
  <c r="W573" i="1"/>
  <c r="T573" i="1"/>
  <c r="S573" i="1"/>
  <c r="W572" i="1"/>
  <c r="T572" i="1"/>
  <c r="S572" i="1"/>
  <c r="W571" i="1"/>
  <c r="T571" i="1"/>
  <c r="S571" i="1"/>
  <c r="W570" i="1"/>
  <c r="T570" i="1"/>
  <c r="S570" i="1"/>
  <c r="W569" i="1"/>
  <c r="T569" i="1"/>
  <c r="S569" i="1"/>
  <c r="W568" i="1"/>
  <c r="T568" i="1"/>
  <c r="S568" i="1"/>
  <c r="W567" i="1"/>
  <c r="T567" i="1"/>
  <c r="S567" i="1"/>
  <c r="W566" i="1"/>
  <c r="T566" i="1"/>
  <c r="S566" i="1"/>
  <c r="W565" i="1"/>
  <c r="T565" i="1"/>
  <c r="S565" i="1"/>
  <c r="W564" i="1"/>
  <c r="T564" i="1"/>
  <c r="S564" i="1"/>
  <c r="W563" i="1"/>
  <c r="T563" i="1"/>
  <c r="S563" i="1"/>
  <c r="W562" i="1"/>
  <c r="T562" i="1"/>
  <c r="S562" i="1"/>
  <c r="W561" i="1"/>
  <c r="T561" i="1"/>
  <c r="S561" i="1"/>
  <c r="W560" i="1"/>
  <c r="T560" i="1"/>
  <c r="S560" i="1"/>
  <c r="W559" i="1"/>
  <c r="T559" i="1"/>
  <c r="S559" i="1"/>
  <c r="W558" i="1"/>
  <c r="T558" i="1"/>
  <c r="S558" i="1"/>
  <c r="W557" i="1"/>
  <c r="T557" i="1"/>
  <c r="S557" i="1"/>
  <c r="W556" i="1"/>
  <c r="T556" i="1"/>
  <c r="S556" i="1"/>
  <c r="W555" i="1"/>
  <c r="T555" i="1"/>
  <c r="S555" i="1"/>
  <c r="W554" i="1"/>
  <c r="T554" i="1"/>
  <c r="S554" i="1"/>
  <c r="W553" i="1"/>
  <c r="T553" i="1"/>
  <c r="S553" i="1"/>
  <c r="W552" i="1"/>
  <c r="T552" i="1"/>
  <c r="S552" i="1"/>
  <c r="W551" i="1"/>
  <c r="T551" i="1"/>
  <c r="S551" i="1"/>
  <c r="W550" i="1"/>
  <c r="T550" i="1"/>
  <c r="S550" i="1"/>
  <c r="W549" i="1"/>
  <c r="T549" i="1"/>
  <c r="S549" i="1"/>
  <c r="W548" i="1"/>
  <c r="T548" i="1"/>
  <c r="S548" i="1"/>
  <c r="W547" i="1"/>
  <c r="T547" i="1"/>
  <c r="S547" i="1"/>
  <c r="W546" i="1"/>
  <c r="T546" i="1"/>
  <c r="S546" i="1"/>
  <c r="W545" i="1"/>
  <c r="T545" i="1"/>
  <c r="S545" i="1"/>
  <c r="W544" i="1"/>
  <c r="T544" i="1"/>
  <c r="S544" i="1"/>
  <c r="W543" i="1"/>
  <c r="T543" i="1"/>
  <c r="S543" i="1"/>
  <c r="W542" i="1"/>
  <c r="T542" i="1"/>
  <c r="S542" i="1"/>
  <c r="W541" i="1"/>
  <c r="T541" i="1"/>
  <c r="S541" i="1"/>
  <c r="W540" i="1"/>
  <c r="T540" i="1"/>
  <c r="S540" i="1"/>
  <c r="W539" i="1"/>
  <c r="T539" i="1"/>
  <c r="S539" i="1"/>
  <c r="W538" i="1"/>
  <c r="T538" i="1"/>
  <c r="S538" i="1"/>
  <c r="W537" i="1"/>
  <c r="T537" i="1"/>
  <c r="S537" i="1"/>
  <c r="W536" i="1"/>
  <c r="T536" i="1"/>
  <c r="S536" i="1"/>
  <c r="W535" i="1"/>
  <c r="T535" i="1"/>
  <c r="S535" i="1"/>
  <c r="W534" i="1"/>
  <c r="T534" i="1"/>
  <c r="S534" i="1"/>
  <c r="W533" i="1"/>
  <c r="T533" i="1"/>
  <c r="S533" i="1"/>
  <c r="W532" i="1"/>
  <c r="T532" i="1"/>
  <c r="S532" i="1"/>
  <c r="W531" i="1"/>
  <c r="T531" i="1"/>
  <c r="S531" i="1"/>
  <c r="W530" i="1"/>
  <c r="T530" i="1"/>
  <c r="S530" i="1"/>
  <c r="W529" i="1"/>
  <c r="T529" i="1"/>
  <c r="S529" i="1"/>
  <c r="W528" i="1"/>
  <c r="T528" i="1"/>
  <c r="S528" i="1"/>
  <c r="W527" i="1"/>
  <c r="T527" i="1"/>
  <c r="S527" i="1"/>
  <c r="W526" i="1"/>
  <c r="T526" i="1"/>
  <c r="S526" i="1"/>
  <c r="W525" i="1"/>
  <c r="T525" i="1"/>
  <c r="S525" i="1"/>
  <c r="W524" i="1"/>
  <c r="T524" i="1"/>
  <c r="S524" i="1"/>
  <c r="W523" i="1"/>
  <c r="T523" i="1"/>
  <c r="S523" i="1"/>
  <c r="W522" i="1"/>
  <c r="T522" i="1"/>
  <c r="S522" i="1"/>
  <c r="W521" i="1"/>
  <c r="T521" i="1"/>
  <c r="S521" i="1"/>
  <c r="W520" i="1"/>
  <c r="T520" i="1"/>
  <c r="S520" i="1"/>
  <c r="W519" i="1"/>
  <c r="T519" i="1"/>
  <c r="S519" i="1"/>
  <c r="W518" i="1"/>
  <c r="T518" i="1"/>
  <c r="S518" i="1"/>
  <c r="W517" i="1"/>
  <c r="T517" i="1"/>
  <c r="S517" i="1"/>
  <c r="W516" i="1"/>
  <c r="T516" i="1"/>
  <c r="S516" i="1"/>
  <c r="W515" i="1"/>
  <c r="T515" i="1"/>
  <c r="S515" i="1"/>
  <c r="W514" i="1"/>
  <c r="T514" i="1"/>
  <c r="S514" i="1"/>
  <c r="W513" i="1"/>
  <c r="T513" i="1"/>
  <c r="S513" i="1"/>
  <c r="W512" i="1"/>
  <c r="T512" i="1"/>
  <c r="S512" i="1"/>
  <c r="W511" i="1"/>
  <c r="T511" i="1"/>
  <c r="S511" i="1"/>
  <c r="W510" i="1"/>
  <c r="T510" i="1"/>
  <c r="S510" i="1"/>
  <c r="W509" i="1"/>
  <c r="T509" i="1"/>
  <c r="S509" i="1"/>
  <c r="W508" i="1"/>
  <c r="T508" i="1"/>
  <c r="S508" i="1"/>
  <c r="W507" i="1"/>
  <c r="T507" i="1"/>
  <c r="S507" i="1"/>
  <c r="W506" i="1"/>
  <c r="T506" i="1"/>
  <c r="S506" i="1"/>
  <c r="W505" i="1"/>
  <c r="T505" i="1"/>
  <c r="S505" i="1"/>
  <c r="W504" i="1"/>
  <c r="T504" i="1"/>
  <c r="S504" i="1"/>
  <c r="W503" i="1"/>
  <c r="T503" i="1"/>
  <c r="S503" i="1"/>
  <c r="W502" i="1"/>
  <c r="T502" i="1"/>
  <c r="S502" i="1"/>
  <c r="W501" i="1"/>
  <c r="T501" i="1"/>
  <c r="S501" i="1"/>
  <c r="W500" i="1"/>
  <c r="T500" i="1"/>
  <c r="S500" i="1"/>
  <c r="W499" i="1"/>
  <c r="T499" i="1"/>
  <c r="S499" i="1"/>
  <c r="W498" i="1"/>
  <c r="T498" i="1"/>
  <c r="S498" i="1"/>
  <c r="W497" i="1"/>
  <c r="T497" i="1"/>
  <c r="S497" i="1"/>
  <c r="W496" i="1"/>
  <c r="T496" i="1"/>
  <c r="S496" i="1"/>
  <c r="W495" i="1"/>
  <c r="T495" i="1"/>
  <c r="S495" i="1"/>
  <c r="W494" i="1"/>
  <c r="T494" i="1"/>
  <c r="S494" i="1"/>
  <c r="W493" i="1"/>
  <c r="T493" i="1"/>
  <c r="S493" i="1"/>
  <c r="W492" i="1"/>
  <c r="T492" i="1"/>
  <c r="S492" i="1"/>
  <c r="W491" i="1"/>
  <c r="T491" i="1"/>
  <c r="S491" i="1"/>
  <c r="W490" i="1"/>
  <c r="T490" i="1"/>
  <c r="S490" i="1"/>
  <c r="W489" i="1"/>
  <c r="T489" i="1"/>
  <c r="S489" i="1"/>
  <c r="W488" i="1"/>
  <c r="T488" i="1"/>
  <c r="S488" i="1"/>
  <c r="W487" i="1"/>
  <c r="T487" i="1"/>
  <c r="S487" i="1"/>
  <c r="W486" i="1"/>
  <c r="T486" i="1"/>
  <c r="S486" i="1"/>
  <c r="W485" i="1"/>
  <c r="T485" i="1"/>
  <c r="S485" i="1"/>
  <c r="W484" i="1"/>
  <c r="T484" i="1"/>
  <c r="S484" i="1"/>
  <c r="W483" i="1"/>
  <c r="T483" i="1"/>
  <c r="S483" i="1"/>
  <c r="W482" i="1"/>
  <c r="T482" i="1"/>
  <c r="S482" i="1"/>
  <c r="W481" i="1"/>
  <c r="T481" i="1"/>
  <c r="S481" i="1"/>
  <c r="W480" i="1"/>
  <c r="T480" i="1"/>
  <c r="S480" i="1"/>
  <c r="W479" i="1"/>
  <c r="T479" i="1"/>
  <c r="S479" i="1"/>
  <c r="W478" i="1"/>
  <c r="T478" i="1"/>
  <c r="S478" i="1"/>
  <c r="W477" i="1"/>
  <c r="T477" i="1"/>
  <c r="S477" i="1"/>
  <c r="W476" i="1"/>
  <c r="T476" i="1"/>
  <c r="S476" i="1"/>
  <c r="W475" i="1"/>
  <c r="T475" i="1"/>
  <c r="S475" i="1"/>
  <c r="W474" i="1"/>
  <c r="T474" i="1"/>
  <c r="S474" i="1"/>
  <c r="W473" i="1"/>
  <c r="T473" i="1"/>
  <c r="S473" i="1"/>
  <c r="W472" i="1"/>
  <c r="T472" i="1"/>
  <c r="S472" i="1"/>
  <c r="W471" i="1"/>
  <c r="T471" i="1"/>
  <c r="S471" i="1"/>
  <c r="W470" i="1"/>
  <c r="T470" i="1"/>
  <c r="S470" i="1"/>
  <c r="W469" i="1"/>
  <c r="T469" i="1"/>
  <c r="S469" i="1"/>
  <c r="W468" i="1"/>
  <c r="T468" i="1"/>
  <c r="S468" i="1"/>
  <c r="W467" i="1"/>
  <c r="T467" i="1"/>
  <c r="S467" i="1"/>
  <c r="W466" i="1"/>
  <c r="T466" i="1"/>
  <c r="S466" i="1"/>
  <c r="W465" i="1"/>
  <c r="T465" i="1"/>
  <c r="S465" i="1"/>
  <c r="W464" i="1"/>
  <c r="T464" i="1"/>
  <c r="S464" i="1"/>
  <c r="W463" i="1"/>
  <c r="T463" i="1"/>
  <c r="S463" i="1"/>
  <c r="W462" i="1"/>
  <c r="T462" i="1"/>
  <c r="S462" i="1"/>
  <c r="W461" i="1"/>
  <c r="T461" i="1"/>
  <c r="S461" i="1"/>
  <c r="W460" i="1"/>
  <c r="T460" i="1"/>
  <c r="S460" i="1"/>
  <c r="W459" i="1"/>
  <c r="T459" i="1"/>
  <c r="S459" i="1"/>
  <c r="W458" i="1"/>
  <c r="T458" i="1"/>
  <c r="S458" i="1"/>
  <c r="W457" i="1"/>
  <c r="T457" i="1"/>
  <c r="S457" i="1"/>
  <c r="W456" i="1"/>
  <c r="T456" i="1"/>
  <c r="S456" i="1"/>
  <c r="W455" i="1"/>
  <c r="T455" i="1"/>
  <c r="S455" i="1"/>
  <c r="W454" i="1"/>
  <c r="T454" i="1"/>
  <c r="S454" i="1"/>
  <c r="W453" i="1"/>
  <c r="T453" i="1"/>
  <c r="S453" i="1"/>
  <c r="W452" i="1"/>
  <c r="T452" i="1"/>
  <c r="S452" i="1"/>
  <c r="W451" i="1"/>
  <c r="T451" i="1"/>
  <c r="S451" i="1"/>
  <c r="W450" i="1"/>
  <c r="T450" i="1"/>
  <c r="S450" i="1"/>
  <c r="W449" i="1"/>
  <c r="T449" i="1"/>
  <c r="S449" i="1"/>
  <c r="W448" i="1"/>
  <c r="T448" i="1"/>
  <c r="S448" i="1"/>
  <c r="W447" i="1"/>
  <c r="T447" i="1"/>
  <c r="S447" i="1"/>
  <c r="W446" i="1"/>
  <c r="T446" i="1"/>
  <c r="S446" i="1"/>
  <c r="W445" i="1"/>
  <c r="T445" i="1"/>
  <c r="S445" i="1"/>
  <c r="W444" i="1"/>
  <c r="T444" i="1"/>
  <c r="S444" i="1"/>
  <c r="W443" i="1"/>
  <c r="T443" i="1"/>
  <c r="S443" i="1"/>
  <c r="W442" i="1"/>
  <c r="T442" i="1"/>
  <c r="S442" i="1"/>
  <c r="W441" i="1"/>
  <c r="T441" i="1"/>
  <c r="S441" i="1"/>
  <c r="W440" i="1"/>
  <c r="T440" i="1"/>
  <c r="S440" i="1"/>
  <c r="W439" i="1"/>
  <c r="T439" i="1"/>
  <c r="S439" i="1"/>
  <c r="W438" i="1"/>
  <c r="T438" i="1"/>
  <c r="S438" i="1"/>
  <c r="W437" i="1"/>
  <c r="T437" i="1"/>
  <c r="S437" i="1"/>
  <c r="W436" i="1"/>
  <c r="T436" i="1"/>
  <c r="S436" i="1"/>
  <c r="W435" i="1"/>
  <c r="T435" i="1"/>
  <c r="S435" i="1"/>
  <c r="W434" i="1"/>
  <c r="T434" i="1"/>
  <c r="S434" i="1"/>
  <c r="W433" i="1"/>
  <c r="T433" i="1"/>
  <c r="S433" i="1"/>
  <c r="W432" i="1"/>
  <c r="T432" i="1"/>
  <c r="S432" i="1"/>
  <c r="W431" i="1"/>
  <c r="T431" i="1"/>
  <c r="S431" i="1"/>
  <c r="W430" i="1"/>
  <c r="T430" i="1"/>
  <c r="S430" i="1"/>
  <c r="W429" i="1"/>
  <c r="T429" i="1"/>
  <c r="S429" i="1"/>
  <c r="W428" i="1"/>
  <c r="T428" i="1"/>
  <c r="S428" i="1"/>
  <c r="W427" i="1"/>
  <c r="T427" i="1"/>
  <c r="S427" i="1"/>
  <c r="W426" i="1"/>
  <c r="T426" i="1"/>
  <c r="S426" i="1"/>
  <c r="W425" i="1"/>
  <c r="T425" i="1"/>
  <c r="S425" i="1"/>
  <c r="W424" i="1"/>
  <c r="T424" i="1"/>
  <c r="S424" i="1"/>
  <c r="W423" i="1"/>
  <c r="T423" i="1"/>
  <c r="S423" i="1"/>
  <c r="W422" i="1"/>
  <c r="T422" i="1"/>
  <c r="S422" i="1"/>
  <c r="W421" i="1"/>
  <c r="T421" i="1"/>
  <c r="S421" i="1"/>
  <c r="W420" i="1"/>
  <c r="T420" i="1"/>
  <c r="S420" i="1"/>
  <c r="W419" i="1"/>
  <c r="T419" i="1"/>
  <c r="S419" i="1"/>
  <c r="W418" i="1"/>
  <c r="T418" i="1"/>
  <c r="S418" i="1"/>
  <c r="W417" i="1"/>
  <c r="T417" i="1"/>
  <c r="S417" i="1"/>
  <c r="W416" i="1"/>
  <c r="T416" i="1"/>
  <c r="S416" i="1"/>
  <c r="W415" i="1"/>
  <c r="T415" i="1"/>
  <c r="S415" i="1"/>
  <c r="W414" i="1"/>
  <c r="T414" i="1"/>
  <c r="S414" i="1"/>
  <c r="W413" i="1"/>
  <c r="T413" i="1"/>
  <c r="S413" i="1"/>
  <c r="W412" i="1"/>
  <c r="T412" i="1"/>
  <c r="S412" i="1"/>
  <c r="W411" i="1"/>
  <c r="T411" i="1"/>
  <c r="S411" i="1"/>
  <c r="W410" i="1"/>
  <c r="T410" i="1"/>
  <c r="S410" i="1"/>
  <c r="W409" i="1"/>
  <c r="T409" i="1"/>
  <c r="S409" i="1"/>
  <c r="W408" i="1"/>
  <c r="T408" i="1"/>
  <c r="S408" i="1"/>
  <c r="W407" i="1"/>
  <c r="T407" i="1"/>
  <c r="S407" i="1"/>
  <c r="W406" i="1"/>
  <c r="T406" i="1"/>
  <c r="S406" i="1"/>
  <c r="W405" i="1"/>
  <c r="T405" i="1"/>
  <c r="S405" i="1"/>
  <c r="W404" i="1"/>
  <c r="T404" i="1"/>
  <c r="S404" i="1"/>
  <c r="W403" i="1"/>
  <c r="T403" i="1"/>
  <c r="S403" i="1"/>
  <c r="W402" i="1"/>
  <c r="T402" i="1"/>
  <c r="S402" i="1"/>
  <c r="W401" i="1"/>
  <c r="T401" i="1"/>
  <c r="S401" i="1"/>
  <c r="W400" i="1"/>
  <c r="T400" i="1"/>
  <c r="S400" i="1"/>
  <c r="W399" i="1"/>
  <c r="T399" i="1"/>
  <c r="S399" i="1"/>
  <c r="W398" i="1"/>
  <c r="T398" i="1"/>
  <c r="S398" i="1"/>
  <c r="W397" i="1"/>
  <c r="T397" i="1"/>
  <c r="S397" i="1"/>
  <c r="W396" i="1"/>
  <c r="T396" i="1"/>
  <c r="S396" i="1"/>
  <c r="W395" i="1"/>
  <c r="T395" i="1"/>
  <c r="S395" i="1"/>
  <c r="W394" i="1"/>
  <c r="T394" i="1"/>
  <c r="S394" i="1"/>
  <c r="W393" i="1"/>
  <c r="T393" i="1"/>
  <c r="S393" i="1"/>
  <c r="W392" i="1"/>
  <c r="T392" i="1"/>
  <c r="S392" i="1"/>
  <c r="W391" i="1"/>
  <c r="T391" i="1"/>
  <c r="S391" i="1"/>
  <c r="W390" i="1"/>
  <c r="T390" i="1"/>
  <c r="S390" i="1"/>
  <c r="W389" i="1"/>
  <c r="T389" i="1"/>
  <c r="S389" i="1"/>
  <c r="W388" i="1"/>
  <c r="T388" i="1"/>
  <c r="S388" i="1"/>
  <c r="W387" i="1"/>
  <c r="T387" i="1"/>
  <c r="S387" i="1"/>
  <c r="W386" i="1"/>
  <c r="T386" i="1"/>
  <c r="S386" i="1"/>
  <c r="W385" i="1"/>
  <c r="T385" i="1"/>
  <c r="S385" i="1"/>
  <c r="W384" i="1"/>
  <c r="T384" i="1"/>
  <c r="S384" i="1"/>
  <c r="W383" i="1"/>
  <c r="T383" i="1"/>
  <c r="S383" i="1"/>
  <c r="W382" i="1"/>
  <c r="T382" i="1"/>
  <c r="S382" i="1"/>
  <c r="W381" i="1"/>
  <c r="T381" i="1"/>
  <c r="S381" i="1"/>
  <c r="W380" i="1"/>
  <c r="T380" i="1"/>
  <c r="S380" i="1"/>
  <c r="W379" i="1"/>
  <c r="T379" i="1"/>
  <c r="S379" i="1"/>
  <c r="W378" i="1"/>
  <c r="T378" i="1"/>
  <c r="S378" i="1"/>
  <c r="W377" i="1"/>
  <c r="T377" i="1"/>
  <c r="S377" i="1"/>
  <c r="W376" i="1"/>
  <c r="T376" i="1"/>
  <c r="S376" i="1"/>
  <c r="W375" i="1"/>
  <c r="T375" i="1"/>
  <c r="S375" i="1"/>
  <c r="W374" i="1"/>
  <c r="T374" i="1"/>
  <c r="S374" i="1"/>
  <c r="W373" i="1"/>
  <c r="T373" i="1"/>
  <c r="S373" i="1"/>
  <c r="W372" i="1"/>
  <c r="T372" i="1"/>
  <c r="S372" i="1"/>
  <c r="W371" i="1"/>
  <c r="T371" i="1"/>
  <c r="S371" i="1"/>
  <c r="W370" i="1"/>
  <c r="T370" i="1"/>
  <c r="S370" i="1"/>
  <c r="W369" i="1"/>
  <c r="T369" i="1"/>
  <c r="S369" i="1"/>
  <c r="W368" i="1"/>
  <c r="T368" i="1"/>
  <c r="S368" i="1"/>
  <c r="W367" i="1"/>
  <c r="T367" i="1"/>
  <c r="S367" i="1"/>
  <c r="W366" i="1"/>
  <c r="T366" i="1"/>
  <c r="S366" i="1"/>
  <c r="W365" i="1"/>
  <c r="T365" i="1"/>
  <c r="S365" i="1"/>
  <c r="W364" i="1"/>
  <c r="T364" i="1"/>
  <c r="S364" i="1"/>
  <c r="W363" i="1"/>
  <c r="T363" i="1"/>
  <c r="S363" i="1"/>
  <c r="W362" i="1"/>
  <c r="T362" i="1"/>
  <c r="S362" i="1"/>
  <c r="W361" i="1"/>
  <c r="T361" i="1"/>
  <c r="S361" i="1"/>
  <c r="W360" i="1"/>
  <c r="T360" i="1"/>
  <c r="S360" i="1"/>
  <c r="W359" i="1"/>
  <c r="T359" i="1"/>
  <c r="S359" i="1"/>
  <c r="W358" i="1"/>
  <c r="T358" i="1"/>
  <c r="S358" i="1"/>
  <c r="W357" i="1"/>
  <c r="T357" i="1"/>
  <c r="S357" i="1"/>
  <c r="W356" i="1"/>
  <c r="T356" i="1"/>
  <c r="S356" i="1"/>
  <c r="W355" i="1"/>
  <c r="T355" i="1"/>
  <c r="S355" i="1"/>
  <c r="W354" i="1"/>
  <c r="T354" i="1"/>
  <c r="S354" i="1"/>
  <c r="W353" i="1"/>
  <c r="T353" i="1"/>
  <c r="S353" i="1"/>
  <c r="W352" i="1"/>
  <c r="T352" i="1"/>
  <c r="S352" i="1"/>
  <c r="W351" i="1"/>
  <c r="T351" i="1"/>
  <c r="S351" i="1"/>
  <c r="W350" i="1"/>
  <c r="T350" i="1"/>
  <c r="S350" i="1"/>
  <c r="W349" i="1"/>
  <c r="T349" i="1"/>
  <c r="S349" i="1"/>
  <c r="W348" i="1"/>
  <c r="T348" i="1"/>
  <c r="S348" i="1"/>
  <c r="W347" i="1"/>
  <c r="T347" i="1"/>
  <c r="S347" i="1"/>
  <c r="W346" i="1"/>
  <c r="T346" i="1"/>
  <c r="S346" i="1"/>
  <c r="W345" i="1"/>
  <c r="T345" i="1"/>
  <c r="S345" i="1"/>
  <c r="W344" i="1"/>
  <c r="T344" i="1"/>
  <c r="S344" i="1"/>
  <c r="W343" i="1"/>
  <c r="T343" i="1"/>
  <c r="S343" i="1"/>
  <c r="W342" i="1"/>
  <c r="T342" i="1"/>
  <c r="S342" i="1"/>
  <c r="W341" i="1"/>
  <c r="T341" i="1"/>
  <c r="S341" i="1"/>
  <c r="W340" i="1"/>
  <c r="T340" i="1"/>
  <c r="S340" i="1"/>
  <c r="W339" i="1"/>
  <c r="T339" i="1"/>
  <c r="S339" i="1"/>
  <c r="W338" i="1"/>
  <c r="T338" i="1"/>
  <c r="S338" i="1"/>
  <c r="W337" i="1"/>
  <c r="T337" i="1"/>
  <c r="S337" i="1"/>
  <c r="W336" i="1"/>
  <c r="T336" i="1"/>
  <c r="S336" i="1"/>
  <c r="W335" i="1"/>
  <c r="T335" i="1"/>
  <c r="S335" i="1"/>
  <c r="W334" i="1"/>
  <c r="T334" i="1"/>
  <c r="S334" i="1"/>
  <c r="W333" i="1"/>
  <c r="T333" i="1"/>
  <c r="S333" i="1"/>
  <c r="W332" i="1"/>
  <c r="T332" i="1"/>
  <c r="S332" i="1"/>
  <c r="W331" i="1"/>
  <c r="T331" i="1"/>
  <c r="S331" i="1"/>
  <c r="W330" i="1"/>
  <c r="T330" i="1"/>
  <c r="S330" i="1"/>
  <c r="W329" i="1"/>
  <c r="T329" i="1"/>
  <c r="S329" i="1"/>
  <c r="W328" i="1"/>
  <c r="T328" i="1"/>
  <c r="S328" i="1"/>
  <c r="W327" i="1"/>
  <c r="T327" i="1"/>
  <c r="S327" i="1"/>
  <c r="W326" i="1"/>
  <c r="T326" i="1"/>
  <c r="S326" i="1"/>
  <c r="W325" i="1"/>
  <c r="T325" i="1"/>
  <c r="S325" i="1"/>
  <c r="W324" i="1"/>
  <c r="T324" i="1"/>
  <c r="S324" i="1"/>
  <c r="W323" i="1"/>
  <c r="T323" i="1"/>
  <c r="S323" i="1"/>
  <c r="W322" i="1"/>
  <c r="T322" i="1"/>
  <c r="S322" i="1"/>
  <c r="W321" i="1"/>
  <c r="T321" i="1"/>
  <c r="S321" i="1"/>
  <c r="W320" i="1"/>
  <c r="T320" i="1"/>
  <c r="S320" i="1"/>
  <c r="W319" i="1"/>
  <c r="T319" i="1"/>
  <c r="S319" i="1"/>
  <c r="W318" i="1"/>
  <c r="T318" i="1"/>
  <c r="S318" i="1"/>
  <c r="W317" i="1"/>
  <c r="T317" i="1"/>
  <c r="S317" i="1"/>
  <c r="W316" i="1"/>
  <c r="T316" i="1"/>
  <c r="S316" i="1"/>
  <c r="W315" i="1"/>
  <c r="T315" i="1"/>
  <c r="S315" i="1"/>
  <c r="W314" i="1"/>
  <c r="T314" i="1"/>
  <c r="S314" i="1"/>
  <c r="W313" i="1"/>
  <c r="T313" i="1"/>
  <c r="S313" i="1"/>
  <c r="W312" i="1"/>
  <c r="T312" i="1"/>
  <c r="S312" i="1"/>
  <c r="W311" i="1"/>
  <c r="T311" i="1"/>
  <c r="S311" i="1"/>
  <c r="W310" i="1"/>
  <c r="T310" i="1"/>
  <c r="S310" i="1"/>
  <c r="W309" i="1"/>
  <c r="T309" i="1"/>
  <c r="S309" i="1"/>
  <c r="W308" i="1"/>
  <c r="T308" i="1"/>
  <c r="S308" i="1"/>
  <c r="W307" i="1"/>
  <c r="T307" i="1"/>
  <c r="S307" i="1"/>
  <c r="W306" i="1"/>
  <c r="T306" i="1"/>
  <c r="S306" i="1"/>
  <c r="W305" i="1"/>
  <c r="T305" i="1"/>
  <c r="S305" i="1"/>
  <c r="W304" i="1"/>
  <c r="T304" i="1"/>
  <c r="S304" i="1"/>
  <c r="W303" i="1"/>
  <c r="T303" i="1"/>
  <c r="S303" i="1"/>
  <c r="W302" i="1"/>
  <c r="T302" i="1"/>
  <c r="S302" i="1"/>
  <c r="W301" i="1"/>
  <c r="T301" i="1"/>
  <c r="S301" i="1"/>
  <c r="W300" i="1"/>
  <c r="T300" i="1"/>
  <c r="S300" i="1"/>
  <c r="W299" i="1"/>
  <c r="T299" i="1"/>
  <c r="S299" i="1"/>
  <c r="W298" i="1"/>
  <c r="T298" i="1"/>
  <c r="S298" i="1"/>
  <c r="W297" i="1"/>
  <c r="T297" i="1"/>
  <c r="S297" i="1"/>
  <c r="W296" i="1"/>
  <c r="T296" i="1"/>
  <c r="S296" i="1"/>
  <c r="W295" i="1"/>
  <c r="T295" i="1"/>
  <c r="S295" i="1"/>
  <c r="W294" i="1"/>
  <c r="T294" i="1"/>
  <c r="S294" i="1"/>
  <c r="W293" i="1"/>
  <c r="T293" i="1"/>
  <c r="S293" i="1"/>
  <c r="W292" i="1"/>
  <c r="T292" i="1"/>
  <c r="S292" i="1"/>
  <c r="W291" i="1"/>
  <c r="T291" i="1"/>
  <c r="S291" i="1"/>
  <c r="W290" i="1"/>
  <c r="T290" i="1"/>
  <c r="S290" i="1"/>
  <c r="W289" i="1"/>
  <c r="T289" i="1"/>
  <c r="S289" i="1"/>
  <c r="W288" i="1"/>
  <c r="T288" i="1"/>
  <c r="S288" i="1"/>
  <c r="W287" i="1"/>
  <c r="T287" i="1"/>
  <c r="S287" i="1"/>
  <c r="W286" i="1"/>
  <c r="T286" i="1"/>
  <c r="S286" i="1"/>
  <c r="W285" i="1"/>
  <c r="T285" i="1"/>
  <c r="S285" i="1"/>
  <c r="W284" i="1"/>
  <c r="T284" i="1"/>
  <c r="S284" i="1"/>
  <c r="W283" i="1"/>
  <c r="T283" i="1"/>
  <c r="S283" i="1"/>
  <c r="W282" i="1"/>
  <c r="T282" i="1"/>
  <c r="S282" i="1"/>
  <c r="W281" i="1"/>
  <c r="T281" i="1"/>
  <c r="S281" i="1"/>
  <c r="W280" i="1"/>
  <c r="T280" i="1"/>
  <c r="S280" i="1"/>
  <c r="W279" i="1"/>
  <c r="T279" i="1"/>
  <c r="S279" i="1"/>
  <c r="W278" i="1"/>
  <c r="T278" i="1"/>
  <c r="S278" i="1"/>
  <c r="W277" i="1"/>
  <c r="T277" i="1"/>
  <c r="S277" i="1"/>
  <c r="W276" i="1"/>
  <c r="T276" i="1"/>
  <c r="S276" i="1"/>
  <c r="W275" i="1"/>
  <c r="T275" i="1"/>
  <c r="S275" i="1"/>
  <c r="W274" i="1"/>
  <c r="T274" i="1"/>
  <c r="S274" i="1"/>
  <c r="W273" i="1"/>
  <c r="T273" i="1"/>
  <c r="S273" i="1"/>
  <c r="W272" i="1"/>
  <c r="T272" i="1"/>
  <c r="S272" i="1"/>
  <c r="W271" i="1"/>
  <c r="T271" i="1"/>
  <c r="S271" i="1"/>
  <c r="W270" i="1"/>
  <c r="T270" i="1"/>
  <c r="S270" i="1"/>
  <c r="W269" i="1"/>
  <c r="T269" i="1"/>
  <c r="S269" i="1"/>
  <c r="W268" i="1"/>
  <c r="T268" i="1"/>
  <c r="S268" i="1"/>
  <c r="W267" i="1"/>
  <c r="T267" i="1"/>
  <c r="S267" i="1"/>
  <c r="W266" i="1"/>
  <c r="T266" i="1"/>
  <c r="S266" i="1"/>
  <c r="W265" i="1"/>
  <c r="T265" i="1"/>
  <c r="S265" i="1"/>
  <c r="W264" i="1"/>
  <c r="T264" i="1"/>
  <c r="S264" i="1"/>
  <c r="W263" i="1"/>
  <c r="T263" i="1"/>
  <c r="S263" i="1"/>
  <c r="W262" i="1"/>
  <c r="T262" i="1"/>
  <c r="S262" i="1"/>
  <c r="W261" i="1"/>
  <c r="T261" i="1"/>
  <c r="S261" i="1"/>
  <c r="W260" i="1"/>
  <c r="T260" i="1"/>
  <c r="S260" i="1"/>
  <c r="W259" i="1"/>
  <c r="T259" i="1"/>
  <c r="S259" i="1"/>
  <c r="W258" i="1"/>
  <c r="T258" i="1"/>
  <c r="S258" i="1"/>
  <c r="W257" i="1"/>
  <c r="T257" i="1"/>
  <c r="S257" i="1"/>
  <c r="W256" i="1"/>
  <c r="T256" i="1"/>
  <c r="S256" i="1"/>
  <c r="W255" i="1"/>
  <c r="T255" i="1"/>
  <c r="S255" i="1"/>
  <c r="W254" i="1"/>
  <c r="T254" i="1"/>
  <c r="S254" i="1"/>
  <c r="W253" i="1"/>
  <c r="T253" i="1"/>
  <c r="S253" i="1"/>
  <c r="W252" i="1"/>
  <c r="T252" i="1"/>
  <c r="S252" i="1"/>
  <c r="W251" i="1"/>
  <c r="T251" i="1"/>
  <c r="S251" i="1"/>
  <c r="W250" i="1"/>
  <c r="T250" i="1"/>
  <c r="S250" i="1"/>
  <c r="W249" i="1"/>
  <c r="T249" i="1"/>
  <c r="S249" i="1"/>
  <c r="W248" i="1"/>
  <c r="T248" i="1"/>
  <c r="S248" i="1"/>
  <c r="W247" i="1"/>
  <c r="T247" i="1"/>
  <c r="S247" i="1"/>
  <c r="W246" i="1"/>
  <c r="T246" i="1"/>
  <c r="S246" i="1"/>
  <c r="W245" i="1"/>
  <c r="T245" i="1"/>
  <c r="S245" i="1"/>
  <c r="W244" i="1"/>
  <c r="T244" i="1"/>
  <c r="S244" i="1"/>
  <c r="W243" i="1"/>
  <c r="T243" i="1"/>
  <c r="S243" i="1"/>
  <c r="W242" i="1"/>
  <c r="T242" i="1"/>
  <c r="S242" i="1"/>
  <c r="W241" i="1"/>
  <c r="T241" i="1"/>
  <c r="S241" i="1"/>
  <c r="W240" i="1"/>
  <c r="T240" i="1"/>
  <c r="S240" i="1"/>
  <c r="W239" i="1"/>
  <c r="T239" i="1"/>
  <c r="S239" i="1"/>
  <c r="W238" i="1"/>
  <c r="T238" i="1"/>
  <c r="S238" i="1"/>
  <c r="W237" i="1"/>
  <c r="T237" i="1"/>
  <c r="S237" i="1"/>
  <c r="W236" i="1"/>
  <c r="T236" i="1"/>
  <c r="S236" i="1"/>
  <c r="W235" i="1"/>
  <c r="T235" i="1"/>
  <c r="S235" i="1"/>
  <c r="W234" i="1"/>
  <c r="T234" i="1"/>
  <c r="S234" i="1"/>
  <c r="W233" i="1"/>
  <c r="T233" i="1"/>
  <c r="S233" i="1"/>
  <c r="W232" i="1"/>
  <c r="T232" i="1"/>
  <c r="S232" i="1"/>
  <c r="W231" i="1"/>
  <c r="T231" i="1"/>
  <c r="S231" i="1"/>
  <c r="W230" i="1"/>
  <c r="T230" i="1"/>
  <c r="S230" i="1"/>
  <c r="W229" i="1"/>
  <c r="T229" i="1"/>
  <c r="S229" i="1"/>
  <c r="W228" i="1"/>
  <c r="T228" i="1"/>
  <c r="S228" i="1"/>
  <c r="W227" i="1"/>
  <c r="T227" i="1"/>
  <c r="S227" i="1"/>
  <c r="W226" i="1"/>
  <c r="T226" i="1"/>
  <c r="S226" i="1"/>
  <c r="W225" i="1"/>
  <c r="T225" i="1"/>
  <c r="S225" i="1"/>
  <c r="W224" i="1"/>
  <c r="T224" i="1"/>
  <c r="S224" i="1"/>
  <c r="W223" i="1"/>
  <c r="T223" i="1"/>
  <c r="S223" i="1"/>
  <c r="W222" i="1"/>
  <c r="T222" i="1"/>
  <c r="S222" i="1"/>
  <c r="W221" i="1"/>
  <c r="T221" i="1"/>
  <c r="S221" i="1"/>
  <c r="W220" i="1"/>
  <c r="T220" i="1"/>
  <c r="S220" i="1"/>
  <c r="W219" i="1"/>
  <c r="T219" i="1"/>
  <c r="S219" i="1"/>
  <c r="W218" i="1"/>
  <c r="T218" i="1"/>
  <c r="S218" i="1"/>
  <c r="W217" i="1"/>
  <c r="T217" i="1"/>
  <c r="S217" i="1"/>
  <c r="W216" i="1"/>
  <c r="T216" i="1"/>
  <c r="S216" i="1"/>
  <c r="W215" i="1"/>
  <c r="T215" i="1"/>
  <c r="S215" i="1"/>
  <c r="W214" i="1"/>
  <c r="T214" i="1"/>
  <c r="S214" i="1"/>
  <c r="W213" i="1"/>
  <c r="T213" i="1"/>
  <c r="S213" i="1"/>
  <c r="W212" i="1"/>
  <c r="T212" i="1"/>
  <c r="S212" i="1"/>
  <c r="W211" i="1"/>
  <c r="T211" i="1"/>
  <c r="S211" i="1"/>
  <c r="W210" i="1"/>
  <c r="T210" i="1"/>
  <c r="S210" i="1"/>
  <c r="W209" i="1"/>
  <c r="T209" i="1"/>
  <c r="S209" i="1"/>
  <c r="W208" i="1"/>
  <c r="T208" i="1"/>
  <c r="S208" i="1"/>
  <c r="W207" i="1"/>
  <c r="T207" i="1"/>
  <c r="S207" i="1"/>
  <c r="W206" i="1"/>
  <c r="T206" i="1"/>
  <c r="S206" i="1"/>
  <c r="W205" i="1"/>
  <c r="T205" i="1"/>
  <c r="S205" i="1"/>
  <c r="W204" i="1"/>
  <c r="T204" i="1"/>
  <c r="S204" i="1"/>
  <c r="W203" i="1"/>
  <c r="T203" i="1"/>
  <c r="S203" i="1"/>
  <c r="W202" i="1"/>
  <c r="T202" i="1"/>
  <c r="S202" i="1"/>
  <c r="W201" i="1"/>
  <c r="T201" i="1"/>
  <c r="S201" i="1"/>
  <c r="W200" i="1"/>
  <c r="T200" i="1"/>
  <c r="S200" i="1"/>
  <c r="W199" i="1"/>
  <c r="T199" i="1"/>
  <c r="S199" i="1"/>
  <c r="W198" i="1"/>
  <c r="T198" i="1"/>
  <c r="S198" i="1"/>
  <c r="W197" i="1"/>
  <c r="T197" i="1"/>
  <c r="S197" i="1"/>
  <c r="W196" i="1"/>
  <c r="T196" i="1"/>
  <c r="S196" i="1"/>
  <c r="W195" i="1"/>
  <c r="T195" i="1"/>
  <c r="S195" i="1"/>
  <c r="W194" i="1"/>
  <c r="T194" i="1"/>
  <c r="S194" i="1"/>
  <c r="W193" i="1"/>
  <c r="T193" i="1"/>
  <c r="S193" i="1"/>
  <c r="W192" i="1"/>
  <c r="T192" i="1"/>
  <c r="S192" i="1"/>
  <c r="W191" i="1"/>
  <c r="T191" i="1"/>
  <c r="S191" i="1"/>
  <c r="W190" i="1"/>
  <c r="T190" i="1"/>
  <c r="S190" i="1"/>
  <c r="W189" i="1"/>
  <c r="T189" i="1"/>
  <c r="S189" i="1"/>
  <c r="W188" i="1"/>
  <c r="T188" i="1"/>
  <c r="S188" i="1"/>
  <c r="W187" i="1"/>
  <c r="T187" i="1"/>
  <c r="S187" i="1"/>
  <c r="W186" i="1"/>
  <c r="T186" i="1"/>
  <c r="S186" i="1"/>
  <c r="W185" i="1"/>
  <c r="T185" i="1"/>
  <c r="S185" i="1"/>
  <c r="W184" i="1"/>
  <c r="T184" i="1"/>
  <c r="S184" i="1"/>
  <c r="W183" i="1"/>
  <c r="T183" i="1"/>
  <c r="S183" i="1"/>
  <c r="W182" i="1"/>
  <c r="T182" i="1"/>
  <c r="S182" i="1"/>
  <c r="W181" i="1"/>
  <c r="T181" i="1"/>
  <c r="S181" i="1"/>
  <c r="W180" i="1"/>
  <c r="T180" i="1"/>
  <c r="S180" i="1"/>
  <c r="W179" i="1"/>
  <c r="T179" i="1"/>
  <c r="S179" i="1"/>
  <c r="W178" i="1"/>
  <c r="T178" i="1"/>
  <c r="S178" i="1"/>
  <c r="W177" i="1"/>
  <c r="T177" i="1"/>
  <c r="S177" i="1"/>
  <c r="W176" i="1"/>
  <c r="T176" i="1"/>
  <c r="S176" i="1"/>
  <c r="W175" i="1"/>
  <c r="T175" i="1"/>
  <c r="S175" i="1"/>
  <c r="W174" i="1"/>
  <c r="T174" i="1"/>
  <c r="S174" i="1"/>
  <c r="W173" i="1"/>
  <c r="T173" i="1"/>
  <c r="S173" i="1"/>
  <c r="W172" i="1"/>
  <c r="T172" i="1"/>
  <c r="S172" i="1"/>
  <c r="W171" i="1"/>
  <c r="T171" i="1"/>
  <c r="S171" i="1"/>
  <c r="W170" i="1"/>
  <c r="T170" i="1"/>
  <c r="S170" i="1"/>
  <c r="W169" i="1"/>
  <c r="T169" i="1"/>
  <c r="S169" i="1"/>
  <c r="W168" i="1"/>
  <c r="T168" i="1"/>
  <c r="S168" i="1"/>
  <c r="W167" i="1"/>
  <c r="T167" i="1"/>
  <c r="S167" i="1"/>
  <c r="W166" i="1"/>
  <c r="T166" i="1"/>
  <c r="S166" i="1"/>
  <c r="W165" i="1"/>
  <c r="T165" i="1"/>
  <c r="S165" i="1"/>
  <c r="W164" i="1"/>
  <c r="T164" i="1"/>
  <c r="S164" i="1"/>
  <c r="W163" i="1"/>
  <c r="T163" i="1"/>
  <c r="S163" i="1"/>
  <c r="W162" i="1"/>
  <c r="T162" i="1"/>
  <c r="S162" i="1"/>
  <c r="W161" i="1"/>
  <c r="T161" i="1"/>
  <c r="S161" i="1"/>
  <c r="W160" i="1"/>
  <c r="T160" i="1"/>
  <c r="S160" i="1"/>
  <c r="W159" i="1"/>
  <c r="T159" i="1"/>
  <c r="S159" i="1"/>
  <c r="W158" i="1"/>
  <c r="T158" i="1"/>
  <c r="S158" i="1"/>
  <c r="W157" i="1"/>
  <c r="T157" i="1"/>
  <c r="S157" i="1"/>
  <c r="W156" i="1"/>
  <c r="T156" i="1"/>
  <c r="S156" i="1"/>
  <c r="W155" i="1"/>
  <c r="T155" i="1"/>
  <c r="S155" i="1"/>
  <c r="W154" i="1"/>
  <c r="T154" i="1"/>
  <c r="S154" i="1"/>
  <c r="W153" i="1"/>
  <c r="T153" i="1"/>
  <c r="S153" i="1"/>
  <c r="W152" i="1"/>
  <c r="T152" i="1"/>
  <c r="S152" i="1"/>
  <c r="W151" i="1"/>
  <c r="T151" i="1"/>
  <c r="S151" i="1"/>
  <c r="W150" i="1"/>
  <c r="T150" i="1"/>
  <c r="S150" i="1"/>
  <c r="W149" i="1"/>
  <c r="T149" i="1"/>
  <c r="S149" i="1"/>
  <c r="W148" i="1"/>
  <c r="T148" i="1"/>
  <c r="S148" i="1"/>
  <c r="W147" i="1"/>
  <c r="T147" i="1"/>
  <c r="S147" i="1"/>
  <c r="W146" i="1"/>
  <c r="T146" i="1"/>
  <c r="S146" i="1"/>
  <c r="W145" i="1"/>
  <c r="T145" i="1"/>
  <c r="S145" i="1"/>
  <c r="W144" i="1"/>
  <c r="T144" i="1"/>
  <c r="S144" i="1"/>
  <c r="W143" i="1"/>
  <c r="T143" i="1"/>
  <c r="S143" i="1"/>
  <c r="W142" i="1"/>
  <c r="T142" i="1"/>
  <c r="S142" i="1"/>
  <c r="W141" i="1"/>
  <c r="T141" i="1"/>
  <c r="S141" i="1"/>
  <c r="W140" i="1"/>
  <c r="T140" i="1"/>
  <c r="S140" i="1"/>
  <c r="W139" i="1"/>
  <c r="T139" i="1"/>
  <c r="S139" i="1"/>
  <c r="W138" i="1"/>
  <c r="T138" i="1"/>
  <c r="S138" i="1"/>
  <c r="W137" i="1"/>
  <c r="T137" i="1"/>
  <c r="S137" i="1"/>
  <c r="W136" i="1"/>
  <c r="T136" i="1"/>
  <c r="S136" i="1"/>
  <c r="W135" i="1"/>
  <c r="T135" i="1"/>
  <c r="S135" i="1"/>
  <c r="W134" i="1"/>
  <c r="T134" i="1"/>
  <c r="S134" i="1"/>
  <c r="W133" i="1"/>
  <c r="T133" i="1"/>
  <c r="S133" i="1"/>
  <c r="W132" i="1"/>
  <c r="T132" i="1"/>
  <c r="S132" i="1"/>
  <c r="W131" i="1"/>
  <c r="T131" i="1"/>
  <c r="S131" i="1"/>
  <c r="W130" i="1"/>
  <c r="T130" i="1"/>
  <c r="S130" i="1"/>
  <c r="W129" i="1"/>
  <c r="T129" i="1"/>
  <c r="S129" i="1"/>
  <c r="W128" i="1"/>
  <c r="T128" i="1"/>
  <c r="S128" i="1"/>
  <c r="W127" i="1"/>
  <c r="T127" i="1"/>
  <c r="S127" i="1"/>
  <c r="W126" i="1"/>
  <c r="T126" i="1"/>
  <c r="S126" i="1"/>
  <c r="W125" i="1"/>
  <c r="T125" i="1"/>
  <c r="S125" i="1"/>
  <c r="W124" i="1"/>
  <c r="T124" i="1"/>
  <c r="S124" i="1"/>
  <c r="W123" i="1"/>
  <c r="T123" i="1"/>
  <c r="S123" i="1"/>
  <c r="W122" i="1"/>
  <c r="T122" i="1"/>
  <c r="S122" i="1"/>
  <c r="W121" i="1"/>
  <c r="T121" i="1"/>
  <c r="S121" i="1"/>
  <c r="W120" i="1"/>
  <c r="T120" i="1"/>
  <c r="S120" i="1"/>
  <c r="W119" i="1"/>
  <c r="T119" i="1"/>
  <c r="S119" i="1"/>
  <c r="W118" i="1"/>
  <c r="T118" i="1"/>
  <c r="S118" i="1"/>
  <c r="W117" i="1"/>
  <c r="T117" i="1"/>
  <c r="S117" i="1"/>
  <c r="W116" i="1"/>
  <c r="T116" i="1"/>
  <c r="S116" i="1"/>
  <c r="W115" i="1"/>
  <c r="T115" i="1"/>
  <c r="S115" i="1"/>
  <c r="W114" i="1"/>
  <c r="T114" i="1"/>
  <c r="S114" i="1"/>
  <c r="W113" i="1"/>
  <c r="T113" i="1"/>
  <c r="S113" i="1"/>
  <c r="W112" i="1"/>
  <c r="T112" i="1"/>
  <c r="S112" i="1"/>
  <c r="W111" i="1"/>
  <c r="T111" i="1"/>
  <c r="S111" i="1"/>
  <c r="W110" i="1"/>
  <c r="T110" i="1"/>
  <c r="S110" i="1"/>
  <c r="W109" i="1"/>
  <c r="T109" i="1"/>
  <c r="S109" i="1"/>
  <c r="W108" i="1"/>
  <c r="T108" i="1"/>
  <c r="S108" i="1"/>
  <c r="W107" i="1"/>
  <c r="T107" i="1"/>
  <c r="S107" i="1"/>
  <c r="W106" i="1"/>
  <c r="T106" i="1"/>
  <c r="S106" i="1"/>
  <c r="W105" i="1"/>
  <c r="T105" i="1"/>
  <c r="S105" i="1"/>
  <c r="W104" i="1"/>
  <c r="T104" i="1"/>
  <c r="S104" i="1"/>
  <c r="W103" i="1"/>
  <c r="T103" i="1"/>
  <c r="S103" i="1"/>
  <c r="W102" i="1"/>
  <c r="T102" i="1"/>
  <c r="S102" i="1"/>
  <c r="W101" i="1"/>
  <c r="T101" i="1"/>
  <c r="S101" i="1"/>
  <c r="W100" i="1"/>
  <c r="T100" i="1"/>
  <c r="S100" i="1"/>
  <c r="W99" i="1"/>
  <c r="T99" i="1"/>
  <c r="S99" i="1"/>
  <c r="W98" i="1"/>
  <c r="T98" i="1"/>
  <c r="S98" i="1"/>
  <c r="W97" i="1"/>
  <c r="T97" i="1"/>
  <c r="S97" i="1"/>
  <c r="W96" i="1"/>
  <c r="T96" i="1"/>
  <c r="S96" i="1"/>
  <c r="W95" i="1"/>
  <c r="T95" i="1"/>
  <c r="S95" i="1"/>
  <c r="W94" i="1"/>
  <c r="T94" i="1"/>
  <c r="S94" i="1"/>
  <c r="W93" i="1"/>
  <c r="T93" i="1"/>
  <c r="S93" i="1"/>
  <c r="W92" i="1"/>
  <c r="T92" i="1"/>
  <c r="S92" i="1"/>
  <c r="W91" i="1"/>
  <c r="T91" i="1"/>
  <c r="S91" i="1"/>
  <c r="W90" i="1"/>
  <c r="T90" i="1"/>
  <c r="S90" i="1"/>
  <c r="W89" i="1"/>
  <c r="T89" i="1"/>
  <c r="S89" i="1"/>
  <c r="W88" i="1"/>
  <c r="T88" i="1"/>
  <c r="S88" i="1"/>
  <c r="W87" i="1"/>
  <c r="T87" i="1"/>
  <c r="S87" i="1"/>
  <c r="W86" i="1"/>
  <c r="T86" i="1"/>
  <c r="S86" i="1"/>
  <c r="W85" i="1"/>
  <c r="T85" i="1"/>
  <c r="S85" i="1"/>
  <c r="W84" i="1"/>
  <c r="T84" i="1"/>
  <c r="S84" i="1"/>
  <c r="W83" i="1"/>
  <c r="T83" i="1"/>
  <c r="S83" i="1"/>
  <c r="W82" i="1"/>
  <c r="T82" i="1"/>
  <c r="S82" i="1"/>
  <c r="W81" i="1"/>
  <c r="T81" i="1"/>
  <c r="S81" i="1"/>
  <c r="W80" i="1"/>
  <c r="T80" i="1"/>
  <c r="S80" i="1"/>
  <c r="W79" i="1"/>
  <c r="T79" i="1"/>
  <c r="S79" i="1"/>
  <c r="W78" i="1"/>
  <c r="T78" i="1"/>
  <c r="S78" i="1"/>
  <c r="W77" i="1"/>
  <c r="T77" i="1"/>
  <c r="S77" i="1"/>
  <c r="W76" i="1"/>
  <c r="T76" i="1"/>
  <c r="S76" i="1"/>
  <c r="W75" i="1"/>
  <c r="T75" i="1"/>
  <c r="S75" i="1"/>
  <c r="W74" i="1"/>
  <c r="T74" i="1"/>
  <c r="S74" i="1"/>
  <c r="W73" i="1"/>
  <c r="T73" i="1"/>
  <c r="S73" i="1"/>
  <c r="W72" i="1"/>
  <c r="T72" i="1"/>
  <c r="S72" i="1"/>
  <c r="W71" i="1"/>
  <c r="T71" i="1"/>
  <c r="S71" i="1"/>
  <c r="W70" i="1"/>
  <c r="T70" i="1"/>
  <c r="S70" i="1"/>
  <c r="W69" i="1"/>
  <c r="T69" i="1"/>
  <c r="S69" i="1"/>
  <c r="W68" i="1"/>
  <c r="T68" i="1"/>
  <c r="S68" i="1"/>
  <c r="W67" i="1"/>
  <c r="T67" i="1"/>
  <c r="S67" i="1"/>
  <c r="W66" i="1"/>
  <c r="T66" i="1"/>
  <c r="S66" i="1"/>
  <c r="W65" i="1"/>
  <c r="T65" i="1"/>
  <c r="S65" i="1"/>
  <c r="W64" i="1"/>
  <c r="T64" i="1"/>
  <c r="S64" i="1"/>
  <c r="W63" i="1"/>
  <c r="T63" i="1"/>
  <c r="S63" i="1"/>
  <c r="W62" i="1"/>
  <c r="T62" i="1"/>
  <c r="S62" i="1"/>
  <c r="W61" i="1"/>
  <c r="T61" i="1"/>
  <c r="S61" i="1"/>
  <c r="W60" i="1"/>
  <c r="T60" i="1"/>
  <c r="S60" i="1"/>
  <c r="W59" i="1"/>
  <c r="T59" i="1"/>
  <c r="S59" i="1"/>
  <c r="W58" i="1"/>
  <c r="T58" i="1"/>
  <c r="S58" i="1"/>
  <c r="W57" i="1"/>
  <c r="T57" i="1"/>
  <c r="S57" i="1"/>
  <c r="W56" i="1"/>
  <c r="T56" i="1"/>
  <c r="S56" i="1"/>
  <c r="W55" i="1"/>
  <c r="T55" i="1"/>
  <c r="S55" i="1"/>
  <c r="W54" i="1"/>
  <c r="T54" i="1"/>
  <c r="S54" i="1"/>
  <c r="W53" i="1"/>
  <c r="T53" i="1"/>
  <c r="S53" i="1"/>
  <c r="W52" i="1"/>
  <c r="T52" i="1"/>
  <c r="S52" i="1"/>
  <c r="W51" i="1"/>
  <c r="T51" i="1"/>
  <c r="S51" i="1"/>
  <c r="W50" i="1"/>
  <c r="T50" i="1"/>
  <c r="S50" i="1"/>
  <c r="W49" i="1"/>
  <c r="T49" i="1"/>
  <c r="S49" i="1"/>
  <c r="W48" i="1"/>
  <c r="T48" i="1"/>
  <c r="S48" i="1"/>
  <c r="W47" i="1"/>
  <c r="T47" i="1"/>
  <c r="S47" i="1"/>
  <c r="W46" i="1"/>
  <c r="T46" i="1"/>
  <c r="S46" i="1"/>
  <c r="W45" i="1"/>
  <c r="T45" i="1"/>
  <c r="S45" i="1"/>
  <c r="W44" i="1"/>
  <c r="T44" i="1"/>
  <c r="S44" i="1"/>
  <c r="W43" i="1"/>
  <c r="T43" i="1"/>
  <c r="S43" i="1"/>
  <c r="W42" i="1"/>
  <c r="T42" i="1"/>
  <c r="S42" i="1"/>
  <c r="W41" i="1"/>
  <c r="T41" i="1"/>
  <c r="S41" i="1"/>
  <c r="W40" i="1"/>
  <c r="T40" i="1"/>
  <c r="S40" i="1"/>
  <c r="W39" i="1"/>
  <c r="T39" i="1"/>
  <c r="S39" i="1"/>
  <c r="W38" i="1"/>
  <c r="T38" i="1"/>
  <c r="S38" i="1"/>
  <c r="W37" i="1"/>
  <c r="T37" i="1"/>
  <c r="S37" i="1"/>
  <c r="W36" i="1"/>
  <c r="T36" i="1"/>
  <c r="S36" i="1"/>
  <c r="W35" i="1"/>
  <c r="T35" i="1"/>
  <c r="S35" i="1"/>
  <c r="W34" i="1"/>
  <c r="T34" i="1"/>
  <c r="S34" i="1"/>
  <c r="W33" i="1"/>
  <c r="T33" i="1"/>
  <c r="S33" i="1"/>
  <c r="W32" i="1"/>
  <c r="T32" i="1"/>
  <c r="S32" i="1"/>
  <c r="W31" i="1"/>
  <c r="T31" i="1"/>
  <c r="S31" i="1"/>
  <c r="W30" i="1"/>
  <c r="T30" i="1"/>
  <c r="S30" i="1"/>
  <c r="W29" i="1"/>
  <c r="T29" i="1"/>
  <c r="S29" i="1"/>
  <c r="W28" i="1"/>
  <c r="T28" i="1"/>
  <c r="S28" i="1"/>
  <c r="W27" i="1"/>
  <c r="T27" i="1"/>
  <c r="S27" i="1"/>
  <c r="W26" i="1"/>
  <c r="T26" i="1"/>
  <c r="S26" i="1"/>
  <c r="W25" i="1"/>
  <c r="T25" i="1"/>
  <c r="S25" i="1"/>
  <c r="W24" i="1"/>
  <c r="T24" i="1"/>
  <c r="S24" i="1"/>
  <c r="W23" i="1"/>
  <c r="T23" i="1"/>
  <c r="S23" i="1"/>
  <c r="W22" i="1"/>
  <c r="T22" i="1"/>
  <c r="S22" i="1"/>
  <c r="W21" i="1"/>
  <c r="T21" i="1"/>
  <c r="S21" i="1"/>
  <c r="W20" i="1"/>
  <c r="T20" i="1"/>
  <c r="S20" i="1"/>
  <c r="W19" i="1"/>
  <c r="T19" i="1"/>
  <c r="S19" i="1"/>
  <c r="W18" i="1"/>
  <c r="T18" i="1"/>
  <c r="S18" i="1"/>
  <c r="W17" i="1"/>
  <c r="T17" i="1"/>
  <c r="S17" i="1"/>
  <c r="W16" i="1"/>
  <c r="T16" i="1"/>
  <c r="S16" i="1"/>
  <c r="W15" i="1"/>
  <c r="T15" i="1"/>
  <c r="S15" i="1"/>
  <c r="W14" i="1"/>
  <c r="T14" i="1"/>
  <c r="S14" i="1"/>
  <c r="W13" i="1"/>
  <c r="T13" i="1"/>
  <c r="S13" i="1"/>
  <c r="W12" i="1"/>
  <c r="T12" i="1"/>
  <c r="S12" i="1"/>
  <c r="W11" i="1"/>
  <c r="T11" i="1"/>
  <c r="S11" i="1"/>
  <c r="W10" i="1"/>
  <c r="T10" i="1"/>
  <c r="S10" i="1"/>
  <c r="W9" i="1"/>
  <c r="T9" i="1"/>
  <c r="S9" i="1"/>
  <c r="W8" i="1"/>
  <c r="T8" i="1"/>
  <c r="S8" i="1"/>
  <c r="W7" i="1"/>
  <c r="T7" i="1"/>
  <c r="S7" i="1"/>
  <c r="W6" i="1"/>
  <c r="T6" i="1"/>
  <c r="S6" i="1"/>
  <c r="W5" i="1"/>
  <c r="T5" i="1"/>
  <c r="S5" i="1"/>
  <c r="W4" i="1"/>
  <c r="T4" i="1"/>
  <c r="S4" i="1"/>
  <c r="W3" i="1"/>
  <c r="T3" i="1"/>
  <c r="S3" i="1"/>
  <c r="W2" i="1"/>
  <c r="U626" i="1"/>
  <c r="U462" i="1"/>
  <c r="U348" i="1"/>
  <c r="U258" i="1"/>
  <c r="U192" i="1"/>
  <c r="U149" i="1"/>
  <c r="U105" i="1"/>
  <c r="U64" i="1"/>
  <c r="U21" i="1"/>
  <c r="U2" i="1" a="1"/>
  <c r="U658" i="1" s="1"/>
  <c r="T2" i="1"/>
  <c r="S2" i="1"/>
  <c r="R2" i="1" a="1"/>
  <c r="R752" i="1" s="1"/>
  <c r="R2" i="1" l="1"/>
  <c r="R10" i="1"/>
  <c r="R18" i="1"/>
  <c r="R26" i="1"/>
  <c r="R34" i="1"/>
  <c r="R42" i="1"/>
  <c r="R50" i="1"/>
  <c r="R58" i="1"/>
  <c r="R66" i="1"/>
  <c r="R74" i="1"/>
  <c r="R82" i="1"/>
  <c r="R90" i="1"/>
  <c r="R98" i="1"/>
  <c r="R106" i="1"/>
  <c r="R114" i="1"/>
  <c r="R122" i="1"/>
  <c r="R130" i="1"/>
  <c r="R138" i="1"/>
  <c r="R146" i="1"/>
  <c r="R154" i="1"/>
  <c r="R162" i="1"/>
  <c r="R170" i="1"/>
  <c r="R179" i="1"/>
  <c r="R188" i="1"/>
  <c r="R197" i="1"/>
  <c r="R206" i="1"/>
  <c r="R216" i="1"/>
  <c r="R225" i="1"/>
  <c r="R234" i="1"/>
  <c r="R243" i="1"/>
  <c r="R252" i="1"/>
  <c r="R261" i="1"/>
  <c r="R272" i="1"/>
  <c r="R282" i="1"/>
  <c r="R293" i="1"/>
  <c r="R304" i="1"/>
  <c r="R314" i="1"/>
  <c r="R325" i="1"/>
  <c r="R336" i="1"/>
  <c r="R346" i="1"/>
  <c r="R357" i="1"/>
  <c r="R368" i="1"/>
  <c r="R378" i="1"/>
  <c r="R389" i="1"/>
  <c r="R400" i="1"/>
  <c r="R410" i="1"/>
  <c r="R421" i="1"/>
  <c r="R432" i="1"/>
  <c r="R442" i="1"/>
  <c r="R454" i="1"/>
  <c r="R466" i="1"/>
  <c r="R480" i="1"/>
  <c r="R492" i="1"/>
  <c r="R510" i="1"/>
  <c r="R528" i="1"/>
  <c r="R544" i="1"/>
  <c r="R564" i="1"/>
  <c r="R586" i="1"/>
  <c r="R606" i="1"/>
  <c r="R628" i="1"/>
  <c r="R650" i="1"/>
  <c r="R670" i="1"/>
  <c r="R692" i="1"/>
  <c r="R714" i="1"/>
  <c r="R734" i="1"/>
  <c r="R756" i="1"/>
  <c r="U17" i="1"/>
  <c r="U57" i="1"/>
  <c r="U101" i="1"/>
  <c r="U144" i="1"/>
  <c r="U185" i="1"/>
  <c r="U250" i="1"/>
  <c r="U334" i="1"/>
  <c r="U444" i="1"/>
  <c r="U610" i="1"/>
  <c r="R3" i="1"/>
  <c r="R11" i="1"/>
  <c r="R19" i="1"/>
  <c r="R27" i="1"/>
  <c r="R35" i="1"/>
  <c r="R43" i="1"/>
  <c r="R51" i="1"/>
  <c r="R59" i="1"/>
  <c r="R67" i="1"/>
  <c r="R75" i="1"/>
  <c r="R83" i="1"/>
  <c r="R91" i="1"/>
  <c r="R99" i="1"/>
  <c r="R107" i="1"/>
  <c r="R115" i="1"/>
  <c r="R123" i="1"/>
  <c r="R131" i="1"/>
  <c r="R139" i="1"/>
  <c r="R147" i="1"/>
  <c r="R155" i="1"/>
  <c r="R163" i="1"/>
  <c r="R171" i="1"/>
  <c r="R180" i="1"/>
  <c r="R189" i="1"/>
  <c r="R198" i="1"/>
  <c r="R208" i="1"/>
  <c r="R217" i="1"/>
  <c r="R226" i="1"/>
  <c r="R235" i="1"/>
  <c r="R244" i="1"/>
  <c r="R253" i="1"/>
  <c r="R262" i="1"/>
  <c r="R273" i="1"/>
  <c r="R283" i="1"/>
  <c r="R294" i="1"/>
  <c r="R305" i="1"/>
  <c r="R315" i="1"/>
  <c r="R326" i="1"/>
  <c r="R337" i="1"/>
  <c r="R347" i="1"/>
  <c r="R358" i="1"/>
  <c r="R369" i="1"/>
  <c r="R379" i="1"/>
  <c r="R390" i="1"/>
  <c r="R401" i="1"/>
  <c r="R411" i="1"/>
  <c r="R422" i="1"/>
  <c r="R433" i="1"/>
  <c r="R443" i="1"/>
  <c r="R456" i="1"/>
  <c r="R467" i="1"/>
  <c r="R481" i="1"/>
  <c r="R496" i="1"/>
  <c r="R512" i="1"/>
  <c r="R531" i="1"/>
  <c r="R546" i="1"/>
  <c r="R566" i="1"/>
  <c r="R588" i="1"/>
  <c r="R610" i="1"/>
  <c r="R630" i="1"/>
  <c r="R652" i="1"/>
  <c r="R674" i="1"/>
  <c r="R694" i="1"/>
  <c r="R716" i="1"/>
  <c r="R738" i="1"/>
  <c r="R760" i="1"/>
  <c r="R4" i="1"/>
  <c r="R12" i="1"/>
  <c r="R20" i="1"/>
  <c r="R28" i="1"/>
  <c r="R36" i="1"/>
  <c r="R44" i="1"/>
  <c r="R52" i="1"/>
  <c r="R60" i="1"/>
  <c r="R68" i="1"/>
  <c r="R76" i="1"/>
  <c r="R84" i="1"/>
  <c r="R92" i="1"/>
  <c r="R100" i="1"/>
  <c r="R108" i="1"/>
  <c r="R116" i="1"/>
  <c r="R124" i="1"/>
  <c r="R132" i="1"/>
  <c r="R140" i="1"/>
  <c r="R148" i="1"/>
  <c r="R156" i="1"/>
  <c r="R164" i="1"/>
  <c r="R172" i="1"/>
  <c r="R181" i="1"/>
  <c r="R190" i="1"/>
  <c r="R200" i="1"/>
  <c r="R209" i="1"/>
  <c r="R218" i="1"/>
  <c r="R227" i="1"/>
  <c r="R236" i="1"/>
  <c r="R245" i="1"/>
  <c r="R254" i="1"/>
  <c r="R264" i="1"/>
  <c r="R274" i="1"/>
  <c r="R285" i="1"/>
  <c r="R296" i="1"/>
  <c r="R306" i="1"/>
  <c r="R317" i="1"/>
  <c r="R328" i="1"/>
  <c r="R338" i="1"/>
  <c r="R349" i="1"/>
  <c r="R360" i="1"/>
  <c r="R370" i="1"/>
  <c r="R381" i="1"/>
  <c r="R392" i="1"/>
  <c r="R402" i="1"/>
  <c r="R413" i="1"/>
  <c r="R424" i="1"/>
  <c r="R434" i="1"/>
  <c r="R445" i="1"/>
  <c r="R457" i="1"/>
  <c r="R470" i="1"/>
  <c r="R482" i="1"/>
  <c r="R499" i="1"/>
  <c r="R514" i="1"/>
  <c r="R532" i="1"/>
  <c r="R549" i="1"/>
  <c r="R571" i="1"/>
  <c r="R592" i="1"/>
  <c r="R613" i="1"/>
  <c r="R635" i="1"/>
  <c r="R656" i="1"/>
  <c r="R677" i="1"/>
  <c r="R699" i="1"/>
  <c r="R720" i="1"/>
  <c r="R741" i="1"/>
  <c r="U24" i="1"/>
  <c r="U65" i="1"/>
  <c r="U109" i="1"/>
  <c r="U152" i="1"/>
  <c r="U193" i="1"/>
  <c r="U266" i="1"/>
  <c r="U356" i="1"/>
  <c r="U466" i="1"/>
  <c r="U642" i="1"/>
  <c r="R5" i="1"/>
  <c r="R13" i="1"/>
  <c r="R21" i="1"/>
  <c r="R29" i="1"/>
  <c r="R37" i="1"/>
  <c r="R45" i="1"/>
  <c r="R53" i="1"/>
  <c r="R61" i="1"/>
  <c r="R69" i="1"/>
  <c r="R77" i="1"/>
  <c r="R85" i="1"/>
  <c r="R93" i="1"/>
  <c r="R101" i="1"/>
  <c r="R109" i="1"/>
  <c r="R117" i="1"/>
  <c r="R125" i="1"/>
  <c r="R133" i="1"/>
  <c r="R141" i="1"/>
  <c r="R149" i="1"/>
  <c r="R157" i="1"/>
  <c r="R165" i="1"/>
  <c r="R173" i="1"/>
  <c r="R182" i="1"/>
  <c r="R192" i="1"/>
  <c r="R201" i="1"/>
  <c r="R210" i="1"/>
  <c r="R219" i="1"/>
  <c r="R228" i="1"/>
  <c r="R237" i="1"/>
  <c r="R246" i="1"/>
  <c r="R256" i="1"/>
  <c r="R265" i="1"/>
  <c r="R275" i="1"/>
  <c r="R286" i="1"/>
  <c r="R297" i="1"/>
  <c r="R307" i="1"/>
  <c r="R318" i="1"/>
  <c r="R329" i="1"/>
  <c r="R339" i="1"/>
  <c r="R350" i="1"/>
  <c r="R361" i="1"/>
  <c r="R371" i="1"/>
  <c r="R382" i="1"/>
  <c r="R393" i="1"/>
  <c r="R403" i="1"/>
  <c r="R414" i="1"/>
  <c r="R425" i="1"/>
  <c r="R435" i="1"/>
  <c r="R446" i="1"/>
  <c r="R458" i="1"/>
  <c r="R472" i="1"/>
  <c r="R483" i="1"/>
  <c r="R500" i="1"/>
  <c r="R517" i="1"/>
  <c r="R533" i="1"/>
  <c r="R552" i="1"/>
  <c r="R573" i="1"/>
  <c r="R595" i="1"/>
  <c r="R616" i="1"/>
  <c r="R637" i="1"/>
  <c r="R659" i="1"/>
  <c r="R680" i="1"/>
  <c r="R701" i="1"/>
  <c r="R723" i="1"/>
  <c r="R744" i="1"/>
  <c r="U29" i="1"/>
  <c r="U72" i="1"/>
  <c r="U113" i="1"/>
  <c r="U157" i="1"/>
  <c r="U201" i="1"/>
  <c r="U274" i="1"/>
  <c r="U370" i="1"/>
  <c r="U492" i="1"/>
  <c r="R6" i="1"/>
  <c r="R14" i="1"/>
  <c r="R22" i="1"/>
  <c r="R30" i="1"/>
  <c r="R38" i="1"/>
  <c r="R46" i="1"/>
  <c r="R54" i="1"/>
  <c r="R62" i="1"/>
  <c r="R70" i="1"/>
  <c r="R78" i="1"/>
  <c r="R86" i="1"/>
  <c r="R94" i="1"/>
  <c r="R102" i="1"/>
  <c r="R110" i="1"/>
  <c r="R118" i="1"/>
  <c r="R126" i="1"/>
  <c r="R134" i="1"/>
  <c r="R142" i="1"/>
  <c r="R150" i="1"/>
  <c r="R158" i="1"/>
  <c r="R166" i="1"/>
  <c r="R174" i="1"/>
  <c r="R184" i="1"/>
  <c r="R193" i="1"/>
  <c r="R202" i="1"/>
  <c r="R211" i="1"/>
  <c r="R220" i="1"/>
  <c r="R229" i="1"/>
  <c r="R238" i="1"/>
  <c r="R248" i="1"/>
  <c r="R257" i="1"/>
  <c r="R266" i="1"/>
  <c r="R277" i="1"/>
  <c r="R288" i="1"/>
  <c r="R298" i="1"/>
  <c r="R309" i="1"/>
  <c r="R320" i="1"/>
  <c r="R330" i="1"/>
  <c r="R341" i="1"/>
  <c r="R352" i="1"/>
  <c r="R362" i="1"/>
  <c r="R373" i="1"/>
  <c r="R384" i="1"/>
  <c r="R394" i="1"/>
  <c r="R405" i="1"/>
  <c r="R416" i="1"/>
  <c r="R426" i="1"/>
  <c r="R437" i="1"/>
  <c r="R448" i="1"/>
  <c r="R459" i="1"/>
  <c r="R473" i="1"/>
  <c r="R486" i="1"/>
  <c r="R501" i="1"/>
  <c r="R520" i="1"/>
  <c r="R534" i="1"/>
  <c r="R554" i="1"/>
  <c r="R574" i="1"/>
  <c r="R596" i="1"/>
  <c r="R618" i="1"/>
  <c r="R638" i="1"/>
  <c r="R660" i="1"/>
  <c r="R682" i="1"/>
  <c r="R702" i="1"/>
  <c r="R724" i="1"/>
  <c r="R746" i="1"/>
  <c r="U761" i="1"/>
  <c r="U753" i="1"/>
  <c r="U745" i="1"/>
  <c r="U737" i="1"/>
  <c r="U729" i="1"/>
  <c r="U721" i="1"/>
  <c r="U713" i="1"/>
  <c r="U705" i="1"/>
  <c r="U697" i="1"/>
  <c r="U689" i="1"/>
  <c r="U681" i="1"/>
  <c r="U673" i="1"/>
  <c r="U665" i="1"/>
  <c r="U657" i="1"/>
  <c r="U649" i="1"/>
  <c r="U641" i="1"/>
  <c r="U633" i="1"/>
  <c r="U625" i="1"/>
  <c r="U617" i="1"/>
  <c r="U609" i="1"/>
  <c r="U601" i="1"/>
  <c r="U593" i="1"/>
  <c r="U585" i="1"/>
  <c r="U577" i="1"/>
  <c r="U569" i="1"/>
  <c r="U561" i="1"/>
  <c r="U553" i="1"/>
  <c r="U545" i="1"/>
  <c r="U537" i="1"/>
  <c r="U529" i="1"/>
  <c r="U521" i="1"/>
  <c r="U513" i="1"/>
  <c r="U505" i="1"/>
  <c r="U497" i="1"/>
  <c r="U489" i="1"/>
  <c r="U481" i="1"/>
  <c r="U473" i="1"/>
  <c r="U465" i="1"/>
  <c r="U457" i="1"/>
  <c r="U449" i="1"/>
  <c r="U441" i="1"/>
  <c r="U433" i="1"/>
  <c r="U425" i="1"/>
  <c r="U417" i="1"/>
  <c r="U409" i="1"/>
  <c r="U401" i="1"/>
  <c r="U393" i="1"/>
  <c r="U385" i="1"/>
  <c r="U377" i="1"/>
  <c r="U369" i="1"/>
  <c r="U361" i="1"/>
  <c r="U353" i="1"/>
  <c r="U345" i="1"/>
  <c r="U337" i="1"/>
  <c r="U329" i="1"/>
  <c r="U321" i="1"/>
  <c r="U313" i="1"/>
  <c r="U305" i="1"/>
  <c r="U297" i="1"/>
  <c r="U289" i="1"/>
  <c r="U281" i="1"/>
  <c r="U273" i="1"/>
  <c r="U265" i="1"/>
  <c r="U257" i="1"/>
  <c r="U249" i="1"/>
  <c r="U241" i="1"/>
  <c r="U760" i="1"/>
  <c r="U752" i="1"/>
  <c r="U744" i="1"/>
  <c r="U736" i="1"/>
  <c r="U728" i="1"/>
  <c r="U720" i="1"/>
  <c r="U712" i="1"/>
  <c r="U704" i="1"/>
  <c r="U696" i="1"/>
  <c r="U688" i="1"/>
  <c r="U680" i="1"/>
  <c r="U672" i="1"/>
  <c r="U664" i="1"/>
  <c r="U656" i="1"/>
  <c r="U648" i="1"/>
  <c r="U640" i="1"/>
  <c r="U632" i="1"/>
  <c r="U624" i="1"/>
  <c r="U616" i="1"/>
  <c r="U608" i="1"/>
  <c r="U600" i="1"/>
  <c r="U592" i="1"/>
  <c r="U584" i="1"/>
  <c r="U576" i="1"/>
  <c r="U568" i="1"/>
  <c r="U560" i="1"/>
  <c r="U552" i="1"/>
  <c r="U544" i="1"/>
  <c r="U536" i="1"/>
  <c r="U528" i="1"/>
  <c r="U520" i="1"/>
  <c r="U512" i="1"/>
  <c r="U504" i="1"/>
  <c r="U496" i="1"/>
  <c r="U488" i="1"/>
  <c r="U480" i="1"/>
  <c r="U472" i="1"/>
  <c r="U464" i="1"/>
  <c r="U456" i="1"/>
  <c r="U448" i="1"/>
  <c r="U440" i="1"/>
  <c r="U432" i="1"/>
  <c r="U424" i="1"/>
  <c r="U416" i="1"/>
  <c r="U408" i="1"/>
  <c r="U400" i="1"/>
  <c r="U392" i="1"/>
  <c r="U384" i="1"/>
  <c r="U376" i="1"/>
  <c r="U368" i="1"/>
  <c r="U360" i="1"/>
  <c r="U352" i="1"/>
  <c r="U344" i="1"/>
  <c r="U336" i="1"/>
  <c r="U328" i="1"/>
  <c r="U320" i="1"/>
  <c r="U312" i="1"/>
  <c r="U304" i="1"/>
  <c r="U296" i="1"/>
  <c r="U288" i="1"/>
  <c r="U280" i="1"/>
  <c r="U272" i="1"/>
  <c r="U264" i="1"/>
  <c r="U256" i="1"/>
  <c r="U248" i="1"/>
  <c r="U240" i="1"/>
  <c r="U232" i="1"/>
  <c r="U224" i="1"/>
  <c r="U216" i="1"/>
  <c r="U208" i="1"/>
  <c r="U759" i="1"/>
  <c r="U751" i="1"/>
  <c r="U743" i="1"/>
  <c r="U735" i="1"/>
  <c r="U727" i="1"/>
  <c r="U719" i="1"/>
  <c r="U711" i="1"/>
  <c r="U703" i="1"/>
  <c r="U695" i="1"/>
  <c r="U687" i="1"/>
  <c r="U679" i="1"/>
  <c r="U671" i="1"/>
  <c r="U663" i="1"/>
  <c r="U655" i="1"/>
  <c r="U647" i="1"/>
  <c r="U639" i="1"/>
  <c r="U631" i="1"/>
  <c r="U623" i="1"/>
  <c r="U615" i="1"/>
  <c r="U607" i="1"/>
  <c r="U599" i="1"/>
  <c r="U591" i="1"/>
  <c r="U583" i="1"/>
  <c r="U575" i="1"/>
  <c r="U567" i="1"/>
  <c r="U559" i="1"/>
  <c r="U551" i="1"/>
  <c r="U543" i="1"/>
  <c r="U535" i="1"/>
  <c r="U527" i="1"/>
  <c r="U519" i="1"/>
  <c r="U511" i="1"/>
  <c r="U503" i="1"/>
  <c r="U495" i="1"/>
  <c r="U487" i="1"/>
  <c r="U479" i="1"/>
  <c r="U471" i="1"/>
  <c r="U463" i="1"/>
  <c r="U455" i="1"/>
  <c r="U447" i="1"/>
  <c r="U439" i="1"/>
  <c r="U431" i="1"/>
  <c r="U423" i="1"/>
  <c r="U415" i="1"/>
  <c r="U407" i="1"/>
  <c r="U399" i="1"/>
  <c r="U391" i="1"/>
  <c r="U383" i="1"/>
  <c r="U375" i="1"/>
  <c r="U367" i="1"/>
  <c r="U359" i="1"/>
  <c r="U351" i="1"/>
  <c r="U343" i="1"/>
  <c r="U335" i="1"/>
  <c r="U327" i="1"/>
  <c r="U319" i="1"/>
  <c r="U311" i="1"/>
  <c r="U303" i="1"/>
  <c r="U295" i="1"/>
  <c r="U287" i="1"/>
  <c r="U279" i="1"/>
  <c r="U271" i="1"/>
  <c r="U263" i="1"/>
  <c r="U255" i="1"/>
  <c r="U247" i="1"/>
  <c r="U239" i="1"/>
  <c r="U231" i="1"/>
  <c r="U223" i="1"/>
  <c r="U215" i="1"/>
  <c r="U207" i="1"/>
  <c r="U199" i="1"/>
  <c r="U758" i="1"/>
  <c r="U750" i="1"/>
  <c r="U742" i="1"/>
  <c r="U734" i="1"/>
  <c r="U726" i="1"/>
  <c r="U718" i="1"/>
  <c r="U710" i="1"/>
  <c r="U702" i="1"/>
  <c r="U694" i="1"/>
  <c r="U686" i="1"/>
  <c r="U678" i="1"/>
  <c r="U670" i="1"/>
  <c r="U662" i="1"/>
  <c r="U654" i="1"/>
  <c r="U646" i="1"/>
  <c r="U638" i="1"/>
  <c r="U630" i="1"/>
  <c r="U622" i="1"/>
  <c r="U614" i="1"/>
  <c r="U606" i="1"/>
  <c r="U598" i="1"/>
  <c r="U590" i="1"/>
  <c r="U582" i="1"/>
  <c r="U574" i="1"/>
  <c r="U566" i="1"/>
  <c r="U558" i="1"/>
  <c r="U550" i="1"/>
  <c r="U542" i="1"/>
  <c r="U534" i="1"/>
  <c r="U526" i="1"/>
  <c r="U518" i="1"/>
  <c r="U510" i="1"/>
  <c r="U502" i="1"/>
  <c r="U494" i="1"/>
  <c r="U486" i="1"/>
  <c r="U478" i="1"/>
  <c r="U470" i="1"/>
  <c r="U757" i="1"/>
  <c r="U749" i="1"/>
  <c r="U741" i="1"/>
  <c r="U733" i="1"/>
  <c r="U725" i="1"/>
  <c r="U717" i="1"/>
  <c r="U709" i="1"/>
  <c r="U701" i="1"/>
  <c r="U693" i="1"/>
  <c r="U685" i="1"/>
  <c r="U677" i="1"/>
  <c r="U669" i="1"/>
  <c r="U661" i="1"/>
  <c r="U653" i="1"/>
  <c r="U645" i="1"/>
  <c r="U637" i="1"/>
  <c r="U629" i="1"/>
  <c r="U621" i="1"/>
  <c r="U613" i="1"/>
  <c r="U605" i="1"/>
  <c r="U597" i="1"/>
  <c r="U589" i="1"/>
  <c r="U581" i="1"/>
  <c r="U573" i="1"/>
  <c r="U565" i="1"/>
  <c r="U557" i="1"/>
  <c r="U549" i="1"/>
  <c r="U541" i="1"/>
  <c r="U533" i="1"/>
  <c r="U525" i="1"/>
  <c r="U517" i="1"/>
  <c r="U509" i="1"/>
  <c r="U501" i="1"/>
  <c r="U493" i="1"/>
  <c r="U485" i="1"/>
  <c r="U477" i="1"/>
  <c r="U469" i="1"/>
  <c r="U461" i="1"/>
  <c r="U453" i="1"/>
  <c r="U445" i="1"/>
  <c r="U437" i="1"/>
  <c r="U429" i="1"/>
  <c r="U421" i="1"/>
  <c r="U413" i="1"/>
  <c r="U405" i="1"/>
  <c r="U397" i="1"/>
  <c r="U389" i="1"/>
  <c r="U381" i="1"/>
  <c r="U373" i="1"/>
  <c r="U365" i="1"/>
  <c r="U357" i="1"/>
  <c r="U349" i="1"/>
  <c r="U341" i="1"/>
  <c r="U333" i="1"/>
  <c r="U325" i="1"/>
  <c r="U317" i="1"/>
  <c r="U309" i="1"/>
  <c r="U301" i="1"/>
  <c r="U293" i="1"/>
  <c r="U285" i="1"/>
  <c r="U277" i="1"/>
  <c r="U269" i="1"/>
  <c r="U261" i="1"/>
  <c r="U253" i="1"/>
  <c r="U245" i="1"/>
  <c r="U237" i="1"/>
  <c r="U229" i="1"/>
  <c r="U221" i="1"/>
  <c r="U213" i="1"/>
  <c r="U205" i="1"/>
  <c r="U755" i="1"/>
  <c r="U747" i="1"/>
  <c r="U739" i="1"/>
  <c r="U731" i="1"/>
  <c r="U723" i="1"/>
  <c r="U715" i="1"/>
  <c r="U707" i="1"/>
  <c r="U699" i="1"/>
  <c r="U691" i="1"/>
  <c r="U683" i="1"/>
  <c r="U675" i="1"/>
  <c r="U667" i="1"/>
  <c r="U659" i="1"/>
  <c r="U651" i="1"/>
  <c r="U643" i="1"/>
  <c r="U635" i="1"/>
  <c r="U627" i="1"/>
  <c r="U619" i="1"/>
  <c r="U611" i="1"/>
  <c r="U603" i="1"/>
  <c r="U595" i="1"/>
  <c r="U587" i="1"/>
  <c r="U579" i="1"/>
  <c r="U571" i="1"/>
  <c r="U563" i="1"/>
  <c r="U555" i="1"/>
  <c r="U547" i="1"/>
  <c r="U539" i="1"/>
  <c r="U531" i="1"/>
  <c r="U523" i="1"/>
  <c r="U515" i="1"/>
  <c r="U507" i="1"/>
  <c r="U499" i="1"/>
  <c r="U491" i="1"/>
  <c r="U483" i="1"/>
  <c r="U475" i="1"/>
  <c r="U467" i="1"/>
  <c r="U459" i="1"/>
  <c r="U451" i="1"/>
  <c r="U443" i="1"/>
  <c r="U435" i="1"/>
  <c r="U427" i="1"/>
  <c r="U419" i="1"/>
  <c r="U411" i="1"/>
  <c r="U403" i="1"/>
  <c r="U395" i="1"/>
  <c r="U387" i="1"/>
  <c r="U379" i="1"/>
  <c r="U371" i="1"/>
  <c r="U363" i="1"/>
  <c r="U355" i="1"/>
  <c r="U347" i="1"/>
  <c r="U339" i="1"/>
  <c r="U746" i="1"/>
  <c r="U714" i="1"/>
  <c r="U682" i="1"/>
  <c r="U650" i="1"/>
  <c r="U618" i="1"/>
  <c r="U586" i="1"/>
  <c r="U554" i="1"/>
  <c r="U522" i="1"/>
  <c r="U490" i="1"/>
  <c r="U460" i="1"/>
  <c r="U438" i="1"/>
  <c r="U418" i="1"/>
  <c r="U396" i="1"/>
  <c r="U374" i="1"/>
  <c r="U354" i="1"/>
  <c r="U332" i="1"/>
  <c r="U316" i="1"/>
  <c r="U300" i="1"/>
  <c r="U284" i="1"/>
  <c r="U268" i="1"/>
  <c r="U252" i="1"/>
  <c r="U236" i="1"/>
  <c r="U225" i="1"/>
  <c r="U211" i="1"/>
  <c r="U200" i="1"/>
  <c r="U191" i="1"/>
  <c r="U183" i="1"/>
  <c r="U175" i="1"/>
  <c r="U167" i="1"/>
  <c r="U159" i="1"/>
  <c r="U151" i="1"/>
  <c r="U143" i="1"/>
  <c r="U135" i="1"/>
  <c r="U127" i="1"/>
  <c r="U119" i="1"/>
  <c r="U111" i="1"/>
  <c r="U103" i="1"/>
  <c r="U95" i="1"/>
  <c r="U87" i="1"/>
  <c r="U79" i="1"/>
  <c r="U71" i="1"/>
  <c r="U63" i="1"/>
  <c r="U55" i="1"/>
  <c r="U47" i="1"/>
  <c r="U39" i="1"/>
  <c r="U31" i="1"/>
  <c r="U23" i="1"/>
  <c r="U15" i="1"/>
  <c r="U7" i="1"/>
  <c r="U740" i="1"/>
  <c r="U708" i="1"/>
  <c r="U676" i="1"/>
  <c r="U644" i="1"/>
  <c r="U612" i="1"/>
  <c r="U580" i="1"/>
  <c r="U548" i="1"/>
  <c r="U516" i="1"/>
  <c r="U484" i="1"/>
  <c r="U458" i="1"/>
  <c r="U436" i="1"/>
  <c r="U414" i="1"/>
  <c r="U394" i="1"/>
  <c r="U372" i="1"/>
  <c r="U350" i="1"/>
  <c r="U331" i="1"/>
  <c r="U315" i="1"/>
  <c r="U299" i="1"/>
  <c r="U283" i="1"/>
  <c r="U267" i="1"/>
  <c r="U251" i="1"/>
  <c r="U235" i="1"/>
  <c r="U222" i="1"/>
  <c r="U210" i="1"/>
  <c r="U198" i="1"/>
  <c r="U190" i="1"/>
  <c r="U182" i="1"/>
  <c r="U174" i="1"/>
  <c r="U166" i="1"/>
  <c r="U158" i="1"/>
  <c r="U150" i="1"/>
  <c r="U142" i="1"/>
  <c r="U134" i="1"/>
  <c r="U126" i="1"/>
  <c r="U118" i="1"/>
  <c r="U110" i="1"/>
  <c r="U102" i="1"/>
  <c r="U94" i="1"/>
  <c r="U86" i="1"/>
  <c r="U78" i="1"/>
  <c r="U70" i="1"/>
  <c r="U62" i="1"/>
  <c r="U54" i="1"/>
  <c r="U46" i="1"/>
  <c r="U38" i="1"/>
  <c r="U30" i="1"/>
  <c r="U22" i="1"/>
  <c r="U14" i="1"/>
  <c r="U6" i="1"/>
  <c r="U732" i="1"/>
  <c r="U700" i="1"/>
  <c r="U668" i="1"/>
  <c r="U636" i="1"/>
  <c r="U604" i="1"/>
  <c r="U572" i="1"/>
  <c r="U540" i="1"/>
  <c r="U508" i="1"/>
  <c r="U476" i="1"/>
  <c r="U452" i="1"/>
  <c r="U430" i="1"/>
  <c r="U410" i="1"/>
  <c r="U388" i="1"/>
  <c r="U366" i="1"/>
  <c r="U346" i="1"/>
  <c r="U326" i="1"/>
  <c r="U310" i="1"/>
  <c r="U294" i="1"/>
  <c r="U278" i="1"/>
  <c r="U262" i="1"/>
  <c r="U246" i="1"/>
  <c r="U233" i="1"/>
  <c r="U219" i="1"/>
  <c r="U206" i="1"/>
  <c r="U196" i="1"/>
  <c r="U188" i="1"/>
  <c r="U180" i="1"/>
  <c r="U172" i="1"/>
  <c r="U164" i="1"/>
  <c r="U156" i="1"/>
  <c r="U148" i="1"/>
  <c r="U140" i="1"/>
  <c r="U132" i="1"/>
  <c r="U124" i="1"/>
  <c r="U116" i="1"/>
  <c r="U108" i="1"/>
  <c r="U100" i="1"/>
  <c r="U92" i="1"/>
  <c r="U84" i="1"/>
  <c r="U76" i="1"/>
  <c r="U68" i="1"/>
  <c r="U60" i="1"/>
  <c r="U52" i="1"/>
  <c r="U44" i="1"/>
  <c r="U36" i="1"/>
  <c r="U28" i="1"/>
  <c r="U20" i="1"/>
  <c r="U12" i="1"/>
  <c r="U4" i="1"/>
  <c r="U730" i="1"/>
  <c r="U698" i="1"/>
  <c r="U666" i="1"/>
  <c r="U634" i="1"/>
  <c r="U602" i="1"/>
  <c r="U570" i="1"/>
  <c r="U538" i="1"/>
  <c r="U506" i="1"/>
  <c r="U474" i="1"/>
  <c r="U450" i="1"/>
  <c r="U428" i="1"/>
  <c r="U406" i="1"/>
  <c r="U386" i="1"/>
  <c r="U364" i="1"/>
  <c r="U342" i="1"/>
  <c r="U324" i="1"/>
  <c r="U308" i="1"/>
  <c r="U292" i="1"/>
  <c r="U276" i="1"/>
  <c r="U260" i="1"/>
  <c r="U244" i="1"/>
  <c r="U230" i="1"/>
  <c r="U218" i="1"/>
  <c r="U204" i="1"/>
  <c r="U195" i="1"/>
  <c r="U187" i="1"/>
  <c r="U179" i="1"/>
  <c r="U171" i="1"/>
  <c r="U163" i="1"/>
  <c r="U155" i="1"/>
  <c r="U147" i="1"/>
  <c r="U139" i="1"/>
  <c r="U131" i="1"/>
  <c r="U123" i="1"/>
  <c r="U115" i="1"/>
  <c r="U107" i="1"/>
  <c r="U99" i="1"/>
  <c r="U91" i="1"/>
  <c r="U83" i="1"/>
  <c r="U75" i="1"/>
  <c r="U67" i="1"/>
  <c r="U59" i="1"/>
  <c r="U51" i="1"/>
  <c r="U43" i="1"/>
  <c r="U35" i="1"/>
  <c r="U27" i="1"/>
  <c r="U756" i="1"/>
  <c r="U724" i="1"/>
  <c r="U692" i="1"/>
  <c r="U660" i="1"/>
  <c r="U628" i="1"/>
  <c r="U596" i="1"/>
  <c r="U564" i="1"/>
  <c r="U532" i="1"/>
  <c r="U500" i="1"/>
  <c r="U468" i="1"/>
  <c r="U446" i="1"/>
  <c r="U426" i="1"/>
  <c r="U404" i="1"/>
  <c r="U382" i="1"/>
  <c r="U362" i="1"/>
  <c r="U340" i="1"/>
  <c r="U323" i="1"/>
  <c r="U307" i="1"/>
  <c r="U291" i="1"/>
  <c r="U275" i="1"/>
  <c r="U259" i="1"/>
  <c r="U243" i="1"/>
  <c r="U228" i="1"/>
  <c r="U217" i="1"/>
  <c r="U203" i="1"/>
  <c r="U194" i="1"/>
  <c r="U186" i="1"/>
  <c r="U178" i="1"/>
  <c r="U170" i="1"/>
  <c r="U162" i="1"/>
  <c r="U154" i="1"/>
  <c r="U146" i="1"/>
  <c r="U138" i="1"/>
  <c r="U130" i="1"/>
  <c r="U122" i="1"/>
  <c r="U114" i="1"/>
  <c r="U106" i="1"/>
  <c r="U98" i="1"/>
  <c r="U90" i="1"/>
  <c r="U82" i="1"/>
  <c r="U74" i="1"/>
  <c r="U66" i="1"/>
  <c r="U58" i="1"/>
  <c r="U50" i="1"/>
  <c r="U42" i="1"/>
  <c r="U34" i="1"/>
  <c r="U26" i="1"/>
  <c r="U18" i="1"/>
  <c r="U10" i="1"/>
  <c r="U2" i="1"/>
  <c r="U706" i="1"/>
  <c r="U620" i="1"/>
  <c r="U530" i="1"/>
  <c r="U454" i="1"/>
  <c r="U398" i="1"/>
  <c r="U338" i="1"/>
  <c r="U298" i="1"/>
  <c r="U254" i="1"/>
  <c r="U214" i="1"/>
  <c r="U189" i="1"/>
  <c r="U168" i="1"/>
  <c r="U145" i="1"/>
  <c r="U125" i="1"/>
  <c r="U104" i="1"/>
  <c r="U81" i="1"/>
  <c r="U61" i="1"/>
  <c r="U40" i="1"/>
  <c r="U19" i="1"/>
  <c r="U3" i="1"/>
  <c r="U684" i="1"/>
  <c r="U594" i="1"/>
  <c r="U514" i="1"/>
  <c r="U442" i="1"/>
  <c r="U380" i="1"/>
  <c r="U330" i="1"/>
  <c r="U286" i="1"/>
  <c r="U242" i="1"/>
  <c r="U209" i="1"/>
  <c r="U184" i="1"/>
  <c r="U161" i="1"/>
  <c r="U141" i="1"/>
  <c r="U120" i="1"/>
  <c r="U97" i="1"/>
  <c r="U77" i="1"/>
  <c r="U56" i="1"/>
  <c r="U33" i="1"/>
  <c r="U16" i="1"/>
  <c r="U754" i="1"/>
  <c r="U674" i="1"/>
  <c r="U588" i="1"/>
  <c r="U498" i="1"/>
  <c r="U434" i="1"/>
  <c r="U378" i="1"/>
  <c r="U322" i="1"/>
  <c r="U282" i="1"/>
  <c r="U238" i="1"/>
  <c r="U202" i="1"/>
  <c r="U181" i="1"/>
  <c r="U160" i="1"/>
  <c r="U137" i="1"/>
  <c r="U117" i="1"/>
  <c r="U96" i="1"/>
  <c r="U73" i="1"/>
  <c r="U53" i="1"/>
  <c r="U32" i="1"/>
  <c r="U13" i="1"/>
  <c r="U748" i="1"/>
  <c r="U738" i="1"/>
  <c r="U652" i="1"/>
  <c r="U562" i="1"/>
  <c r="U482" i="1"/>
  <c r="U420" i="1"/>
  <c r="U358" i="1"/>
  <c r="U314" i="1"/>
  <c r="U270" i="1"/>
  <c r="U227" i="1"/>
  <c r="U197" i="1"/>
  <c r="U176" i="1"/>
  <c r="U153" i="1"/>
  <c r="U133" i="1"/>
  <c r="U112" i="1"/>
  <c r="U89" i="1"/>
  <c r="U69" i="1"/>
  <c r="U48" i="1"/>
  <c r="U25" i="1"/>
  <c r="U9" i="1"/>
  <c r="U37" i="1"/>
  <c r="U80" i="1"/>
  <c r="U121" i="1"/>
  <c r="U165" i="1"/>
  <c r="U212" i="1"/>
  <c r="U290" i="1"/>
  <c r="U390" i="1"/>
  <c r="U524" i="1"/>
  <c r="U690" i="1"/>
  <c r="R7" i="1"/>
  <c r="R15" i="1"/>
  <c r="R23" i="1"/>
  <c r="R31" i="1"/>
  <c r="R39" i="1"/>
  <c r="R47" i="1"/>
  <c r="R55" i="1"/>
  <c r="R63" i="1"/>
  <c r="R71" i="1"/>
  <c r="R79" i="1"/>
  <c r="R87" i="1"/>
  <c r="R95" i="1"/>
  <c r="R103" i="1"/>
  <c r="R111" i="1"/>
  <c r="R119" i="1"/>
  <c r="R127" i="1"/>
  <c r="R135" i="1"/>
  <c r="R143" i="1"/>
  <c r="R151" i="1"/>
  <c r="R159" i="1"/>
  <c r="R167" i="1"/>
  <c r="R176" i="1"/>
  <c r="R185" i="1"/>
  <c r="R194" i="1"/>
  <c r="R203" i="1"/>
  <c r="R212" i="1"/>
  <c r="R221" i="1"/>
  <c r="R230" i="1"/>
  <c r="R240" i="1"/>
  <c r="R249" i="1"/>
  <c r="R258" i="1"/>
  <c r="R267" i="1"/>
  <c r="R278" i="1"/>
  <c r="R289" i="1"/>
  <c r="R299" i="1"/>
  <c r="R310" i="1"/>
  <c r="R321" i="1"/>
  <c r="R331" i="1"/>
  <c r="R342" i="1"/>
  <c r="R353" i="1"/>
  <c r="R363" i="1"/>
  <c r="R374" i="1"/>
  <c r="R385" i="1"/>
  <c r="R395" i="1"/>
  <c r="R406" i="1"/>
  <c r="R417" i="1"/>
  <c r="R427" i="1"/>
  <c r="R438" i="1"/>
  <c r="R449" i="1"/>
  <c r="R462" i="1"/>
  <c r="R474" i="1"/>
  <c r="R488" i="1"/>
  <c r="R502" i="1"/>
  <c r="R522" i="1"/>
  <c r="R539" i="1"/>
  <c r="R556" i="1"/>
  <c r="R578" i="1"/>
  <c r="R598" i="1"/>
  <c r="R620" i="1"/>
  <c r="R642" i="1"/>
  <c r="R662" i="1"/>
  <c r="R684" i="1"/>
  <c r="R706" i="1"/>
  <c r="R726" i="1"/>
  <c r="R748" i="1"/>
  <c r="U5" i="1"/>
  <c r="U41" i="1"/>
  <c r="U85" i="1"/>
  <c r="U128" i="1"/>
  <c r="U169" i="1"/>
  <c r="U220" i="1"/>
  <c r="U302" i="1"/>
  <c r="U402" i="1"/>
  <c r="U546" i="1"/>
  <c r="U716" i="1"/>
  <c r="R8" i="1"/>
  <c r="R16" i="1"/>
  <c r="R24" i="1"/>
  <c r="R32" i="1"/>
  <c r="R40" i="1"/>
  <c r="R48" i="1"/>
  <c r="R56" i="1"/>
  <c r="R64" i="1"/>
  <c r="R72" i="1"/>
  <c r="R80" i="1"/>
  <c r="R88" i="1"/>
  <c r="R96" i="1"/>
  <c r="R104" i="1"/>
  <c r="R112" i="1"/>
  <c r="R120" i="1"/>
  <c r="R128" i="1"/>
  <c r="R136" i="1"/>
  <c r="R144" i="1"/>
  <c r="R152" i="1"/>
  <c r="R160" i="1"/>
  <c r="R168" i="1"/>
  <c r="R177" i="1"/>
  <c r="R186" i="1"/>
  <c r="R195" i="1"/>
  <c r="R204" i="1"/>
  <c r="R213" i="1"/>
  <c r="R222" i="1"/>
  <c r="R232" i="1"/>
  <c r="R241" i="1"/>
  <c r="R250" i="1"/>
  <c r="R259" i="1"/>
  <c r="R269" i="1"/>
  <c r="R280" i="1"/>
  <c r="R290" i="1"/>
  <c r="R301" i="1"/>
  <c r="R312" i="1"/>
  <c r="R322" i="1"/>
  <c r="R333" i="1"/>
  <c r="R344" i="1"/>
  <c r="R354" i="1"/>
  <c r="R365" i="1"/>
  <c r="R376" i="1"/>
  <c r="R386" i="1"/>
  <c r="R397" i="1"/>
  <c r="R408" i="1"/>
  <c r="R418" i="1"/>
  <c r="R429" i="1"/>
  <c r="R440" i="1"/>
  <c r="R450" i="1"/>
  <c r="R464" i="1"/>
  <c r="R475" i="1"/>
  <c r="R490" i="1"/>
  <c r="R507" i="1"/>
  <c r="R523" i="1"/>
  <c r="R541" i="1"/>
  <c r="R560" i="1"/>
  <c r="R581" i="1"/>
  <c r="R603" i="1"/>
  <c r="R624" i="1"/>
  <c r="R645" i="1"/>
  <c r="R667" i="1"/>
  <c r="R688" i="1"/>
  <c r="R709" i="1"/>
  <c r="R731" i="1"/>
  <c r="U8" i="1"/>
  <c r="U45" i="1"/>
  <c r="U88" i="1"/>
  <c r="U129" i="1"/>
  <c r="U173" i="1"/>
  <c r="U226" i="1"/>
  <c r="U306" i="1"/>
  <c r="U412" i="1"/>
  <c r="U556" i="1"/>
  <c r="U722" i="1"/>
  <c r="R761" i="1"/>
  <c r="R753" i="1"/>
  <c r="R745" i="1"/>
  <c r="R737" i="1"/>
  <c r="R729" i="1"/>
  <c r="R721" i="1"/>
  <c r="R713" i="1"/>
  <c r="R705" i="1"/>
  <c r="R697" i="1"/>
  <c r="R689" i="1"/>
  <c r="R681" i="1"/>
  <c r="R673" i="1"/>
  <c r="R665" i="1"/>
  <c r="R657" i="1"/>
  <c r="R649" i="1"/>
  <c r="R641" i="1"/>
  <c r="R633" i="1"/>
  <c r="R625" i="1"/>
  <c r="R617" i="1"/>
  <c r="R609" i="1"/>
  <c r="R601" i="1"/>
  <c r="R593" i="1"/>
  <c r="R585" i="1"/>
  <c r="R577" i="1"/>
  <c r="R569" i="1"/>
  <c r="R561" i="1"/>
  <c r="R553" i="1"/>
  <c r="R545" i="1"/>
  <c r="R537" i="1"/>
  <c r="R529" i="1"/>
  <c r="R521" i="1"/>
  <c r="R513" i="1"/>
  <c r="R505" i="1"/>
  <c r="R497" i="1"/>
  <c r="R489" i="1"/>
  <c r="R759" i="1"/>
  <c r="R751" i="1"/>
  <c r="R743" i="1"/>
  <c r="R735" i="1"/>
  <c r="R727" i="1"/>
  <c r="R719" i="1"/>
  <c r="R711" i="1"/>
  <c r="R703" i="1"/>
  <c r="R695" i="1"/>
  <c r="R687" i="1"/>
  <c r="R679" i="1"/>
  <c r="R671" i="1"/>
  <c r="R663" i="1"/>
  <c r="R655" i="1"/>
  <c r="R647" i="1"/>
  <c r="R639" i="1"/>
  <c r="R631" i="1"/>
  <c r="R623" i="1"/>
  <c r="R615" i="1"/>
  <c r="R607" i="1"/>
  <c r="R599" i="1"/>
  <c r="R591" i="1"/>
  <c r="R583" i="1"/>
  <c r="R575" i="1"/>
  <c r="R567" i="1"/>
  <c r="R559" i="1"/>
  <c r="R551" i="1"/>
  <c r="R543" i="1"/>
  <c r="R535" i="1"/>
  <c r="R527" i="1"/>
  <c r="R519" i="1"/>
  <c r="R511" i="1"/>
  <c r="R503" i="1"/>
  <c r="R495" i="1"/>
  <c r="R757" i="1"/>
  <c r="R754" i="1"/>
  <c r="R742" i="1"/>
  <c r="R732" i="1"/>
  <c r="R722" i="1"/>
  <c r="R710" i="1"/>
  <c r="R700" i="1"/>
  <c r="R690" i="1"/>
  <c r="R678" i="1"/>
  <c r="R668" i="1"/>
  <c r="R658" i="1"/>
  <c r="R646" i="1"/>
  <c r="R636" i="1"/>
  <c r="R626" i="1"/>
  <c r="R614" i="1"/>
  <c r="R604" i="1"/>
  <c r="R594" i="1"/>
  <c r="R582" i="1"/>
  <c r="R572" i="1"/>
  <c r="R562" i="1"/>
  <c r="R550" i="1"/>
  <c r="R540" i="1"/>
  <c r="R530" i="1"/>
  <c r="R518" i="1"/>
  <c r="R508" i="1"/>
  <c r="R498" i="1"/>
  <c r="R487" i="1"/>
  <c r="R479" i="1"/>
  <c r="R471" i="1"/>
  <c r="R463" i="1"/>
  <c r="R455" i="1"/>
  <c r="R447" i="1"/>
  <c r="R439" i="1"/>
  <c r="R431" i="1"/>
  <c r="R423" i="1"/>
  <c r="R415" i="1"/>
  <c r="R407" i="1"/>
  <c r="R399" i="1"/>
  <c r="R391" i="1"/>
  <c r="R383" i="1"/>
  <c r="R375" i="1"/>
  <c r="R367" i="1"/>
  <c r="R359" i="1"/>
  <c r="R351" i="1"/>
  <c r="R343" i="1"/>
  <c r="R335" i="1"/>
  <c r="R327" i="1"/>
  <c r="R319" i="1"/>
  <c r="R311" i="1"/>
  <c r="R303" i="1"/>
  <c r="R295" i="1"/>
  <c r="R287" i="1"/>
  <c r="R279" i="1"/>
  <c r="R271" i="1"/>
  <c r="R263" i="1"/>
  <c r="R255" i="1"/>
  <c r="R247" i="1"/>
  <c r="R239" i="1"/>
  <c r="R231" i="1"/>
  <c r="R223" i="1"/>
  <c r="R215" i="1"/>
  <c r="R207" i="1"/>
  <c r="R199" i="1"/>
  <c r="R191" i="1"/>
  <c r="R183" i="1"/>
  <c r="R175" i="1"/>
  <c r="R750" i="1"/>
  <c r="R740" i="1"/>
  <c r="R730" i="1"/>
  <c r="R718" i="1"/>
  <c r="R708" i="1"/>
  <c r="R698" i="1"/>
  <c r="R686" i="1"/>
  <c r="R676" i="1"/>
  <c r="R666" i="1"/>
  <c r="R654" i="1"/>
  <c r="R644" i="1"/>
  <c r="R634" i="1"/>
  <c r="R622" i="1"/>
  <c r="R612" i="1"/>
  <c r="R602" i="1"/>
  <c r="R590" i="1"/>
  <c r="R580" i="1"/>
  <c r="R570" i="1"/>
  <c r="R558" i="1"/>
  <c r="R548" i="1"/>
  <c r="R538" i="1"/>
  <c r="R526" i="1"/>
  <c r="R516" i="1"/>
  <c r="R506" i="1"/>
  <c r="R494" i="1"/>
  <c r="R485" i="1"/>
  <c r="R477" i="1"/>
  <c r="R469" i="1"/>
  <c r="R461" i="1"/>
  <c r="R453" i="1"/>
  <c r="R749" i="1"/>
  <c r="R739" i="1"/>
  <c r="R728" i="1"/>
  <c r="R717" i="1"/>
  <c r="R707" i="1"/>
  <c r="R696" i="1"/>
  <c r="R685" i="1"/>
  <c r="R675" i="1"/>
  <c r="R664" i="1"/>
  <c r="R653" i="1"/>
  <c r="R643" i="1"/>
  <c r="R632" i="1"/>
  <c r="R621" i="1"/>
  <c r="R611" i="1"/>
  <c r="R600" i="1"/>
  <c r="R589" i="1"/>
  <c r="R579" i="1"/>
  <c r="R568" i="1"/>
  <c r="R557" i="1"/>
  <c r="R547" i="1"/>
  <c r="R536" i="1"/>
  <c r="R525" i="1"/>
  <c r="R515" i="1"/>
  <c r="R504" i="1"/>
  <c r="R493" i="1"/>
  <c r="R484" i="1"/>
  <c r="R476" i="1"/>
  <c r="R468" i="1"/>
  <c r="R460" i="1"/>
  <c r="R452" i="1"/>
  <c r="R444" i="1"/>
  <c r="R436" i="1"/>
  <c r="R428" i="1"/>
  <c r="R420" i="1"/>
  <c r="R412" i="1"/>
  <c r="R404" i="1"/>
  <c r="R396" i="1"/>
  <c r="R388" i="1"/>
  <c r="R380" i="1"/>
  <c r="R372" i="1"/>
  <c r="R364" i="1"/>
  <c r="R356" i="1"/>
  <c r="R348" i="1"/>
  <c r="R340" i="1"/>
  <c r="R332" i="1"/>
  <c r="R324" i="1"/>
  <c r="R316" i="1"/>
  <c r="R308" i="1"/>
  <c r="R300" i="1"/>
  <c r="R292" i="1"/>
  <c r="R284" i="1"/>
  <c r="R276" i="1"/>
  <c r="R268" i="1"/>
  <c r="R758" i="1"/>
  <c r="R747" i="1"/>
  <c r="R736" i="1"/>
  <c r="R725" i="1"/>
  <c r="R715" i="1"/>
  <c r="R704" i="1"/>
  <c r="R693" i="1"/>
  <c r="R683" i="1"/>
  <c r="R672" i="1"/>
  <c r="R661" i="1"/>
  <c r="R651" i="1"/>
  <c r="R640" i="1"/>
  <c r="R629" i="1"/>
  <c r="R619" i="1"/>
  <c r="R608" i="1"/>
  <c r="R597" i="1"/>
  <c r="R587" i="1"/>
  <c r="R576" i="1"/>
  <c r="R565" i="1"/>
  <c r="R555" i="1"/>
  <c r="R9" i="1"/>
  <c r="R17" i="1"/>
  <c r="R25" i="1"/>
  <c r="R33" i="1"/>
  <c r="R41" i="1"/>
  <c r="R49" i="1"/>
  <c r="R57" i="1"/>
  <c r="R65" i="1"/>
  <c r="R73" i="1"/>
  <c r="R81" i="1"/>
  <c r="R89" i="1"/>
  <c r="R97" i="1"/>
  <c r="R105" i="1"/>
  <c r="R113" i="1"/>
  <c r="R121" i="1"/>
  <c r="R129" i="1"/>
  <c r="R137" i="1"/>
  <c r="R145" i="1"/>
  <c r="R153" i="1"/>
  <c r="R161" i="1"/>
  <c r="R169" i="1"/>
  <c r="R178" i="1"/>
  <c r="R187" i="1"/>
  <c r="R196" i="1"/>
  <c r="R205" i="1"/>
  <c r="R214" i="1"/>
  <c r="R224" i="1"/>
  <c r="R233" i="1"/>
  <c r="R242" i="1"/>
  <c r="R251" i="1"/>
  <c r="R260" i="1"/>
  <c r="R270" i="1"/>
  <c r="R281" i="1"/>
  <c r="R291" i="1"/>
  <c r="R302" i="1"/>
  <c r="R313" i="1"/>
  <c r="R323" i="1"/>
  <c r="R334" i="1"/>
  <c r="R345" i="1"/>
  <c r="R355" i="1"/>
  <c r="R366" i="1"/>
  <c r="R377" i="1"/>
  <c r="R387" i="1"/>
  <c r="R398" i="1"/>
  <c r="R409" i="1"/>
  <c r="R419" i="1"/>
  <c r="R430" i="1"/>
  <c r="R441" i="1"/>
  <c r="R451" i="1"/>
  <c r="R465" i="1"/>
  <c r="R478" i="1"/>
  <c r="R491" i="1"/>
  <c r="R509" i="1"/>
  <c r="R524" i="1"/>
  <c r="R542" i="1"/>
  <c r="R563" i="1"/>
  <c r="R584" i="1"/>
  <c r="R605" i="1"/>
  <c r="R627" i="1"/>
  <c r="R648" i="1"/>
  <c r="R669" i="1"/>
  <c r="R691" i="1"/>
  <c r="R712" i="1"/>
  <c r="R733" i="1"/>
  <c r="R755" i="1"/>
  <c r="U11" i="1"/>
  <c r="U49" i="1"/>
  <c r="U93" i="1"/>
  <c r="U136" i="1"/>
  <c r="U177" i="1"/>
  <c r="U234" i="1"/>
  <c r="U318" i="1"/>
  <c r="U422" i="1"/>
  <c r="U578" i="1"/>
  <c r="V2" i="1" l="1" a="1"/>
  <c r="V759" i="1" l="1"/>
  <c r="V751" i="1"/>
  <c r="V743" i="1"/>
  <c r="V735" i="1"/>
  <c r="V727" i="1"/>
  <c r="V719" i="1"/>
  <c r="V711" i="1"/>
  <c r="V703" i="1"/>
  <c r="V695" i="1"/>
  <c r="V687" i="1"/>
  <c r="V679" i="1"/>
  <c r="V671" i="1"/>
  <c r="V663" i="1"/>
  <c r="V655" i="1"/>
  <c r="V647" i="1"/>
  <c r="V639" i="1"/>
  <c r="V631" i="1"/>
  <c r="V623" i="1"/>
  <c r="V615" i="1"/>
  <c r="V607" i="1"/>
  <c r="V599" i="1"/>
  <c r="V591" i="1"/>
  <c r="V583" i="1"/>
  <c r="V575" i="1"/>
  <c r="V567" i="1"/>
  <c r="V559" i="1"/>
  <c r="V551" i="1"/>
  <c r="V543" i="1"/>
  <c r="V535" i="1"/>
  <c r="V527" i="1"/>
  <c r="V519" i="1"/>
  <c r="V511" i="1"/>
  <c r="V503" i="1"/>
  <c r="V495" i="1"/>
  <c r="V487" i="1"/>
  <c r="V479" i="1"/>
  <c r="V471" i="1"/>
  <c r="V463" i="1"/>
  <c r="V455" i="1"/>
  <c r="V447" i="1"/>
  <c r="V439" i="1"/>
  <c r="V431" i="1"/>
  <c r="V423" i="1"/>
  <c r="V415" i="1"/>
  <c r="V407" i="1"/>
  <c r="V399" i="1"/>
  <c r="V391" i="1"/>
  <c r="V383" i="1"/>
  <c r="V375" i="1"/>
  <c r="V367" i="1"/>
  <c r="V359" i="1"/>
  <c r="V351" i="1"/>
  <c r="V343" i="1"/>
  <c r="V335" i="1"/>
  <c r="V327" i="1"/>
  <c r="V319" i="1"/>
  <c r="V311" i="1"/>
  <c r="V303" i="1"/>
  <c r="V295" i="1"/>
  <c r="V287" i="1"/>
  <c r="V279" i="1"/>
  <c r="V271" i="1"/>
  <c r="V263" i="1"/>
  <c r="V255" i="1"/>
  <c r="V247" i="1"/>
  <c r="V239" i="1"/>
  <c r="V231" i="1"/>
  <c r="V223" i="1"/>
  <c r="V215" i="1"/>
  <c r="V207" i="1"/>
  <c r="V199" i="1"/>
  <c r="V191" i="1"/>
  <c r="V183" i="1"/>
  <c r="V175" i="1"/>
  <c r="V167" i="1"/>
  <c r="V159" i="1"/>
  <c r="V151" i="1"/>
  <c r="V143" i="1"/>
  <c r="V135" i="1"/>
  <c r="V127" i="1"/>
  <c r="V119" i="1"/>
  <c r="V111" i="1"/>
  <c r="V103" i="1"/>
  <c r="V758" i="1"/>
  <c r="V750" i="1"/>
  <c r="V742" i="1"/>
  <c r="V734" i="1"/>
  <c r="V726" i="1"/>
  <c r="V718" i="1"/>
  <c r="V710" i="1"/>
  <c r="V702" i="1"/>
  <c r="V694" i="1"/>
  <c r="V686" i="1"/>
  <c r="V678" i="1"/>
  <c r="V670" i="1"/>
  <c r="V662" i="1"/>
  <c r="V654" i="1"/>
  <c r="V646" i="1"/>
  <c r="V638" i="1"/>
  <c r="V630" i="1"/>
  <c r="V622" i="1"/>
  <c r="V614" i="1"/>
  <c r="V606" i="1"/>
  <c r="V598" i="1"/>
  <c r="V590" i="1"/>
  <c r="V582" i="1"/>
  <c r="V574" i="1"/>
  <c r="V566" i="1"/>
  <c r="V558" i="1"/>
  <c r="V550" i="1"/>
  <c r="V542" i="1"/>
  <c r="V534" i="1"/>
  <c r="V526" i="1"/>
  <c r="V518" i="1"/>
  <c r="V510" i="1"/>
  <c r="V502" i="1"/>
  <c r="V494" i="1"/>
  <c r="V486" i="1"/>
  <c r="V478" i="1"/>
  <c r="V470" i="1"/>
  <c r="V462" i="1"/>
  <c r="V454" i="1"/>
  <c r="V446" i="1"/>
  <c r="V438" i="1"/>
  <c r="V430" i="1"/>
  <c r="V422" i="1"/>
  <c r="V414" i="1"/>
  <c r="V406" i="1"/>
  <c r="V398" i="1"/>
  <c r="V390" i="1"/>
  <c r="V382" i="1"/>
  <c r="V374" i="1"/>
  <c r="V366" i="1"/>
  <c r="V358" i="1"/>
  <c r="V350" i="1"/>
  <c r="V342" i="1"/>
  <c r="V334" i="1"/>
  <c r="V326" i="1"/>
  <c r="V318" i="1"/>
  <c r="V310" i="1"/>
  <c r="V302" i="1"/>
  <c r="V294" i="1"/>
  <c r="V286" i="1"/>
  <c r="V278" i="1"/>
  <c r="V270" i="1"/>
  <c r="V262" i="1"/>
  <c r="V254" i="1"/>
  <c r="V246" i="1"/>
  <c r="V238" i="1"/>
  <c r="V230" i="1"/>
  <c r="V222" i="1"/>
  <c r="V214" i="1"/>
  <c r="V206" i="1"/>
  <c r="V198" i="1"/>
  <c r="V190" i="1"/>
  <c r="V182" i="1"/>
  <c r="V174" i="1"/>
  <c r="V166" i="1"/>
  <c r="V158" i="1"/>
  <c r="V150" i="1"/>
  <c r="V142" i="1"/>
  <c r="V134" i="1"/>
  <c r="V126" i="1"/>
  <c r="V118" i="1"/>
  <c r="V110" i="1"/>
  <c r="V102" i="1"/>
  <c r="V94" i="1"/>
  <c r="V86" i="1"/>
  <c r="V757" i="1"/>
  <c r="V749" i="1"/>
  <c r="V741" i="1"/>
  <c r="V733" i="1"/>
  <c r="V725" i="1"/>
  <c r="V717" i="1"/>
  <c r="V709" i="1"/>
  <c r="V701" i="1"/>
  <c r="V693" i="1"/>
  <c r="V685" i="1"/>
  <c r="V677" i="1"/>
  <c r="V669" i="1"/>
  <c r="V661" i="1"/>
  <c r="V653" i="1"/>
  <c r="V645" i="1"/>
  <c r="V637" i="1"/>
  <c r="V629" i="1"/>
  <c r="V621" i="1"/>
  <c r="V613" i="1"/>
  <c r="V605" i="1"/>
  <c r="V597" i="1"/>
  <c r="V589" i="1"/>
  <c r="V581" i="1"/>
  <c r="V573" i="1"/>
  <c r="V565" i="1"/>
  <c r="V557" i="1"/>
  <c r="V549" i="1"/>
  <c r="V541" i="1"/>
  <c r="V533" i="1"/>
  <c r="V525" i="1"/>
  <c r="V517" i="1"/>
  <c r="V509" i="1"/>
  <c r="V501" i="1"/>
  <c r="V493" i="1"/>
  <c r="V485" i="1"/>
  <c r="V477" i="1"/>
  <c r="V469" i="1"/>
  <c r="V461" i="1"/>
  <c r="V453" i="1"/>
  <c r="V445" i="1"/>
  <c r="V437" i="1"/>
  <c r="V429" i="1"/>
  <c r="V421" i="1"/>
  <c r="V413" i="1"/>
  <c r="V405" i="1"/>
  <c r="V397" i="1"/>
  <c r="V389" i="1"/>
  <c r="V381" i="1"/>
  <c r="V373" i="1"/>
  <c r="V365" i="1"/>
  <c r="V357" i="1"/>
  <c r="V349" i="1"/>
  <c r="V341" i="1"/>
  <c r="V333" i="1"/>
  <c r="V325" i="1"/>
  <c r="V317" i="1"/>
  <c r="V309" i="1"/>
  <c r="V301" i="1"/>
  <c r="V293" i="1"/>
  <c r="V285" i="1"/>
  <c r="V277" i="1"/>
  <c r="V269" i="1"/>
  <c r="V261" i="1"/>
  <c r="V253" i="1"/>
  <c r="V245" i="1"/>
  <c r="V237" i="1"/>
  <c r="V229" i="1"/>
  <c r="V221" i="1"/>
  <c r="V213" i="1"/>
  <c r="V205" i="1"/>
  <c r="V197" i="1"/>
  <c r="V189" i="1"/>
  <c r="V181" i="1"/>
  <c r="V173" i="1"/>
  <c r="V165" i="1"/>
  <c r="V157" i="1"/>
  <c r="V149" i="1"/>
  <c r="V141" i="1"/>
  <c r="V133" i="1"/>
  <c r="V125" i="1"/>
  <c r="V117" i="1"/>
  <c r="V109" i="1"/>
  <c r="V101" i="1"/>
  <c r="V93" i="1"/>
  <c r="V756" i="1"/>
  <c r="V748" i="1"/>
  <c r="V740" i="1"/>
  <c r="V732" i="1"/>
  <c r="V724" i="1"/>
  <c r="V716" i="1"/>
  <c r="V708" i="1"/>
  <c r="V700" i="1"/>
  <c r="V692" i="1"/>
  <c r="V684" i="1"/>
  <c r="V676" i="1"/>
  <c r="V668" i="1"/>
  <c r="V660" i="1"/>
  <c r="V652" i="1"/>
  <c r="V644" i="1"/>
  <c r="V636" i="1"/>
  <c r="V628" i="1"/>
  <c r="V620" i="1"/>
  <c r="V612" i="1"/>
  <c r="V604" i="1"/>
  <c r="V596" i="1"/>
  <c r="V588" i="1"/>
  <c r="V580" i="1"/>
  <c r="V572" i="1"/>
  <c r="V564" i="1"/>
  <c r="V556" i="1"/>
  <c r="V548" i="1"/>
  <c r="V540" i="1"/>
  <c r="V532" i="1"/>
  <c r="V524" i="1"/>
  <c r="V516" i="1"/>
  <c r="V508" i="1"/>
  <c r="V500" i="1"/>
  <c r="V492" i="1"/>
  <c r="V484" i="1"/>
  <c r="V476" i="1"/>
  <c r="V468" i="1"/>
  <c r="V460" i="1"/>
  <c r="V452" i="1"/>
  <c r="V444" i="1"/>
  <c r="V436" i="1"/>
  <c r="V428" i="1"/>
  <c r="V420" i="1"/>
  <c r="V412" i="1"/>
  <c r="V404" i="1"/>
  <c r="V396" i="1"/>
  <c r="V388" i="1"/>
  <c r="V380" i="1"/>
  <c r="V372" i="1"/>
  <c r="V364" i="1"/>
  <c r="V356" i="1"/>
  <c r="V348" i="1"/>
  <c r="V340" i="1"/>
  <c r="V332" i="1"/>
  <c r="V324" i="1"/>
  <c r="V316" i="1"/>
  <c r="V308" i="1"/>
  <c r="V300" i="1"/>
  <c r="V292" i="1"/>
  <c r="V284" i="1"/>
  <c r="V276" i="1"/>
  <c r="V268" i="1"/>
  <c r="V260" i="1"/>
  <c r="V252" i="1"/>
  <c r="V244" i="1"/>
  <c r="V236" i="1"/>
  <c r="V228" i="1"/>
  <c r="V220" i="1"/>
  <c r="V212" i="1"/>
  <c r="V204" i="1"/>
  <c r="V196" i="1"/>
  <c r="V188" i="1"/>
  <c r="V180" i="1"/>
  <c r="V172" i="1"/>
  <c r="V164" i="1"/>
  <c r="V156" i="1"/>
  <c r="V148" i="1"/>
  <c r="V140" i="1"/>
  <c r="V132" i="1"/>
  <c r="V124" i="1"/>
  <c r="V116" i="1"/>
  <c r="V108" i="1"/>
  <c r="V100" i="1"/>
  <c r="V92" i="1"/>
  <c r="V84" i="1"/>
  <c r="V755" i="1"/>
  <c r="V747" i="1"/>
  <c r="V739" i="1"/>
  <c r="V731" i="1"/>
  <c r="V723" i="1"/>
  <c r="V715" i="1"/>
  <c r="V707" i="1"/>
  <c r="V699" i="1"/>
  <c r="V691" i="1"/>
  <c r="V683" i="1"/>
  <c r="V675" i="1"/>
  <c r="V667" i="1"/>
  <c r="V659" i="1"/>
  <c r="V651" i="1"/>
  <c r="V643" i="1"/>
  <c r="V635" i="1"/>
  <c r="V627" i="1"/>
  <c r="V619" i="1"/>
  <c r="V611" i="1"/>
  <c r="V603" i="1"/>
  <c r="V595" i="1"/>
  <c r="V587" i="1"/>
  <c r="V579" i="1"/>
  <c r="V571" i="1"/>
  <c r="V563" i="1"/>
  <c r="V555" i="1"/>
  <c r="V547" i="1"/>
  <c r="V539" i="1"/>
  <c r="V531" i="1"/>
  <c r="V523" i="1"/>
  <c r="V515" i="1"/>
  <c r="V507" i="1"/>
  <c r="V499" i="1"/>
  <c r="V491" i="1"/>
  <c r="V483" i="1"/>
  <c r="V475" i="1"/>
  <c r="V467" i="1"/>
  <c r="V459" i="1"/>
  <c r="V451" i="1"/>
  <c r="V443" i="1"/>
  <c r="V435" i="1"/>
  <c r="V427" i="1"/>
  <c r="V419" i="1"/>
  <c r="V411" i="1"/>
  <c r="V403" i="1"/>
  <c r="V395" i="1"/>
  <c r="V387" i="1"/>
  <c r="V379" i="1"/>
  <c r="V371" i="1"/>
  <c r="V363" i="1"/>
  <c r="V355" i="1"/>
  <c r="V347" i="1"/>
  <c r="V339" i="1"/>
  <c r="V331" i="1"/>
  <c r="V323" i="1"/>
  <c r="V315" i="1"/>
  <c r="V307" i="1"/>
  <c r="V299" i="1"/>
  <c r="V291" i="1"/>
  <c r="V283" i="1"/>
  <c r="V275" i="1"/>
  <c r="V267" i="1"/>
  <c r="V259" i="1"/>
  <c r="V251" i="1"/>
  <c r="V243" i="1"/>
  <c r="V235" i="1"/>
  <c r="V227" i="1"/>
  <c r="V219" i="1"/>
  <c r="V211" i="1"/>
  <c r="V203" i="1"/>
  <c r="V195" i="1"/>
  <c r="V187" i="1"/>
  <c r="V179" i="1"/>
  <c r="V171" i="1"/>
  <c r="V163" i="1"/>
  <c r="V155" i="1"/>
  <c r="V147" i="1"/>
  <c r="V139" i="1"/>
  <c r="V131" i="1"/>
  <c r="V754" i="1"/>
  <c r="V746" i="1"/>
  <c r="V738" i="1"/>
  <c r="V730" i="1"/>
  <c r="V722" i="1"/>
  <c r="V714" i="1"/>
  <c r="V706" i="1"/>
  <c r="V698" i="1"/>
  <c r="V690" i="1"/>
  <c r="V682" i="1"/>
  <c r="V674" i="1"/>
  <c r="V666" i="1"/>
  <c r="V658" i="1"/>
  <c r="V650" i="1"/>
  <c r="V642" i="1"/>
  <c r="V634" i="1"/>
  <c r="V626" i="1"/>
  <c r="V618" i="1"/>
  <c r="V610" i="1"/>
  <c r="V602" i="1"/>
  <c r="V594" i="1"/>
  <c r="V586" i="1"/>
  <c r="V578" i="1"/>
  <c r="V570" i="1"/>
  <c r="V562" i="1"/>
  <c r="V554" i="1"/>
  <c r="V546" i="1"/>
  <c r="V538" i="1"/>
  <c r="V530" i="1"/>
  <c r="V522" i="1"/>
  <c r="V514" i="1"/>
  <c r="V506" i="1"/>
  <c r="V498" i="1"/>
  <c r="V490" i="1"/>
  <c r="V482" i="1"/>
  <c r="V474" i="1"/>
  <c r="V466" i="1"/>
  <c r="V458" i="1"/>
  <c r="V450" i="1"/>
  <c r="V442" i="1"/>
  <c r="V434" i="1"/>
  <c r="V426" i="1"/>
  <c r="V418" i="1"/>
  <c r="V410" i="1"/>
  <c r="V402" i="1"/>
  <c r="V394" i="1"/>
  <c r="V386" i="1"/>
  <c r="V378" i="1"/>
  <c r="V370" i="1"/>
  <c r="V362" i="1"/>
  <c r="V354" i="1"/>
  <c r="V346" i="1"/>
  <c r="V338" i="1"/>
  <c r="V330" i="1"/>
  <c r="V322" i="1"/>
  <c r="V314" i="1"/>
  <c r="V306" i="1"/>
  <c r="V298" i="1"/>
  <c r="V290" i="1"/>
  <c r="V282" i="1"/>
  <c r="V274" i="1"/>
  <c r="V266" i="1"/>
  <c r="V258" i="1"/>
  <c r="V250" i="1"/>
  <c r="V242" i="1"/>
  <c r="V761" i="1"/>
  <c r="V753" i="1"/>
  <c r="V745" i="1"/>
  <c r="V737" i="1"/>
  <c r="V729" i="1"/>
  <c r="V721" i="1"/>
  <c r="V713" i="1"/>
  <c r="V705" i="1"/>
  <c r="V697" i="1"/>
  <c r="V689" i="1"/>
  <c r="V681" i="1"/>
  <c r="V673" i="1"/>
  <c r="V665" i="1"/>
  <c r="V657" i="1"/>
  <c r="V649" i="1"/>
  <c r="V641" i="1"/>
  <c r="V633" i="1"/>
  <c r="V625" i="1"/>
  <c r="V617" i="1"/>
  <c r="V609" i="1"/>
  <c r="V601" i="1"/>
  <c r="V593" i="1"/>
  <c r="V585" i="1"/>
  <c r="V577" i="1"/>
  <c r="V569" i="1"/>
  <c r="V561" i="1"/>
  <c r="V553" i="1"/>
  <c r="V545" i="1"/>
  <c r="V537" i="1"/>
  <c r="V529" i="1"/>
  <c r="V521" i="1"/>
  <c r="V513" i="1"/>
  <c r="V505" i="1"/>
  <c r="V497" i="1"/>
  <c r="V489" i="1"/>
  <c r="V481" i="1"/>
  <c r="V473" i="1"/>
  <c r="V465" i="1"/>
  <c r="V457" i="1"/>
  <c r="V449" i="1"/>
  <c r="V441" i="1"/>
  <c r="V433" i="1"/>
  <c r="V425" i="1"/>
  <c r="V417" i="1"/>
  <c r="V409" i="1"/>
  <c r="V401" i="1"/>
  <c r="V393" i="1"/>
  <c r="V385" i="1"/>
  <c r="V377" i="1"/>
  <c r="V369" i="1"/>
  <c r="V361" i="1"/>
  <c r="V353" i="1"/>
  <c r="V345" i="1"/>
  <c r="V337" i="1"/>
  <c r="V329" i="1"/>
  <c r="V321" i="1"/>
  <c r="V313" i="1"/>
  <c r="V305" i="1"/>
  <c r="V297" i="1"/>
  <c r="V289" i="1"/>
  <c r="V281" i="1"/>
  <c r="V273" i="1"/>
  <c r="V265" i="1"/>
  <c r="V257" i="1"/>
  <c r="V249" i="1"/>
  <c r="V241" i="1"/>
  <c r="V233" i="1"/>
  <c r="V225" i="1"/>
  <c r="V217" i="1"/>
  <c r="V209" i="1"/>
  <c r="V201" i="1"/>
  <c r="V193" i="1"/>
  <c r="V185" i="1"/>
  <c r="V177" i="1"/>
  <c r="V169" i="1"/>
  <c r="V161" i="1"/>
  <c r="V153" i="1"/>
  <c r="V145" i="1"/>
  <c r="V137" i="1"/>
  <c r="V129" i="1"/>
  <c r="V121" i="1"/>
  <c r="V760" i="1"/>
  <c r="V752" i="1"/>
  <c r="V744" i="1"/>
  <c r="V736" i="1"/>
  <c r="V728" i="1"/>
  <c r="V720" i="1"/>
  <c r="V712" i="1"/>
  <c r="V704" i="1"/>
  <c r="V696" i="1"/>
  <c r="V688" i="1"/>
  <c r="V680" i="1"/>
  <c r="V672" i="1"/>
  <c r="V664" i="1"/>
  <c r="V656" i="1"/>
  <c r="V648" i="1"/>
  <c r="V640" i="1"/>
  <c r="V632" i="1"/>
  <c r="V624" i="1"/>
  <c r="V616" i="1"/>
  <c r="V608" i="1"/>
  <c r="V600" i="1"/>
  <c r="V592" i="1"/>
  <c r="V584" i="1"/>
  <c r="V576" i="1"/>
  <c r="V568" i="1"/>
  <c r="V560" i="1"/>
  <c r="V552" i="1"/>
  <c r="V544" i="1"/>
  <c r="V536" i="1"/>
  <c r="V528" i="1"/>
  <c r="V520" i="1"/>
  <c r="V512" i="1"/>
  <c r="V504" i="1"/>
  <c r="V496" i="1"/>
  <c r="V488" i="1"/>
  <c r="V480" i="1"/>
  <c r="V472" i="1"/>
  <c r="V464" i="1"/>
  <c r="V456" i="1"/>
  <c r="V448" i="1"/>
  <c r="V440" i="1"/>
  <c r="V432" i="1"/>
  <c r="V424" i="1"/>
  <c r="V416" i="1"/>
  <c r="V408" i="1"/>
  <c r="V400" i="1"/>
  <c r="V392" i="1"/>
  <c r="V384" i="1"/>
  <c r="V376" i="1"/>
  <c r="V368" i="1"/>
  <c r="V360" i="1"/>
  <c r="V352" i="1"/>
  <c r="V344" i="1"/>
  <c r="V336" i="1"/>
  <c r="V328" i="1"/>
  <c r="V320" i="1"/>
  <c r="V312" i="1"/>
  <c r="V304" i="1"/>
  <c r="V296" i="1"/>
  <c r="V288" i="1"/>
  <c r="V280" i="1"/>
  <c r="V272" i="1"/>
  <c r="V264" i="1"/>
  <c r="V256" i="1"/>
  <c r="V248" i="1"/>
  <c r="V240" i="1"/>
  <c r="V232" i="1"/>
  <c r="V224" i="1"/>
  <c r="V216" i="1"/>
  <c r="V208" i="1"/>
  <c r="V200" i="1"/>
  <c r="V192" i="1"/>
  <c r="V184" i="1"/>
  <c r="V176" i="1"/>
  <c r="V168" i="1"/>
  <c r="V160" i="1"/>
  <c r="V218" i="1"/>
  <c r="V154" i="1"/>
  <c r="V123" i="1"/>
  <c r="V106" i="1"/>
  <c r="V91" i="1"/>
  <c r="V81" i="1"/>
  <c r="V73" i="1"/>
  <c r="V65" i="1"/>
  <c r="V57" i="1"/>
  <c r="V49" i="1"/>
  <c r="V41" i="1"/>
  <c r="V33" i="1"/>
  <c r="V25" i="1"/>
  <c r="V17" i="1"/>
  <c r="V9" i="1"/>
  <c r="V210" i="1"/>
  <c r="V152" i="1"/>
  <c r="V122" i="1"/>
  <c r="V105" i="1"/>
  <c r="V90" i="1"/>
  <c r="V80" i="1"/>
  <c r="V72" i="1"/>
  <c r="V64" i="1"/>
  <c r="V56" i="1"/>
  <c r="V48" i="1"/>
  <c r="V40" i="1"/>
  <c r="V32" i="1"/>
  <c r="V24" i="1"/>
  <c r="V16" i="1"/>
  <c r="V8" i="1"/>
  <c r="V202" i="1"/>
  <c r="V146" i="1"/>
  <c r="V120" i="1"/>
  <c r="V104" i="1"/>
  <c r="V89" i="1"/>
  <c r="V79" i="1"/>
  <c r="V71" i="1"/>
  <c r="V63" i="1"/>
  <c r="V55" i="1"/>
  <c r="V47" i="1"/>
  <c r="V39" i="1"/>
  <c r="V31" i="1"/>
  <c r="V23" i="1"/>
  <c r="V15" i="1"/>
  <c r="V7" i="1"/>
  <c r="V194" i="1"/>
  <c r="V144" i="1"/>
  <c r="V115" i="1"/>
  <c r="V99" i="1"/>
  <c r="V88" i="1"/>
  <c r="V78" i="1"/>
  <c r="V70" i="1"/>
  <c r="V62" i="1"/>
  <c r="V54" i="1"/>
  <c r="V46" i="1"/>
  <c r="V38" i="1"/>
  <c r="V30" i="1"/>
  <c r="V22" i="1"/>
  <c r="V14" i="1"/>
  <c r="V6" i="1"/>
  <c r="V186" i="1"/>
  <c r="V138" i="1"/>
  <c r="V114" i="1"/>
  <c r="V98" i="1"/>
  <c r="V87" i="1"/>
  <c r="V77" i="1"/>
  <c r="V69" i="1"/>
  <c r="V61" i="1"/>
  <c r="V53" i="1"/>
  <c r="V45" i="1"/>
  <c r="V37" i="1"/>
  <c r="V29" i="1"/>
  <c r="V21" i="1"/>
  <c r="V13" i="1"/>
  <c r="V5" i="1"/>
  <c r="V178" i="1"/>
  <c r="V136" i="1"/>
  <c r="V113" i="1"/>
  <c r="V97" i="1"/>
  <c r="V85" i="1"/>
  <c r="V76" i="1"/>
  <c r="V68" i="1"/>
  <c r="V60" i="1"/>
  <c r="V52" i="1"/>
  <c r="V44" i="1"/>
  <c r="V36" i="1"/>
  <c r="V28" i="1"/>
  <c r="V20" i="1"/>
  <c r="V12" i="1"/>
  <c r="V4" i="1"/>
  <c r="V226" i="1"/>
  <c r="V162" i="1"/>
  <c r="V128" i="1"/>
  <c r="V107" i="1"/>
  <c r="V95" i="1"/>
  <c r="V82" i="1"/>
  <c r="V74" i="1"/>
  <c r="V66" i="1"/>
  <c r="V58" i="1"/>
  <c r="V50" i="1"/>
  <c r="V42" i="1"/>
  <c r="V34" i="1"/>
  <c r="V26" i="1"/>
  <c r="V18" i="1"/>
  <c r="V10" i="1"/>
  <c r="V2" i="1"/>
  <c r="V112" i="1"/>
  <c r="V35" i="1"/>
  <c r="V96" i="1"/>
  <c r="V27" i="1"/>
  <c r="V75" i="1"/>
  <c r="V11" i="1"/>
  <c r="V67" i="1"/>
  <c r="V3" i="1"/>
  <c r="V234" i="1"/>
  <c r="V59" i="1"/>
  <c r="V51" i="1"/>
  <c r="V19" i="1"/>
  <c r="V170" i="1"/>
  <c r="V43" i="1"/>
  <c r="V130" i="1"/>
  <c r="V8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500776C8-5C94-40CC-B68C-2E9DE3758216}">
      <text>
        <r>
          <rPr>
            <sz val="10"/>
            <color rgb="FF000000"/>
            <rFont val="Arial"/>
            <family val="2"/>
            <scheme val="minor"/>
          </rPr>
          <t>chú ý trong Bom thì license đi kèm ngay với thiết bị ở trước nó</t>
        </r>
      </text>
    </comment>
  </commentList>
</comments>
</file>

<file path=xl/sharedStrings.xml><?xml version="1.0" encoding="utf-8"?>
<sst xmlns="http://schemas.openxmlformats.org/spreadsheetml/2006/main" count="1130" uniqueCount="156">
  <si>
    <t>Line Number</t>
  </si>
  <si>
    <t>Item Name</t>
  </si>
  <si>
    <t>Smart Account Mandatory</t>
  </si>
  <si>
    <t>Description</t>
  </si>
  <si>
    <t>Group Name</t>
  </si>
  <si>
    <t>Service Duration (Months)</t>
  </si>
  <si>
    <t>Estimated Lead Time (Days)</t>
  </si>
  <si>
    <t>Included Item</t>
  </si>
  <si>
    <t>Quantity</t>
  </si>
  <si>
    <t>Pricing Term</t>
  </si>
  <si>
    <t>ListPrice</t>
  </si>
  <si>
    <t>Extended ListPrice</t>
  </si>
  <si>
    <t>Discount %</t>
  </si>
  <si>
    <t>Selling Price</t>
  </si>
  <si>
    <t>Service Type</t>
  </si>
  <si>
    <t>SourceSheet</t>
  </si>
  <si>
    <t>NormItem</t>
  </si>
  <si>
    <t>IsBase</t>
  </si>
  <si>
    <t>BaseModel</t>
  </si>
  <si>
    <t>BlockKey</t>
  </si>
  <si>
    <t>ParentModel</t>
  </si>
  <si>
    <t>C1161X-8P</t>
  </si>
  <si>
    <t>-</t>
  </si>
  <si>
    <t>ISR 1100 8P Dual 8GB GE SFP Higher Perf Router</t>
  </si>
  <si>
    <t>Default</t>
  </si>
  <si>
    <t>N/A</t>
  </si>
  <si>
    <t>No</t>
  </si>
  <si>
    <t>1.0.1</t>
  </si>
  <si>
    <t>CON-L1NBD-PC116186</t>
  </si>
  <si>
    <t>CX LEVEL 1 8X5XNBD ISR 1100 8P Dual 8GB</t>
  </si>
  <si>
    <t>PRIMARYSERVICE</t>
  </si>
  <si>
    <t>PWR-66W-AC-V2</t>
  </si>
  <si>
    <t>Power Supply 66 Watt AC V2 for C890 and C1100 series</t>
  </si>
  <si>
    <t>Yes</t>
  </si>
  <si>
    <t>SL-1K-8P-IPB</t>
  </si>
  <si>
    <t>IP Base License for Cisco ISR 1120 and 1160 8 Ports Series</t>
  </si>
  <si>
    <t>CAB-ACE</t>
  </si>
  <si>
    <t>AC Power Cord (Europe), C13, CEE 7, 1.5M</t>
  </si>
  <si>
    <t>GREEN-OPTION</t>
  </si>
  <si>
    <t>Eco-friendly - Ship router with only Power cables only</t>
  </si>
  <si>
    <t>SISR1100UK9-1712</t>
  </si>
  <si>
    <t>Cisco ISR1100 Series IOS XE - UNIVERSAL</t>
  </si>
  <si>
    <t>SubTotal</t>
  </si>
  <si>
    <t>License cho C1161X-8P</t>
  </si>
  <si>
    <t>L-DNA-TIER-ADD</t>
  </si>
  <si>
    <t>Cisco DNA Subscription License for Routing and SD-WAN</t>
  </si>
  <si>
    <t>DNA-P-T1-A-3Y</t>
  </si>
  <si>
    <t>Cisco DNA Advantage On-Prem Lic 3Y - upto 250M (Aggr, 500M)</t>
  </si>
  <si>
    <t>SVS-PSTL1-T1-A3Y</t>
  </si>
  <si>
    <t>Cisco Support Standard - DNA Advantage OnPrem Lic, T1, 3Y</t>
  </si>
  <si>
    <t>DSTACK-T1-A</t>
  </si>
  <si>
    <t>Cisco DNA Advantage Stack - upto 250M (Aggr, 500M)</t>
  </si>
  <si>
    <t>SDWAN-UMB-ADV</t>
  </si>
  <si>
    <t>Cisco Umbrella for DNA Advantage</t>
  </si>
  <si>
    <t>TE-EMBED-WANI</t>
  </si>
  <si>
    <t>Cisco ThousandEyes WAN Insights Embedded</t>
  </si>
  <si>
    <t>C1100-8P-DNA-PF</t>
  </si>
  <si>
    <t>ISR1100 8-Port Platform Selection for DNA</t>
  </si>
  <si>
    <t>FL-1100-8P-HSEC-L</t>
  </si>
  <si>
    <t>IPSEC HSEC License for Cisco ISR 1100 8P Series</t>
  </si>
  <si>
    <t>SL-1100-8P-NA-A-L</t>
  </si>
  <si>
    <t>Cisco ISR1100 8 Port Network Stack Advantage Lic</t>
  </si>
  <si>
    <t>DNA-HSEC-UPGD</t>
  </si>
  <si>
    <t>U.S. Export Restriction Compliance license for all ISRs</t>
  </si>
  <si>
    <t>IOSXE-CTRL-MODE-PF</t>
  </si>
  <si>
    <t>IOS XE SD-WAN boot up mode for Unified image -Deployment Opt</t>
  </si>
  <si>
    <t>SDWAN-ONPREM-PF</t>
  </si>
  <si>
    <t>Cisco SDWAN On Prem Deployment Option</t>
  </si>
  <si>
    <t>C1127-8PLTEP</t>
  </si>
  <si>
    <t>ISR 1100 8P xDSL GE SFP Router Pluggable SMS/GPS</t>
  </si>
  <si>
    <t>3.0.1</t>
  </si>
  <si>
    <t>CON-L1NBD-C8178PL2</t>
  </si>
  <si>
    <t>CX LEVEL 1 8X5XNBD ISR 1100 8P xDSL GE</t>
  </si>
  <si>
    <t>P-BLANK</t>
  </si>
  <si>
    <t>Blank Pluggable</t>
  </si>
  <si>
    <t>FW-VA-1117-39T</t>
  </si>
  <si>
    <t>1117 (A&amp;M) VDSL2/ADSL2+ Firmware for Multimode DSL products</t>
  </si>
  <si>
    <t>License cho C1127-8PLTEP</t>
  </si>
  <si>
    <t>ISR1100-4GLTE-PF</t>
  </si>
  <si>
    <t>ISR1100 4GLTE Series Platform Selection for DNA</t>
  </si>
  <si>
    <t>C1117-4P</t>
  </si>
  <si>
    <t>ISR 1100 4 Ports DSL Annex A/M and GE WAN Router</t>
  </si>
  <si>
    <t>5.0.1</t>
  </si>
  <si>
    <t>CON-L1NBD-C11174P1</t>
  </si>
  <si>
    <t>CX LEVEL 1 8X5XNBD ISR 1100 4 Ports DSL</t>
  </si>
  <si>
    <t>SL-1100-4P-IPB</t>
  </si>
  <si>
    <t>IP Base License for Cisco ISR 1100 4P Series</t>
  </si>
  <si>
    <t>License cho C1117-4P</t>
  </si>
  <si>
    <t>C1100-4P-DNA-PF</t>
  </si>
  <si>
    <t>ISR1100 4-Port Platform Selection for DNA</t>
  </si>
  <si>
    <t>FL-1100-4P-HSEC-L</t>
  </si>
  <si>
    <t>IPSEC HSEC License for Cisco ISR 1100 4P Series</t>
  </si>
  <si>
    <t>SL-1100-4P-NA-A-L</t>
  </si>
  <si>
    <t>Cisco ISR1100 4 Port Network Stack Advantage Lic</t>
  </si>
  <si>
    <t>C1109-4PLTE2P</t>
  </si>
  <si>
    <t>ISR 1109 M2M 4P GE Ethernet, LTE Adv and DUAL Pluggables</t>
  </si>
  <si>
    <t>7.0.1</t>
  </si>
  <si>
    <t>CON-L1NBD-C11094P2</t>
  </si>
  <si>
    <t>CX LEVEL 1 8X5XNBD ISR 1109 M2M 4P GE E</t>
  </si>
  <si>
    <t>PWR-30W-I-AC</t>
  </si>
  <si>
    <t>1109 M2M Power Supply iTemp 30 Watt AC</t>
  </si>
  <si>
    <t>SISR1100UK9-1715</t>
  </si>
  <si>
    <t>Cisco C11xx Series IOS XE Universal</t>
  </si>
  <si>
    <t>License cho C1109-4PLTE2P</t>
  </si>
  <si>
    <t>C1161-8P</t>
  </si>
  <si>
    <t>ISR 1100 8P Dual GE SFP Higher Perf Router</t>
  </si>
  <si>
    <t>9.0.1</t>
  </si>
  <si>
    <t>CON-L1NCD-C1618PC1</t>
  </si>
  <si>
    <t>CX LEVEL 1 8X7NCDISR 1100 8P Dual GE</t>
  </si>
  <si>
    <t>License cho C1161-8P</t>
  </si>
  <si>
    <t>C1131-8PWS</t>
  </si>
  <si>
    <t>ISR 1100 8P Dual GE SFP Router Pluggable SMS/GPS - S Wifi</t>
  </si>
  <si>
    <t>11.0.1</t>
  </si>
  <si>
    <t>CON-L1NBD-C1138PWS</t>
  </si>
  <si>
    <t>CX LEVEL 1 8X5XNBD ISR 1100 8P Dual GE SFP Router Pluggable</t>
  </si>
  <si>
    <t>SW9105AX-EWCEX-K9</t>
  </si>
  <si>
    <t>Embedded Wireless Controller software for C1130/C1130X</t>
  </si>
  <si>
    <t>License cho C1131-8PWS</t>
  </si>
  <si>
    <t>C1131X-8PWS</t>
  </si>
  <si>
    <t>ISR 1100X 8P Dual GE SFP Router Pluggable SMS/GPS - S Wifi</t>
  </si>
  <si>
    <t>13.0.1</t>
  </si>
  <si>
    <t>CON-L1NBD-C113XPWS</t>
  </si>
  <si>
    <t>CX LEVEL 1 8X5XNBD ISR 1100X 8P Dual GE SFP Router Pluggabl</t>
  </si>
  <si>
    <t>License cho C1131X-8PWS</t>
  </si>
  <si>
    <t>C1121-4P</t>
  </si>
  <si>
    <t>ISR 1100 4P Dual GE SFP Router</t>
  </si>
  <si>
    <t>15.0.1</t>
  </si>
  <si>
    <t>CON-L1NBD-C11214PK</t>
  </si>
  <si>
    <t>CX LEVEL 1 8X5XNBD ISR 1100 4P Dual GE</t>
  </si>
  <si>
    <t>SL-1K-4P-IPB</t>
  </si>
  <si>
    <t>IP Base License for Cisco ISR 1120 4P Series</t>
  </si>
  <si>
    <t>License cho C1121-4P</t>
  </si>
  <si>
    <t>C1121-8P</t>
  </si>
  <si>
    <t>ISR 1100 8P Dual GE SFP Router</t>
  </si>
  <si>
    <t>17.0.1</t>
  </si>
  <si>
    <t>CON-L1NBD-C11218P2</t>
  </si>
  <si>
    <t>CX LEVEL 1 8X5XNBD ISR 1100 8P Dual GE</t>
  </si>
  <si>
    <t>License cho C1121-8P</t>
  </si>
  <si>
    <t>C1116-4P</t>
  </si>
  <si>
    <t>ISR 1100 4 Ports DSL Annex B/J and GE WAN Router</t>
  </si>
  <si>
    <t>19.0.1</t>
  </si>
  <si>
    <t>CON-L1NBD-C1114P6</t>
  </si>
  <si>
    <t>FW-VA-1116-39G1</t>
  </si>
  <si>
    <t>1116 Series VDSL2/ADSL2+ Firmware for Multimode DSL products</t>
  </si>
  <si>
    <t>License cho C1116-4P</t>
  </si>
  <si>
    <t>C1112-8P</t>
  </si>
  <si>
    <t>ISR 1100 G.FAST with GE SFP Ethernet Router</t>
  </si>
  <si>
    <t>21.0.1</t>
  </si>
  <si>
    <t>CON-L1NBD-C11128PK</t>
  </si>
  <si>
    <t>CX LEVEL 1 8X5XNBD ISR 1100 GFAST with</t>
  </si>
  <si>
    <t>FW-GFAST-1112-43J</t>
  </si>
  <si>
    <t>1112 Series GFAST Firmware for Multimode DSL products</t>
  </si>
  <si>
    <t>SL-1100-8P-IPB</t>
  </si>
  <si>
    <t>IP Base License for Cisco ISR 1100 8 Ports Series</t>
  </si>
  <si>
    <t>License cho C1112-8P</t>
  </si>
  <si>
    <t>Estimate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</si>
</sst>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family val="2"/>
      <scheme val="minor"/>
    </font>
    <font>
      <b/>
      <sz val="9"/>
      <color theme="1"/>
      <name val="Helvetica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Helvetica"/>
    </font>
    <font>
      <sz val="10"/>
      <color theme="1"/>
      <name val="Arial"/>
      <family val="2"/>
      <scheme val="minor"/>
    </font>
    <font>
      <b/>
      <sz val="9"/>
      <color rgb="FF0000FF"/>
      <name val="Helvetica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0C0C0"/>
      </right>
      <top/>
      <bottom style="thin">
        <color rgb="FF000000"/>
      </bottom>
      <diagonal/>
    </border>
    <border>
      <left style="thin">
        <color rgb="FFC0C0C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2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2" fillId="0" borderId="2" xfId="0" applyFont="1" applyBorder="1"/>
    <xf numFmtId="4" fontId="4" fillId="0" borderId="2" xfId="0" applyNumberFormat="1" applyFont="1" applyBorder="1" applyAlignment="1">
      <alignment horizontal="right"/>
    </xf>
    <xf numFmtId="0" fontId="5" fillId="0" borderId="0" xfId="0" applyFont="1"/>
    <xf numFmtId="0" fontId="2" fillId="0" borderId="0" xfId="0" applyFont="1" applyAlignment="1">
      <alignment horizontal="right"/>
    </xf>
    <xf numFmtId="0" fontId="2" fillId="0" borderId="3" xfId="0" applyFont="1" applyBorder="1"/>
    <xf numFmtId="0" fontId="6" fillId="0" borderId="4" xfId="0" applyFont="1" applyBorder="1" applyAlignment="1">
      <alignment horizontal="right"/>
    </xf>
    <xf numFmtId="4" fontId="6" fillId="0" borderId="4" xfId="0" applyNumberFormat="1" applyFont="1" applyBorder="1" applyAlignment="1">
      <alignment horizontal="right"/>
    </xf>
    <xf numFmtId="0" fontId="2" fillId="0" borderId="4" xfId="0" applyFont="1" applyBorder="1"/>
    <xf numFmtId="0" fontId="2" fillId="0" borderId="5" xfId="0" applyFont="1" applyBorder="1"/>
    <xf numFmtId="0" fontId="1" fillId="0" borderId="6" xfId="0" applyFont="1" applyBorder="1"/>
    <xf numFmtId="0" fontId="7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1BF5-E61F-4A79-B4C1-90DC64C7B1A0}">
  <sheetPr>
    <outlinePr summaryBelow="0" summaryRight="0"/>
  </sheetPr>
  <dimension ref="A1:W761"/>
  <sheetViews>
    <sheetView tabSelected="1" workbookViewId="0"/>
  </sheetViews>
  <sheetFormatPr defaultColWidth="12.6328125" defaultRowHeight="15.75" customHeight="1" x14ac:dyDescent="0.25"/>
  <sheetData>
    <row r="1" spans="1:23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3" t="s">
        <v>15</v>
      </c>
      <c r="S1" s="3" t="s">
        <v>16</v>
      </c>
      <c r="T1" s="2" t="s">
        <v>17</v>
      </c>
      <c r="U1" s="2" t="s">
        <v>18</v>
      </c>
      <c r="V1" s="2" t="s">
        <v>19</v>
      </c>
      <c r="W1" s="2" t="s">
        <v>20</v>
      </c>
    </row>
    <row r="2" spans="1:23" ht="15.75" customHeight="1" x14ac:dyDescent="0.25">
      <c r="A2" s="4">
        <v>1</v>
      </c>
      <c r="B2" s="4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>
        <v>84</v>
      </c>
      <c r="H2" s="5" t="s">
        <v>26</v>
      </c>
      <c r="I2" s="6">
        <v>1</v>
      </c>
      <c r="J2" s="7"/>
      <c r="K2" s="8">
        <v>3055.44</v>
      </c>
      <c r="L2" s="8">
        <v>3055.44</v>
      </c>
      <c r="M2" s="6">
        <v>0</v>
      </c>
      <c r="N2" s="8">
        <v>3055.44</v>
      </c>
      <c r="O2" s="7"/>
      <c r="P2" s="2"/>
      <c r="Q2" s="2"/>
      <c r="R2" s="2" t="str">
        <f t="array" ref="R2:R761">IF(B2:B761="","","ISR1000")</f>
        <v>ISR1000</v>
      </c>
      <c r="S2" s="2" t="str">
        <f ca="1">IFERROR(__xludf.DUMMYFUNCTION("ARRAYFORMULA(IF(B2:B761="""","""",UPPER(TRIM(REGEXREPLACE(B2:B761,""\s+"","""")))))"),"C1161X-8P")</f>
        <v>C1161X-8P</v>
      </c>
      <c r="T2" s="10">
        <f ca="1">IFERROR(__xludf.DUMMYFUNCTION("ARRAYFORMULA(IF(B2:B761="""","""",--REGEXMATCH(TO_TEXT(A2:A761),""^\d+$"")))"),1)</f>
        <v>1</v>
      </c>
      <c r="U2" s="2" t="e">
        <f t="array" aca="1" ref="U2:U761" ca="1">SCAN("",S2:S761,LAMBDA(last,current,IF(current="","",IF(INDEX(T2:T761,ROW(current)-ROW(S2)+1)=1,current,last))))</f>
        <v>#NAME?</v>
      </c>
      <c r="V2" s="2" t="e">
        <f t="array" aca="1" ref="V2:V761" ca="1">IF(U2:U761="","",R2:R761&amp;"|"&amp;U2:U761)</f>
        <v>#NAME?</v>
      </c>
      <c r="W2" s="2" t="str">
        <f ca="1">IFERROR(__xludf.DUMMYFUNCTION("ARRAYFORMULA(
IF(B2:B761="""","""",
SCAN("""",ROW(A2:A761),
LAMBDA(parent,r,
LET(
ln,TO_TEXT(INDEX(A:A,r)),
item,INDEX(S:S,r),
desc,TO_TEXT(INDEX(C:C,r)),
marker,IFERROR(UPPER(TRIM(REGEXEXTRACT(desc,""(?i)license\s*(?:cho|for)?\s*([A-Z0-9][A-Z0-9\-+=]+)"""&amp;"))),""""),
IF(marker&lt;&gt;"""",
marker,
IF(
AND(REGEXMATCH(ln,""^\d+(\.0)?$""),item&lt;&gt;""L-DNA-TIER-ADD""),
item,
parent
)
)
)
))
)
)"),"C1161X-8P")</f>
        <v>C1161X-8P</v>
      </c>
    </row>
    <row r="3" spans="1:23" ht="15.75" customHeight="1" x14ac:dyDescent="0.25">
      <c r="A3" s="6" t="s">
        <v>27</v>
      </c>
      <c r="B3" s="5" t="s">
        <v>28</v>
      </c>
      <c r="C3" s="5" t="s">
        <v>22</v>
      </c>
      <c r="D3" s="5" t="s">
        <v>29</v>
      </c>
      <c r="E3" s="7"/>
      <c r="F3" s="5">
        <v>24</v>
      </c>
      <c r="G3" s="5" t="s">
        <v>25</v>
      </c>
      <c r="H3" s="5" t="s">
        <v>26</v>
      </c>
      <c r="I3" s="6">
        <v>1</v>
      </c>
      <c r="J3" s="7"/>
      <c r="K3" s="8">
        <v>756.26</v>
      </c>
      <c r="L3" s="8">
        <v>756.26</v>
      </c>
      <c r="M3" s="6">
        <v>0</v>
      </c>
      <c r="N3" s="8">
        <v>756.26</v>
      </c>
      <c r="O3" s="5" t="s">
        <v>30</v>
      </c>
      <c r="P3" s="2"/>
      <c r="Q3" s="2"/>
      <c r="R3" s="2" t="str">
        <v>ISR1000</v>
      </c>
      <c r="S3" s="2" t="str">
        <f ca="1">IFERROR(__xludf.DUMMYFUNCTION("""COMPUTED_VALUE"""),"CON-L1NBD-PC116186")</f>
        <v>CON-L1NBD-PC116186</v>
      </c>
      <c r="T3" s="10">
        <f ca="1">IFERROR(__xludf.DUMMYFUNCTION("""COMPUTED_VALUE"""),0)</f>
        <v>0</v>
      </c>
      <c r="U3" s="2" t="e">
        <f ca="1"/>
        <v>#NAME?</v>
      </c>
      <c r="V3" s="2" t="e">
        <f ca="1"/>
        <v>#NAME?</v>
      </c>
      <c r="W3" s="2" t="str">
        <f ca="1">IFERROR(__xludf.DUMMYFUNCTION("""COMPUTED_VALUE"""),"C1161X-8P")</f>
        <v>C1161X-8P</v>
      </c>
    </row>
    <row r="4" spans="1:23" ht="15.75" customHeight="1" x14ac:dyDescent="0.25">
      <c r="A4" s="6">
        <v>1.1000000000000001</v>
      </c>
      <c r="B4" s="5" t="s">
        <v>31</v>
      </c>
      <c r="C4" s="5" t="s">
        <v>22</v>
      </c>
      <c r="D4" s="5" t="s">
        <v>32</v>
      </c>
      <c r="E4" s="7"/>
      <c r="F4" s="5" t="s">
        <v>25</v>
      </c>
      <c r="G4" s="5">
        <v>42</v>
      </c>
      <c r="H4" s="5" t="s">
        <v>33</v>
      </c>
      <c r="I4" s="6">
        <v>1</v>
      </c>
      <c r="J4" s="7"/>
      <c r="K4" s="6">
        <v>0</v>
      </c>
      <c r="L4" s="6">
        <v>0</v>
      </c>
      <c r="M4" s="6">
        <v>0</v>
      </c>
      <c r="N4" s="6">
        <v>0</v>
      </c>
      <c r="O4" s="7"/>
      <c r="P4" s="2"/>
      <c r="Q4" s="2"/>
      <c r="R4" s="2" t="str">
        <v>ISR1000</v>
      </c>
      <c r="S4" s="2" t="str">
        <f ca="1">IFERROR(__xludf.DUMMYFUNCTION("""COMPUTED_VALUE"""),"PWR-66W-AC-V2")</f>
        <v>PWR-66W-AC-V2</v>
      </c>
      <c r="T4" s="10">
        <f ca="1">IFERROR(__xludf.DUMMYFUNCTION("""COMPUTED_VALUE"""),0)</f>
        <v>0</v>
      </c>
      <c r="U4" s="2" t="e">
        <f ca="1"/>
        <v>#NAME?</v>
      </c>
      <c r="V4" s="2" t="e">
        <f ca="1"/>
        <v>#NAME?</v>
      </c>
      <c r="W4" s="2" t="str">
        <f ca="1">IFERROR(__xludf.DUMMYFUNCTION("""COMPUTED_VALUE"""),"C1161X-8P")</f>
        <v>C1161X-8P</v>
      </c>
    </row>
    <row r="5" spans="1:23" ht="15.75" customHeight="1" x14ac:dyDescent="0.25">
      <c r="A5" s="6">
        <v>1.2</v>
      </c>
      <c r="B5" s="5" t="s">
        <v>34</v>
      </c>
      <c r="C5" s="5" t="s">
        <v>22</v>
      </c>
      <c r="D5" s="5" t="s">
        <v>35</v>
      </c>
      <c r="E5" s="7"/>
      <c r="F5" s="5" t="s">
        <v>25</v>
      </c>
      <c r="G5" s="5">
        <v>28</v>
      </c>
      <c r="H5" s="5" t="s">
        <v>33</v>
      </c>
      <c r="I5" s="6">
        <v>1</v>
      </c>
      <c r="J5" s="7"/>
      <c r="K5" s="6">
        <v>0</v>
      </c>
      <c r="L5" s="6">
        <v>0</v>
      </c>
      <c r="M5" s="6">
        <v>0</v>
      </c>
      <c r="N5" s="6">
        <v>0</v>
      </c>
      <c r="O5" s="7"/>
      <c r="P5" s="2"/>
      <c r="Q5" s="2"/>
      <c r="R5" s="2" t="str">
        <v>ISR1000</v>
      </c>
      <c r="S5" s="2" t="str">
        <f ca="1">IFERROR(__xludf.DUMMYFUNCTION("""COMPUTED_VALUE"""),"SL-1K-8P-IPB")</f>
        <v>SL-1K-8P-IPB</v>
      </c>
      <c r="T5" s="10">
        <f ca="1">IFERROR(__xludf.DUMMYFUNCTION("""COMPUTED_VALUE"""),0)</f>
        <v>0</v>
      </c>
      <c r="U5" s="2" t="e">
        <f ca="1"/>
        <v>#NAME?</v>
      </c>
      <c r="V5" s="2" t="e">
        <f ca="1"/>
        <v>#NAME?</v>
      </c>
      <c r="W5" s="2" t="str">
        <f ca="1">IFERROR(__xludf.DUMMYFUNCTION("""COMPUTED_VALUE"""),"C1161X-8P")</f>
        <v>C1161X-8P</v>
      </c>
    </row>
    <row r="6" spans="1:23" ht="15.75" customHeight="1" x14ac:dyDescent="0.25">
      <c r="A6" s="6">
        <v>1.3</v>
      </c>
      <c r="B6" s="5" t="s">
        <v>36</v>
      </c>
      <c r="C6" s="5" t="s">
        <v>22</v>
      </c>
      <c r="D6" s="5" t="s">
        <v>37</v>
      </c>
      <c r="E6" s="7"/>
      <c r="F6" s="5" t="s">
        <v>25</v>
      </c>
      <c r="G6" s="5">
        <v>14</v>
      </c>
      <c r="H6" s="5" t="s">
        <v>26</v>
      </c>
      <c r="I6" s="6">
        <v>1</v>
      </c>
      <c r="J6" s="7"/>
      <c r="K6" s="6">
        <v>0</v>
      </c>
      <c r="L6" s="6">
        <v>0</v>
      </c>
      <c r="M6" s="6">
        <v>0</v>
      </c>
      <c r="N6" s="6">
        <v>0</v>
      </c>
      <c r="O6" s="7"/>
      <c r="P6" s="2"/>
      <c r="Q6" s="2"/>
      <c r="R6" s="2" t="str">
        <v>ISR1000</v>
      </c>
      <c r="S6" s="2" t="str">
        <f ca="1">IFERROR(__xludf.DUMMYFUNCTION("""COMPUTED_VALUE"""),"CAB-ACE")</f>
        <v>CAB-ACE</v>
      </c>
      <c r="T6" s="10">
        <f ca="1">IFERROR(__xludf.DUMMYFUNCTION("""COMPUTED_VALUE"""),0)</f>
        <v>0</v>
      </c>
      <c r="U6" s="2" t="e">
        <f ca="1"/>
        <v>#NAME?</v>
      </c>
      <c r="V6" s="2" t="e">
        <f ca="1"/>
        <v>#NAME?</v>
      </c>
      <c r="W6" s="2" t="str">
        <f ca="1">IFERROR(__xludf.DUMMYFUNCTION("""COMPUTED_VALUE"""),"C1161X-8P")</f>
        <v>C1161X-8P</v>
      </c>
    </row>
    <row r="7" spans="1:23" ht="15.75" customHeight="1" x14ac:dyDescent="0.25">
      <c r="A7" s="6">
        <v>1.4</v>
      </c>
      <c r="B7" s="5" t="s">
        <v>38</v>
      </c>
      <c r="C7" s="5" t="s">
        <v>22</v>
      </c>
      <c r="D7" s="5" t="s">
        <v>39</v>
      </c>
      <c r="E7" s="7"/>
      <c r="F7" s="5" t="s">
        <v>25</v>
      </c>
      <c r="G7" s="5">
        <v>14</v>
      </c>
      <c r="H7" s="5" t="s">
        <v>26</v>
      </c>
      <c r="I7" s="6">
        <v>1</v>
      </c>
      <c r="J7" s="7"/>
      <c r="K7" s="6">
        <v>0</v>
      </c>
      <c r="L7" s="6">
        <v>0</v>
      </c>
      <c r="M7" s="6">
        <v>0</v>
      </c>
      <c r="N7" s="6">
        <v>0</v>
      </c>
      <c r="O7" s="7"/>
      <c r="P7" s="2"/>
      <c r="Q7" s="2"/>
      <c r="R7" s="2" t="str">
        <v>ISR1000</v>
      </c>
      <c r="S7" s="2" t="str">
        <f ca="1">IFERROR(__xludf.DUMMYFUNCTION("""COMPUTED_VALUE"""),"GREEN-OPTION")</f>
        <v>GREEN-OPTION</v>
      </c>
      <c r="T7" s="10">
        <f ca="1">IFERROR(__xludf.DUMMYFUNCTION("""COMPUTED_VALUE"""),0)</f>
        <v>0</v>
      </c>
      <c r="U7" s="2" t="e">
        <f ca="1"/>
        <v>#NAME?</v>
      </c>
      <c r="V7" s="2" t="e">
        <f ca="1"/>
        <v>#NAME?</v>
      </c>
      <c r="W7" s="2" t="str">
        <f ca="1">IFERROR(__xludf.DUMMYFUNCTION("""COMPUTED_VALUE"""),"C1161X-8P")</f>
        <v>C1161X-8P</v>
      </c>
    </row>
    <row r="8" spans="1:23" ht="15.75" customHeight="1" x14ac:dyDescent="0.25">
      <c r="A8" s="6">
        <v>1.5</v>
      </c>
      <c r="B8" s="5" t="s">
        <v>40</v>
      </c>
      <c r="C8" s="5" t="s">
        <v>22</v>
      </c>
      <c r="D8" s="5" t="s">
        <v>41</v>
      </c>
      <c r="E8" s="7"/>
      <c r="F8" s="5" t="s">
        <v>25</v>
      </c>
      <c r="G8" s="5">
        <v>28</v>
      </c>
      <c r="H8" s="5" t="s">
        <v>26</v>
      </c>
      <c r="I8" s="6">
        <v>1</v>
      </c>
      <c r="J8" s="7"/>
      <c r="K8" s="6">
        <v>0</v>
      </c>
      <c r="L8" s="6">
        <v>0</v>
      </c>
      <c r="M8" s="6">
        <v>0</v>
      </c>
      <c r="N8" s="6">
        <v>0</v>
      </c>
      <c r="O8" s="7"/>
      <c r="P8" s="2"/>
      <c r="Q8" s="2"/>
      <c r="R8" s="2" t="str">
        <v>ISR1000</v>
      </c>
      <c r="S8" s="2" t="str">
        <f ca="1">IFERROR(__xludf.DUMMYFUNCTION("""COMPUTED_VALUE"""),"SISR1100UK9-1712")</f>
        <v>SISR1100UK9-1712</v>
      </c>
      <c r="T8" s="10">
        <f ca="1">IFERROR(__xludf.DUMMYFUNCTION("""COMPUTED_VALUE"""),0)</f>
        <v>0</v>
      </c>
      <c r="U8" s="2" t="e">
        <f ca="1"/>
        <v>#NAME?</v>
      </c>
      <c r="V8" s="2" t="e">
        <f ca="1"/>
        <v>#NAME?</v>
      </c>
      <c r="W8" s="2" t="str">
        <f ca="1">IFERROR(__xludf.DUMMYFUNCTION("""COMPUTED_VALUE"""),"C1161X-8P")</f>
        <v>C1161X-8P</v>
      </c>
    </row>
    <row r="9" spans="1:23" ht="15.75" customHeight="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 t="s">
        <v>42</v>
      </c>
      <c r="N9" s="13">
        <v>3811.7</v>
      </c>
      <c r="O9" s="14"/>
      <c r="P9" s="2"/>
      <c r="Q9" s="2"/>
      <c r="R9" s="2" t="str">
        <v/>
      </c>
      <c r="S9" s="2" t="str">
        <f ca="1">IFERROR(__xludf.DUMMYFUNCTION("""COMPUTED_VALUE"""),"")</f>
        <v/>
      </c>
      <c r="T9" s="2" t="str">
        <f ca="1">IFERROR(__xludf.DUMMYFUNCTION("""COMPUTED_VALUE"""),"")</f>
        <v/>
      </c>
      <c r="U9" s="2" t="e">
        <f ca="1"/>
        <v>#NAME?</v>
      </c>
      <c r="V9" s="2" t="e">
        <f ca="1"/>
        <v>#NAME?</v>
      </c>
      <c r="W9" s="2" t="str">
        <f ca="1">IFERROR(__xludf.DUMMYFUNCTION("""COMPUTED_VALUE"""),"")</f>
        <v/>
      </c>
    </row>
    <row r="10" spans="1:23" ht="15.75" customHeight="1" x14ac:dyDescent="0.25">
      <c r="A10" s="15"/>
      <c r="B10" s="15"/>
      <c r="C10" s="16" t="s">
        <v>43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2" t="str">
        <v/>
      </c>
      <c r="S10" s="2" t="str">
        <f ca="1">IFERROR(__xludf.DUMMYFUNCTION("""COMPUTED_VALUE"""),"")</f>
        <v/>
      </c>
      <c r="T10" s="2" t="str">
        <f ca="1">IFERROR(__xludf.DUMMYFUNCTION("""COMPUTED_VALUE"""),"")</f>
        <v/>
      </c>
      <c r="U10" s="2" t="e">
        <f ca="1"/>
        <v>#NAME?</v>
      </c>
      <c r="V10" s="2" t="e">
        <f ca="1"/>
        <v>#NAME?</v>
      </c>
      <c r="W10" s="2" t="str">
        <f ca="1">IFERROR(__xludf.DUMMYFUNCTION("""COMPUTED_VALUE"""),"")</f>
        <v/>
      </c>
    </row>
    <row r="11" spans="1:23" ht="15.75" customHeight="1" x14ac:dyDescent="0.25">
      <c r="A11" s="4">
        <v>2</v>
      </c>
      <c r="B11" s="4" t="s">
        <v>44</v>
      </c>
      <c r="C11" s="5" t="s">
        <v>33</v>
      </c>
      <c r="D11" s="5" t="s">
        <v>45</v>
      </c>
      <c r="E11" s="5" t="s">
        <v>24</v>
      </c>
      <c r="F11" s="5" t="s">
        <v>25</v>
      </c>
      <c r="G11" s="5">
        <v>4</v>
      </c>
      <c r="H11" s="5" t="s">
        <v>26</v>
      </c>
      <c r="I11" s="6">
        <v>1</v>
      </c>
      <c r="J11" s="7"/>
      <c r="K11" s="6">
        <v>0</v>
      </c>
      <c r="L11" s="6">
        <v>0</v>
      </c>
      <c r="M11" s="6">
        <v>0</v>
      </c>
      <c r="N11" s="6">
        <v>0</v>
      </c>
      <c r="O11" s="7"/>
      <c r="P11" s="2"/>
      <c r="Q11" s="2"/>
      <c r="R11" s="2" t="str">
        <v>ISR1000</v>
      </c>
      <c r="S11" s="2" t="str">
        <f ca="1">IFERROR(__xludf.DUMMYFUNCTION("""COMPUTED_VALUE"""),"L-DNA-TIER-ADD")</f>
        <v>L-DNA-TIER-ADD</v>
      </c>
      <c r="T11" s="10">
        <f ca="1">IFERROR(__xludf.DUMMYFUNCTION("""COMPUTED_VALUE"""),1)</f>
        <v>1</v>
      </c>
      <c r="U11" s="2" t="e">
        <f ca="1"/>
        <v>#NAME?</v>
      </c>
      <c r="V11" s="2" t="e">
        <f ca="1"/>
        <v>#NAME?</v>
      </c>
      <c r="W11" s="2" t="str">
        <f ca="1">IFERROR(__xludf.DUMMYFUNCTION("""COMPUTED_VALUE"""),"C1161X-8P")</f>
        <v>C1161X-8P</v>
      </c>
    </row>
    <row r="12" spans="1:23" ht="15.75" customHeight="1" x14ac:dyDescent="0.25">
      <c r="A12" s="6">
        <v>2.1</v>
      </c>
      <c r="B12" s="5" t="s">
        <v>46</v>
      </c>
      <c r="C12" s="5" t="s">
        <v>33</v>
      </c>
      <c r="D12" s="5" t="s">
        <v>47</v>
      </c>
      <c r="E12" s="7"/>
      <c r="F12" s="5" t="s">
        <v>25</v>
      </c>
      <c r="G12" s="5" t="s">
        <v>25</v>
      </c>
      <c r="H12" s="5" t="s">
        <v>26</v>
      </c>
      <c r="I12" s="6">
        <v>1</v>
      </c>
      <c r="J12" s="7"/>
      <c r="K12" s="6">
        <v>148.61000000000001</v>
      </c>
      <c r="L12" s="8">
        <v>5349.96</v>
      </c>
      <c r="M12" s="6">
        <v>0</v>
      </c>
      <c r="N12" s="8">
        <v>5349.96</v>
      </c>
      <c r="O12" s="7"/>
      <c r="P12" s="2"/>
      <c r="Q12" s="2"/>
      <c r="R12" s="2" t="str">
        <v>ISR1000</v>
      </c>
      <c r="S12" s="2" t="str">
        <f ca="1">IFERROR(__xludf.DUMMYFUNCTION("""COMPUTED_VALUE"""),"DNA-P-T1-A-3Y")</f>
        <v>DNA-P-T1-A-3Y</v>
      </c>
      <c r="T12" s="10">
        <f ca="1">IFERROR(__xludf.DUMMYFUNCTION("""COMPUTED_VALUE"""),0)</f>
        <v>0</v>
      </c>
      <c r="U12" s="2" t="e">
        <f ca="1"/>
        <v>#NAME?</v>
      </c>
      <c r="V12" s="2" t="e">
        <f ca="1"/>
        <v>#NAME?</v>
      </c>
      <c r="W12" s="2" t="str">
        <f ca="1">IFERROR(__xludf.DUMMYFUNCTION("""COMPUTED_VALUE"""),"C1161X-8P")</f>
        <v>C1161X-8P</v>
      </c>
    </row>
    <row r="13" spans="1:23" ht="15.75" customHeight="1" x14ac:dyDescent="0.25">
      <c r="A13" s="6">
        <v>2.2000000000000002</v>
      </c>
      <c r="B13" s="5" t="s">
        <v>48</v>
      </c>
      <c r="C13" s="5" t="s">
        <v>22</v>
      </c>
      <c r="D13" s="5" t="s">
        <v>49</v>
      </c>
      <c r="E13" s="7"/>
      <c r="F13" s="5" t="s">
        <v>25</v>
      </c>
      <c r="G13" s="5">
        <v>2</v>
      </c>
      <c r="H13" s="5" t="s">
        <v>26</v>
      </c>
      <c r="I13" s="6">
        <v>1</v>
      </c>
      <c r="J13" s="7"/>
      <c r="K13" s="6">
        <v>30.65</v>
      </c>
      <c r="L13" s="8">
        <v>1103.4000000000001</v>
      </c>
      <c r="M13" s="6">
        <v>0</v>
      </c>
      <c r="N13" s="8">
        <v>1103.4000000000001</v>
      </c>
      <c r="O13" s="7"/>
      <c r="P13" s="2"/>
      <c r="Q13" s="2"/>
      <c r="R13" s="2" t="str">
        <v>ISR1000</v>
      </c>
      <c r="S13" s="2" t="str">
        <f ca="1">IFERROR(__xludf.DUMMYFUNCTION("""COMPUTED_VALUE"""),"SVS-PSTL1-T1-A3Y")</f>
        <v>SVS-PSTL1-T1-A3Y</v>
      </c>
      <c r="T13" s="10">
        <f ca="1">IFERROR(__xludf.DUMMYFUNCTION("""COMPUTED_VALUE"""),0)</f>
        <v>0</v>
      </c>
      <c r="U13" s="2" t="e">
        <f ca="1"/>
        <v>#NAME?</v>
      </c>
      <c r="V13" s="2" t="e">
        <f ca="1"/>
        <v>#NAME?</v>
      </c>
      <c r="W13" s="2" t="str">
        <f ca="1">IFERROR(__xludf.DUMMYFUNCTION("""COMPUTED_VALUE"""),"C1161X-8P")</f>
        <v>C1161X-8P</v>
      </c>
    </row>
    <row r="14" spans="1:23" ht="15.75" customHeight="1" x14ac:dyDescent="0.25">
      <c r="A14" s="6">
        <v>2.2999999999999998</v>
      </c>
      <c r="B14" s="5" t="s">
        <v>50</v>
      </c>
      <c r="C14" s="5" t="s">
        <v>33</v>
      </c>
      <c r="D14" s="5" t="s">
        <v>51</v>
      </c>
      <c r="E14" s="7"/>
      <c r="F14" s="5" t="s">
        <v>25</v>
      </c>
      <c r="G14" s="5">
        <v>2</v>
      </c>
      <c r="H14" s="5" t="s">
        <v>26</v>
      </c>
      <c r="I14" s="6">
        <v>1</v>
      </c>
      <c r="J14" s="7"/>
      <c r="K14" s="6">
        <v>0</v>
      </c>
      <c r="L14" s="6">
        <v>0</v>
      </c>
      <c r="M14" s="6">
        <v>0</v>
      </c>
      <c r="N14" s="6">
        <v>0</v>
      </c>
      <c r="O14" s="7"/>
      <c r="P14" s="2"/>
      <c r="Q14" s="2"/>
      <c r="R14" s="2" t="str">
        <v>ISR1000</v>
      </c>
      <c r="S14" s="2" t="str">
        <f ca="1">IFERROR(__xludf.DUMMYFUNCTION("""COMPUTED_VALUE"""),"DSTACK-T1-A")</f>
        <v>DSTACK-T1-A</v>
      </c>
      <c r="T14" s="10">
        <f ca="1">IFERROR(__xludf.DUMMYFUNCTION("""COMPUTED_VALUE"""),0)</f>
        <v>0</v>
      </c>
      <c r="U14" s="2" t="e">
        <f ca="1"/>
        <v>#NAME?</v>
      </c>
      <c r="V14" s="2" t="e">
        <f ca="1"/>
        <v>#NAME?</v>
      </c>
      <c r="W14" s="2" t="str">
        <f ca="1">IFERROR(__xludf.DUMMYFUNCTION("""COMPUTED_VALUE"""),"C1161X-8P")</f>
        <v>C1161X-8P</v>
      </c>
    </row>
    <row r="15" spans="1:23" ht="15.75" customHeight="1" x14ac:dyDescent="0.25">
      <c r="A15" s="6">
        <v>2.4</v>
      </c>
      <c r="B15" s="5" t="s">
        <v>52</v>
      </c>
      <c r="C15" s="5" t="s">
        <v>33</v>
      </c>
      <c r="D15" s="5" t="s">
        <v>53</v>
      </c>
      <c r="E15" s="7"/>
      <c r="F15" s="5" t="s">
        <v>25</v>
      </c>
      <c r="G15" s="5">
        <v>2</v>
      </c>
      <c r="H15" s="5" t="s">
        <v>26</v>
      </c>
      <c r="I15" s="6">
        <v>1</v>
      </c>
      <c r="J15" s="7"/>
      <c r="K15" s="6">
        <v>0</v>
      </c>
      <c r="L15" s="6">
        <v>0</v>
      </c>
      <c r="M15" s="6">
        <v>0</v>
      </c>
      <c r="N15" s="6">
        <v>0</v>
      </c>
      <c r="O15" s="7"/>
      <c r="P15" s="2"/>
      <c r="Q15" s="2"/>
      <c r="R15" s="2" t="str">
        <v>ISR1000</v>
      </c>
      <c r="S15" s="2" t="str">
        <f ca="1">IFERROR(__xludf.DUMMYFUNCTION("""COMPUTED_VALUE"""),"SDWAN-UMB-ADV")</f>
        <v>SDWAN-UMB-ADV</v>
      </c>
      <c r="T15" s="10">
        <f ca="1">IFERROR(__xludf.DUMMYFUNCTION("""COMPUTED_VALUE"""),0)</f>
        <v>0</v>
      </c>
      <c r="U15" s="2" t="e">
        <f ca="1"/>
        <v>#NAME?</v>
      </c>
      <c r="V15" s="2" t="e">
        <f ca="1"/>
        <v>#NAME?</v>
      </c>
      <c r="W15" s="2" t="str">
        <f ca="1">IFERROR(__xludf.DUMMYFUNCTION("""COMPUTED_VALUE"""),"C1161X-8P")</f>
        <v>C1161X-8P</v>
      </c>
    </row>
    <row r="16" spans="1:23" ht="15.75" customHeight="1" x14ac:dyDescent="0.25">
      <c r="A16" s="6">
        <v>2.5</v>
      </c>
      <c r="B16" s="5" t="s">
        <v>54</v>
      </c>
      <c r="C16" s="5" t="s">
        <v>33</v>
      </c>
      <c r="D16" s="5" t="s">
        <v>55</v>
      </c>
      <c r="E16" s="7"/>
      <c r="F16" s="5" t="s">
        <v>25</v>
      </c>
      <c r="G16" s="5">
        <v>2</v>
      </c>
      <c r="H16" s="5" t="s">
        <v>26</v>
      </c>
      <c r="I16" s="6">
        <v>1</v>
      </c>
      <c r="J16" s="7"/>
      <c r="K16" s="6">
        <v>0</v>
      </c>
      <c r="L16" s="6">
        <v>0</v>
      </c>
      <c r="M16" s="6">
        <v>0</v>
      </c>
      <c r="N16" s="6">
        <v>0</v>
      </c>
      <c r="O16" s="7"/>
      <c r="P16" s="2"/>
      <c r="Q16" s="2"/>
      <c r="R16" s="2" t="str">
        <v>ISR1000</v>
      </c>
      <c r="S16" s="2" t="str">
        <f ca="1">IFERROR(__xludf.DUMMYFUNCTION("""COMPUTED_VALUE"""),"TE-EMBED-WANI")</f>
        <v>TE-EMBED-WANI</v>
      </c>
      <c r="T16" s="10">
        <f ca="1">IFERROR(__xludf.DUMMYFUNCTION("""COMPUTED_VALUE"""),0)</f>
        <v>0</v>
      </c>
      <c r="U16" s="2" t="e">
        <f ca="1"/>
        <v>#NAME?</v>
      </c>
      <c r="V16" s="2" t="e">
        <f ca="1"/>
        <v>#NAME?</v>
      </c>
      <c r="W16" s="2" t="str">
        <f ca="1">IFERROR(__xludf.DUMMYFUNCTION("""COMPUTED_VALUE"""),"C1161X-8P")</f>
        <v>C1161X-8P</v>
      </c>
    </row>
    <row r="17" spans="1:23" ht="15.75" customHeight="1" x14ac:dyDescent="0.25">
      <c r="A17" s="6">
        <v>2.6</v>
      </c>
      <c r="B17" s="5" t="s">
        <v>56</v>
      </c>
      <c r="C17" s="5" t="s">
        <v>33</v>
      </c>
      <c r="D17" s="5" t="s">
        <v>57</v>
      </c>
      <c r="E17" s="7"/>
      <c r="F17" s="5" t="s">
        <v>25</v>
      </c>
      <c r="G17" s="5">
        <v>2</v>
      </c>
      <c r="H17" s="5" t="s">
        <v>26</v>
      </c>
      <c r="I17" s="6">
        <v>1</v>
      </c>
      <c r="J17" s="7"/>
      <c r="K17" s="6">
        <v>0</v>
      </c>
      <c r="L17" s="6">
        <v>0</v>
      </c>
      <c r="M17" s="6">
        <v>0</v>
      </c>
      <c r="N17" s="6">
        <v>0</v>
      </c>
      <c r="O17" s="7"/>
      <c r="P17" s="2"/>
      <c r="Q17" s="2"/>
      <c r="R17" s="2" t="str">
        <v>ISR1000</v>
      </c>
      <c r="S17" s="2" t="str">
        <f ca="1">IFERROR(__xludf.DUMMYFUNCTION("""COMPUTED_VALUE"""),"C1100-8P-DNA-PF")</f>
        <v>C1100-8P-DNA-PF</v>
      </c>
      <c r="T17" s="10">
        <f ca="1">IFERROR(__xludf.DUMMYFUNCTION("""COMPUTED_VALUE"""),0)</f>
        <v>0</v>
      </c>
      <c r="U17" s="2" t="e">
        <f ca="1"/>
        <v>#NAME?</v>
      </c>
      <c r="V17" s="2" t="e">
        <f ca="1"/>
        <v>#NAME?</v>
      </c>
      <c r="W17" s="2" t="str">
        <f ca="1">IFERROR(__xludf.DUMMYFUNCTION("""COMPUTED_VALUE"""),"C1161X-8P")</f>
        <v>C1161X-8P</v>
      </c>
    </row>
    <row r="18" spans="1:23" ht="15.75" customHeight="1" x14ac:dyDescent="0.25">
      <c r="A18" s="6">
        <v>2.7</v>
      </c>
      <c r="B18" s="5" t="s">
        <v>58</v>
      </c>
      <c r="C18" s="5" t="s">
        <v>33</v>
      </c>
      <c r="D18" s="5" t="s">
        <v>59</v>
      </c>
      <c r="E18" s="7"/>
      <c r="F18" s="5" t="s">
        <v>25</v>
      </c>
      <c r="G18" s="5">
        <v>2</v>
      </c>
      <c r="H18" s="5" t="s">
        <v>26</v>
      </c>
      <c r="I18" s="6">
        <v>1</v>
      </c>
      <c r="J18" s="7"/>
      <c r="K18" s="6">
        <v>0</v>
      </c>
      <c r="L18" s="6">
        <v>0</v>
      </c>
      <c r="M18" s="6">
        <v>0</v>
      </c>
      <c r="N18" s="6">
        <v>0</v>
      </c>
      <c r="O18" s="7"/>
      <c r="P18" s="2"/>
      <c r="Q18" s="2"/>
      <c r="R18" s="2" t="str">
        <v>ISR1000</v>
      </c>
      <c r="S18" s="2" t="str">
        <f ca="1">IFERROR(__xludf.DUMMYFUNCTION("""COMPUTED_VALUE"""),"FL-1100-8P-HSEC-L")</f>
        <v>FL-1100-8P-HSEC-L</v>
      </c>
      <c r="T18" s="10">
        <f ca="1">IFERROR(__xludf.DUMMYFUNCTION("""COMPUTED_VALUE"""),0)</f>
        <v>0</v>
      </c>
      <c r="U18" s="2" t="e">
        <f ca="1"/>
        <v>#NAME?</v>
      </c>
      <c r="V18" s="2" t="e">
        <f ca="1"/>
        <v>#NAME?</v>
      </c>
      <c r="W18" s="2" t="str">
        <f ca="1">IFERROR(__xludf.DUMMYFUNCTION("""COMPUTED_VALUE"""),"C1161X-8P")</f>
        <v>C1161X-8P</v>
      </c>
    </row>
    <row r="19" spans="1:23" ht="15.75" customHeight="1" x14ac:dyDescent="0.25">
      <c r="A19" s="6">
        <v>2.8</v>
      </c>
      <c r="B19" s="5" t="s">
        <v>60</v>
      </c>
      <c r="C19" s="5" t="s">
        <v>33</v>
      </c>
      <c r="D19" s="5" t="s">
        <v>61</v>
      </c>
      <c r="E19" s="7"/>
      <c r="F19" s="5" t="s">
        <v>25</v>
      </c>
      <c r="G19" s="5">
        <v>2</v>
      </c>
      <c r="H19" s="5" t="s">
        <v>26</v>
      </c>
      <c r="I19" s="6">
        <v>1</v>
      </c>
      <c r="J19" s="7"/>
      <c r="K19" s="6">
        <v>0</v>
      </c>
      <c r="L19" s="6">
        <v>0</v>
      </c>
      <c r="M19" s="6">
        <v>0</v>
      </c>
      <c r="N19" s="6">
        <v>0</v>
      </c>
      <c r="O19" s="7"/>
      <c r="P19" s="2"/>
      <c r="Q19" s="2"/>
      <c r="R19" s="2" t="str">
        <v>ISR1000</v>
      </c>
      <c r="S19" s="2" t="str">
        <f ca="1">IFERROR(__xludf.DUMMYFUNCTION("""COMPUTED_VALUE"""),"SL-1100-8P-NA-A-L")</f>
        <v>SL-1100-8P-NA-A-L</v>
      </c>
      <c r="T19" s="10">
        <f ca="1">IFERROR(__xludf.DUMMYFUNCTION("""COMPUTED_VALUE"""),0)</f>
        <v>0</v>
      </c>
      <c r="U19" s="2" t="e">
        <f ca="1"/>
        <v>#NAME?</v>
      </c>
      <c r="V19" s="2" t="e">
        <f ca="1"/>
        <v>#NAME?</v>
      </c>
      <c r="W19" s="2" t="str">
        <f ca="1">IFERROR(__xludf.DUMMYFUNCTION("""COMPUTED_VALUE"""),"C1161X-8P")</f>
        <v>C1161X-8P</v>
      </c>
    </row>
    <row r="20" spans="1:23" ht="15.75" customHeight="1" x14ac:dyDescent="0.25">
      <c r="A20" s="6">
        <v>2.9</v>
      </c>
      <c r="B20" s="5" t="s">
        <v>62</v>
      </c>
      <c r="C20" s="5" t="s">
        <v>33</v>
      </c>
      <c r="D20" s="5" t="s">
        <v>63</v>
      </c>
      <c r="E20" s="7"/>
      <c r="F20" s="5" t="s">
        <v>25</v>
      </c>
      <c r="G20" s="5">
        <v>2</v>
      </c>
      <c r="H20" s="5" t="s">
        <v>26</v>
      </c>
      <c r="I20" s="6">
        <v>1</v>
      </c>
      <c r="J20" s="7"/>
      <c r="K20" s="6">
        <v>0</v>
      </c>
      <c r="L20" s="6">
        <v>0</v>
      </c>
      <c r="M20" s="6">
        <v>0</v>
      </c>
      <c r="N20" s="6">
        <v>0</v>
      </c>
      <c r="O20" s="7"/>
      <c r="P20" s="2"/>
      <c r="Q20" s="2"/>
      <c r="R20" s="2" t="str">
        <v>ISR1000</v>
      </c>
      <c r="S20" s="2" t="str">
        <f ca="1">IFERROR(__xludf.DUMMYFUNCTION("""COMPUTED_VALUE"""),"DNA-HSEC-UPGD")</f>
        <v>DNA-HSEC-UPGD</v>
      </c>
      <c r="T20" s="10">
        <f ca="1">IFERROR(__xludf.DUMMYFUNCTION("""COMPUTED_VALUE"""),0)</f>
        <v>0</v>
      </c>
      <c r="U20" s="2" t="e">
        <f ca="1"/>
        <v>#NAME?</v>
      </c>
      <c r="V20" s="2" t="e">
        <f ca="1"/>
        <v>#NAME?</v>
      </c>
      <c r="W20" s="2" t="str">
        <f ca="1">IFERROR(__xludf.DUMMYFUNCTION("""COMPUTED_VALUE"""),"C1161X-8P")</f>
        <v>C1161X-8P</v>
      </c>
    </row>
    <row r="21" spans="1:23" ht="15.75" customHeight="1" x14ac:dyDescent="0.25">
      <c r="A21" s="6">
        <v>2.1</v>
      </c>
      <c r="B21" s="5" t="s">
        <v>64</v>
      </c>
      <c r="C21" s="5" t="s">
        <v>22</v>
      </c>
      <c r="D21" s="5" t="s">
        <v>65</v>
      </c>
      <c r="E21" s="7"/>
      <c r="F21" s="5" t="s">
        <v>25</v>
      </c>
      <c r="G21" s="5">
        <v>2</v>
      </c>
      <c r="H21" s="5" t="s">
        <v>26</v>
      </c>
      <c r="I21" s="6">
        <v>1</v>
      </c>
      <c r="J21" s="7"/>
      <c r="K21" s="6">
        <v>0</v>
      </c>
      <c r="L21" s="6">
        <v>0</v>
      </c>
      <c r="M21" s="6">
        <v>0</v>
      </c>
      <c r="N21" s="6">
        <v>0</v>
      </c>
      <c r="O21" s="7"/>
      <c r="P21" s="2"/>
      <c r="Q21" s="2"/>
      <c r="R21" s="2" t="str">
        <v>ISR1000</v>
      </c>
      <c r="S21" s="2" t="str">
        <f ca="1">IFERROR(__xludf.DUMMYFUNCTION("""COMPUTED_VALUE"""),"IOSXE-CTRL-MODE-PF")</f>
        <v>IOSXE-CTRL-MODE-PF</v>
      </c>
      <c r="T21" s="10">
        <f ca="1">IFERROR(__xludf.DUMMYFUNCTION("""COMPUTED_VALUE"""),0)</f>
        <v>0</v>
      </c>
      <c r="U21" s="2" t="e">
        <f ca="1"/>
        <v>#NAME?</v>
      </c>
      <c r="V21" s="2" t="e">
        <f ca="1"/>
        <v>#NAME?</v>
      </c>
      <c r="W21" s="2" t="str">
        <f ca="1">IFERROR(__xludf.DUMMYFUNCTION("""COMPUTED_VALUE"""),"C1161X-8P")</f>
        <v>C1161X-8P</v>
      </c>
    </row>
    <row r="22" spans="1:23" ht="15.75" customHeight="1" x14ac:dyDescent="0.25">
      <c r="A22" s="6">
        <v>2.11</v>
      </c>
      <c r="B22" s="5" t="s">
        <v>66</v>
      </c>
      <c r="C22" s="5" t="s">
        <v>22</v>
      </c>
      <c r="D22" s="5" t="s">
        <v>67</v>
      </c>
      <c r="E22" s="7"/>
      <c r="F22" s="5" t="s">
        <v>25</v>
      </c>
      <c r="G22" s="5">
        <v>2</v>
      </c>
      <c r="H22" s="5" t="s">
        <v>26</v>
      </c>
      <c r="I22" s="6">
        <v>1</v>
      </c>
      <c r="J22" s="7"/>
      <c r="K22" s="6">
        <v>0</v>
      </c>
      <c r="L22" s="6">
        <v>0</v>
      </c>
      <c r="M22" s="6">
        <v>0</v>
      </c>
      <c r="N22" s="6">
        <v>0</v>
      </c>
      <c r="O22" s="7"/>
      <c r="P22" s="2"/>
      <c r="Q22" s="2"/>
      <c r="R22" s="2" t="str">
        <v>ISR1000</v>
      </c>
      <c r="S22" s="2" t="str">
        <f ca="1">IFERROR(__xludf.DUMMYFUNCTION("""COMPUTED_VALUE"""),"SDWAN-ONPREM-PF")</f>
        <v>SDWAN-ONPREM-PF</v>
      </c>
      <c r="T22" s="10">
        <f ca="1">IFERROR(__xludf.DUMMYFUNCTION("""COMPUTED_VALUE"""),0)</f>
        <v>0</v>
      </c>
      <c r="U22" s="2" t="e">
        <f ca="1"/>
        <v>#NAME?</v>
      </c>
      <c r="V22" s="2" t="e">
        <f ca="1"/>
        <v>#NAME?</v>
      </c>
      <c r="W22" s="2" t="str">
        <f ca="1">IFERROR(__xludf.DUMMYFUNCTION("""COMPUTED_VALUE"""),"C1161X-8P")</f>
        <v>C1161X-8P</v>
      </c>
    </row>
    <row r="23" spans="1:23" ht="15.7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2" t="s">
        <v>42</v>
      </c>
      <c r="N23" s="13">
        <v>6453.36</v>
      </c>
      <c r="O23" s="14"/>
      <c r="P23" s="2"/>
      <c r="Q23" s="2"/>
      <c r="R23" s="2" t="str">
        <v/>
      </c>
      <c r="S23" s="2" t="str">
        <f ca="1">IFERROR(__xludf.DUMMYFUNCTION("""COMPUTED_VALUE"""),"")</f>
        <v/>
      </c>
      <c r="T23" s="2" t="str">
        <f ca="1">IFERROR(__xludf.DUMMYFUNCTION("""COMPUTED_VALUE"""),"")</f>
        <v/>
      </c>
      <c r="U23" s="2" t="e">
        <f ca="1"/>
        <v>#NAME?</v>
      </c>
      <c r="V23" s="2" t="e">
        <f ca="1"/>
        <v>#NAME?</v>
      </c>
      <c r="W23" s="2" t="str">
        <f ca="1">IFERROR(__xludf.DUMMYFUNCTION("""COMPUTED_VALUE"""),"")</f>
        <v/>
      </c>
    </row>
    <row r="24" spans="1:23" ht="15.75" customHeight="1" x14ac:dyDescent="0.25">
      <c r="A24" s="4">
        <v>3</v>
      </c>
      <c r="B24" s="4" t="s">
        <v>68</v>
      </c>
      <c r="C24" s="5" t="s">
        <v>22</v>
      </c>
      <c r="D24" s="5" t="s">
        <v>69</v>
      </c>
      <c r="E24" s="5" t="s">
        <v>24</v>
      </c>
      <c r="F24" s="5" t="s">
        <v>25</v>
      </c>
      <c r="G24" s="5">
        <v>84</v>
      </c>
      <c r="H24" s="5" t="s">
        <v>26</v>
      </c>
      <c r="I24" s="6">
        <v>1</v>
      </c>
      <c r="J24" s="7"/>
      <c r="K24" s="8">
        <v>1989.86</v>
      </c>
      <c r="L24" s="8">
        <v>1989.86</v>
      </c>
      <c r="M24" s="6">
        <v>0</v>
      </c>
      <c r="N24" s="8">
        <v>1989.86</v>
      </c>
      <c r="O24" s="7"/>
      <c r="P24" s="2"/>
      <c r="Q24" s="2"/>
      <c r="R24" s="2" t="str">
        <v>ISR1000</v>
      </c>
      <c r="S24" s="2" t="str">
        <f ca="1">IFERROR(__xludf.DUMMYFUNCTION("""COMPUTED_VALUE"""),"C1127-8PLTEP")</f>
        <v>C1127-8PLTEP</v>
      </c>
      <c r="T24" s="10">
        <f ca="1">IFERROR(__xludf.DUMMYFUNCTION("""COMPUTED_VALUE"""),1)</f>
        <v>1</v>
      </c>
      <c r="U24" s="2" t="e">
        <f ca="1"/>
        <v>#NAME?</v>
      </c>
      <c r="V24" s="2" t="e">
        <f ca="1"/>
        <v>#NAME?</v>
      </c>
      <c r="W24" s="2" t="str">
        <f ca="1">IFERROR(__xludf.DUMMYFUNCTION("""COMPUTED_VALUE"""),"C1127-8PLTEP")</f>
        <v>C1127-8PLTEP</v>
      </c>
    </row>
    <row r="25" spans="1:23" ht="15.75" customHeight="1" x14ac:dyDescent="0.25">
      <c r="A25" s="6" t="s">
        <v>70</v>
      </c>
      <c r="B25" s="5" t="s">
        <v>71</v>
      </c>
      <c r="C25" s="5" t="s">
        <v>22</v>
      </c>
      <c r="D25" s="5" t="s">
        <v>72</v>
      </c>
      <c r="E25" s="7"/>
      <c r="F25" s="5">
        <v>24</v>
      </c>
      <c r="G25" s="5" t="s">
        <v>25</v>
      </c>
      <c r="H25" s="5" t="s">
        <v>26</v>
      </c>
      <c r="I25" s="6">
        <v>1</v>
      </c>
      <c r="J25" s="7"/>
      <c r="K25" s="6">
        <v>492.26</v>
      </c>
      <c r="L25" s="6">
        <v>492.26</v>
      </c>
      <c r="M25" s="6">
        <v>0</v>
      </c>
      <c r="N25" s="6">
        <v>492.26</v>
      </c>
      <c r="O25" s="5" t="s">
        <v>30</v>
      </c>
      <c r="P25" s="2"/>
      <c r="Q25" s="2"/>
      <c r="R25" s="2" t="str">
        <v>ISR1000</v>
      </c>
      <c r="S25" s="2" t="str">
        <f ca="1">IFERROR(__xludf.DUMMYFUNCTION("""COMPUTED_VALUE"""),"CON-L1NBD-C8178PL2")</f>
        <v>CON-L1NBD-C8178PL2</v>
      </c>
      <c r="T25" s="10">
        <f ca="1">IFERROR(__xludf.DUMMYFUNCTION("""COMPUTED_VALUE"""),0)</f>
        <v>0</v>
      </c>
      <c r="U25" s="2" t="e">
        <f ca="1"/>
        <v>#NAME?</v>
      </c>
      <c r="V25" s="2" t="e">
        <f ca="1"/>
        <v>#NAME?</v>
      </c>
      <c r="W25" s="2" t="str">
        <f ca="1">IFERROR(__xludf.DUMMYFUNCTION("""COMPUTED_VALUE"""),"C1127-8PLTEP")</f>
        <v>C1127-8PLTEP</v>
      </c>
    </row>
    <row r="26" spans="1:23" ht="15.75" customHeight="1" x14ac:dyDescent="0.25">
      <c r="A26" s="6">
        <v>3.1</v>
      </c>
      <c r="B26" s="5" t="s">
        <v>31</v>
      </c>
      <c r="C26" s="5" t="s">
        <v>22</v>
      </c>
      <c r="D26" s="5" t="s">
        <v>32</v>
      </c>
      <c r="E26" s="7"/>
      <c r="F26" s="5" t="s">
        <v>25</v>
      </c>
      <c r="G26" s="5">
        <v>42</v>
      </c>
      <c r="H26" s="5" t="s">
        <v>33</v>
      </c>
      <c r="I26" s="6">
        <v>1</v>
      </c>
      <c r="J26" s="7"/>
      <c r="K26" s="6">
        <v>0</v>
      </c>
      <c r="L26" s="6">
        <v>0</v>
      </c>
      <c r="M26" s="6">
        <v>0</v>
      </c>
      <c r="N26" s="6">
        <v>0</v>
      </c>
      <c r="O26" s="7"/>
      <c r="P26" s="2"/>
      <c r="Q26" s="2"/>
      <c r="R26" s="2" t="str">
        <v>ISR1000</v>
      </c>
      <c r="S26" s="2" t="str">
        <f ca="1">IFERROR(__xludf.DUMMYFUNCTION("""COMPUTED_VALUE"""),"PWR-66W-AC-V2")</f>
        <v>PWR-66W-AC-V2</v>
      </c>
      <c r="T26" s="10">
        <f ca="1">IFERROR(__xludf.DUMMYFUNCTION("""COMPUTED_VALUE"""),0)</f>
        <v>0</v>
      </c>
      <c r="U26" s="2" t="e">
        <f ca="1"/>
        <v>#NAME?</v>
      </c>
      <c r="V26" s="2" t="e">
        <f ca="1"/>
        <v>#NAME?</v>
      </c>
      <c r="W26" s="2" t="str">
        <f ca="1">IFERROR(__xludf.DUMMYFUNCTION("""COMPUTED_VALUE"""),"C1127-8PLTEP")</f>
        <v>C1127-8PLTEP</v>
      </c>
    </row>
    <row r="27" spans="1:23" ht="15.75" customHeight="1" x14ac:dyDescent="0.25">
      <c r="A27" s="6">
        <v>3.2</v>
      </c>
      <c r="B27" s="5" t="s">
        <v>73</v>
      </c>
      <c r="C27" s="5" t="s">
        <v>22</v>
      </c>
      <c r="D27" s="5" t="s">
        <v>74</v>
      </c>
      <c r="E27" s="7"/>
      <c r="F27" s="5" t="s">
        <v>25</v>
      </c>
      <c r="G27" s="5">
        <v>28</v>
      </c>
      <c r="H27" s="5" t="s">
        <v>33</v>
      </c>
      <c r="I27" s="6">
        <v>1</v>
      </c>
      <c r="J27" s="7"/>
      <c r="K27" s="6">
        <v>0</v>
      </c>
      <c r="L27" s="6">
        <v>0</v>
      </c>
      <c r="M27" s="6">
        <v>0</v>
      </c>
      <c r="N27" s="6">
        <v>0</v>
      </c>
      <c r="O27" s="7"/>
      <c r="P27" s="2"/>
      <c r="Q27" s="2"/>
      <c r="R27" s="2" t="str">
        <v>ISR1000</v>
      </c>
      <c r="S27" s="2" t="str">
        <f ca="1">IFERROR(__xludf.DUMMYFUNCTION("""COMPUTED_VALUE"""),"P-BLANK")</f>
        <v>P-BLANK</v>
      </c>
      <c r="T27" s="10">
        <f ca="1">IFERROR(__xludf.DUMMYFUNCTION("""COMPUTED_VALUE"""),0)</f>
        <v>0</v>
      </c>
      <c r="U27" s="2" t="e">
        <f ca="1"/>
        <v>#NAME?</v>
      </c>
      <c r="V27" s="2" t="e">
        <f ca="1"/>
        <v>#NAME?</v>
      </c>
      <c r="W27" s="2" t="str">
        <f ca="1">IFERROR(__xludf.DUMMYFUNCTION("""COMPUTED_VALUE"""),"C1127-8PLTEP")</f>
        <v>C1127-8PLTEP</v>
      </c>
    </row>
    <row r="28" spans="1:23" ht="15.75" customHeight="1" x14ac:dyDescent="0.25">
      <c r="A28" s="6">
        <v>3.3</v>
      </c>
      <c r="B28" s="5" t="s">
        <v>34</v>
      </c>
      <c r="C28" s="5" t="s">
        <v>22</v>
      </c>
      <c r="D28" s="5" t="s">
        <v>35</v>
      </c>
      <c r="E28" s="7"/>
      <c r="F28" s="5" t="s">
        <v>25</v>
      </c>
      <c r="G28" s="5">
        <v>28</v>
      </c>
      <c r="H28" s="5" t="s">
        <v>33</v>
      </c>
      <c r="I28" s="6">
        <v>1</v>
      </c>
      <c r="J28" s="7"/>
      <c r="K28" s="6">
        <v>0</v>
      </c>
      <c r="L28" s="6">
        <v>0</v>
      </c>
      <c r="M28" s="6">
        <v>0</v>
      </c>
      <c r="N28" s="6">
        <v>0</v>
      </c>
      <c r="O28" s="7"/>
      <c r="P28" s="2"/>
      <c r="Q28" s="2"/>
      <c r="R28" s="2" t="str">
        <v>ISR1000</v>
      </c>
      <c r="S28" s="2" t="str">
        <f ca="1">IFERROR(__xludf.DUMMYFUNCTION("""COMPUTED_VALUE"""),"SL-1K-8P-IPB")</f>
        <v>SL-1K-8P-IPB</v>
      </c>
      <c r="T28" s="10">
        <f ca="1">IFERROR(__xludf.DUMMYFUNCTION("""COMPUTED_VALUE"""),0)</f>
        <v>0</v>
      </c>
      <c r="U28" s="2" t="e">
        <f ca="1"/>
        <v>#NAME?</v>
      </c>
      <c r="V28" s="2" t="e">
        <f ca="1"/>
        <v>#NAME?</v>
      </c>
      <c r="W28" s="2" t="str">
        <f ca="1">IFERROR(__xludf.DUMMYFUNCTION("""COMPUTED_VALUE"""),"C1127-8PLTEP")</f>
        <v>C1127-8PLTEP</v>
      </c>
    </row>
    <row r="29" spans="1:23" ht="15.75" customHeight="1" x14ac:dyDescent="0.25">
      <c r="A29" s="6">
        <v>3.4</v>
      </c>
      <c r="B29" s="5" t="s">
        <v>36</v>
      </c>
      <c r="C29" s="5" t="s">
        <v>22</v>
      </c>
      <c r="D29" s="5" t="s">
        <v>37</v>
      </c>
      <c r="E29" s="7"/>
      <c r="F29" s="5" t="s">
        <v>25</v>
      </c>
      <c r="G29" s="5">
        <v>14</v>
      </c>
      <c r="H29" s="5" t="s">
        <v>26</v>
      </c>
      <c r="I29" s="6">
        <v>1</v>
      </c>
      <c r="J29" s="7"/>
      <c r="K29" s="6">
        <v>0</v>
      </c>
      <c r="L29" s="6">
        <v>0</v>
      </c>
      <c r="M29" s="6">
        <v>0</v>
      </c>
      <c r="N29" s="6">
        <v>0</v>
      </c>
      <c r="O29" s="7"/>
      <c r="P29" s="2"/>
      <c r="Q29" s="2"/>
      <c r="R29" s="2" t="str">
        <v>ISR1000</v>
      </c>
      <c r="S29" s="2" t="str">
        <f ca="1">IFERROR(__xludf.DUMMYFUNCTION("""COMPUTED_VALUE"""),"CAB-ACE")</f>
        <v>CAB-ACE</v>
      </c>
      <c r="T29" s="10">
        <f ca="1">IFERROR(__xludf.DUMMYFUNCTION("""COMPUTED_VALUE"""),0)</f>
        <v>0</v>
      </c>
      <c r="U29" s="2" t="e">
        <f ca="1"/>
        <v>#NAME?</v>
      </c>
      <c r="V29" s="2" t="e">
        <f ca="1"/>
        <v>#NAME?</v>
      </c>
      <c r="W29" s="2" t="str">
        <f ca="1">IFERROR(__xludf.DUMMYFUNCTION("""COMPUTED_VALUE"""),"C1127-8PLTEP")</f>
        <v>C1127-8PLTEP</v>
      </c>
    </row>
    <row r="30" spans="1:23" ht="15.75" customHeight="1" x14ac:dyDescent="0.25">
      <c r="A30" s="6">
        <v>3.5</v>
      </c>
      <c r="B30" s="5" t="s">
        <v>38</v>
      </c>
      <c r="C30" s="5" t="s">
        <v>22</v>
      </c>
      <c r="D30" s="5" t="s">
        <v>39</v>
      </c>
      <c r="E30" s="7"/>
      <c r="F30" s="5" t="s">
        <v>25</v>
      </c>
      <c r="G30" s="5">
        <v>14</v>
      </c>
      <c r="H30" s="5" t="s">
        <v>26</v>
      </c>
      <c r="I30" s="6">
        <v>1</v>
      </c>
      <c r="J30" s="7"/>
      <c r="K30" s="6">
        <v>0</v>
      </c>
      <c r="L30" s="6">
        <v>0</v>
      </c>
      <c r="M30" s="6">
        <v>0</v>
      </c>
      <c r="N30" s="6">
        <v>0</v>
      </c>
      <c r="O30" s="7"/>
      <c r="P30" s="2"/>
      <c r="Q30" s="2"/>
      <c r="R30" s="2" t="str">
        <v>ISR1000</v>
      </c>
      <c r="S30" s="2" t="str">
        <f ca="1">IFERROR(__xludf.DUMMYFUNCTION("""COMPUTED_VALUE"""),"GREEN-OPTION")</f>
        <v>GREEN-OPTION</v>
      </c>
      <c r="T30" s="10">
        <f ca="1">IFERROR(__xludf.DUMMYFUNCTION("""COMPUTED_VALUE"""),0)</f>
        <v>0</v>
      </c>
      <c r="U30" s="2" t="e">
        <f ca="1"/>
        <v>#NAME?</v>
      </c>
      <c r="V30" s="2" t="e">
        <f ca="1"/>
        <v>#NAME?</v>
      </c>
      <c r="W30" s="2" t="str">
        <f ca="1">IFERROR(__xludf.DUMMYFUNCTION("""COMPUTED_VALUE"""),"C1127-8PLTEP")</f>
        <v>C1127-8PLTEP</v>
      </c>
    </row>
    <row r="31" spans="1:23" ht="15.75" customHeight="1" x14ac:dyDescent="0.25">
      <c r="A31" s="6">
        <v>3.6</v>
      </c>
      <c r="B31" s="5" t="s">
        <v>40</v>
      </c>
      <c r="C31" s="5" t="s">
        <v>22</v>
      </c>
      <c r="D31" s="5" t="s">
        <v>41</v>
      </c>
      <c r="E31" s="7"/>
      <c r="F31" s="5" t="s">
        <v>25</v>
      </c>
      <c r="G31" s="5">
        <v>28</v>
      </c>
      <c r="H31" s="5" t="s">
        <v>26</v>
      </c>
      <c r="I31" s="6">
        <v>1</v>
      </c>
      <c r="J31" s="7"/>
      <c r="K31" s="6">
        <v>0</v>
      </c>
      <c r="L31" s="6">
        <v>0</v>
      </c>
      <c r="M31" s="6">
        <v>0</v>
      </c>
      <c r="N31" s="6">
        <v>0</v>
      </c>
      <c r="O31" s="7"/>
      <c r="P31" s="2"/>
      <c r="Q31" s="2"/>
      <c r="R31" s="2" t="str">
        <v>ISR1000</v>
      </c>
      <c r="S31" s="2" t="str">
        <f ca="1">IFERROR(__xludf.DUMMYFUNCTION("""COMPUTED_VALUE"""),"SISR1100UK9-1712")</f>
        <v>SISR1100UK9-1712</v>
      </c>
      <c r="T31" s="10">
        <f ca="1">IFERROR(__xludf.DUMMYFUNCTION("""COMPUTED_VALUE"""),0)</f>
        <v>0</v>
      </c>
      <c r="U31" s="2" t="e">
        <f ca="1"/>
        <v>#NAME?</v>
      </c>
      <c r="V31" s="2" t="e">
        <f ca="1"/>
        <v>#NAME?</v>
      </c>
      <c r="W31" s="2" t="str">
        <f ca="1">IFERROR(__xludf.DUMMYFUNCTION("""COMPUTED_VALUE"""),"C1127-8PLTEP")</f>
        <v>C1127-8PLTEP</v>
      </c>
    </row>
    <row r="32" spans="1:23" ht="15.75" customHeight="1" x14ac:dyDescent="0.25">
      <c r="A32" s="6">
        <v>3.7</v>
      </c>
      <c r="B32" s="5" t="s">
        <v>75</v>
      </c>
      <c r="C32" s="5" t="s">
        <v>22</v>
      </c>
      <c r="D32" s="5" t="s">
        <v>76</v>
      </c>
      <c r="E32" s="7"/>
      <c r="F32" s="5" t="s">
        <v>25</v>
      </c>
      <c r="G32" s="5">
        <v>28</v>
      </c>
      <c r="H32" s="5" t="s">
        <v>33</v>
      </c>
      <c r="I32" s="6">
        <v>1</v>
      </c>
      <c r="J32" s="7"/>
      <c r="K32" s="6">
        <v>0</v>
      </c>
      <c r="L32" s="6">
        <v>0</v>
      </c>
      <c r="M32" s="6">
        <v>0</v>
      </c>
      <c r="N32" s="6">
        <v>0</v>
      </c>
      <c r="O32" s="7"/>
      <c r="P32" s="2"/>
      <c r="Q32" s="2"/>
      <c r="R32" s="2" t="str">
        <v>ISR1000</v>
      </c>
      <c r="S32" s="2" t="str">
        <f ca="1">IFERROR(__xludf.DUMMYFUNCTION("""COMPUTED_VALUE"""),"FW-VA-1117-39T")</f>
        <v>FW-VA-1117-39T</v>
      </c>
      <c r="T32" s="10">
        <f ca="1">IFERROR(__xludf.DUMMYFUNCTION("""COMPUTED_VALUE"""),0)</f>
        <v>0</v>
      </c>
      <c r="U32" s="2" t="e">
        <f ca="1"/>
        <v>#NAME?</v>
      </c>
      <c r="V32" s="2" t="e">
        <f ca="1"/>
        <v>#NAME?</v>
      </c>
      <c r="W32" s="2" t="str">
        <f ca="1">IFERROR(__xludf.DUMMYFUNCTION("""COMPUTED_VALUE"""),"C1127-8PLTEP")</f>
        <v>C1127-8PLTEP</v>
      </c>
    </row>
    <row r="33" spans="1:23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2" t="s">
        <v>42</v>
      </c>
      <c r="N33" s="13">
        <v>2482.12</v>
      </c>
      <c r="O33" s="14"/>
      <c r="P33" s="2"/>
      <c r="Q33" s="2"/>
      <c r="R33" s="2" t="str">
        <v/>
      </c>
      <c r="S33" s="2" t="str">
        <f ca="1">IFERROR(__xludf.DUMMYFUNCTION("""COMPUTED_VALUE"""),"")</f>
        <v/>
      </c>
      <c r="T33" s="2" t="str">
        <f ca="1">IFERROR(__xludf.DUMMYFUNCTION("""COMPUTED_VALUE"""),"")</f>
        <v/>
      </c>
      <c r="U33" s="2" t="e">
        <f ca="1"/>
        <v>#NAME?</v>
      </c>
      <c r="V33" s="2" t="e">
        <f ca="1"/>
        <v>#NAME?</v>
      </c>
      <c r="W33" s="2" t="str">
        <f ca="1">IFERROR(__xludf.DUMMYFUNCTION("""COMPUTED_VALUE"""),"")</f>
        <v/>
      </c>
    </row>
    <row r="34" spans="1:23" ht="15.75" customHeight="1" x14ac:dyDescent="0.25">
      <c r="A34" s="15"/>
      <c r="B34" s="15"/>
      <c r="C34" s="16" t="s">
        <v>77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2" t="str">
        <v/>
      </c>
      <c r="S34" s="2" t="str">
        <f ca="1">IFERROR(__xludf.DUMMYFUNCTION("""COMPUTED_VALUE"""),"")</f>
        <v/>
      </c>
      <c r="T34" s="2" t="str">
        <f ca="1">IFERROR(__xludf.DUMMYFUNCTION("""COMPUTED_VALUE"""),"")</f>
        <v/>
      </c>
      <c r="U34" s="2" t="e">
        <f ca="1"/>
        <v>#NAME?</v>
      </c>
      <c r="V34" s="2" t="e">
        <f ca="1"/>
        <v>#NAME?</v>
      </c>
      <c r="W34" s="2" t="str">
        <f ca="1">IFERROR(__xludf.DUMMYFUNCTION("""COMPUTED_VALUE"""),"")</f>
        <v/>
      </c>
    </row>
    <row r="35" spans="1:23" ht="15.75" customHeight="1" x14ac:dyDescent="0.25">
      <c r="A35" s="4">
        <v>4</v>
      </c>
      <c r="B35" s="4" t="s">
        <v>44</v>
      </c>
      <c r="C35" s="5" t="s">
        <v>33</v>
      </c>
      <c r="D35" s="5" t="s">
        <v>45</v>
      </c>
      <c r="E35" s="5" t="s">
        <v>24</v>
      </c>
      <c r="F35" s="5" t="s">
        <v>25</v>
      </c>
      <c r="G35" s="5">
        <v>4</v>
      </c>
      <c r="H35" s="5" t="s">
        <v>26</v>
      </c>
      <c r="I35" s="6">
        <v>1</v>
      </c>
      <c r="J35" s="7"/>
      <c r="K35" s="6">
        <v>0</v>
      </c>
      <c r="L35" s="6">
        <v>0</v>
      </c>
      <c r="M35" s="6">
        <v>0</v>
      </c>
      <c r="N35" s="6">
        <v>0</v>
      </c>
      <c r="O35" s="7"/>
      <c r="P35" s="2"/>
      <c r="Q35" s="2"/>
      <c r="R35" s="2" t="str">
        <v>ISR1000</v>
      </c>
      <c r="S35" s="2" t="str">
        <f ca="1">IFERROR(__xludf.DUMMYFUNCTION("""COMPUTED_VALUE"""),"L-DNA-TIER-ADD")</f>
        <v>L-DNA-TIER-ADD</v>
      </c>
      <c r="T35" s="10">
        <f ca="1">IFERROR(__xludf.DUMMYFUNCTION("""COMPUTED_VALUE"""),1)</f>
        <v>1</v>
      </c>
      <c r="U35" s="2" t="e">
        <f ca="1"/>
        <v>#NAME?</v>
      </c>
      <c r="V35" s="2" t="e">
        <f ca="1"/>
        <v>#NAME?</v>
      </c>
      <c r="W35" s="2" t="str">
        <f ca="1">IFERROR(__xludf.DUMMYFUNCTION("""COMPUTED_VALUE"""),"C1127-8PLTEP")</f>
        <v>C1127-8PLTEP</v>
      </c>
    </row>
    <row r="36" spans="1:23" ht="15.75" customHeight="1" x14ac:dyDescent="0.25">
      <c r="A36" s="6">
        <v>4.0999999999999996</v>
      </c>
      <c r="B36" s="5" t="s">
        <v>46</v>
      </c>
      <c r="C36" s="5" t="s">
        <v>33</v>
      </c>
      <c r="D36" s="5" t="s">
        <v>47</v>
      </c>
      <c r="E36" s="7"/>
      <c r="F36" s="5" t="s">
        <v>25</v>
      </c>
      <c r="G36" s="5" t="s">
        <v>25</v>
      </c>
      <c r="H36" s="5" t="s">
        <v>26</v>
      </c>
      <c r="I36" s="6">
        <v>1</v>
      </c>
      <c r="J36" s="7"/>
      <c r="K36" s="6">
        <v>148.61000000000001</v>
      </c>
      <c r="L36" s="8">
        <v>5349.96</v>
      </c>
      <c r="M36" s="6">
        <v>0</v>
      </c>
      <c r="N36" s="8">
        <v>5349.96</v>
      </c>
      <c r="O36" s="7"/>
      <c r="P36" s="2"/>
      <c r="Q36" s="2"/>
      <c r="R36" s="2" t="str">
        <v>ISR1000</v>
      </c>
      <c r="S36" s="2" t="str">
        <f ca="1">IFERROR(__xludf.DUMMYFUNCTION("""COMPUTED_VALUE"""),"DNA-P-T1-A-3Y")</f>
        <v>DNA-P-T1-A-3Y</v>
      </c>
      <c r="T36" s="10">
        <f ca="1">IFERROR(__xludf.DUMMYFUNCTION("""COMPUTED_VALUE"""),0)</f>
        <v>0</v>
      </c>
      <c r="U36" s="2" t="e">
        <f ca="1"/>
        <v>#NAME?</v>
      </c>
      <c r="V36" s="2" t="e">
        <f ca="1"/>
        <v>#NAME?</v>
      </c>
      <c r="W36" s="2" t="str">
        <f ca="1">IFERROR(__xludf.DUMMYFUNCTION("""COMPUTED_VALUE"""),"C1127-8PLTEP")</f>
        <v>C1127-8PLTEP</v>
      </c>
    </row>
    <row r="37" spans="1:23" ht="12.5" x14ac:dyDescent="0.25">
      <c r="A37" s="6">
        <v>4.2</v>
      </c>
      <c r="B37" s="5" t="s">
        <v>48</v>
      </c>
      <c r="C37" s="5" t="s">
        <v>22</v>
      </c>
      <c r="D37" s="5" t="s">
        <v>49</v>
      </c>
      <c r="E37" s="7"/>
      <c r="F37" s="5" t="s">
        <v>25</v>
      </c>
      <c r="G37" s="5">
        <v>2</v>
      </c>
      <c r="H37" s="5" t="s">
        <v>26</v>
      </c>
      <c r="I37" s="6">
        <v>1</v>
      </c>
      <c r="J37" s="7"/>
      <c r="K37" s="6">
        <v>30.65</v>
      </c>
      <c r="L37" s="8">
        <v>1103.4000000000001</v>
      </c>
      <c r="M37" s="6">
        <v>0</v>
      </c>
      <c r="N37" s="8">
        <v>1103.4000000000001</v>
      </c>
      <c r="O37" s="7"/>
      <c r="P37" s="2"/>
      <c r="Q37" s="2"/>
      <c r="R37" s="2" t="str">
        <v>ISR1000</v>
      </c>
      <c r="S37" s="2" t="str">
        <f ca="1">IFERROR(__xludf.DUMMYFUNCTION("""COMPUTED_VALUE"""),"SVS-PSTL1-T1-A3Y")</f>
        <v>SVS-PSTL1-T1-A3Y</v>
      </c>
      <c r="T37" s="10">
        <f ca="1">IFERROR(__xludf.DUMMYFUNCTION("""COMPUTED_VALUE"""),0)</f>
        <v>0</v>
      </c>
      <c r="U37" s="2" t="e">
        <f ca="1"/>
        <v>#NAME?</v>
      </c>
      <c r="V37" s="2" t="e">
        <f ca="1"/>
        <v>#NAME?</v>
      </c>
      <c r="W37" s="2" t="str">
        <f ca="1">IFERROR(__xludf.DUMMYFUNCTION("""COMPUTED_VALUE"""),"C1127-8PLTEP")</f>
        <v>C1127-8PLTEP</v>
      </c>
    </row>
    <row r="38" spans="1:23" ht="12.5" x14ac:dyDescent="0.25">
      <c r="A38" s="6">
        <v>4.3</v>
      </c>
      <c r="B38" s="5" t="s">
        <v>50</v>
      </c>
      <c r="C38" s="5" t="s">
        <v>33</v>
      </c>
      <c r="D38" s="5" t="s">
        <v>51</v>
      </c>
      <c r="E38" s="7"/>
      <c r="F38" s="5" t="s">
        <v>25</v>
      </c>
      <c r="G38" s="5">
        <v>2</v>
      </c>
      <c r="H38" s="5" t="s">
        <v>26</v>
      </c>
      <c r="I38" s="6">
        <v>1</v>
      </c>
      <c r="J38" s="7"/>
      <c r="K38" s="6">
        <v>0</v>
      </c>
      <c r="L38" s="6">
        <v>0</v>
      </c>
      <c r="M38" s="6">
        <v>0</v>
      </c>
      <c r="N38" s="6">
        <v>0</v>
      </c>
      <c r="O38" s="7"/>
      <c r="P38" s="2"/>
      <c r="Q38" s="2"/>
      <c r="R38" s="2" t="str">
        <v>ISR1000</v>
      </c>
      <c r="S38" s="2" t="str">
        <f ca="1">IFERROR(__xludf.DUMMYFUNCTION("""COMPUTED_VALUE"""),"DSTACK-T1-A")</f>
        <v>DSTACK-T1-A</v>
      </c>
      <c r="T38" s="10">
        <f ca="1">IFERROR(__xludf.DUMMYFUNCTION("""COMPUTED_VALUE"""),0)</f>
        <v>0</v>
      </c>
      <c r="U38" s="2" t="e">
        <f ca="1"/>
        <v>#NAME?</v>
      </c>
      <c r="V38" s="2" t="e">
        <f ca="1"/>
        <v>#NAME?</v>
      </c>
      <c r="W38" s="2" t="str">
        <f ca="1">IFERROR(__xludf.DUMMYFUNCTION("""COMPUTED_VALUE"""),"C1127-8PLTEP")</f>
        <v>C1127-8PLTEP</v>
      </c>
    </row>
    <row r="39" spans="1:23" ht="12.5" x14ac:dyDescent="0.25">
      <c r="A39" s="6">
        <v>4.4000000000000004</v>
      </c>
      <c r="B39" s="5" t="s">
        <v>52</v>
      </c>
      <c r="C39" s="5" t="s">
        <v>33</v>
      </c>
      <c r="D39" s="5" t="s">
        <v>53</v>
      </c>
      <c r="E39" s="7"/>
      <c r="F39" s="5" t="s">
        <v>25</v>
      </c>
      <c r="G39" s="5">
        <v>2</v>
      </c>
      <c r="H39" s="5" t="s">
        <v>26</v>
      </c>
      <c r="I39" s="6">
        <v>1</v>
      </c>
      <c r="J39" s="7"/>
      <c r="K39" s="6">
        <v>0</v>
      </c>
      <c r="L39" s="6">
        <v>0</v>
      </c>
      <c r="M39" s="6">
        <v>0</v>
      </c>
      <c r="N39" s="6">
        <v>0</v>
      </c>
      <c r="O39" s="7"/>
      <c r="P39" s="2"/>
      <c r="Q39" s="2"/>
      <c r="R39" s="2" t="str">
        <v>ISR1000</v>
      </c>
      <c r="S39" s="2" t="str">
        <f ca="1">IFERROR(__xludf.DUMMYFUNCTION("""COMPUTED_VALUE"""),"SDWAN-UMB-ADV")</f>
        <v>SDWAN-UMB-ADV</v>
      </c>
      <c r="T39" s="10">
        <f ca="1">IFERROR(__xludf.DUMMYFUNCTION("""COMPUTED_VALUE"""),0)</f>
        <v>0</v>
      </c>
      <c r="U39" s="2" t="e">
        <f ca="1"/>
        <v>#NAME?</v>
      </c>
      <c r="V39" s="2" t="e">
        <f ca="1"/>
        <v>#NAME?</v>
      </c>
      <c r="W39" s="2" t="str">
        <f ca="1">IFERROR(__xludf.DUMMYFUNCTION("""COMPUTED_VALUE"""),"C1127-8PLTEP")</f>
        <v>C1127-8PLTEP</v>
      </c>
    </row>
    <row r="40" spans="1:23" ht="12.5" x14ac:dyDescent="0.25">
      <c r="A40" s="6">
        <v>4.5</v>
      </c>
      <c r="B40" s="5" t="s">
        <v>54</v>
      </c>
      <c r="C40" s="5" t="s">
        <v>33</v>
      </c>
      <c r="D40" s="5" t="s">
        <v>55</v>
      </c>
      <c r="E40" s="7"/>
      <c r="F40" s="5" t="s">
        <v>25</v>
      </c>
      <c r="G40" s="5">
        <v>2</v>
      </c>
      <c r="H40" s="5" t="s">
        <v>26</v>
      </c>
      <c r="I40" s="6">
        <v>1</v>
      </c>
      <c r="J40" s="7"/>
      <c r="K40" s="6">
        <v>0</v>
      </c>
      <c r="L40" s="6">
        <v>0</v>
      </c>
      <c r="M40" s="6">
        <v>0</v>
      </c>
      <c r="N40" s="6">
        <v>0</v>
      </c>
      <c r="O40" s="7"/>
      <c r="P40" s="2"/>
      <c r="Q40" s="2"/>
      <c r="R40" s="2" t="str">
        <v>ISR1000</v>
      </c>
      <c r="S40" s="2" t="str">
        <f ca="1">IFERROR(__xludf.DUMMYFUNCTION("""COMPUTED_VALUE"""),"TE-EMBED-WANI")</f>
        <v>TE-EMBED-WANI</v>
      </c>
      <c r="T40" s="10">
        <f ca="1">IFERROR(__xludf.DUMMYFUNCTION("""COMPUTED_VALUE"""),0)</f>
        <v>0</v>
      </c>
      <c r="U40" s="2" t="e">
        <f ca="1"/>
        <v>#NAME?</v>
      </c>
      <c r="V40" s="2" t="e">
        <f ca="1"/>
        <v>#NAME?</v>
      </c>
      <c r="W40" s="2" t="str">
        <f ca="1">IFERROR(__xludf.DUMMYFUNCTION("""COMPUTED_VALUE"""),"C1127-8PLTEP")</f>
        <v>C1127-8PLTEP</v>
      </c>
    </row>
    <row r="41" spans="1:23" ht="12.5" x14ac:dyDescent="0.25">
      <c r="A41" s="6">
        <v>4.5999999999999996</v>
      </c>
      <c r="B41" s="5" t="s">
        <v>64</v>
      </c>
      <c r="C41" s="5" t="s">
        <v>22</v>
      </c>
      <c r="D41" s="5" t="s">
        <v>65</v>
      </c>
      <c r="E41" s="7"/>
      <c r="F41" s="5" t="s">
        <v>25</v>
      </c>
      <c r="G41" s="5">
        <v>2</v>
      </c>
      <c r="H41" s="5" t="s">
        <v>26</v>
      </c>
      <c r="I41" s="6">
        <v>1</v>
      </c>
      <c r="J41" s="7"/>
      <c r="K41" s="6">
        <v>0</v>
      </c>
      <c r="L41" s="6">
        <v>0</v>
      </c>
      <c r="M41" s="6">
        <v>0</v>
      </c>
      <c r="N41" s="6">
        <v>0</v>
      </c>
      <c r="O41" s="7"/>
      <c r="P41" s="2"/>
      <c r="Q41" s="2"/>
      <c r="R41" s="2" t="str">
        <v>ISR1000</v>
      </c>
      <c r="S41" s="2" t="str">
        <f ca="1">IFERROR(__xludf.DUMMYFUNCTION("""COMPUTED_VALUE"""),"IOSXE-CTRL-MODE-PF")</f>
        <v>IOSXE-CTRL-MODE-PF</v>
      </c>
      <c r="T41" s="10">
        <f ca="1">IFERROR(__xludf.DUMMYFUNCTION("""COMPUTED_VALUE"""),0)</f>
        <v>0</v>
      </c>
      <c r="U41" s="2" t="e">
        <f ca="1"/>
        <v>#NAME?</v>
      </c>
      <c r="V41" s="2" t="e">
        <f ca="1"/>
        <v>#NAME?</v>
      </c>
      <c r="W41" s="2" t="str">
        <f ca="1">IFERROR(__xludf.DUMMYFUNCTION("""COMPUTED_VALUE"""),"C1127-8PLTEP")</f>
        <v>C1127-8PLTEP</v>
      </c>
    </row>
    <row r="42" spans="1:23" ht="12.5" x14ac:dyDescent="0.25">
      <c r="A42" s="6">
        <v>4.7</v>
      </c>
      <c r="B42" s="5" t="s">
        <v>66</v>
      </c>
      <c r="C42" s="5" t="s">
        <v>22</v>
      </c>
      <c r="D42" s="5" t="s">
        <v>67</v>
      </c>
      <c r="E42" s="7"/>
      <c r="F42" s="5" t="s">
        <v>25</v>
      </c>
      <c r="G42" s="5">
        <v>2</v>
      </c>
      <c r="H42" s="5" t="s">
        <v>26</v>
      </c>
      <c r="I42" s="6">
        <v>1</v>
      </c>
      <c r="J42" s="7"/>
      <c r="K42" s="6">
        <v>0</v>
      </c>
      <c r="L42" s="6">
        <v>0</v>
      </c>
      <c r="M42" s="6">
        <v>0</v>
      </c>
      <c r="N42" s="6">
        <v>0</v>
      </c>
      <c r="O42" s="7"/>
      <c r="P42" s="2"/>
      <c r="Q42" s="2"/>
      <c r="R42" s="2" t="str">
        <v>ISR1000</v>
      </c>
      <c r="S42" s="2" t="str">
        <f ca="1">IFERROR(__xludf.DUMMYFUNCTION("""COMPUTED_VALUE"""),"SDWAN-ONPREM-PF")</f>
        <v>SDWAN-ONPREM-PF</v>
      </c>
      <c r="T42" s="10">
        <f ca="1">IFERROR(__xludf.DUMMYFUNCTION("""COMPUTED_VALUE"""),0)</f>
        <v>0</v>
      </c>
      <c r="U42" s="2" t="e">
        <f ca="1"/>
        <v>#NAME?</v>
      </c>
      <c r="V42" s="2" t="e">
        <f ca="1"/>
        <v>#NAME?</v>
      </c>
      <c r="W42" s="2" t="str">
        <f ca="1">IFERROR(__xludf.DUMMYFUNCTION("""COMPUTED_VALUE"""),"C1127-8PLTEP")</f>
        <v>C1127-8PLTEP</v>
      </c>
    </row>
    <row r="43" spans="1:23" ht="12.5" x14ac:dyDescent="0.25">
      <c r="A43" s="6">
        <v>4.8</v>
      </c>
      <c r="B43" s="5" t="s">
        <v>78</v>
      </c>
      <c r="C43" s="5" t="s">
        <v>33</v>
      </c>
      <c r="D43" s="5" t="s">
        <v>79</v>
      </c>
      <c r="E43" s="7"/>
      <c r="F43" s="5" t="s">
        <v>25</v>
      </c>
      <c r="G43" s="5">
        <v>2</v>
      </c>
      <c r="H43" s="5" t="s">
        <v>26</v>
      </c>
      <c r="I43" s="6">
        <v>1</v>
      </c>
      <c r="J43" s="7"/>
      <c r="K43" s="6">
        <v>0</v>
      </c>
      <c r="L43" s="6">
        <v>0</v>
      </c>
      <c r="M43" s="6">
        <v>0</v>
      </c>
      <c r="N43" s="6">
        <v>0</v>
      </c>
      <c r="O43" s="7"/>
      <c r="P43" s="2"/>
      <c r="Q43" s="2"/>
      <c r="R43" s="2" t="str">
        <v>ISR1000</v>
      </c>
      <c r="S43" s="2" t="str">
        <f ca="1">IFERROR(__xludf.DUMMYFUNCTION("""COMPUTED_VALUE"""),"ISR1100-4GLTE-PF")</f>
        <v>ISR1100-4GLTE-PF</v>
      </c>
      <c r="T43" s="10">
        <f ca="1">IFERROR(__xludf.DUMMYFUNCTION("""COMPUTED_VALUE"""),0)</f>
        <v>0</v>
      </c>
      <c r="U43" s="2" t="e">
        <f ca="1"/>
        <v>#NAME?</v>
      </c>
      <c r="V43" s="2" t="e">
        <f ca="1"/>
        <v>#NAME?</v>
      </c>
      <c r="W43" s="2" t="str">
        <f ca="1">IFERROR(__xludf.DUMMYFUNCTION("""COMPUTED_VALUE"""),"C1127-8PLTEP")</f>
        <v>C1127-8PLTEP</v>
      </c>
    </row>
    <row r="44" spans="1:23" ht="12.5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2" t="s">
        <v>42</v>
      </c>
      <c r="N44" s="13">
        <v>6453.36</v>
      </c>
      <c r="O44" s="14"/>
      <c r="P44" s="2"/>
      <c r="Q44" s="2"/>
      <c r="R44" s="2" t="str">
        <v/>
      </c>
      <c r="S44" s="2" t="str">
        <f ca="1">IFERROR(__xludf.DUMMYFUNCTION("""COMPUTED_VALUE"""),"")</f>
        <v/>
      </c>
      <c r="T44" s="2" t="str">
        <f ca="1">IFERROR(__xludf.DUMMYFUNCTION("""COMPUTED_VALUE"""),"")</f>
        <v/>
      </c>
      <c r="U44" s="2" t="e">
        <f ca="1"/>
        <v>#NAME?</v>
      </c>
      <c r="V44" s="2" t="e">
        <f ca="1"/>
        <v>#NAME?</v>
      </c>
      <c r="W44" s="2" t="str">
        <f ca="1">IFERROR(__xludf.DUMMYFUNCTION("""COMPUTED_VALUE"""),"")</f>
        <v/>
      </c>
    </row>
    <row r="45" spans="1:23" ht="12.5" x14ac:dyDescent="0.25">
      <c r="A45" s="4">
        <v>5</v>
      </c>
      <c r="B45" s="4" t="s">
        <v>80</v>
      </c>
      <c r="C45" s="5" t="s">
        <v>22</v>
      </c>
      <c r="D45" s="5" t="s">
        <v>81</v>
      </c>
      <c r="E45" s="5" t="s">
        <v>24</v>
      </c>
      <c r="F45" s="5" t="s">
        <v>25</v>
      </c>
      <c r="G45" s="5">
        <v>56</v>
      </c>
      <c r="H45" s="5" t="s">
        <v>26</v>
      </c>
      <c r="I45" s="6">
        <v>1</v>
      </c>
      <c r="J45" s="7"/>
      <c r="K45" s="8">
        <v>1656.08</v>
      </c>
      <c r="L45" s="8">
        <v>1656.08</v>
      </c>
      <c r="M45" s="6">
        <v>0</v>
      </c>
      <c r="N45" s="8">
        <v>1656.08</v>
      </c>
      <c r="O45" s="7"/>
      <c r="P45" s="2"/>
      <c r="Q45" s="2"/>
      <c r="R45" s="2" t="str">
        <v>ISR1000</v>
      </c>
      <c r="S45" s="2" t="str">
        <f ca="1">IFERROR(__xludf.DUMMYFUNCTION("""COMPUTED_VALUE"""),"C1117-4P")</f>
        <v>C1117-4P</v>
      </c>
      <c r="T45" s="10">
        <f ca="1">IFERROR(__xludf.DUMMYFUNCTION("""COMPUTED_VALUE"""),1)</f>
        <v>1</v>
      </c>
      <c r="U45" s="2" t="e">
        <f ca="1"/>
        <v>#NAME?</v>
      </c>
      <c r="V45" s="2" t="e">
        <f ca="1"/>
        <v>#NAME?</v>
      </c>
      <c r="W45" s="2" t="str">
        <f ca="1">IFERROR(__xludf.DUMMYFUNCTION("""COMPUTED_VALUE"""),"C1117-4P")</f>
        <v>C1117-4P</v>
      </c>
    </row>
    <row r="46" spans="1:23" ht="12.5" x14ac:dyDescent="0.25">
      <c r="A46" s="6" t="s">
        <v>82</v>
      </c>
      <c r="B46" s="5" t="s">
        <v>83</v>
      </c>
      <c r="C46" s="5" t="s">
        <v>22</v>
      </c>
      <c r="D46" s="5" t="s">
        <v>84</v>
      </c>
      <c r="E46" s="7"/>
      <c r="F46" s="5">
        <v>24</v>
      </c>
      <c r="G46" s="5" t="s">
        <v>25</v>
      </c>
      <c r="H46" s="5" t="s">
        <v>26</v>
      </c>
      <c r="I46" s="6">
        <v>1</v>
      </c>
      <c r="J46" s="7"/>
      <c r="K46" s="6">
        <v>409.76</v>
      </c>
      <c r="L46" s="6">
        <v>409.76</v>
      </c>
      <c r="M46" s="6">
        <v>0</v>
      </c>
      <c r="N46" s="6">
        <v>409.76</v>
      </c>
      <c r="O46" s="5" t="s">
        <v>30</v>
      </c>
      <c r="P46" s="2"/>
      <c r="Q46" s="2"/>
      <c r="R46" s="2" t="str">
        <v>ISR1000</v>
      </c>
      <c r="S46" s="2" t="str">
        <f ca="1">IFERROR(__xludf.DUMMYFUNCTION("""COMPUTED_VALUE"""),"CON-L1NBD-C11174P1")</f>
        <v>CON-L1NBD-C11174P1</v>
      </c>
      <c r="T46" s="10">
        <f ca="1">IFERROR(__xludf.DUMMYFUNCTION("""COMPUTED_VALUE"""),0)</f>
        <v>0</v>
      </c>
      <c r="U46" s="2" t="e">
        <f ca="1"/>
        <v>#NAME?</v>
      </c>
      <c r="V46" s="2" t="e">
        <f ca="1"/>
        <v>#NAME?</v>
      </c>
      <c r="W46" s="2" t="str">
        <f ca="1">IFERROR(__xludf.DUMMYFUNCTION("""COMPUTED_VALUE"""),"C1117-4P")</f>
        <v>C1117-4P</v>
      </c>
    </row>
    <row r="47" spans="1:23" ht="12.5" x14ac:dyDescent="0.25">
      <c r="A47" s="6">
        <v>5.0999999999999996</v>
      </c>
      <c r="B47" s="5" t="s">
        <v>31</v>
      </c>
      <c r="C47" s="5" t="s">
        <v>22</v>
      </c>
      <c r="D47" s="5" t="s">
        <v>32</v>
      </c>
      <c r="E47" s="7"/>
      <c r="F47" s="5" t="s">
        <v>25</v>
      </c>
      <c r="G47" s="5">
        <v>42</v>
      </c>
      <c r="H47" s="5" t="s">
        <v>33</v>
      </c>
      <c r="I47" s="6">
        <v>1</v>
      </c>
      <c r="J47" s="7"/>
      <c r="K47" s="6">
        <v>0</v>
      </c>
      <c r="L47" s="6">
        <v>0</v>
      </c>
      <c r="M47" s="6">
        <v>0</v>
      </c>
      <c r="N47" s="6">
        <v>0</v>
      </c>
      <c r="O47" s="7"/>
      <c r="P47" s="2"/>
      <c r="Q47" s="2"/>
      <c r="R47" s="2" t="str">
        <v>ISR1000</v>
      </c>
      <c r="S47" s="2" t="str">
        <f ca="1">IFERROR(__xludf.DUMMYFUNCTION("""COMPUTED_VALUE"""),"PWR-66W-AC-V2")</f>
        <v>PWR-66W-AC-V2</v>
      </c>
      <c r="T47" s="10">
        <f ca="1">IFERROR(__xludf.DUMMYFUNCTION("""COMPUTED_VALUE"""),0)</f>
        <v>0</v>
      </c>
      <c r="U47" s="2" t="e">
        <f ca="1"/>
        <v>#NAME?</v>
      </c>
      <c r="V47" s="2" t="e">
        <f ca="1"/>
        <v>#NAME?</v>
      </c>
      <c r="W47" s="2" t="str">
        <f ca="1">IFERROR(__xludf.DUMMYFUNCTION("""COMPUTED_VALUE"""),"C1117-4P")</f>
        <v>C1117-4P</v>
      </c>
    </row>
    <row r="48" spans="1:23" ht="12.5" x14ac:dyDescent="0.25">
      <c r="A48" s="6">
        <v>5.2</v>
      </c>
      <c r="B48" s="5" t="s">
        <v>85</v>
      </c>
      <c r="C48" s="5" t="s">
        <v>22</v>
      </c>
      <c r="D48" s="5" t="s">
        <v>86</v>
      </c>
      <c r="E48" s="7"/>
      <c r="F48" s="5" t="s">
        <v>25</v>
      </c>
      <c r="G48" s="5">
        <v>2</v>
      </c>
      <c r="H48" s="5" t="s">
        <v>33</v>
      </c>
      <c r="I48" s="6">
        <v>1</v>
      </c>
      <c r="J48" s="7"/>
      <c r="K48" s="6">
        <v>0</v>
      </c>
      <c r="L48" s="6">
        <v>0</v>
      </c>
      <c r="M48" s="6">
        <v>0</v>
      </c>
      <c r="N48" s="6">
        <v>0</v>
      </c>
      <c r="O48" s="7"/>
      <c r="P48" s="2"/>
      <c r="Q48" s="2"/>
      <c r="R48" s="2" t="str">
        <v>ISR1000</v>
      </c>
      <c r="S48" s="2" t="str">
        <f ca="1">IFERROR(__xludf.DUMMYFUNCTION("""COMPUTED_VALUE"""),"SL-1100-4P-IPB")</f>
        <v>SL-1100-4P-IPB</v>
      </c>
      <c r="T48" s="10">
        <f ca="1">IFERROR(__xludf.DUMMYFUNCTION("""COMPUTED_VALUE"""),0)</f>
        <v>0</v>
      </c>
      <c r="U48" s="2" t="e">
        <f ca="1"/>
        <v>#NAME?</v>
      </c>
      <c r="V48" s="2" t="e">
        <f ca="1"/>
        <v>#NAME?</v>
      </c>
      <c r="W48" s="2" t="str">
        <f ca="1">IFERROR(__xludf.DUMMYFUNCTION("""COMPUTED_VALUE"""),"C1117-4P")</f>
        <v>C1117-4P</v>
      </c>
    </row>
    <row r="49" spans="1:23" ht="12.5" x14ac:dyDescent="0.25">
      <c r="A49" s="6">
        <v>5.3</v>
      </c>
      <c r="B49" s="5" t="s">
        <v>36</v>
      </c>
      <c r="C49" s="5" t="s">
        <v>22</v>
      </c>
      <c r="D49" s="5" t="s">
        <v>37</v>
      </c>
      <c r="E49" s="7"/>
      <c r="F49" s="5" t="s">
        <v>25</v>
      </c>
      <c r="G49" s="5">
        <v>14</v>
      </c>
      <c r="H49" s="5" t="s">
        <v>26</v>
      </c>
      <c r="I49" s="6">
        <v>1</v>
      </c>
      <c r="J49" s="7"/>
      <c r="K49" s="6">
        <v>0</v>
      </c>
      <c r="L49" s="6">
        <v>0</v>
      </c>
      <c r="M49" s="6">
        <v>0</v>
      </c>
      <c r="N49" s="6">
        <v>0</v>
      </c>
      <c r="O49" s="7"/>
      <c r="P49" s="2"/>
      <c r="Q49" s="2"/>
      <c r="R49" s="2" t="str">
        <v>ISR1000</v>
      </c>
      <c r="S49" s="2" t="str">
        <f ca="1">IFERROR(__xludf.DUMMYFUNCTION("""COMPUTED_VALUE"""),"CAB-ACE")</f>
        <v>CAB-ACE</v>
      </c>
      <c r="T49" s="10">
        <f ca="1">IFERROR(__xludf.DUMMYFUNCTION("""COMPUTED_VALUE"""),0)</f>
        <v>0</v>
      </c>
      <c r="U49" s="2" t="e">
        <f ca="1"/>
        <v>#NAME?</v>
      </c>
      <c r="V49" s="2" t="e">
        <f ca="1"/>
        <v>#NAME?</v>
      </c>
      <c r="W49" s="2" t="str">
        <f ca="1">IFERROR(__xludf.DUMMYFUNCTION("""COMPUTED_VALUE"""),"C1117-4P")</f>
        <v>C1117-4P</v>
      </c>
    </row>
    <row r="50" spans="1:23" ht="12.5" x14ac:dyDescent="0.25">
      <c r="A50" s="6">
        <v>5.4</v>
      </c>
      <c r="B50" s="5" t="s">
        <v>40</v>
      </c>
      <c r="C50" s="5" t="s">
        <v>22</v>
      </c>
      <c r="D50" s="5" t="s">
        <v>41</v>
      </c>
      <c r="E50" s="7"/>
      <c r="F50" s="5" t="s">
        <v>25</v>
      </c>
      <c r="G50" s="5">
        <v>28</v>
      </c>
      <c r="H50" s="5" t="s">
        <v>26</v>
      </c>
      <c r="I50" s="6">
        <v>1</v>
      </c>
      <c r="J50" s="7"/>
      <c r="K50" s="6">
        <v>0</v>
      </c>
      <c r="L50" s="6">
        <v>0</v>
      </c>
      <c r="M50" s="6">
        <v>0</v>
      </c>
      <c r="N50" s="6">
        <v>0</v>
      </c>
      <c r="O50" s="7"/>
      <c r="P50" s="2"/>
      <c r="Q50" s="2"/>
      <c r="R50" s="2" t="str">
        <v>ISR1000</v>
      </c>
      <c r="S50" s="2" t="str">
        <f ca="1">IFERROR(__xludf.DUMMYFUNCTION("""COMPUTED_VALUE"""),"SISR1100UK9-1712")</f>
        <v>SISR1100UK9-1712</v>
      </c>
      <c r="T50" s="10">
        <f ca="1">IFERROR(__xludf.DUMMYFUNCTION("""COMPUTED_VALUE"""),0)</f>
        <v>0</v>
      </c>
      <c r="U50" s="2" t="e">
        <f ca="1"/>
        <v>#NAME?</v>
      </c>
      <c r="V50" s="2" t="e">
        <f ca="1"/>
        <v>#NAME?</v>
      </c>
      <c r="W50" s="2" t="str">
        <f ca="1">IFERROR(__xludf.DUMMYFUNCTION("""COMPUTED_VALUE"""),"C1117-4P")</f>
        <v>C1117-4P</v>
      </c>
    </row>
    <row r="51" spans="1:23" ht="12.5" x14ac:dyDescent="0.25">
      <c r="A51" s="6">
        <v>5.5</v>
      </c>
      <c r="B51" s="5" t="s">
        <v>75</v>
      </c>
      <c r="C51" s="5" t="s">
        <v>22</v>
      </c>
      <c r="D51" s="5" t="s">
        <v>76</v>
      </c>
      <c r="E51" s="7"/>
      <c r="F51" s="5" t="s">
        <v>25</v>
      </c>
      <c r="G51" s="5">
        <v>28</v>
      </c>
      <c r="H51" s="5" t="s">
        <v>33</v>
      </c>
      <c r="I51" s="6">
        <v>1</v>
      </c>
      <c r="J51" s="7"/>
      <c r="K51" s="6">
        <v>0</v>
      </c>
      <c r="L51" s="6">
        <v>0</v>
      </c>
      <c r="M51" s="6">
        <v>0</v>
      </c>
      <c r="N51" s="6">
        <v>0</v>
      </c>
      <c r="O51" s="7"/>
      <c r="P51" s="2"/>
      <c r="Q51" s="2"/>
      <c r="R51" s="2" t="str">
        <v>ISR1000</v>
      </c>
      <c r="S51" s="2" t="str">
        <f ca="1">IFERROR(__xludf.DUMMYFUNCTION("""COMPUTED_VALUE"""),"FW-VA-1117-39T")</f>
        <v>FW-VA-1117-39T</v>
      </c>
      <c r="T51" s="10">
        <f ca="1">IFERROR(__xludf.DUMMYFUNCTION("""COMPUTED_VALUE"""),0)</f>
        <v>0</v>
      </c>
      <c r="U51" s="2" t="e">
        <f ca="1"/>
        <v>#NAME?</v>
      </c>
      <c r="V51" s="2" t="e">
        <f ca="1"/>
        <v>#NAME?</v>
      </c>
      <c r="W51" s="2" t="str">
        <f ca="1">IFERROR(__xludf.DUMMYFUNCTION("""COMPUTED_VALUE"""),"C1117-4P")</f>
        <v>C1117-4P</v>
      </c>
    </row>
    <row r="52" spans="1:23" ht="12.5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2" t="s">
        <v>42</v>
      </c>
      <c r="N52" s="13">
        <v>2065.84</v>
      </c>
      <c r="O52" s="14"/>
      <c r="P52" s="2"/>
      <c r="Q52" s="2"/>
      <c r="R52" s="2" t="str">
        <v/>
      </c>
      <c r="S52" s="2" t="str">
        <f ca="1">IFERROR(__xludf.DUMMYFUNCTION("""COMPUTED_VALUE"""),"")</f>
        <v/>
      </c>
      <c r="T52" s="2" t="str">
        <f ca="1">IFERROR(__xludf.DUMMYFUNCTION("""COMPUTED_VALUE"""),"")</f>
        <v/>
      </c>
      <c r="U52" s="2" t="e">
        <f ca="1"/>
        <v>#NAME?</v>
      </c>
      <c r="V52" s="2" t="e">
        <f ca="1"/>
        <v>#NAME?</v>
      </c>
      <c r="W52" s="2" t="str">
        <f ca="1">IFERROR(__xludf.DUMMYFUNCTION("""COMPUTED_VALUE"""),"")</f>
        <v/>
      </c>
    </row>
    <row r="53" spans="1:23" ht="12.5" x14ac:dyDescent="0.25">
      <c r="A53" s="15"/>
      <c r="B53" s="15"/>
      <c r="C53" s="16" t="s">
        <v>87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2" t="str">
        <v/>
      </c>
      <c r="S53" s="2" t="str">
        <f ca="1">IFERROR(__xludf.DUMMYFUNCTION("""COMPUTED_VALUE"""),"")</f>
        <v/>
      </c>
      <c r="T53" s="2" t="str">
        <f ca="1">IFERROR(__xludf.DUMMYFUNCTION("""COMPUTED_VALUE"""),"")</f>
        <v/>
      </c>
      <c r="U53" s="2" t="e">
        <f ca="1"/>
        <v>#NAME?</v>
      </c>
      <c r="V53" s="2" t="e">
        <f ca="1"/>
        <v>#NAME?</v>
      </c>
      <c r="W53" s="2" t="str">
        <f ca="1">IFERROR(__xludf.DUMMYFUNCTION("""COMPUTED_VALUE"""),"")</f>
        <v/>
      </c>
    </row>
    <row r="54" spans="1:23" ht="12.5" x14ac:dyDescent="0.25">
      <c r="A54" s="4">
        <v>6</v>
      </c>
      <c r="B54" s="4" t="s">
        <v>44</v>
      </c>
      <c r="C54" s="5" t="s">
        <v>33</v>
      </c>
      <c r="D54" s="5" t="s">
        <v>45</v>
      </c>
      <c r="E54" s="5" t="s">
        <v>24</v>
      </c>
      <c r="F54" s="5" t="s">
        <v>25</v>
      </c>
      <c r="G54" s="5">
        <v>4</v>
      </c>
      <c r="H54" s="5" t="s">
        <v>26</v>
      </c>
      <c r="I54" s="6">
        <v>1</v>
      </c>
      <c r="J54" s="7"/>
      <c r="K54" s="6">
        <v>0</v>
      </c>
      <c r="L54" s="6">
        <v>0</v>
      </c>
      <c r="M54" s="6">
        <v>0</v>
      </c>
      <c r="N54" s="6">
        <v>0</v>
      </c>
      <c r="O54" s="7"/>
      <c r="P54" s="2"/>
      <c r="Q54" s="2"/>
      <c r="R54" s="2" t="str">
        <v>ISR1000</v>
      </c>
      <c r="S54" s="2" t="str">
        <f ca="1">IFERROR(__xludf.DUMMYFUNCTION("""COMPUTED_VALUE"""),"L-DNA-TIER-ADD")</f>
        <v>L-DNA-TIER-ADD</v>
      </c>
      <c r="T54" s="10">
        <f ca="1">IFERROR(__xludf.DUMMYFUNCTION("""COMPUTED_VALUE"""),1)</f>
        <v>1</v>
      </c>
      <c r="U54" s="2" t="e">
        <f ca="1"/>
        <v>#NAME?</v>
      </c>
      <c r="V54" s="2" t="e">
        <f ca="1"/>
        <v>#NAME?</v>
      </c>
      <c r="W54" s="2" t="str">
        <f ca="1">IFERROR(__xludf.DUMMYFUNCTION("""COMPUTED_VALUE"""),"C1117-4P")</f>
        <v>C1117-4P</v>
      </c>
    </row>
    <row r="55" spans="1:23" ht="12.5" x14ac:dyDescent="0.25">
      <c r="A55" s="6">
        <v>6.1</v>
      </c>
      <c r="B55" s="5" t="s">
        <v>46</v>
      </c>
      <c r="C55" s="5" t="s">
        <v>33</v>
      </c>
      <c r="D55" s="5" t="s">
        <v>47</v>
      </c>
      <c r="E55" s="7"/>
      <c r="F55" s="5" t="s">
        <v>25</v>
      </c>
      <c r="G55" s="5" t="s">
        <v>25</v>
      </c>
      <c r="H55" s="5" t="s">
        <v>26</v>
      </c>
      <c r="I55" s="6">
        <v>1</v>
      </c>
      <c r="J55" s="7"/>
      <c r="K55" s="6">
        <v>148.61000000000001</v>
      </c>
      <c r="L55" s="8">
        <v>5349.96</v>
      </c>
      <c r="M55" s="6">
        <v>0</v>
      </c>
      <c r="N55" s="8">
        <v>5349.96</v>
      </c>
      <c r="O55" s="7"/>
      <c r="P55" s="2"/>
      <c r="Q55" s="2"/>
      <c r="R55" s="2" t="str">
        <v>ISR1000</v>
      </c>
      <c r="S55" s="2" t="str">
        <f ca="1">IFERROR(__xludf.DUMMYFUNCTION("""COMPUTED_VALUE"""),"DNA-P-T1-A-3Y")</f>
        <v>DNA-P-T1-A-3Y</v>
      </c>
      <c r="T55" s="10">
        <f ca="1">IFERROR(__xludf.DUMMYFUNCTION("""COMPUTED_VALUE"""),0)</f>
        <v>0</v>
      </c>
      <c r="U55" s="2" t="e">
        <f ca="1"/>
        <v>#NAME?</v>
      </c>
      <c r="V55" s="2" t="e">
        <f ca="1"/>
        <v>#NAME?</v>
      </c>
      <c r="W55" s="2" t="str">
        <f ca="1">IFERROR(__xludf.DUMMYFUNCTION("""COMPUTED_VALUE"""),"C1117-4P")</f>
        <v>C1117-4P</v>
      </c>
    </row>
    <row r="56" spans="1:23" ht="12.5" x14ac:dyDescent="0.25">
      <c r="A56" s="6">
        <v>6.2</v>
      </c>
      <c r="B56" s="5" t="s">
        <v>48</v>
      </c>
      <c r="C56" s="5" t="s">
        <v>22</v>
      </c>
      <c r="D56" s="5" t="s">
        <v>49</v>
      </c>
      <c r="E56" s="7"/>
      <c r="F56" s="5" t="s">
        <v>25</v>
      </c>
      <c r="G56" s="5">
        <v>2</v>
      </c>
      <c r="H56" s="5" t="s">
        <v>26</v>
      </c>
      <c r="I56" s="6">
        <v>1</v>
      </c>
      <c r="J56" s="7"/>
      <c r="K56" s="6">
        <v>30.65</v>
      </c>
      <c r="L56" s="8">
        <v>1103.4000000000001</v>
      </c>
      <c r="M56" s="6">
        <v>0</v>
      </c>
      <c r="N56" s="8">
        <v>1103.4000000000001</v>
      </c>
      <c r="O56" s="7"/>
      <c r="P56" s="2"/>
      <c r="Q56" s="2"/>
      <c r="R56" s="2" t="str">
        <v>ISR1000</v>
      </c>
      <c r="S56" s="2" t="str">
        <f ca="1">IFERROR(__xludf.DUMMYFUNCTION("""COMPUTED_VALUE"""),"SVS-PSTL1-T1-A3Y")</f>
        <v>SVS-PSTL1-T1-A3Y</v>
      </c>
      <c r="T56" s="10">
        <f ca="1">IFERROR(__xludf.DUMMYFUNCTION("""COMPUTED_VALUE"""),0)</f>
        <v>0</v>
      </c>
      <c r="U56" s="2" t="e">
        <f ca="1"/>
        <v>#NAME?</v>
      </c>
      <c r="V56" s="2" t="e">
        <f ca="1"/>
        <v>#NAME?</v>
      </c>
      <c r="W56" s="2" t="str">
        <f ca="1">IFERROR(__xludf.DUMMYFUNCTION("""COMPUTED_VALUE"""),"C1117-4P")</f>
        <v>C1117-4P</v>
      </c>
    </row>
    <row r="57" spans="1:23" ht="12.5" x14ac:dyDescent="0.25">
      <c r="A57" s="6">
        <v>6.3</v>
      </c>
      <c r="B57" s="5" t="s">
        <v>50</v>
      </c>
      <c r="C57" s="5" t="s">
        <v>33</v>
      </c>
      <c r="D57" s="5" t="s">
        <v>51</v>
      </c>
      <c r="E57" s="7"/>
      <c r="F57" s="5" t="s">
        <v>25</v>
      </c>
      <c r="G57" s="5">
        <v>2</v>
      </c>
      <c r="H57" s="5" t="s">
        <v>26</v>
      </c>
      <c r="I57" s="6">
        <v>1</v>
      </c>
      <c r="J57" s="7"/>
      <c r="K57" s="6">
        <v>0</v>
      </c>
      <c r="L57" s="6">
        <v>0</v>
      </c>
      <c r="M57" s="6">
        <v>0</v>
      </c>
      <c r="N57" s="6">
        <v>0</v>
      </c>
      <c r="O57" s="7"/>
      <c r="P57" s="2"/>
      <c r="Q57" s="2"/>
      <c r="R57" s="2" t="str">
        <v>ISR1000</v>
      </c>
      <c r="S57" s="2" t="str">
        <f ca="1">IFERROR(__xludf.DUMMYFUNCTION("""COMPUTED_VALUE"""),"DSTACK-T1-A")</f>
        <v>DSTACK-T1-A</v>
      </c>
      <c r="T57" s="10">
        <f ca="1">IFERROR(__xludf.DUMMYFUNCTION("""COMPUTED_VALUE"""),0)</f>
        <v>0</v>
      </c>
      <c r="U57" s="2" t="e">
        <f ca="1"/>
        <v>#NAME?</v>
      </c>
      <c r="V57" s="2" t="e">
        <f ca="1"/>
        <v>#NAME?</v>
      </c>
      <c r="W57" s="2" t="str">
        <f ca="1">IFERROR(__xludf.DUMMYFUNCTION("""COMPUTED_VALUE"""),"C1117-4P")</f>
        <v>C1117-4P</v>
      </c>
    </row>
    <row r="58" spans="1:23" ht="12.5" x14ac:dyDescent="0.25">
      <c r="A58" s="6">
        <v>6.4</v>
      </c>
      <c r="B58" s="5" t="s">
        <v>52</v>
      </c>
      <c r="C58" s="5" t="s">
        <v>33</v>
      </c>
      <c r="D58" s="5" t="s">
        <v>53</v>
      </c>
      <c r="E58" s="7"/>
      <c r="F58" s="5" t="s">
        <v>25</v>
      </c>
      <c r="G58" s="5">
        <v>2</v>
      </c>
      <c r="H58" s="5" t="s">
        <v>26</v>
      </c>
      <c r="I58" s="6">
        <v>1</v>
      </c>
      <c r="J58" s="7"/>
      <c r="K58" s="6">
        <v>0</v>
      </c>
      <c r="L58" s="6">
        <v>0</v>
      </c>
      <c r="M58" s="6">
        <v>0</v>
      </c>
      <c r="N58" s="6">
        <v>0</v>
      </c>
      <c r="O58" s="7"/>
      <c r="P58" s="2"/>
      <c r="Q58" s="2"/>
      <c r="R58" s="2" t="str">
        <v>ISR1000</v>
      </c>
      <c r="S58" s="2" t="str">
        <f ca="1">IFERROR(__xludf.DUMMYFUNCTION("""COMPUTED_VALUE"""),"SDWAN-UMB-ADV")</f>
        <v>SDWAN-UMB-ADV</v>
      </c>
      <c r="T58" s="10">
        <f ca="1">IFERROR(__xludf.DUMMYFUNCTION("""COMPUTED_VALUE"""),0)</f>
        <v>0</v>
      </c>
      <c r="U58" s="2" t="e">
        <f ca="1"/>
        <v>#NAME?</v>
      </c>
      <c r="V58" s="2" t="e">
        <f ca="1"/>
        <v>#NAME?</v>
      </c>
      <c r="W58" s="2" t="str">
        <f ca="1">IFERROR(__xludf.DUMMYFUNCTION("""COMPUTED_VALUE"""),"C1117-4P")</f>
        <v>C1117-4P</v>
      </c>
    </row>
    <row r="59" spans="1:23" ht="12.5" x14ac:dyDescent="0.25">
      <c r="A59" s="6">
        <v>6.5</v>
      </c>
      <c r="B59" s="5" t="s">
        <v>54</v>
      </c>
      <c r="C59" s="5" t="s">
        <v>33</v>
      </c>
      <c r="D59" s="5" t="s">
        <v>55</v>
      </c>
      <c r="E59" s="7"/>
      <c r="F59" s="5" t="s">
        <v>25</v>
      </c>
      <c r="G59" s="5">
        <v>2</v>
      </c>
      <c r="H59" s="5" t="s">
        <v>26</v>
      </c>
      <c r="I59" s="6">
        <v>1</v>
      </c>
      <c r="J59" s="7"/>
      <c r="K59" s="6">
        <v>0</v>
      </c>
      <c r="L59" s="6">
        <v>0</v>
      </c>
      <c r="M59" s="6">
        <v>0</v>
      </c>
      <c r="N59" s="6">
        <v>0</v>
      </c>
      <c r="O59" s="7"/>
      <c r="P59" s="2"/>
      <c r="Q59" s="2"/>
      <c r="R59" s="2" t="str">
        <v>ISR1000</v>
      </c>
      <c r="S59" s="2" t="str">
        <f ca="1">IFERROR(__xludf.DUMMYFUNCTION("""COMPUTED_VALUE"""),"TE-EMBED-WANI")</f>
        <v>TE-EMBED-WANI</v>
      </c>
      <c r="T59" s="10">
        <f ca="1">IFERROR(__xludf.DUMMYFUNCTION("""COMPUTED_VALUE"""),0)</f>
        <v>0</v>
      </c>
      <c r="U59" s="2" t="e">
        <f ca="1"/>
        <v>#NAME?</v>
      </c>
      <c r="V59" s="2" t="e">
        <f ca="1"/>
        <v>#NAME?</v>
      </c>
      <c r="W59" s="2" t="str">
        <f ca="1">IFERROR(__xludf.DUMMYFUNCTION("""COMPUTED_VALUE"""),"C1117-4P")</f>
        <v>C1117-4P</v>
      </c>
    </row>
    <row r="60" spans="1:23" ht="12.5" x14ac:dyDescent="0.25">
      <c r="A60" s="6">
        <v>6.6</v>
      </c>
      <c r="B60" s="5" t="s">
        <v>88</v>
      </c>
      <c r="C60" s="5" t="s">
        <v>33</v>
      </c>
      <c r="D60" s="5" t="s">
        <v>89</v>
      </c>
      <c r="E60" s="7"/>
      <c r="F60" s="5" t="s">
        <v>25</v>
      </c>
      <c r="G60" s="5">
        <v>2</v>
      </c>
      <c r="H60" s="5" t="s">
        <v>26</v>
      </c>
      <c r="I60" s="6">
        <v>1</v>
      </c>
      <c r="J60" s="7"/>
      <c r="K60" s="6">
        <v>0</v>
      </c>
      <c r="L60" s="6">
        <v>0</v>
      </c>
      <c r="M60" s="6">
        <v>0</v>
      </c>
      <c r="N60" s="6">
        <v>0</v>
      </c>
      <c r="O60" s="7"/>
      <c r="P60" s="2"/>
      <c r="Q60" s="2"/>
      <c r="R60" s="2" t="str">
        <v>ISR1000</v>
      </c>
      <c r="S60" s="2" t="str">
        <f ca="1">IFERROR(__xludf.DUMMYFUNCTION("""COMPUTED_VALUE"""),"C1100-4P-DNA-PF")</f>
        <v>C1100-4P-DNA-PF</v>
      </c>
      <c r="T60" s="10">
        <f ca="1">IFERROR(__xludf.DUMMYFUNCTION("""COMPUTED_VALUE"""),0)</f>
        <v>0</v>
      </c>
      <c r="U60" s="2" t="e">
        <f ca="1"/>
        <v>#NAME?</v>
      </c>
      <c r="V60" s="2" t="e">
        <f ca="1"/>
        <v>#NAME?</v>
      </c>
      <c r="W60" s="2" t="str">
        <f ca="1">IFERROR(__xludf.DUMMYFUNCTION("""COMPUTED_VALUE"""),"C1117-4P")</f>
        <v>C1117-4P</v>
      </c>
    </row>
    <row r="61" spans="1:23" ht="12.5" x14ac:dyDescent="0.25">
      <c r="A61" s="6">
        <v>6.7</v>
      </c>
      <c r="B61" s="5" t="s">
        <v>90</v>
      </c>
      <c r="C61" s="5" t="s">
        <v>33</v>
      </c>
      <c r="D61" s="5" t="s">
        <v>91</v>
      </c>
      <c r="E61" s="7"/>
      <c r="F61" s="5" t="s">
        <v>25</v>
      </c>
      <c r="G61" s="5">
        <v>2</v>
      </c>
      <c r="H61" s="5" t="s">
        <v>26</v>
      </c>
      <c r="I61" s="6">
        <v>1</v>
      </c>
      <c r="J61" s="7"/>
      <c r="K61" s="6">
        <v>0</v>
      </c>
      <c r="L61" s="6">
        <v>0</v>
      </c>
      <c r="M61" s="6">
        <v>0</v>
      </c>
      <c r="N61" s="6">
        <v>0</v>
      </c>
      <c r="O61" s="7"/>
      <c r="P61" s="2"/>
      <c r="Q61" s="2"/>
      <c r="R61" s="2" t="str">
        <v>ISR1000</v>
      </c>
      <c r="S61" s="2" t="str">
        <f ca="1">IFERROR(__xludf.DUMMYFUNCTION("""COMPUTED_VALUE"""),"FL-1100-4P-HSEC-L")</f>
        <v>FL-1100-4P-HSEC-L</v>
      </c>
      <c r="T61" s="10">
        <f ca="1">IFERROR(__xludf.DUMMYFUNCTION("""COMPUTED_VALUE"""),0)</f>
        <v>0</v>
      </c>
      <c r="U61" s="2" t="e">
        <f ca="1"/>
        <v>#NAME?</v>
      </c>
      <c r="V61" s="2" t="e">
        <f ca="1"/>
        <v>#NAME?</v>
      </c>
      <c r="W61" s="2" t="str">
        <f ca="1">IFERROR(__xludf.DUMMYFUNCTION("""COMPUTED_VALUE"""),"C1117-4P")</f>
        <v>C1117-4P</v>
      </c>
    </row>
    <row r="62" spans="1:23" ht="12.5" x14ac:dyDescent="0.25">
      <c r="A62" s="6">
        <v>6.8</v>
      </c>
      <c r="B62" s="5" t="s">
        <v>92</v>
      </c>
      <c r="C62" s="5" t="s">
        <v>33</v>
      </c>
      <c r="D62" s="5" t="s">
        <v>93</v>
      </c>
      <c r="E62" s="7"/>
      <c r="F62" s="5" t="s">
        <v>25</v>
      </c>
      <c r="G62" s="5">
        <v>2</v>
      </c>
      <c r="H62" s="5" t="s">
        <v>26</v>
      </c>
      <c r="I62" s="6">
        <v>1</v>
      </c>
      <c r="J62" s="7"/>
      <c r="K62" s="6">
        <v>0</v>
      </c>
      <c r="L62" s="6">
        <v>0</v>
      </c>
      <c r="M62" s="6">
        <v>0</v>
      </c>
      <c r="N62" s="6">
        <v>0</v>
      </c>
      <c r="O62" s="7"/>
      <c r="P62" s="2"/>
      <c r="Q62" s="2"/>
      <c r="R62" s="2" t="str">
        <v>ISR1000</v>
      </c>
      <c r="S62" s="2" t="str">
        <f ca="1">IFERROR(__xludf.DUMMYFUNCTION("""COMPUTED_VALUE"""),"SL-1100-4P-NA-A-L")</f>
        <v>SL-1100-4P-NA-A-L</v>
      </c>
      <c r="T62" s="10">
        <f ca="1">IFERROR(__xludf.DUMMYFUNCTION("""COMPUTED_VALUE"""),0)</f>
        <v>0</v>
      </c>
      <c r="U62" s="2" t="e">
        <f ca="1"/>
        <v>#NAME?</v>
      </c>
      <c r="V62" s="2" t="e">
        <f ca="1"/>
        <v>#NAME?</v>
      </c>
      <c r="W62" s="2" t="str">
        <f ca="1">IFERROR(__xludf.DUMMYFUNCTION("""COMPUTED_VALUE"""),"C1117-4P")</f>
        <v>C1117-4P</v>
      </c>
    </row>
    <row r="63" spans="1:23" ht="12.5" x14ac:dyDescent="0.25">
      <c r="A63" s="6">
        <v>6.9</v>
      </c>
      <c r="B63" s="5" t="s">
        <v>62</v>
      </c>
      <c r="C63" s="5" t="s">
        <v>33</v>
      </c>
      <c r="D63" s="5" t="s">
        <v>63</v>
      </c>
      <c r="E63" s="7"/>
      <c r="F63" s="5" t="s">
        <v>25</v>
      </c>
      <c r="G63" s="5">
        <v>2</v>
      </c>
      <c r="H63" s="5" t="s">
        <v>26</v>
      </c>
      <c r="I63" s="6">
        <v>1</v>
      </c>
      <c r="J63" s="7"/>
      <c r="K63" s="6">
        <v>0</v>
      </c>
      <c r="L63" s="6">
        <v>0</v>
      </c>
      <c r="M63" s="6">
        <v>0</v>
      </c>
      <c r="N63" s="6">
        <v>0</v>
      </c>
      <c r="O63" s="7"/>
      <c r="P63" s="2"/>
      <c r="Q63" s="2"/>
      <c r="R63" s="2" t="str">
        <v>ISR1000</v>
      </c>
      <c r="S63" s="2" t="str">
        <f ca="1">IFERROR(__xludf.DUMMYFUNCTION("""COMPUTED_VALUE"""),"DNA-HSEC-UPGD")</f>
        <v>DNA-HSEC-UPGD</v>
      </c>
      <c r="T63" s="10">
        <f ca="1">IFERROR(__xludf.DUMMYFUNCTION("""COMPUTED_VALUE"""),0)</f>
        <v>0</v>
      </c>
      <c r="U63" s="2" t="e">
        <f ca="1"/>
        <v>#NAME?</v>
      </c>
      <c r="V63" s="2" t="e">
        <f ca="1"/>
        <v>#NAME?</v>
      </c>
      <c r="W63" s="2" t="str">
        <f ca="1">IFERROR(__xludf.DUMMYFUNCTION("""COMPUTED_VALUE"""),"C1117-4P")</f>
        <v>C1117-4P</v>
      </c>
    </row>
    <row r="64" spans="1:23" ht="12.5" x14ac:dyDescent="0.25">
      <c r="A64" s="6">
        <v>6.1</v>
      </c>
      <c r="B64" s="5" t="s">
        <v>64</v>
      </c>
      <c r="C64" s="5" t="s">
        <v>22</v>
      </c>
      <c r="D64" s="5" t="s">
        <v>65</v>
      </c>
      <c r="E64" s="7"/>
      <c r="F64" s="5" t="s">
        <v>25</v>
      </c>
      <c r="G64" s="5">
        <v>2</v>
      </c>
      <c r="H64" s="5" t="s">
        <v>26</v>
      </c>
      <c r="I64" s="6">
        <v>1</v>
      </c>
      <c r="J64" s="7"/>
      <c r="K64" s="6">
        <v>0</v>
      </c>
      <c r="L64" s="6">
        <v>0</v>
      </c>
      <c r="M64" s="6">
        <v>0</v>
      </c>
      <c r="N64" s="6">
        <v>0</v>
      </c>
      <c r="O64" s="7"/>
      <c r="P64" s="2"/>
      <c r="Q64" s="2"/>
      <c r="R64" s="2" t="str">
        <v>ISR1000</v>
      </c>
      <c r="S64" s="2" t="str">
        <f ca="1">IFERROR(__xludf.DUMMYFUNCTION("""COMPUTED_VALUE"""),"IOSXE-CTRL-MODE-PF")</f>
        <v>IOSXE-CTRL-MODE-PF</v>
      </c>
      <c r="T64" s="10">
        <f ca="1">IFERROR(__xludf.DUMMYFUNCTION("""COMPUTED_VALUE"""),0)</f>
        <v>0</v>
      </c>
      <c r="U64" s="2" t="e">
        <f ca="1"/>
        <v>#NAME?</v>
      </c>
      <c r="V64" s="2" t="e">
        <f ca="1"/>
        <v>#NAME?</v>
      </c>
      <c r="W64" s="2" t="str">
        <f ca="1">IFERROR(__xludf.DUMMYFUNCTION("""COMPUTED_VALUE"""),"C1117-4P")</f>
        <v>C1117-4P</v>
      </c>
    </row>
    <row r="65" spans="1:23" ht="12.5" x14ac:dyDescent="0.25">
      <c r="A65" s="6">
        <v>6.11</v>
      </c>
      <c r="B65" s="5" t="s">
        <v>66</v>
      </c>
      <c r="C65" s="5" t="s">
        <v>22</v>
      </c>
      <c r="D65" s="5" t="s">
        <v>67</v>
      </c>
      <c r="E65" s="7"/>
      <c r="F65" s="5" t="s">
        <v>25</v>
      </c>
      <c r="G65" s="5">
        <v>2</v>
      </c>
      <c r="H65" s="5" t="s">
        <v>26</v>
      </c>
      <c r="I65" s="6">
        <v>1</v>
      </c>
      <c r="J65" s="7"/>
      <c r="K65" s="6">
        <v>0</v>
      </c>
      <c r="L65" s="6">
        <v>0</v>
      </c>
      <c r="M65" s="6">
        <v>0</v>
      </c>
      <c r="N65" s="6">
        <v>0</v>
      </c>
      <c r="O65" s="7"/>
      <c r="P65" s="2"/>
      <c r="Q65" s="2"/>
      <c r="R65" s="2" t="str">
        <v>ISR1000</v>
      </c>
      <c r="S65" s="2" t="str">
        <f ca="1">IFERROR(__xludf.DUMMYFUNCTION("""COMPUTED_VALUE"""),"SDWAN-ONPREM-PF")</f>
        <v>SDWAN-ONPREM-PF</v>
      </c>
      <c r="T65" s="10">
        <f ca="1">IFERROR(__xludf.DUMMYFUNCTION("""COMPUTED_VALUE"""),0)</f>
        <v>0</v>
      </c>
      <c r="U65" s="2" t="e">
        <f ca="1"/>
        <v>#NAME?</v>
      </c>
      <c r="V65" s="2" t="e">
        <f ca="1"/>
        <v>#NAME?</v>
      </c>
      <c r="W65" s="2" t="str">
        <f ca="1">IFERROR(__xludf.DUMMYFUNCTION("""COMPUTED_VALUE"""),"C1117-4P")</f>
        <v>C1117-4P</v>
      </c>
    </row>
    <row r="66" spans="1:23" ht="12.5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2" t="s">
        <v>42</v>
      </c>
      <c r="N66" s="13">
        <v>6453.36</v>
      </c>
      <c r="O66" s="14"/>
      <c r="P66" s="2"/>
      <c r="Q66" s="2"/>
      <c r="R66" s="2" t="str">
        <v/>
      </c>
      <c r="S66" s="2" t="str">
        <f ca="1">IFERROR(__xludf.DUMMYFUNCTION("""COMPUTED_VALUE"""),"")</f>
        <v/>
      </c>
      <c r="T66" s="2" t="str">
        <f ca="1">IFERROR(__xludf.DUMMYFUNCTION("""COMPUTED_VALUE"""),"")</f>
        <v/>
      </c>
      <c r="U66" s="2" t="e">
        <f ca="1"/>
        <v>#NAME?</v>
      </c>
      <c r="V66" s="2" t="e">
        <f ca="1"/>
        <v>#NAME?</v>
      </c>
      <c r="W66" s="2" t="str">
        <f ca="1">IFERROR(__xludf.DUMMYFUNCTION("""COMPUTED_VALUE"""),"")</f>
        <v/>
      </c>
    </row>
    <row r="67" spans="1:23" ht="12.5" x14ac:dyDescent="0.25">
      <c r="A67" s="4">
        <v>7</v>
      </c>
      <c r="B67" s="4" t="s">
        <v>94</v>
      </c>
      <c r="C67" s="5" t="s">
        <v>22</v>
      </c>
      <c r="D67" s="5" t="s">
        <v>95</v>
      </c>
      <c r="E67" s="5" t="s">
        <v>24</v>
      </c>
      <c r="F67" s="5" t="s">
        <v>25</v>
      </c>
      <c r="G67" s="5">
        <v>56</v>
      </c>
      <c r="H67" s="5" t="s">
        <v>26</v>
      </c>
      <c r="I67" s="6">
        <v>1</v>
      </c>
      <c r="J67" s="7"/>
      <c r="K67" s="8">
        <v>2113.4899999999998</v>
      </c>
      <c r="L67" s="8">
        <v>2113.4899999999998</v>
      </c>
      <c r="M67" s="6">
        <v>0</v>
      </c>
      <c r="N67" s="8">
        <v>2113.4899999999998</v>
      </c>
      <c r="O67" s="7"/>
      <c r="P67" s="2"/>
      <c r="Q67" s="2"/>
      <c r="R67" s="2" t="str">
        <v>ISR1000</v>
      </c>
      <c r="S67" s="2" t="str">
        <f ca="1">IFERROR(__xludf.DUMMYFUNCTION("""COMPUTED_VALUE"""),"C1109-4PLTE2P")</f>
        <v>C1109-4PLTE2P</v>
      </c>
      <c r="T67" s="10">
        <f ca="1">IFERROR(__xludf.DUMMYFUNCTION("""COMPUTED_VALUE"""),1)</f>
        <v>1</v>
      </c>
      <c r="U67" s="2" t="e">
        <f ca="1"/>
        <v>#NAME?</v>
      </c>
      <c r="V67" s="2" t="e">
        <f ca="1"/>
        <v>#NAME?</v>
      </c>
      <c r="W67" s="2" t="str">
        <f ca="1">IFERROR(__xludf.DUMMYFUNCTION("""COMPUTED_VALUE"""),"C1109-4PLTE2P")</f>
        <v>C1109-4PLTE2P</v>
      </c>
    </row>
    <row r="68" spans="1:23" ht="12.5" x14ac:dyDescent="0.25">
      <c r="A68" s="6" t="s">
        <v>96</v>
      </c>
      <c r="B68" s="5" t="s">
        <v>97</v>
      </c>
      <c r="C68" s="5" t="s">
        <v>22</v>
      </c>
      <c r="D68" s="5" t="s">
        <v>98</v>
      </c>
      <c r="E68" s="7"/>
      <c r="F68" s="5">
        <v>24</v>
      </c>
      <c r="G68" s="5" t="s">
        <v>25</v>
      </c>
      <c r="H68" s="5" t="s">
        <v>26</v>
      </c>
      <c r="I68" s="6">
        <v>1</v>
      </c>
      <c r="J68" s="7"/>
      <c r="K68" s="6">
        <v>503.26</v>
      </c>
      <c r="L68" s="6">
        <v>503.26</v>
      </c>
      <c r="M68" s="6">
        <v>0</v>
      </c>
      <c r="N68" s="6">
        <v>503.26</v>
      </c>
      <c r="O68" s="5" t="s">
        <v>30</v>
      </c>
      <c r="P68" s="2"/>
      <c r="Q68" s="2"/>
      <c r="R68" s="2" t="str">
        <v>ISR1000</v>
      </c>
      <c r="S68" s="2" t="str">
        <f ca="1">IFERROR(__xludf.DUMMYFUNCTION("""COMPUTED_VALUE"""),"CON-L1NBD-C11094P2")</f>
        <v>CON-L1NBD-C11094P2</v>
      </c>
      <c r="T68" s="10">
        <f ca="1">IFERROR(__xludf.DUMMYFUNCTION("""COMPUTED_VALUE"""),0)</f>
        <v>0</v>
      </c>
      <c r="U68" s="2" t="e">
        <f ca="1"/>
        <v>#NAME?</v>
      </c>
      <c r="V68" s="2" t="e">
        <f ca="1"/>
        <v>#NAME?</v>
      </c>
      <c r="W68" s="2" t="str">
        <f ca="1">IFERROR(__xludf.DUMMYFUNCTION("""COMPUTED_VALUE"""),"C1109-4PLTE2P")</f>
        <v>C1109-4PLTE2P</v>
      </c>
    </row>
    <row r="69" spans="1:23" ht="12.5" x14ac:dyDescent="0.25">
      <c r="A69" s="6">
        <v>7.1</v>
      </c>
      <c r="B69" s="5" t="s">
        <v>73</v>
      </c>
      <c r="C69" s="5" t="s">
        <v>22</v>
      </c>
      <c r="D69" s="5" t="s">
        <v>74</v>
      </c>
      <c r="E69" s="7"/>
      <c r="F69" s="5" t="s">
        <v>25</v>
      </c>
      <c r="G69" s="5">
        <v>28</v>
      </c>
      <c r="H69" s="5" t="s">
        <v>33</v>
      </c>
      <c r="I69" s="6">
        <v>2</v>
      </c>
      <c r="J69" s="7"/>
      <c r="K69" s="6">
        <v>0</v>
      </c>
      <c r="L69" s="6">
        <v>0</v>
      </c>
      <c r="M69" s="6">
        <v>0</v>
      </c>
      <c r="N69" s="6">
        <v>0</v>
      </c>
      <c r="O69" s="7"/>
      <c r="P69" s="2"/>
      <c r="Q69" s="2"/>
      <c r="R69" s="2" t="str">
        <v>ISR1000</v>
      </c>
      <c r="S69" s="2" t="str">
        <f ca="1">IFERROR(__xludf.DUMMYFUNCTION("""COMPUTED_VALUE"""),"P-BLANK")</f>
        <v>P-BLANK</v>
      </c>
      <c r="T69" s="10">
        <f ca="1">IFERROR(__xludf.DUMMYFUNCTION("""COMPUTED_VALUE"""),0)</f>
        <v>0</v>
      </c>
      <c r="U69" s="2" t="e">
        <f ca="1"/>
        <v>#NAME?</v>
      </c>
      <c r="V69" s="2" t="e">
        <f ca="1"/>
        <v>#NAME?</v>
      </c>
      <c r="W69" s="2" t="str">
        <f ca="1">IFERROR(__xludf.DUMMYFUNCTION("""COMPUTED_VALUE"""),"C1109-4PLTE2P")</f>
        <v>C1109-4PLTE2P</v>
      </c>
    </row>
    <row r="70" spans="1:23" ht="12.5" x14ac:dyDescent="0.25">
      <c r="A70" s="6">
        <v>7.2</v>
      </c>
      <c r="B70" s="5" t="s">
        <v>99</v>
      </c>
      <c r="C70" s="5" t="s">
        <v>22</v>
      </c>
      <c r="D70" s="5" t="s">
        <v>100</v>
      </c>
      <c r="E70" s="7"/>
      <c r="F70" s="5" t="s">
        <v>25</v>
      </c>
      <c r="G70" s="5">
        <v>42</v>
      </c>
      <c r="H70" s="5" t="s">
        <v>33</v>
      </c>
      <c r="I70" s="6">
        <v>1</v>
      </c>
      <c r="J70" s="7"/>
      <c r="K70" s="6">
        <v>0</v>
      </c>
      <c r="L70" s="6">
        <v>0</v>
      </c>
      <c r="M70" s="6">
        <v>0</v>
      </c>
      <c r="N70" s="6">
        <v>0</v>
      </c>
      <c r="O70" s="7"/>
      <c r="P70" s="2"/>
      <c r="Q70" s="2"/>
      <c r="R70" s="2" t="str">
        <v>ISR1000</v>
      </c>
      <c r="S70" s="2" t="str">
        <f ca="1">IFERROR(__xludf.DUMMYFUNCTION("""COMPUTED_VALUE"""),"PWR-30W-I-AC")</f>
        <v>PWR-30W-I-AC</v>
      </c>
      <c r="T70" s="10">
        <f ca="1">IFERROR(__xludf.DUMMYFUNCTION("""COMPUTED_VALUE"""),0)</f>
        <v>0</v>
      </c>
      <c r="U70" s="2" t="e">
        <f ca="1"/>
        <v>#NAME?</v>
      </c>
      <c r="V70" s="2" t="e">
        <f ca="1"/>
        <v>#NAME?</v>
      </c>
      <c r="W70" s="2" t="str">
        <f ca="1">IFERROR(__xludf.DUMMYFUNCTION("""COMPUTED_VALUE"""),"C1109-4PLTE2P")</f>
        <v>C1109-4PLTE2P</v>
      </c>
    </row>
    <row r="71" spans="1:23" ht="12.5" x14ac:dyDescent="0.25">
      <c r="A71" s="6">
        <v>7.3</v>
      </c>
      <c r="B71" s="5" t="s">
        <v>85</v>
      </c>
      <c r="C71" s="5" t="s">
        <v>22</v>
      </c>
      <c r="D71" s="5" t="s">
        <v>86</v>
      </c>
      <c r="E71" s="7"/>
      <c r="F71" s="5" t="s">
        <v>25</v>
      </c>
      <c r="G71" s="5">
        <v>2</v>
      </c>
      <c r="H71" s="5" t="s">
        <v>33</v>
      </c>
      <c r="I71" s="6">
        <v>1</v>
      </c>
      <c r="J71" s="7"/>
      <c r="K71" s="6">
        <v>0</v>
      </c>
      <c r="L71" s="6">
        <v>0</v>
      </c>
      <c r="M71" s="6">
        <v>0</v>
      </c>
      <c r="N71" s="6">
        <v>0</v>
      </c>
      <c r="O71" s="7"/>
      <c r="P71" s="2"/>
      <c r="Q71" s="2"/>
      <c r="R71" s="2" t="str">
        <v>ISR1000</v>
      </c>
      <c r="S71" s="2" t="str">
        <f ca="1">IFERROR(__xludf.DUMMYFUNCTION("""COMPUTED_VALUE"""),"SL-1100-4P-IPB")</f>
        <v>SL-1100-4P-IPB</v>
      </c>
      <c r="T71" s="10">
        <f ca="1">IFERROR(__xludf.DUMMYFUNCTION("""COMPUTED_VALUE"""),0)</f>
        <v>0</v>
      </c>
      <c r="U71" s="2" t="e">
        <f ca="1"/>
        <v>#NAME?</v>
      </c>
      <c r="V71" s="2" t="e">
        <f ca="1"/>
        <v>#NAME?</v>
      </c>
      <c r="W71" s="2" t="str">
        <f ca="1">IFERROR(__xludf.DUMMYFUNCTION("""COMPUTED_VALUE"""),"C1109-4PLTE2P")</f>
        <v>C1109-4PLTE2P</v>
      </c>
    </row>
    <row r="72" spans="1:23" ht="12.5" x14ac:dyDescent="0.25">
      <c r="A72" s="6">
        <v>7.4</v>
      </c>
      <c r="B72" s="5" t="s">
        <v>101</v>
      </c>
      <c r="C72" s="5" t="s">
        <v>22</v>
      </c>
      <c r="D72" s="5" t="s">
        <v>102</v>
      </c>
      <c r="E72" s="7"/>
      <c r="F72" s="5" t="s">
        <v>25</v>
      </c>
      <c r="G72" s="5">
        <v>28</v>
      </c>
      <c r="H72" s="5" t="s">
        <v>26</v>
      </c>
      <c r="I72" s="6">
        <v>1</v>
      </c>
      <c r="J72" s="7"/>
      <c r="K72" s="6">
        <v>0</v>
      </c>
      <c r="L72" s="6">
        <v>0</v>
      </c>
      <c r="M72" s="6">
        <v>0</v>
      </c>
      <c r="N72" s="6">
        <v>0</v>
      </c>
      <c r="O72" s="7"/>
      <c r="P72" s="2"/>
      <c r="Q72" s="2"/>
      <c r="R72" s="2" t="str">
        <v>ISR1000</v>
      </c>
      <c r="S72" s="2" t="str">
        <f ca="1">IFERROR(__xludf.DUMMYFUNCTION("""COMPUTED_VALUE"""),"SISR1100UK9-1715")</f>
        <v>SISR1100UK9-1715</v>
      </c>
      <c r="T72" s="10">
        <f ca="1">IFERROR(__xludf.DUMMYFUNCTION("""COMPUTED_VALUE"""),0)</f>
        <v>0</v>
      </c>
      <c r="U72" s="2" t="e">
        <f ca="1"/>
        <v>#NAME?</v>
      </c>
      <c r="V72" s="2" t="e">
        <f ca="1"/>
        <v>#NAME?</v>
      </c>
      <c r="W72" s="2" t="str">
        <f ca="1">IFERROR(__xludf.DUMMYFUNCTION("""COMPUTED_VALUE"""),"C1109-4PLTE2P")</f>
        <v>C1109-4PLTE2P</v>
      </c>
    </row>
    <row r="73" spans="1:23" ht="12.5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2" t="s">
        <v>42</v>
      </c>
      <c r="N73" s="13">
        <v>2616.75</v>
      </c>
      <c r="O73" s="14"/>
      <c r="P73" s="2"/>
      <c r="Q73" s="2"/>
      <c r="R73" s="2" t="str">
        <v/>
      </c>
      <c r="S73" s="2" t="str">
        <f ca="1">IFERROR(__xludf.DUMMYFUNCTION("""COMPUTED_VALUE"""),"")</f>
        <v/>
      </c>
      <c r="T73" s="2" t="str">
        <f ca="1">IFERROR(__xludf.DUMMYFUNCTION("""COMPUTED_VALUE"""),"")</f>
        <v/>
      </c>
      <c r="U73" s="2" t="e">
        <f ca="1"/>
        <v>#NAME?</v>
      </c>
      <c r="V73" s="2" t="e">
        <f ca="1"/>
        <v>#NAME?</v>
      </c>
      <c r="W73" s="2" t="str">
        <f ca="1">IFERROR(__xludf.DUMMYFUNCTION("""COMPUTED_VALUE"""),"")</f>
        <v/>
      </c>
    </row>
    <row r="74" spans="1:23" ht="12.5" x14ac:dyDescent="0.25">
      <c r="A74" s="15"/>
      <c r="B74" s="15"/>
      <c r="C74" s="16" t="s">
        <v>103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2" t="str">
        <v/>
      </c>
      <c r="S74" s="2" t="str">
        <f ca="1">IFERROR(__xludf.DUMMYFUNCTION("""COMPUTED_VALUE"""),"")</f>
        <v/>
      </c>
      <c r="T74" s="2" t="str">
        <f ca="1">IFERROR(__xludf.DUMMYFUNCTION("""COMPUTED_VALUE"""),"")</f>
        <v/>
      </c>
      <c r="U74" s="2" t="e">
        <f ca="1"/>
        <v>#NAME?</v>
      </c>
      <c r="V74" s="2" t="e">
        <f ca="1"/>
        <v>#NAME?</v>
      </c>
      <c r="W74" s="2" t="str">
        <f ca="1">IFERROR(__xludf.DUMMYFUNCTION("""COMPUTED_VALUE"""),"")</f>
        <v/>
      </c>
    </row>
    <row r="75" spans="1:23" ht="12.5" x14ac:dyDescent="0.25">
      <c r="A75" s="4">
        <v>8</v>
      </c>
      <c r="B75" s="4" t="s">
        <v>44</v>
      </c>
      <c r="C75" s="5" t="s">
        <v>33</v>
      </c>
      <c r="D75" s="5" t="s">
        <v>45</v>
      </c>
      <c r="E75" s="5" t="s">
        <v>24</v>
      </c>
      <c r="F75" s="5" t="s">
        <v>25</v>
      </c>
      <c r="G75" s="5">
        <v>4</v>
      </c>
      <c r="H75" s="5" t="s">
        <v>26</v>
      </c>
      <c r="I75" s="6">
        <v>1</v>
      </c>
      <c r="J75" s="7"/>
      <c r="K75" s="6">
        <v>0</v>
      </c>
      <c r="L75" s="6">
        <v>0</v>
      </c>
      <c r="M75" s="6">
        <v>0</v>
      </c>
      <c r="N75" s="6">
        <v>0</v>
      </c>
      <c r="O75" s="7"/>
      <c r="P75" s="2"/>
      <c r="Q75" s="2"/>
      <c r="R75" s="2" t="str">
        <v>ISR1000</v>
      </c>
      <c r="S75" s="2" t="str">
        <f ca="1">IFERROR(__xludf.DUMMYFUNCTION("""COMPUTED_VALUE"""),"L-DNA-TIER-ADD")</f>
        <v>L-DNA-TIER-ADD</v>
      </c>
      <c r="T75" s="10">
        <f ca="1">IFERROR(__xludf.DUMMYFUNCTION("""COMPUTED_VALUE"""),1)</f>
        <v>1</v>
      </c>
      <c r="U75" s="2" t="e">
        <f ca="1"/>
        <v>#NAME?</v>
      </c>
      <c r="V75" s="2" t="e">
        <f ca="1"/>
        <v>#NAME?</v>
      </c>
      <c r="W75" s="2" t="str">
        <f ca="1">IFERROR(__xludf.DUMMYFUNCTION("""COMPUTED_VALUE"""),"C1109-4PLTE2P")</f>
        <v>C1109-4PLTE2P</v>
      </c>
    </row>
    <row r="76" spans="1:23" ht="12.5" x14ac:dyDescent="0.25">
      <c r="A76" s="6">
        <v>8.1</v>
      </c>
      <c r="B76" s="5" t="s">
        <v>78</v>
      </c>
      <c r="C76" s="5" t="s">
        <v>33</v>
      </c>
      <c r="D76" s="5" t="s">
        <v>79</v>
      </c>
      <c r="E76" s="7"/>
      <c r="F76" s="5" t="s">
        <v>25</v>
      </c>
      <c r="G76" s="5">
        <v>2</v>
      </c>
      <c r="H76" s="5" t="s">
        <v>26</v>
      </c>
      <c r="I76" s="6">
        <v>1</v>
      </c>
      <c r="J76" s="7"/>
      <c r="K76" s="6">
        <v>0</v>
      </c>
      <c r="L76" s="6">
        <v>0</v>
      </c>
      <c r="M76" s="6">
        <v>0</v>
      </c>
      <c r="N76" s="6">
        <v>0</v>
      </c>
      <c r="O76" s="7"/>
      <c r="P76" s="2"/>
      <c r="Q76" s="2"/>
      <c r="R76" s="2" t="str">
        <v>ISR1000</v>
      </c>
      <c r="S76" s="2" t="str">
        <f ca="1">IFERROR(__xludf.DUMMYFUNCTION("""COMPUTED_VALUE"""),"ISR1100-4GLTE-PF")</f>
        <v>ISR1100-4GLTE-PF</v>
      </c>
      <c r="T76" s="10">
        <f ca="1">IFERROR(__xludf.DUMMYFUNCTION("""COMPUTED_VALUE"""),0)</f>
        <v>0</v>
      </c>
      <c r="U76" s="2" t="e">
        <f ca="1"/>
        <v>#NAME?</v>
      </c>
      <c r="V76" s="2" t="e">
        <f ca="1"/>
        <v>#NAME?</v>
      </c>
      <c r="W76" s="2" t="str">
        <f ca="1">IFERROR(__xludf.DUMMYFUNCTION("""COMPUTED_VALUE"""),"C1109-4PLTE2P")</f>
        <v>C1109-4PLTE2P</v>
      </c>
    </row>
    <row r="77" spans="1:23" ht="12.5" x14ac:dyDescent="0.25">
      <c r="A77" s="6">
        <v>8.1999999999999993</v>
      </c>
      <c r="B77" s="5" t="s">
        <v>64</v>
      </c>
      <c r="C77" s="5" t="s">
        <v>22</v>
      </c>
      <c r="D77" s="5" t="s">
        <v>65</v>
      </c>
      <c r="E77" s="7"/>
      <c r="F77" s="5" t="s">
        <v>25</v>
      </c>
      <c r="G77" s="5">
        <v>2</v>
      </c>
      <c r="H77" s="5" t="s">
        <v>26</v>
      </c>
      <c r="I77" s="6">
        <v>1</v>
      </c>
      <c r="J77" s="7"/>
      <c r="K77" s="6">
        <v>0</v>
      </c>
      <c r="L77" s="6">
        <v>0</v>
      </c>
      <c r="M77" s="6">
        <v>0</v>
      </c>
      <c r="N77" s="6">
        <v>0</v>
      </c>
      <c r="O77" s="7"/>
      <c r="P77" s="2"/>
      <c r="Q77" s="2"/>
      <c r="R77" s="2" t="str">
        <v>ISR1000</v>
      </c>
      <c r="S77" s="2" t="str">
        <f ca="1">IFERROR(__xludf.DUMMYFUNCTION("""COMPUTED_VALUE"""),"IOSXE-CTRL-MODE-PF")</f>
        <v>IOSXE-CTRL-MODE-PF</v>
      </c>
      <c r="T77" s="10">
        <f ca="1">IFERROR(__xludf.DUMMYFUNCTION("""COMPUTED_VALUE"""),0)</f>
        <v>0</v>
      </c>
      <c r="U77" s="2" t="e">
        <f ca="1"/>
        <v>#NAME?</v>
      </c>
      <c r="V77" s="2" t="e">
        <f ca="1"/>
        <v>#NAME?</v>
      </c>
      <c r="W77" s="2" t="str">
        <f ca="1">IFERROR(__xludf.DUMMYFUNCTION("""COMPUTED_VALUE"""),"C1109-4PLTE2P")</f>
        <v>C1109-4PLTE2P</v>
      </c>
    </row>
    <row r="78" spans="1:23" ht="12.5" x14ac:dyDescent="0.25">
      <c r="A78" s="6">
        <v>8.3000000000000007</v>
      </c>
      <c r="B78" s="5" t="s">
        <v>46</v>
      </c>
      <c r="C78" s="5" t="s">
        <v>33</v>
      </c>
      <c r="D78" s="5" t="s">
        <v>47</v>
      </c>
      <c r="E78" s="7"/>
      <c r="F78" s="5" t="s">
        <v>25</v>
      </c>
      <c r="G78" s="5" t="s">
        <v>25</v>
      </c>
      <c r="H78" s="5" t="s">
        <v>26</v>
      </c>
      <c r="I78" s="6">
        <v>1</v>
      </c>
      <c r="J78" s="7"/>
      <c r="K78" s="6">
        <v>148.61000000000001</v>
      </c>
      <c r="L78" s="8">
        <v>5349.96</v>
      </c>
      <c r="M78" s="6">
        <v>0</v>
      </c>
      <c r="N78" s="8">
        <v>5349.96</v>
      </c>
      <c r="O78" s="7"/>
      <c r="P78" s="2"/>
      <c r="Q78" s="2"/>
      <c r="R78" s="2" t="str">
        <v>ISR1000</v>
      </c>
      <c r="S78" s="2" t="str">
        <f ca="1">IFERROR(__xludf.DUMMYFUNCTION("""COMPUTED_VALUE"""),"DNA-P-T1-A-3Y")</f>
        <v>DNA-P-T1-A-3Y</v>
      </c>
      <c r="T78" s="10">
        <f ca="1">IFERROR(__xludf.DUMMYFUNCTION("""COMPUTED_VALUE"""),0)</f>
        <v>0</v>
      </c>
      <c r="U78" s="2" t="e">
        <f ca="1"/>
        <v>#NAME?</v>
      </c>
      <c r="V78" s="2" t="e">
        <f ca="1"/>
        <v>#NAME?</v>
      </c>
      <c r="W78" s="2" t="str">
        <f ca="1">IFERROR(__xludf.DUMMYFUNCTION("""COMPUTED_VALUE"""),"C1109-4PLTE2P")</f>
        <v>C1109-4PLTE2P</v>
      </c>
    </row>
    <row r="79" spans="1:23" ht="12.5" x14ac:dyDescent="0.25">
      <c r="A79" s="6">
        <v>8.4</v>
      </c>
      <c r="B79" s="5" t="s">
        <v>48</v>
      </c>
      <c r="C79" s="5" t="s">
        <v>22</v>
      </c>
      <c r="D79" s="5" t="s">
        <v>49</v>
      </c>
      <c r="E79" s="7"/>
      <c r="F79" s="5" t="s">
        <v>25</v>
      </c>
      <c r="G79" s="5">
        <v>2</v>
      </c>
      <c r="H79" s="5" t="s">
        <v>26</v>
      </c>
      <c r="I79" s="6">
        <v>1</v>
      </c>
      <c r="J79" s="7"/>
      <c r="K79" s="6">
        <v>30.65</v>
      </c>
      <c r="L79" s="8">
        <v>1103.4000000000001</v>
      </c>
      <c r="M79" s="6">
        <v>0</v>
      </c>
      <c r="N79" s="8">
        <v>1103.4000000000001</v>
      </c>
      <c r="O79" s="7"/>
      <c r="P79" s="2"/>
      <c r="Q79" s="2"/>
      <c r="R79" s="2" t="str">
        <v>ISR1000</v>
      </c>
      <c r="S79" s="2" t="str">
        <f ca="1">IFERROR(__xludf.DUMMYFUNCTION("""COMPUTED_VALUE"""),"SVS-PSTL1-T1-A3Y")</f>
        <v>SVS-PSTL1-T1-A3Y</v>
      </c>
      <c r="T79" s="10">
        <f ca="1">IFERROR(__xludf.DUMMYFUNCTION("""COMPUTED_VALUE"""),0)</f>
        <v>0</v>
      </c>
      <c r="U79" s="2" t="e">
        <f ca="1"/>
        <v>#NAME?</v>
      </c>
      <c r="V79" s="2" t="e">
        <f ca="1"/>
        <v>#NAME?</v>
      </c>
      <c r="W79" s="2" t="str">
        <f ca="1">IFERROR(__xludf.DUMMYFUNCTION("""COMPUTED_VALUE"""),"C1109-4PLTE2P")</f>
        <v>C1109-4PLTE2P</v>
      </c>
    </row>
    <row r="80" spans="1:23" ht="12.5" x14ac:dyDescent="0.25">
      <c r="A80" s="6">
        <v>8.5</v>
      </c>
      <c r="B80" s="5" t="s">
        <v>50</v>
      </c>
      <c r="C80" s="5" t="s">
        <v>33</v>
      </c>
      <c r="D80" s="5" t="s">
        <v>51</v>
      </c>
      <c r="E80" s="7"/>
      <c r="F80" s="5" t="s">
        <v>25</v>
      </c>
      <c r="G80" s="5">
        <v>2</v>
      </c>
      <c r="H80" s="5" t="s">
        <v>26</v>
      </c>
      <c r="I80" s="6">
        <v>1</v>
      </c>
      <c r="J80" s="7"/>
      <c r="K80" s="6">
        <v>0</v>
      </c>
      <c r="L80" s="6">
        <v>0</v>
      </c>
      <c r="M80" s="6">
        <v>0</v>
      </c>
      <c r="N80" s="6">
        <v>0</v>
      </c>
      <c r="O80" s="7"/>
      <c r="P80" s="2"/>
      <c r="Q80" s="2"/>
      <c r="R80" s="2" t="str">
        <v>ISR1000</v>
      </c>
      <c r="S80" s="2" t="str">
        <f ca="1">IFERROR(__xludf.DUMMYFUNCTION("""COMPUTED_VALUE"""),"DSTACK-T1-A")</f>
        <v>DSTACK-T1-A</v>
      </c>
      <c r="T80" s="10">
        <f ca="1">IFERROR(__xludf.DUMMYFUNCTION("""COMPUTED_VALUE"""),0)</f>
        <v>0</v>
      </c>
      <c r="U80" s="2" t="e">
        <f ca="1"/>
        <v>#NAME?</v>
      </c>
      <c r="V80" s="2" t="e">
        <f ca="1"/>
        <v>#NAME?</v>
      </c>
      <c r="W80" s="2" t="str">
        <f ca="1">IFERROR(__xludf.DUMMYFUNCTION("""COMPUTED_VALUE"""),"C1109-4PLTE2P")</f>
        <v>C1109-4PLTE2P</v>
      </c>
    </row>
    <row r="81" spans="1:23" ht="12.5" x14ac:dyDescent="0.25">
      <c r="A81" s="6">
        <v>8.6</v>
      </c>
      <c r="B81" s="5" t="s">
        <v>52</v>
      </c>
      <c r="C81" s="5" t="s">
        <v>33</v>
      </c>
      <c r="D81" s="5" t="s">
        <v>53</v>
      </c>
      <c r="E81" s="7"/>
      <c r="F81" s="5" t="s">
        <v>25</v>
      </c>
      <c r="G81" s="5">
        <v>2</v>
      </c>
      <c r="H81" s="5" t="s">
        <v>26</v>
      </c>
      <c r="I81" s="6">
        <v>1</v>
      </c>
      <c r="J81" s="7"/>
      <c r="K81" s="6">
        <v>0</v>
      </c>
      <c r="L81" s="6">
        <v>0</v>
      </c>
      <c r="M81" s="6">
        <v>0</v>
      </c>
      <c r="N81" s="6">
        <v>0</v>
      </c>
      <c r="O81" s="7"/>
      <c r="P81" s="2"/>
      <c r="Q81" s="2"/>
      <c r="R81" s="2" t="str">
        <v>ISR1000</v>
      </c>
      <c r="S81" s="2" t="str">
        <f ca="1">IFERROR(__xludf.DUMMYFUNCTION("""COMPUTED_VALUE"""),"SDWAN-UMB-ADV")</f>
        <v>SDWAN-UMB-ADV</v>
      </c>
      <c r="T81" s="10">
        <f ca="1">IFERROR(__xludf.DUMMYFUNCTION("""COMPUTED_VALUE"""),0)</f>
        <v>0</v>
      </c>
      <c r="U81" s="2" t="e">
        <f ca="1"/>
        <v>#NAME?</v>
      </c>
      <c r="V81" s="2" t="e">
        <f ca="1"/>
        <v>#NAME?</v>
      </c>
      <c r="W81" s="2" t="str">
        <f ca="1">IFERROR(__xludf.DUMMYFUNCTION("""COMPUTED_VALUE"""),"C1109-4PLTE2P")</f>
        <v>C1109-4PLTE2P</v>
      </c>
    </row>
    <row r="82" spans="1:23" ht="12.5" x14ac:dyDescent="0.25">
      <c r="A82" s="6">
        <v>8.6999999999999993</v>
      </c>
      <c r="B82" s="5" t="s">
        <v>66</v>
      </c>
      <c r="C82" s="5" t="s">
        <v>22</v>
      </c>
      <c r="D82" s="5" t="s">
        <v>67</v>
      </c>
      <c r="E82" s="7"/>
      <c r="F82" s="5" t="s">
        <v>25</v>
      </c>
      <c r="G82" s="5">
        <v>2</v>
      </c>
      <c r="H82" s="5" t="s">
        <v>26</v>
      </c>
      <c r="I82" s="6">
        <v>1</v>
      </c>
      <c r="J82" s="7"/>
      <c r="K82" s="6">
        <v>0</v>
      </c>
      <c r="L82" s="6">
        <v>0</v>
      </c>
      <c r="M82" s="6">
        <v>0</v>
      </c>
      <c r="N82" s="6">
        <v>0</v>
      </c>
      <c r="O82" s="7"/>
      <c r="P82" s="2"/>
      <c r="Q82" s="2"/>
      <c r="R82" s="2" t="str">
        <v>ISR1000</v>
      </c>
      <c r="S82" s="2" t="str">
        <f ca="1">IFERROR(__xludf.DUMMYFUNCTION("""COMPUTED_VALUE"""),"SDWAN-ONPREM-PF")</f>
        <v>SDWAN-ONPREM-PF</v>
      </c>
      <c r="T82" s="10">
        <f ca="1">IFERROR(__xludf.DUMMYFUNCTION("""COMPUTED_VALUE"""),0)</f>
        <v>0</v>
      </c>
      <c r="U82" s="2" t="e">
        <f ca="1"/>
        <v>#NAME?</v>
      </c>
      <c r="V82" s="2" t="e">
        <f ca="1"/>
        <v>#NAME?</v>
      </c>
      <c r="W82" s="2" t="str">
        <f ca="1">IFERROR(__xludf.DUMMYFUNCTION("""COMPUTED_VALUE"""),"C1109-4PLTE2P")</f>
        <v>C1109-4PLTE2P</v>
      </c>
    </row>
    <row r="83" spans="1:23" ht="12.5" x14ac:dyDescent="0.25">
      <c r="A83" s="6">
        <v>8.8000000000000007</v>
      </c>
      <c r="B83" s="5" t="s">
        <v>54</v>
      </c>
      <c r="C83" s="5" t="s">
        <v>33</v>
      </c>
      <c r="D83" s="5" t="s">
        <v>55</v>
      </c>
      <c r="E83" s="7"/>
      <c r="F83" s="5" t="s">
        <v>25</v>
      </c>
      <c r="G83" s="5">
        <v>2</v>
      </c>
      <c r="H83" s="5" t="s">
        <v>26</v>
      </c>
      <c r="I83" s="6">
        <v>1</v>
      </c>
      <c r="J83" s="7"/>
      <c r="K83" s="6">
        <v>0</v>
      </c>
      <c r="L83" s="6">
        <v>0</v>
      </c>
      <c r="M83" s="6">
        <v>0</v>
      </c>
      <c r="N83" s="6">
        <v>0</v>
      </c>
      <c r="O83" s="7"/>
      <c r="P83" s="2"/>
      <c r="Q83" s="2"/>
      <c r="R83" s="2" t="str">
        <v>ISR1000</v>
      </c>
      <c r="S83" s="2" t="str">
        <f ca="1">IFERROR(__xludf.DUMMYFUNCTION("""COMPUTED_VALUE"""),"TE-EMBED-WANI")</f>
        <v>TE-EMBED-WANI</v>
      </c>
      <c r="T83" s="10">
        <f ca="1">IFERROR(__xludf.DUMMYFUNCTION("""COMPUTED_VALUE"""),0)</f>
        <v>0</v>
      </c>
      <c r="U83" s="2" t="e">
        <f ca="1"/>
        <v>#NAME?</v>
      </c>
      <c r="V83" s="2" t="e">
        <f ca="1"/>
        <v>#NAME?</v>
      </c>
      <c r="W83" s="2" t="str">
        <f ca="1">IFERROR(__xludf.DUMMYFUNCTION("""COMPUTED_VALUE"""),"C1109-4PLTE2P")</f>
        <v>C1109-4PLTE2P</v>
      </c>
    </row>
    <row r="84" spans="1:23" ht="12.5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2" t="s">
        <v>42</v>
      </c>
      <c r="N84" s="13">
        <v>6453.36</v>
      </c>
      <c r="O84" s="14"/>
      <c r="P84" s="2"/>
      <c r="Q84" s="2"/>
      <c r="R84" s="2" t="str">
        <v/>
      </c>
      <c r="S84" s="2" t="str">
        <f ca="1">IFERROR(__xludf.DUMMYFUNCTION("""COMPUTED_VALUE"""),"")</f>
        <v/>
      </c>
      <c r="T84" s="2" t="str">
        <f ca="1">IFERROR(__xludf.DUMMYFUNCTION("""COMPUTED_VALUE"""),"")</f>
        <v/>
      </c>
      <c r="U84" s="2" t="e">
        <f ca="1"/>
        <v>#NAME?</v>
      </c>
      <c r="V84" s="2" t="e">
        <f ca="1"/>
        <v>#NAME?</v>
      </c>
      <c r="W84" s="2" t="str">
        <f ca="1">IFERROR(__xludf.DUMMYFUNCTION("""COMPUTED_VALUE"""),"")</f>
        <v/>
      </c>
    </row>
    <row r="85" spans="1:23" ht="12.5" x14ac:dyDescent="0.25">
      <c r="A85" s="4">
        <v>9</v>
      </c>
      <c r="B85" s="4" t="s">
        <v>104</v>
      </c>
      <c r="C85" s="5" t="s">
        <v>22</v>
      </c>
      <c r="D85" s="5" t="s">
        <v>105</v>
      </c>
      <c r="E85" s="5" t="s">
        <v>24</v>
      </c>
      <c r="F85" s="5" t="s">
        <v>25</v>
      </c>
      <c r="G85" s="5">
        <v>84</v>
      </c>
      <c r="H85" s="5" t="s">
        <v>26</v>
      </c>
      <c r="I85" s="6">
        <v>1</v>
      </c>
      <c r="J85" s="7"/>
      <c r="K85" s="8">
        <v>2490.27</v>
      </c>
      <c r="L85" s="8">
        <v>2490.27</v>
      </c>
      <c r="M85" s="6">
        <v>0</v>
      </c>
      <c r="N85" s="8">
        <v>2490.27</v>
      </c>
      <c r="O85" s="7"/>
      <c r="P85" s="2"/>
      <c r="Q85" s="2"/>
      <c r="R85" s="2" t="str">
        <v>ISR1000</v>
      </c>
      <c r="S85" s="2" t="str">
        <f ca="1">IFERROR(__xludf.DUMMYFUNCTION("""COMPUTED_VALUE"""),"C1161-8P")</f>
        <v>C1161-8P</v>
      </c>
      <c r="T85" s="10">
        <f ca="1">IFERROR(__xludf.DUMMYFUNCTION("""COMPUTED_VALUE"""),1)</f>
        <v>1</v>
      </c>
      <c r="U85" s="2" t="e">
        <f ca="1"/>
        <v>#NAME?</v>
      </c>
      <c r="V85" s="2" t="e">
        <f ca="1"/>
        <v>#NAME?</v>
      </c>
      <c r="W85" s="2" t="str">
        <f ca="1">IFERROR(__xludf.DUMMYFUNCTION("""COMPUTED_VALUE"""),"C1161-8P")</f>
        <v>C1161-8P</v>
      </c>
    </row>
    <row r="86" spans="1:23" ht="12.5" x14ac:dyDescent="0.25">
      <c r="A86" s="6" t="s">
        <v>106</v>
      </c>
      <c r="B86" s="5" t="s">
        <v>107</v>
      </c>
      <c r="C86" s="5" t="s">
        <v>22</v>
      </c>
      <c r="D86" s="5" t="s">
        <v>108</v>
      </c>
      <c r="E86" s="7"/>
      <c r="F86" s="5">
        <v>24</v>
      </c>
      <c r="G86" s="5" t="s">
        <v>25</v>
      </c>
      <c r="H86" s="5" t="s">
        <v>26</v>
      </c>
      <c r="I86" s="6">
        <v>1</v>
      </c>
      <c r="J86" s="7"/>
      <c r="K86" s="6">
        <v>770</v>
      </c>
      <c r="L86" s="6">
        <v>770</v>
      </c>
      <c r="M86" s="6">
        <v>0</v>
      </c>
      <c r="N86" s="6">
        <v>770</v>
      </c>
      <c r="O86" s="5" t="s">
        <v>30</v>
      </c>
      <c r="P86" s="2"/>
      <c r="Q86" s="2"/>
      <c r="R86" s="2" t="str">
        <v>ISR1000</v>
      </c>
      <c r="S86" s="2" t="str">
        <f ca="1">IFERROR(__xludf.DUMMYFUNCTION("""COMPUTED_VALUE"""),"CON-L1NCD-C1618PC1")</f>
        <v>CON-L1NCD-C1618PC1</v>
      </c>
      <c r="T86" s="10">
        <f ca="1">IFERROR(__xludf.DUMMYFUNCTION("""COMPUTED_VALUE"""),0)</f>
        <v>0</v>
      </c>
      <c r="U86" s="2" t="e">
        <f ca="1"/>
        <v>#NAME?</v>
      </c>
      <c r="V86" s="2" t="e">
        <f ca="1"/>
        <v>#NAME?</v>
      </c>
      <c r="W86" s="2" t="str">
        <f ca="1">IFERROR(__xludf.DUMMYFUNCTION("""COMPUTED_VALUE"""),"C1161-8P")</f>
        <v>C1161-8P</v>
      </c>
    </row>
    <row r="87" spans="1:23" ht="12.5" x14ac:dyDescent="0.25">
      <c r="A87" s="6">
        <v>9.1</v>
      </c>
      <c r="B87" s="5" t="s">
        <v>31</v>
      </c>
      <c r="C87" s="5" t="s">
        <v>22</v>
      </c>
      <c r="D87" s="5" t="s">
        <v>32</v>
      </c>
      <c r="E87" s="7"/>
      <c r="F87" s="5" t="s">
        <v>25</v>
      </c>
      <c r="G87" s="5">
        <v>42</v>
      </c>
      <c r="H87" s="5" t="s">
        <v>33</v>
      </c>
      <c r="I87" s="6">
        <v>1</v>
      </c>
      <c r="J87" s="7"/>
      <c r="K87" s="6">
        <v>0</v>
      </c>
      <c r="L87" s="6">
        <v>0</v>
      </c>
      <c r="M87" s="6">
        <v>0</v>
      </c>
      <c r="N87" s="6">
        <v>0</v>
      </c>
      <c r="O87" s="7"/>
      <c r="P87" s="2"/>
      <c r="Q87" s="2"/>
      <c r="R87" s="2" t="str">
        <v>ISR1000</v>
      </c>
      <c r="S87" s="2" t="str">
        <f ca="1">IFERROR(__xludf.DUMMYFUNCTION("""COMPUTED_VALUE"""),"PWR-66W-AC-V2")</f>
        <v>PWR-66W-AC-V2</v>
      </c>
      <c r="T87" s="10">
        <f ca="1">IFERROR(__xludf.DUMMYFUNCTION("""COMPUTED_VALUE"""),0)</f>
        <v>0</v>
      </c>
      <c r="U87" s="2" t="e">
        <f ca="1"/>
        <v>#NAME?</v>
      </c>
      <c r="V87" s="2" t="e">
        <f ca="1"/>
        <v>#NAME?</v>
      </c>
      <c r="W87" s="2" t="str">
        <f ca="1">IFERROR(__xludf.DUMMYFUNCTION("""COMPUTED_VALUE"""),"C1161-8P")</f>
        <v>C1161-8P</v>
      </c>
    </row>
    <row r="88" spans="1:23" ht="12.5" x14ac:dyDescent="0.25">
      <c r="A88" s="6">
        <v>9.1999999999999993</v>
      </c>
      <c r="B88" s="5" t="s">
        <v>34</v>
      </c>
      <c r="C88" s="5" t="s">
        <v>22</v>
      </c>
      <c r="D88" s="5" t="s">
        <v>35</v>
      </c>
      <c r="E88" s="7"/>
      <c r="F88" s="5" t="s">
        <v>25</v>
      </c>
      <c r="G88" s="5">
        <v>28</v>
      </c>
      <c r="H88" s="5" t="s">
        <v>33</v>
      </c>
      <c r="I88" s="6">
        <v>1</v>
      </c>
      <c r="J88" s="7"/>
      <c r="K88" s="6">
        <v>0</v>
      </c>
      <c r="L88" s="6">
        <v>0</v>
      </c>
      <c r="M88" s="6">
        <v>0</v>
      </c>
      <c r="N88" s="6">
        <v>0</v>
      </c>
      <c r="O88" s="7"/>
      <c r="P88" s="2"/>
      <c r="Q88" s="2"/>
      <c r="R88" s="2" t="str">
        <v>ISR1000</v>
      </c>
      <c r="S88" s="2" t="str">
        <f ca="1">IFERROR(__xludf.DUMMYFUNCTION("""COMPUTED_VALUE"""),"SL-1K-8P-IPB")</f>
        <v>SL-1K-8P-IPB</v>
      </c>
      <c r="T88" s="10">
        <f ca="1">IFERROR(__xludf.DUMMYFUNCTION("""COMPUTED_VALUE"""),0)</f>
        <v>0</v>
      </c>
      <c r="U88" s="2" t="e">
        <f ca="1"/>
        <v>#NAME?</v>
      </c>
      <c r="V88" s="2" t="e">
        <f ca="1"/>
        <v>#NAME?</v>
      </c>
      <c r="W88" s="2" t="str">
        <f ca="1">IFERROR(__xludf.DUMMYFUNCTION("""COMPUTED_VALUE"""),"C1161-8P")</f>
        <v>C1161-8P</v>
      </c>
    </row>
    <row r="89" spans="1:23" ht="12.5" x14ac:dyDescent="0.25">
      <c r="A89" s="6">
        <v>9.3000000000000007</v>
      </c>
      <c r="B89" s="5" t="s">
        <v>36</v>
      </c>
      <c r="C89" s="5" t="s">
        <v>22</v>
      </c>
      <c r="D89" s="5" t="s">
        <v>37</v>
      </c>
      <c r="E89" s="7"/>
      <c r="F89" s="5" t="s">
        <v>25</v>
      </c>
      <c r="G89" s="5">
        <v>14</v>
      </c>
      <c r="H89" s="5" t="s">
        <v>26</v>
      </c>
      <c r="I89" s="6">
        <v>1</v>
      </c>
      <c r="J89" s="7"/>
      <c r="K89" s="6">
        <v>0</v>
      </c>
      <c r="L89" s="6">
        <v>0</v>
      </c>
      <c r="M89" s="6">
        <v>0</v>
      </c>
      <c r="N89" s="6">
        <v>0</v>
      </c>
      <c r="O89" s="7"/>
      <c r="P89" s="2"/>
      <c r="Q89" s="2"/>
      <c r="R89" s="2" t="str">
        <v>ISR1000</v>
      </c>
      <c r="S89" s="2" t="str">
        <f ca="1">IFERROR(__xludf.DUMMYFUNCTION("""COMPUTED_VALUE"""),"CAB-ACE")</f>
        <v>CAB-ACE</v>
      </c>
      <c r="T89" s="10">
        <f ca="1">IFERROR(__xludf.DUMMYFUNCTION("""COMPUTED_VALUE"""),0)</f>
        <v>0</v>
      </c>
      <c r="U89" s="2" t="e">
        <f ca="1"/>
        <v>#NAME?</v>
      </c>
      <c r="V89" s="2" t="e">
        <f ca="1"/>
        <v>#NAME?</v>
      </c>
      <c r="W89" s="2" t="str">
        <f ca="1">IFERROR(__xludf.DUMMYFUNCTION("""COMPUTED_VALUE"""),"C1161-8P")</f>
        <v>C1161-8P</v>
      </c>
    </row>
    <row r="90" spans="1:23" ht="12.5" x14ac:dyDescent="0.25">
      <c r="A90" s="6">
        <v>9.4</v>
      </c>
      <c r="B90" s="5" t="s">
        <v>38</v>
      </c>
      <c r="C90" s="5" t="s">
        <v>22</v>
      </c>
      <c r="D90" s="5" t="s">
        <v>39</v>
      </c>
      <c r="E90" s="7"/>
      <c r="F90" s="5" t="s">
        <v>25</v>
      </c>
      <c r="G90" s="5">
        <v>14</v>
      </c>
      <c r="H90" s="5" t="s">
        <v>26</v>
      </c>
      <c r="I90" s="6">
        <v>1</v>
      </c>
      <c r="J90" s="7"/>
      <c r="K90" s="6">
        <v>0</v>
      </c>
      <c r="L90" s="6">
        <v>0</v>
      </c>
      <c r="M90" s="6">
        <v>0</v>
      </c>
      <c r="N90" s="6">
        <v>0</v>
      </c>
      <c r="O90" s="7"/>
      <c r="P90" s="2"/>
      <c r="Q90" s="2"/>
      <c r="R90" s="2" t="str">
        <v>ISR1000</v>
      </c>
      <c r="S90" s="2" t="str">
        <f ca="1">IFERROR(__xludf.DUMMYFUNCTION("""COMPUTED_VALUE"""),"GREEN-OPTION")</f>
        <v>GREEN-OPTION</v>
      </c>
      <c r="T90" s="10">
        <f ca="1">IFERROR(__xludf.DUMMYFUNCTION("""COMPUTED_VALUE"""),0)</f>
        <v>0</v>
      </c>
      <c r="U90" s="2" t="e">
        <f ca="1"/>
        <v>#NAME?</v>
      </c>
      <c r="V90" s="2" t="e">
        <f ca="1"/>
        <v>#NAME?</v>
      </c>
      <c r="W90" s="2" t="str">
        <f ca="1">IFERROR(__xludf.DUMMYFUNCTION("""COMPUTED_VALUE"""),"C1161-8P")</f>
        <v>C1161-8P</v>
      </c>
    </row>
    <row r="91" spans="1:23" ht="12.5" x14ac:dyDescent="0.25">
      <c r="A91" s="6">
        <v>9.5</v>
      </c>
      <c r="B91" s="5" t="s">
        <v>101</v>
      </c>
      <c r="C91" s="5" t="s">
        <v>22</v>
      </c>
      <c r="D91" s="5" t="s">
        <v>102</v>
      </c>
      <c r="E91" s="7"/>
      <c r="F91" s="5" t="s">
        <v>25</v>
      </c>
      <c r="G91" s="5">
        <v>28</v>
      </c>
      <c r="H91" s="5" t="s">
        <v>26</v>
      </c>
      <c r="I91" s="6">
        <v>1</v>
      </c>
      <c r="J91" s="7"/>
      <c r="K91" s="6">
        <v>0</v>
      </c>
      <c r="L91" s="6">
        <v>0</v>
      </c>
      <c r="M91" s="6">
        <v>0</v>
      </c>
      <c r="N91" s="6">
        <v>0</v>
      </c>
      <c r="O91" s="7"/>
      <c r="P91" s="2"/>
      <c r="Q91" s="2"/>
      <c r="R91" s="2" t="str">
        <v>ISR1000</v>
      </c>
      <c r="S91" s="2" t="str">
        <f ca="1">IFERROR(__xludf.DUMMYFUNCTION("""COMPUTED_VALUE"""),"SISR1100UK9-1715")</f>
        <v>SISR1100UK9-1715</v>
      </c>
      <c r="T91" s="10">
        <f ca="1">IFERROR(__xludf.DUMMYFUNCTION("""COMPUTED_VALUE"""),0)</f>
        <v>0</v>
      </c>
      <c r="U91" s="2" t="e">
        <f ca="1"/>
        <v>#NAME?</v>
      </c>
      <c r="V91" s="2" t="e">
        <f ca="1"/>
        <v>#NAME?</v>
      </c>
      <c r="W91" s="2" t="str">
        <f ca="1">IFERROR(__xludf.DUMMYFUNCTION("""COMPUTED_VALUE"""),"C1161-8P")</f>
        <v>C1161-8P</v>
      </c>
    </row>
    <row r="92" spans="1:23" ht="12.5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2" t="s">
        <v>42</v>
      </c>
      <c r="N92" s="13">
        <v>3260.27</v>
      </c>
      <c r="O92" s="14"/>
      <c r="P92" s="2"/>
      <c r="Q92" s="2"/>
      <c r="R92" s="2" t="str">
        <v/>
      </c>
      <c r="S92" s="2" t="str">
        <f ca="1">IFERROR(__xludf.DUMMYFUNCTION("""COMPUTED_VALUE"""),"")</f>
        <v/>
      </c>
      <c r="T92" s="2" t="str">
        <f ca="1">IFERROR(__xludf.DUMMYFUNCTION("""COMPUTED_VALUE"""),"")</f>
        <v/>
      </c>
      <c r="U92" s="2" t="e">
        <f ca="1"/>
        <v>#NAME?</v>
      </c>
      <c r="V92" s="2" t="e">
        <f ca="1"/>
        <v>#NAME?</v>
      </c>
      <c r="W92" s="2" t="str">
        <f ca="1">IFERROR(__xludf.DUMMYFUNCTION("""COMPUTED_VALUE"""),"")</f>
        <v/>
      </c>
    </row>
    <row r="93" spans="1:23" ht="12.5" x14ac:dyDescent="0.25">
      <c r="A93" s="15"/>
      <c r="B93" s="15"/>
      <c r="C93" s="16" t="s">
        <v>109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2" t="str">
        <v/>
      </c>
      <c r="S93" s="2" t="str">
        <f ca="1">IFERROR(__xludf.DUMMYFUNCTION("""COMPUTED_VALUE"""),"")</f>
        <v/>
      </c>
      <c r="T93" s="2" t="str">
        <f ca="1">IFERROR(__xludf.DUMMYFUNCTION("""COMPUTED_VALUE"""),"")</f>
        <v/>
      </c>
      <c r="U93" s="2" t="e">
        <f ca="1"/>
        <v>#NAME?</v>
      </c>
      <c r="V93" s="2" t="e">
        <f ca="1"/>
        <v>#NAME?</v>
      </c>
      <c r="W93" s="2" t="str">
        <f ca="1">IFERROR(__xludf.DUMMYFUNCTION("""COMPUTED_VALUE"""),"")</f>
        <v/>
      </c>
    </row>
    <row r="94" spans="1:23" ht="12.5" x14ac:dyDescent="0.25">
      <c r="A94" s="4">
        <v>10</v>
      </c>
      <c r="B94" s="4" t="s">
        <v>44</v>
      </c>
      <c r="C94" s="5" t="s">
        <v>33</v>
      </c>
      <c r="D94" s="5" t="s">
        <v>45</v>
      </c>
      <c r="E94" s="5" t="s">
        <v>24</v>
      </c>
      <c r="F94" s="5" t="s">
        <v>25</v>
      </c>
      <c r="G94" s="5">
        <v>4</v>
      </c>
      <c r="H94" s="5" t="s">
        <v>26</v>
      </c>
      <c r="I94" s="6">
        <v>1</v>
      </c>
      <c r="J94" s="7"/>
      <c r="K94" s="6">
        <v>0</v>
      </c>
      <c r="L94" s="6">
        <v>0</v>
      </c>
      <c r="M94" s="6">
        <v>0</v>
      </c>
      <c r="N94" s="6">
        <v>0</v>
      </c>
      <c r="O94" s="7"/>
      <c r="P94" s="2"/>
      <c r="Q94" s="2"/>
      <c r="R94" s="2" t="str">
        <v>ISR1000</v>
      </c>
      <c r="S94" s="2" t="str">
        <f ca="1">IFERROR(__xludf.DUMMYFUNCTION("""COMPUTED_VALUE"""),"L-DNA-TIER-ADD")</f>
        <v>L-DNA-TIER-ADD</v>
      </c>
      <c r="T94" s="10">
        <f ca="1">IFERROR(__xludf.DUMMYFUNCTION("""COMPUTED_VALUE"""),1)</f>
        <v>1</v>
      </c>
      <c r="U94" s="2" t="e">
        <f ca="1"/>
        <v>#NAME?</v>
      </c>
      <c r="V94" s="2" t="e">
        <f ca="1"/>
        <v>#NAME?</v>
      </c>
      <c r="W94" s="2" t="str">
        <f ca="1">IFERROR(__xludf.DUMMYFUNCTION("""COMPUTED_VALUE"""),"C1161-8P")</f>
        <v>C1161-8P</v>
      </c>
    </row>
    <row r="95" spans="1:23" ht="12.5" x14ac:dyDescent="0.25">
      <c r="A95" s="6">
        <v>10.1</v>
      </c>
      <c r="B95" s="5" t="s">
        <v>56</v>
      </c>
      <c r="C95" s="5" t="s">
        <v>33</v>
      </c>
      <c r="D95" s="5" t="s">
        <v>57</v>
      </c>
      <c r="E95" s="7"/>
      <c r="F95" s="5" t="s">
        <v>25</v>
      </c>
      <c r="G95" s="5">
        <v>2</v>
      </c>
      <c r="H95" s="5" t="s">
        <v>26</v>
      </c>
      <c r="I95" s="6">
        <v>1</v>
      </c>
      <c r="J95" s="7"/>
      <c r="K95" s="6">
        <v>0</v>
      </c>
      <c r="L95" s="6">
        <v>0</v>
      </c>
      <c r="M95" s="6">
        <v>0</v>
      </c>
      <c r="N95" s="6">
        <v>0</v>
      </c>
      <c r="O95" s="7"/>
      <c r="P95" s="2"/>
      <c r="Q95" s="2"/>
      <c r="R95" s="2" t="str">
        <v>ISR1000</v>
      </c>
      <c r="S95" s="2" t="str">
        <f ca="1">IFERROR(__xludf.DUMMYFUNCTION("""COMPUTED_VALUE"""),"C1100-8P-DNA-PF")</f>
        <v>C1100-8P-DNA-PF</v>
      </c>
      <c r="T95" s="10">
        <f ca="1">IFERROR(__xludf.DUMMYFUNCTION("""COMPUTED_VALUE"""),0)</f>
        <v>0</v>
      </c>
      <c r="U95" s="2" t="e">
        <f ca="1"/>
        <v>#NAME?</v>
      </c>
      <c r="V95" s="2" t="e">
        <f ca="1"/>
        <v>#NAME?</v>
      </c>
      <c r="W95" s="2" t="str">
        <f ca="1">IFERROR(__xludf.DUMMYFUNCTION("""COMPUTED_VALUE"""),"C1161-8P")</f>
        <v>C1161-8P</v>
      </c>
    </row>
    <row r="96" spans="1:23" ht="12.5" x14ac:dyDescent="0.25">
      <c r="A96" s="6">
        <v>10.199999999999999</v>
      </c>
      <c r="B96" s="5" t="s">
        <v>64</v>
      </c>
      <c r="C96" s="5" t="s">
        <v>22</v>
      </c>
      <c r="D96" s="5" t="s">
        <v>65</v>
      </c>
      <c r="E96" s="7"/>
      <c r="F96" s="5" t="s">
        <v>25</v>
      </c>
      <c r="G96" s="5">
        <v>2</v>
      </c>
      <c r="H96" s="5" t="s">
        <v>26</v>
      </c>
      <c r="I96" s="6">
        <v>1</v>
      </c>
      <c r="J96" s="7"/>
      <c r="K96" s="6">
        <v>0</v>
      </c>
      <c r="L96" s="6">
        <v>0</v>
      </c>
      <c r="M96" s="6">
        <v>0</v>
      </c>
      <c r="N96" s="6">
        <v>0</v>
      </c>
      <c r="O96" s="7"/>
      <c r="P96" s="2"/>
      <c r="Q96" s="2"/>
      <c r="R96" s="2" t="str">
        <v>ISR1000</v>
      </c>
      <c r="S96" s="2" t="str">
        <f ca="1">IFERROR(__xludf.DUMMYFUNCTION("""COMPUTED_VALUE"""),"IOSXE-CTRL-MODE-PF")</f>
        <v>IOSXE-CTRL-MODE-PF</v>
      </c>
      <c r="T96" s="10">
        <f ca="1">IFERROR(__xludf.DUMMYFUNCTION("""COMPUTED_VALUE"""),0)</f>
        <v>0</v>
      </c>
      <c r="U96" s="2" t="e">
        <f ca="1"/>
        <v>#NAME?</v>
      </c>
      <c r="V96" s="2" t="e">
        <f ca="1"/>
        <v>#NAME?</v>
      </c>
      <c r="W96" s="2" t="str">
        <f ca="1">IFERROR(__xludf.DUMMYFUNCTION("""COMPUTED_VALUE"""),"C1161-8P")</f>
        <v>C1161-8P</v>
      </c>
    </row>
    <row r="97" spans="1:23" ht="12.5" x14ac:dyDescent="0.25">
      <c r="A97" s="6">
        <v>10.3</v>
      </c>
      <c r="B97" s="5" t="s">
        <v>60</v>
      </c>
      <c r="C97" s="5" t="s">
        <v>33</v>
      </c>
      <c r="D97" s="5" t="s">
        <v>61</v>
      </c>
      <c r="E97" s="7"/>
      <c r="F97" s="5" t="s">
        <v>25</v>
      </c>
      <c r="G97" s="5">
        <v>2</v>
      </c>
      <c r="H97" s="5" t="s">
        <v>26</v>
      </c>
      <c r="I97" s="6">
        <v>1</v>
      </c>
      <c r="J97" s="7"/>
      <c r="K97" s="6">
        <v>0</v>
      </c>
      <c r="L97" s="6">
        <v>0</v>
      </c>
      <c r="M97" s="6">
        <v>0</v>
      </c>
      <c r="N97" s="6">
        <v>0</v>
      </c>
      <c r="O97" s="7"/>
      <c r="P97" s="2"/>
      <c r="Q97" s="2"/>
      <c r="R97" s="2" t="str">
        <v>ISR1000</v>
      </c>
      <c r="S97" s="2" t="str">
        <f ca="1">IFERROR(__xludf.DUMMYFUNCTION("""COMPUTED_VALUE"""),"SL-1100-8P-NA-A-L")</f>
        <v>SL-1100-8P-NA-A-L</v>
      </c>
      <c r="T97" s="10">
        <f ca="1">IFERROR(__xludf.DUMMYFUNCTION("""COMPUTED_VALUE"""),0)</f>
        <v>0</v>
      </c>
      <c r="U97" s="2" t="e">
        <f ca="1"/>
        <v>#NAME?</v>
      </c>
      <c r="V97" s="2" t="e">
        <f ca="1"/>
        <v>#NAME?</v>
      </c>
      <c r="W97" s="2" t="str">
        <f ca="1">IFERROR(__xludf.DUMMYFUNCTION("""COMPUTED_VALUE"""),"C1161-8P")</f>
        <v>C1161-8P</v>
      </c>
    </row>
    <row r="98" spans="1:23" ht="12.5" x14ac:dyDescent="0.25">
      <c r="A98" s="6">
        <v>10.4</v>
      </c>
      <c r="B98" s="5" t="s">
        <v>52</v>
      </c>
      <c r="C98" s="5" t="s">
        <v>33</v>
      </c>
      <c r="D98" s="5" t="s">
        <v>53</v>
      </c>
      <c r="E98" s="7"/>
      <c r="F98" s="5" t="s">
        <v>25</v>
      </c>
      <c r="G98" s="5">
        <v>2</v>
      </c>
      <c r="H98" s="5" t="s">
        <v>26</v>
      </c>
      <c r="I98" s="6">
        <v>1</v>
      </c>
      <c r="J98" s="7"/>
      <c r="K98" s="6">
        <v>0</v>
      </c>
      <c r="L98" s="6">
        <v>0</v>
      </c>
      <c r="M98" s="6">
        <v>0</v>
      </c>
      <c r="N98" s="6">
        <v>0</v>
      </c>
      <c r="O98" s="7"/>
      <c r="P98" s="2"/>
      <c r="Q98" s="2"/>
      <c r="R98" s="2" t="str">
        <v>ISR1000</v>
      </c>
      <c r="S98" s="2" t="str">
        <f ca="1">IFERROR(__xludf.DUMMYFUNCTION("""COMPUTED_VALUE"""),"SDWAN-UMB-ADV")</f>
        <v>SDWAN-UMB-ADV</v>
      </c>
      <c r="T98" s="10">
        <f ca="1">IFERROR(__xludf.DUMMYFUNCTION("""COMPUTED_VALUE"""),0)</f>
        <v>0</v>
      </c>
      <c r="U98" s="2" t="e">
        <f ca="1"/>
        <v>#NAME?</v>
      </c>
      <c r="V98" s="2" t="e">
        <f ca="1"/>
        <v>#NAME?</v>
      </c>
      <c r="W98" s="2" t="str">
        <f ca="1">IFERROR(__xludf.DUMMYFUNCTION("""COMPUTED_VALUE"""),"C1161-8P")</f>
        <v>C1161-8P</v>
      </c>
    </row>
    <row r="99" spans="1:23" ht="12.5" x14ac:dyDescent="0.25">
      <c r="A99" s="6">
        <v>10.5</v>
      </c>
      <c r="B99" s="5" t="s">
        <v>66</v>
      </c>
      <c r="C99" s="5" t="s">
        <v>22</v>
      </c>
      <c r="D99" s="5" t="s">
        <v>67</v>
      </c>
      <c r="E99" s="7"/>
      <c r="F99" s="5" t="s">
        <v>25</v>
      </c>
      <c r="G99" s="5">
        <v>2</v>
      </c>
      <c r="H99" s="5" t="s">
        <v>26</v>
      </c>
      <c r="I99" s="6">
        <v>1</v>
      </c>
      <c r="J99" s="7"/>
      <c r="K99" s="6">
        <v>0</v>
      </c>
      <c r="L99" s="6">
        <v>0</v>
      </c>
      <c r="M99" s="6">
        <v>0</v>
      </c>
      <c r="N99" s="6">
        <v>0</v>
      </c>
      <c r="O99" s="7"/>
      <c r="P99" s="2"/>
      <c r="Q99" s="2"/>
      <c r="R99" s="2" t="str">
        <v>ISR1000</v>
      </c>
      <c r="S99" s="2" t="str">
        <f ca="1">IFERROR(__xludf.DUMMYFUNCTION("""COMPUTED_VALUE"""),"SDWAN-ONPREM-PF")</f>
        <v>SDWAN-ONPREM-PF</v>
      </c>
      <c r="T99" s="10">
        <f ca="1">IFERROR(__xludf.DUMMYFUNCTION("""COMPUTED_VALUE"""),0)</f>
        <v>0</v>
      </c>
      <c r="U99" s="2" t="e">
        <f ca="1"/>
        <v>#NAME?</v>
      </c>
      <c r="V99" s="2" t="e">
        <f ca="1"/>
        <v>#NAME?</v>
      </c>
      <c r="W99" s="2" t="str">
        <f ca="1">IFERROR(__xludf.DUMMYFUNCTION("""COMPUTED_VALUE"""),"C1161-8P")</f>
        <v>C1161-8P</v>
      </c>
    </row>
    <row r="100" spans="1:23" ht="12.5" x14ac:dyDescent="0.25">
      <c r="A100" s="6">
        <v>10.6</v>
      </c>
      <c r="B100" s="5" t="s">
        <v>54</v>
      </c>
      <c r="C100" s="5" t="s">
        <v>33</v>
      </c>
      <c r="D100" s="5" t="s">
        <v>55</v>
      </c>
      <c r="E100" s="7"/>
      <c r="F100" s="5" t="s">
        <v>25</v>
      </c>
      <c r="G100" s="5">
        <v>2</v>
      </c>
      <c r="H100" s="5" t="s">
        <v>26</v>
      </c>
      <c r="I100" s="6">
        <v>1</v>
      </c>
      <c r="J100" s="7"/>
      <c r="K100" s="6">
        <v>0</v>
      </c>
      <c r="L100" s="6">
        <v>0</v>
      </c>
      <c r="M100" s="6">
        <v>0</v>
      </c>
      <c r="N100" s="6">
        <v>0</v>
      </c>
      <c r="O100" s="7"/>
      <c r="P100" s="2"/>
      <c r="Q100" s="2"/>
      <c r="R100" s="2" t="str">
        <v>ISR1000</v>
      </c>
      <c r="S100" s="2" t="str">
        <f ca="1">IFERROR(__xludf.DUMMYFUNCTION("""COMPUTED_VALUE"""),"TE-EMBED-WANI")</f>
        <v>TE-EMBED-WANI</v>
      </c>
      <c r="T100" s="10">
        <f ca="1">IFERROR(__xludf.DUMMYFUNCTION("""COMPUTED_VALUE"""),0)</f>
        <v>0</v>
      </c>
      <c r="U100" s="2" t="e">
        <f ca="1"/>
        <v>#NAME?</v>
      </c>
      <c r="V100" s="2" t="e">
        <f ca="1"/>
        <v>#NAME?</v>
      </c>
      <c r="W100" s="2" t="str">
        <f ca="1">IFERROR(__xludf.DUMMYFUNCTION("""COMPUTED_VALUE"""),"C1161-8P")</f>
        <v>C1161-8P</v>
      </c>
    </row>
    <row r="101" spans="1:23" ht="12.5" x14ac:dyDescent="0.25">
      <c r="A101" s="6">
        <v>10.7</v>
      </c>
      <c r="B101" s="5" t="s">
        <v>58</v>
      </c>
      <c r="C101" s="5" t="s">
        <v>33</v>
      </c>
      <c r="D101" s="5" t="s">
        <v>59</v>
      </c>
      <c r="E101" s="7"/>
      <c r="F101" s="5" t="s">
        <v>25</v>
      </c>
      <c r="G101" s="5">
        <v>2</v>
      </c>
      <c r="H101" s="5" t="s">
        <v>26</v>
      </c>
      <c r="I101" s="6">
        <v>1</v>
      </c>
      <c r="J101" s="7"/>
      <c r="K101" s="6">
        <v>0</v>
      </c>
      <c r="L101" s="6">
        <v>0</v>
      </c>
      <c r="M101" s="6">
        <v>0</v>
      </c>
      <c r="N101" s="6">
        <v>0</v>
      </c>
      <c r="O101" s="7"/>
      <c r="P101" s="2"/>
      <c r="Q101" s="2"/>
      <c r="R101" s="2" t="str">
        <v>ISR1000</v>
      </c>
      <c r="S101" s="2" t="str">
        <f ca="1">IFERROR(__xludf.DUMMYFUNCTION("""COMPUTED_VALUE"""),"FL-1100-8P-HSEC-L")</f>
        <v>FL-1100-8P-HSEC-L</v>
      </c>
      <c r="T101" s="10">
        <f ca="1">IFERROR(__xludf.DUMMYFUNCTION("""COMPUTED_VALUE"""),0)</f>
        <v>0</v>
      </c>
      <c r="U101" s="2" t="e">
        <f ca="1"/>
        <v>#NAME?</v>
      </c>
      <c r="V101" s="2" t="e">
        <f ca="1"/>
        <v>#NAME?</v>
      </c>
      <c r="W101" s="2" t="str">
        <f ca="1">IFERROR(__xludf.DUMMYFUNCTION("""COMPUTED_VALUE"""),"C1161-8P")</f>
        <v>C1161-8P</v>
      </c>
    </row>
    <row r="102" spans="1:23" ht="12.5" x14ac:dyDescent="0.25">
      <c r="A102" s="6">
        <v>10.8</v>
      </c>
      <c r="B102" s="5" t="s">
        <v>46</v>
      </c>
      <c r="C102" s="5" t="s">
        <v>33</v>
      </c>
      <c r="D102" s="5" t="s">
        <v>47</v>
      </c>
      <c r="E102" s="7"/>
      <c r="F102" s="5" t="s">
        <v>25</v>
      </c>
      <c r="G102" s="5" t="s">
        <v>25</v>
      </c>
      <c r="H102" s="5" t="s">
        <v>26</v>
      </c>
      <c r="I102" s="6">
        <v>1</v>
      </c>
      <c r="J102" s="7"/>
      <c r="K102" s="6">
        <v>148.61000000000001</v>
      </c>
      <c r="L102" s="8">
        <v>5349.96</v>
      </c>
      <c r="M102" s="6">
        <v>0</v>
      </c>
      <c r="N102" s="8">
        <v>5349.96</v>
      </c>
      <c r="O102" s="7"/>
      <c r="P102" s="2"/>
      <c r="Q102" s="2"/>
      <c r="R102" s="2" t="str">
        <v>ISR1000</v>
      </c>
      <c r="S102" s="2" t="str">
        <f ca="1">IFERROR(__xludf.DUMMYFUNCTION("""COMPUTED_VALUE"""),"DNA-P-T1-A-3Y")</f>
        <v>DNA-P-T1-A-3Y</v>
      </c>
      <c r="T102" s="10">
        <f ca="1">IFERROR(__xludf.DUMMYFUNCTION("""COMPUTED_VALUE"""),0)</f>
        <v>0</v>
      </c>
      <c r="U102" s="2" t="e">
        <f ca="1"/>
        <v>#NAME?</v>
      </c>
      <c r="V102" s="2" t="e">
        <f ca="1"/>
        <v>#NAME?</v>
      </c>
      <c r="W102" s="2" t="str">
        <f ca="1">IFERROR(__xludf.DUMMYFUNCTION("""COMPUTED_VALUE"""),"C1161-8P")</f>
        <v>C1161-8P</v>
      </c>
    </row>
    <row r="103" spans="1:23" ht="12.5" x14ac:dyDescent="0.25">
      <c r="A103" s="6">
        <v>10.9</v>
      </c>
      <c r="B103" s="5" t="s">
        <v>48</v>
      </c>
      <c r="C103" s="5" t="s">
        <v>22</v>
      </c>
      <c r="D103" s="5" t="s">
        <v>49</v>
      </c>
      <c r="E103" s="7"/>
      <c r="F103" s="5" t="s">
        <v>25</v>
      </c>
      <c r="G103" s="5">
        <v>2</v>
      </c>
      <c r="H103" s="5" t="s">
        <v>26</v>
      </c>
      <c r="I103" s="6">
        <v>1</v>
      </c>
      <c r="J103" s="7"/>
      <c r="K103" s="6">
        <v>30.65</v>
      </c>
      <c r="L103" s="8">
        <v>1103.4000000000001</v>
      </c>
      <c r="M103" s="6">
        <v>0</v>
      </c>
      <c r="N103" s="8">
        <v>1103.4000000000001</v>
      </c>
      <c r="O103" s="7"/>
      <c r="P103" s="2"/>
      <c r="Q103" s="2"/>
      <c r="R103" s="2" t="str">
        <v>ISR1000</v>
      </c>
      <c r="S103" s="2" t="str">
        <f ca="1">IFERROR(__xludf.DUMMYFUNCTION("""COMPUTED_VALUE"""),"SVS-PSTL1-T1-A3Y")</f>
        <v>SVS-PSTL1-T1-A3Y</v>
      </c>
      <c r="T103" s="10">
        <f ca="1">IFERROR(__xludf.DUMMYFUNCTION("""COMPUTED_VALUE"""),0)</f>
        <v>0</v>
      </c>
      <c r="U103" s="2" t="e">
        <f ca="1"/>
        <v>#NAME?</v>
      </c>
      <c r="V103" s="2" t="e">
        <f ca="1"/>
        <v>#NAME?</v>
      </c>
      <c r="W103" s="2" t="str">
        <f ca="1">IFERROR(__xludf.DUMMYFUNCTION("""COMPUTED_VALUE"""),"C1161-8P")</f>
        <v>C1161-8P</v>
      </c>
    </row>
    <row r="104" spans="1:23" ht="12.5" x14ac:dyDescent="0.25">
      <c r="A104" s="6">
        <v>10.1</v>
      </c>
      <c r="B104" s="5" t="s">
        <v>50</v>
      </c>
      <c r="C104" s="5" t="s">
        <v>33</v>
      </c>
      <c r="D104" s="5" t="s">
        <v>51</v>
      </c>
      <c r="E104" s="7"/>
      <c r="F104" s="5" t="s">
        <v>25</v>
      </c>
      <c r="G104" s="5">
        <v>2</v>
      </c>
      <c r="H104" s="5" t="s">
        <v>26</v>
      </c>
      <c r="I104" s="6">
        <v>1</v>
      </c>
      <c r="J104" s="7"/>
      <c r="K104" s="6">
        <v>0</v>
      </c>
      <c r="L104" s="6">
        <v>0</v>
      </c>
      <c r="M104" s="6">
        <v>0</v>
      </c>
      <c r="N104" s="6">
        <v>0</v>
      </c>
      <c r="O104" s="7"/>
      <c r="P104" s="2"/>
      <c r="Q104" s="2"/>
      <c r="R104" s="2" t="str">
        <v>ISR1000</v>
      </c>
      <c r="S104" s="2" t="str">
        <f ca="1">IFERROR(__xludf.DUMMYFUNCTION("""COMPUTED_VALUE"""),"DSTACK-T1-A")</f>
        <v>DSTACK-T1-A</v>
      </c>
      <c r="T104" s="10">
        <f ca="1">IFERROR(__xludf.DUMMYFUNCTION("""COMPUTED_VALUE"""),0)</f>
        <v>0</v>
      </c>
      <c r="U104" s="2" t="e">
        <f ca="1"/>
        <v>#NAME?</v>
      </c>
      <c r="V104" s="2" t="e">
        <f ca="1"/>
        <v>#NAME?</v>
      </c>
      <c r="W104" s="2" t="str">
        <f ca="1">IFERROR(__xludf.DUMMYFUNCTION("""COMPUTED_VALUE"""),"C1161-8P")</f>
        <v>C1161-8P</v>
      </c>
    </row>
    <row r="105" spans="1:23" ht="12.5" x14ac:dyDescent="0.25">
      <c r="A105" s="6">
        <v>10.11</v>
      </c>
      <c r="B105" s="5" t="s">
        <v>62</v>
      </c>
      <c r="C105" s="5" t="s">
        <v>33</v>
      </c>
      <c r="D105" s="5" t="s">
        <v>63</v>
      </c>
      <c r="E105" s="7"/>
      <c r="F105" s="5" t="s">
        <v>25</v>
      </c>
      <c r="G105" s="5">
        <v>2</v>
      </c>
      <c r="H105" s="5" t="s">
        <v>26</v>
      </c>
      <c r="I105" s="6">
        <v>1</v>
      </c>
      <c r="J105" s="7"/>
      <c r="K105" s="6">
        <v>0</v>
      </c>
      <c r="L105" s="6">
        <v>0</v>
      </c>
      <c r="M105" s="6">
        <v>0</v>
      </c>
      <c r="N105" s="6">
        <v>0</v>
      </c>
      <c r="O105" s="7"/>
      <c r="P105" s="2"/>
      <c r="Q105" s="2"/>
      <c r="R105" s="2" t="str">
        <v>ISR1000</v>
      </c>
      <c r="S105" s="2" t="str">
        <f ca="1">IFERROR(__xludf.DUMMYFUNCTION("""COMPUTED_VALUE"""),"DNA-HSEC-UPGD")</f>
        <v>DNA-HSEC-UPGD</v>
      </c>
      <c r="T105" s="10">
        <f ca="1">IFERROR(__xludf.DUMMYFUNCTION("""COMPUTED_VALUE"""),0)</f>
        <v>0</v>
      </c>
      <c r="U105" s="2" t="e">
        <f ca="1"/>
        <v>#NAME?</v>
      </c>
      <c r="V105" s="2" t="e">
        <f ca="1"/>
        <v>#NAME?</v>
      </c>
      <c r="W105" s="2" t="str">
        <f ca="1">IFERROR(__xludf.DUMMYFUNCTION("""COMPUTED_VALUE"""),"C1161-8P")</f>
        <v>C1161-8P</v>
      </c>
    </row>
    <row r="106" spans="1:23" ht="12.5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2" t="s">
        <v>42</v>
      </c>
      <c r="N106" s="13">
        <v>6453.36</v>
      </c>
      <c r="O106" s="14"/>
      <c r="P106" s="2"/>
      <c r="Q106" s="2"/>
      <c r="R106" s="2" t="str">
        <v/>
      </c>
      <c r="S106" s="2" t="str">
        <f ca="1">IFERROR(__xludf.DUMMYFUNCTION("""COMPUTED_VALUE"""),"")</f>
        <v/>
      </c>
      <c r="T106" s="2" t="str">
        <f ca="1">IFERROR(__xludf.DUMMYFUNCTION("""COMPUTED_VALUE"""),"")</f>
        <v/>
      </c>
      <c r="U106" s="2" t="e">
        <f ca="1"/>
        <v>#NAME?</v>
      </c>
      <c r="V106" s="2" t="e">
        <f ca="1"/>
        <v>#NAME?</v>
      </c>
      <c r="W106" s="2" t="str">
        <f ca="1">IFERROR(__xludf.DUMMYFUNCTION("""COMPUTED_VALUE"""),"")</f>
        <v/>
      </c>
    </row>
    <row r="107" spans="1:23" ht="12.5" x14ac:dyDescent="0.25">
      <c r="A107" s="4">
        <v>11</v>
      </c>
      <c r="B107" s="4" t="s">
        <v>110</v>
      </c>
      <c r="C107" s="5" t="s">
        <v>22</v>
      </c>
      <c r="D107" s="5" t="s">
        <v>111</v>
      </c>
      <c r="E107" s="5" t="s">
        <v>24</v>
      </c>
      <c r="F107" s="5" t="s">
        <v>25</v>
      </c>
      <c r="G107" s="5">
        <v>56</v>
      </c>
      <c r="H107" s="5" t="s">
        <v>26</v>
      </c>
      <c r="I107" s="6">
        <v>1</v>
      </c>
      <c r="J107" s="7"/>
      <c r="K107" s="8">
        <v>1980.11</v>
      </c>
      <c r="L107" s="8">
        <v>1980.11</v>
      </c>
      <c r="M107" s="6">
        <v>0</v>
      </c>
      <c r="N107" s="8">
        <v>1980.11</v>
      </c>
      <c r="O107" s="7"/>
      <c r="P107" s="2"/>
      <c r="Q107" s="2"/>
      <c r="R107" s="2" t="str">
        <v>ISR1000</v>
      </c>
      <c r="S107" s="2" t="str">
        <f ca="1">IFERROR(__xludf.DUMMYFUNCTION("""COMPUTED_VALUE"""),"C1131-8PWS")</f>
        <v>C1131-8PWS</v>
      </c>
      <c r="T107" s="10">
        <f ca="1">IFERROR(__xludf.DUMMYFUNCTION("""COMPUTED_VALUE"""),1)</f>
        <v>1</v>
      </c>
      <c r="U107" s="2" t="e">
        <f ca="1"/>
        <v>#NAME?</v>
      </c>
      <c r="V107" s="2" t="e">
        <f ca="1"/>
        <v>#NAME?</v>
      </c>
      <c r="W107" s="2" t="str">
        <f ca="1">IFERROR(__xludf.DUMMYFUNCTION("""COMPUTED_VALUE"""),"C1131-8PWS")</f>
        <v>C1131-8PWS</v>
      </c>
    </row>
    <row r="108" spans="1:23" ht="12.5" x14ac:dyDescent="0.25">
      <c r="A108" s="6" t="s">
        <v>112</v>
      </c>
      <c r="B108" s="5" t="s">
        <v>113</v>
      </c>
      <c r="C108" s="5" t="s">
        <v>22</v>
      </c>
      <c r="D108" s="5" t="s">
        <v>114</v>
      </c>
      <c r="E108" s="7"/>
      <c r="F108" s="5">
        <v>24</v>
      </c>
      <c r="G108" s="5" t="s">
        <v>25</v>
      </c>
      <c r="H108" s="5" t="s">
        <v>26</v>
      </c>
      <c r="I108" s="6">
        <v>1</v>
      </c>
      <c r="J108" s="7"/>
      <c r="K108" s="6">
        <v>489.5</v>
      </c>
      <c r="L108" s="6">
        <v>489.5</v>
      </c>
      <c r="M108" s="6">
        <v>0</v>
      </c>
      <c r="N108" s="6">
        <v>489.5</v>
      </c>
      <c r="O108" s="5" t="s">
        <v>30</v>
      </c>
      <c r="P108" s="2"/>
      <c r="Q108" s="2"/>
      <c r="R108" s="2" t="str">
        <v>ISR1000</v>
      </c>
      <c r="S108" s="2" t="str">
        <f ca="1">IFERROR(__xludf.DUMMYFUNCTION("""COMPUTED_VALUE"""),"CON-L1NBD-C1138PWS")</f>
        <v>CON-L1NBD-C1138PWS</v>
      </c>
      <c r="T108" s="10">
        <f ca="1">IFERROR(__xludf.DUMMYFUNCTION("""COMPUTED_VALUE"""),0)</f>
        <v>0</v>
      </c>
      <c r="U108" s="2" t="e">
        <f ca="1"/>
        <v>#NAME?</v>
      </c>
      <c r="V108" s="2" t="e">
        <f ca="1"/>
        <v>#NAME?</v>
      </c>
      <c r="W108" s="2" t="str">
        <f ca="1">IFERROR(__xludf.DUMMYFUNCTION("""COMPUTED_VALUE"""),"C1131-8PWS")</f>
        <v>C1131-8PWS</v>
      </c>
    </row>
    <row r="109" spans="1:23" ht="12.5" x14ac:dyDescent="0.25">
      <c r="A109" s="6">
        <v>11.1</v>
      </c>
      <c r="B109" s="5" t="s">
        <v>31</v>
      </c>
      <c r="C109" s="5" t="s">
        <v>22</v>
      </c>
      <c r="D109" s="5" t="s">
        <v>32</v>
      </c>
      <c r="E109" s="7"/>
      <c r="F109" s="5" t="s">
        <v>25</v>
      </c>
      <c r="G109" s="5">
        <v>42</v>
      </c>
      <c r="H109" s="5" t="s">
        <v>33</v>
      </c>
      <c r="I109" s="6">
        <v>1</v>
      </c>
      <c r="J109" s="7"/>
      <c r="K109" s="6">
        <v>0</v>
      </c>
      <c r="L109" s="6">
        <v>0</v>
      </c>
      <c r="M109" s="6">
        <v>0</v>
      </c>
      <c r="N109" s="6">
        <v>0</v>
      </c>
      <c r="O109" s="7"/>
      <c r="P109" s="2"/>
      <c r="Q109" s="2"/>
      <c r="R109" s="2" t="str">
        <v>ISR1000</v>
      </c>
      <c r="S109" s="2" t="str">
        <f ca="1">IFERROR(__xludf.DUMMYFUNCTION("""COMPUTED_VALUE"""),"PWR-66W-AC-V2")</f>
        <v>PWR-66W-AC-V2</v>
      </c>
      <c r="T109" s="10">
        <f ca="1">IFERROR(__xludf.DUMMYFUNCTION("""COMPUTED_VALUE"""),0)</f>
        <v>0</v>
      </c>
      <c r="U109" s="2" t="e">
        <f ca="1"/>
        <v>#NAME?</v>
      </c>
      <c r="V109" s="2" t="e">
        <f ca="1"/>
        <v>#NAME?</v>
      </c>
      <c r="W109" s="2" t="str">
        <f ca="1">IFERROR(__xludf.DUMMYFUNCTION("""COMPUTED_VALUE"""),"C1131-8PWS")</f>
        <v>C1131-8PWS</v>
      </c>
    </row>
    <row r="110" spans="1:23" ht="12.5" x14ac:dyDescent="0.25">
      <c r="A110" s="6">
        <v>11.2</v>
      </c>
      <c r="B110" s="5" t="s">
        <v>115</v>
      </c>
      <c r="C110" s="5" t="s">
        <v>22</v>
      </c>
      <c r="D110" s="5" t="s">
        <v>116</v>
      </c>
      <c r="E110" s="7"/>
      <c r="F110" s="5" t="s">
        <v>25</v>
      </c>
      <c r="G110" s="5">
        <v>28</v>
      </c>
      <c r="H110" s="5" t="s">
        <v>33</v>
      </c>
      <c r="I110" s="6">
        <v>1</v>
      </c>
      <c r="J110" s="7"/>
      <c r="K110" s="6">
        <v>0</v>
      </c>
      <c r="L110" s="6">
        <v>0</v>
      </c>
      <c r="M110" s="6">
        <v>0</v>
      </c>
      <c r="N110" s="6">
        <v>0</v>
      </c>
      <c r="O110" s="7"/>
      <c r="P110" s="2"/>
      <c r="Q110" s="2"/>
      <c r="R110" s="2" t="str">
        <v>ISR1000</v>
      </c>
      <c r="S110" s="2" t="str">
        <f ca="1">IFERROR(__xludf.DUMMYFUNCTION("""COMPUTED_VALUE"""),"SW9105AX-EWCEX-K9")</f>
        <v>SW9105AX-EWCEX-K9</v>
      </c>
      <c r="T110" s="10">
        <f ca="1">IFERROR(__xludf.DUMMYFUNCTION("""COMPUTED_VALUE"""),0)</f>
        <v>0</v>
      </c>
      <c r="U110" s="2" t="e">
        <f ca="1"/>
        <v>#NAME?</v>
      </c>
      <c r="V110" s="2" t="e">
        <f ca="1"/>
        <v>#NAME?</v>
      </c>
      <c r="W110" s="2" t="str">
        <f ca="1">IFERROR(__xludf.DUMMYFUNCTION("""COMPUTED_VALUE"""),"C1131-8PWS")</f>
        <v>C1131-8PWS</v>
      </c>
    </row>
    <row r="111" spans="1:23" ht="12.5" x14ac:dyDescent="0.25">
      <c r="A111" s="6">
        <v>11.3</v>
      </c>
      <c r="B111" s="5" t="s">
        <v>36</v>
      </c>
      <c r="C111" s="5" t="s">
        <v>22</v>
      </c>
      <c r="D111" s="5" t="s">
        <v>37</v>
      </c>
      <c r="E111" s="7"/>
      <c r="F111" s="5" t="s">
        <v>25</v>
      </c>
      <c r="G111" s="5">
        <v>14</v>
      </c>
      <c r="H111" s="5" t="s">
        <v>26</v>
      </c>
      <c r="I111" s="6">
        <v>1</v>
      </c>
      <c r="J111" s="7"/>
      <c r="K111" s="6">
        <v>0</v>
      </c>
      <c r="L111" s="6">
        <v>0</v>
      </c>
      <c r="M111" s="6">
        <v>0</v>
      </c>
      <c r="N111" s="6">
        <v>0</v>
      </c>
      <c r="O111" s="7"/>
      <c r="P111" s="2"/>
      <c r="Q111" s="2"/>
      <c r="R111" s="2" t="str">
        <v>ISR1000</v>
      </c>
      <c r="S111" s="2" t="str">
        <f ca="1">IFERROR(__xludf.DUMMYFUNCTION("""COMPUTED_VALUE"""),"CAB-ACE")</f>
        <v>CAB-ACE</v>
      </c>
      <c r="T111" s="10">
        <f ca="1">IFERROR(__xludf.DUMMYFUNCTION("""COMPUTED_VALUE"""),0)</f>
        <v>0</v>
      </c>
      <c r="U111" s="2" t="e">
        <f ca="1"/>
        <v>#NAME?</v>
      </c>
      <c r="V111" s="2" t="e">
        <f ca="1"/>
        <v>#NAME?</v>
      </c>
      <c r="W111" s="2" t="str">
        <f ca="1">IFERROR(__xludf.DUMMYFUNCTION("""COMPUTED_VALUE"""),"C1131-8PWS")</f>
        <v>C1131-8PWS</v>
      </c>
    </row>
    <row r="112" spans="1:23" ht="12.5" x14ac:dyDescent="0.25">
      <c r="A112" s="6">
        <v>11.4</v>
      </c>
      <c r="B112" s="5" t="s">
        <v>38</v>
      </c>
      <c r="C112" s="5" t="s">
        <v>22</v>
      </c>
      <c r="D112" s="5" t="s">
        <v>39</v>
      </c>
      <c r="E112" s="7"/>
      <c r="F112" s="5" t="s">
        <v>25</v>
      </c>
      <c r="G112" s="5">
        <v>14</v>
      </c>
      <c r="H112" s="5" t="s">
        <v>26</v>
      </c>
      <c r="I112" s="6">
        <v>1</v>
      </c>
      <c r="J112" s="7"/>
      <c r="K112" s="6">
        <v>0</v>
      </c>
      <c r="L112" s="6">
        <v>0</v>
      </c>
      <c r="M112" s="6">
        <v>0</v>
      </c>
      <c r="N112" s="6">
        <v>0</v>
      </c>
      <c r="O112" s="7"/>
      <c r="P112" s="2"/>
      <c r="Q112" s="2"/>
      <c r="R112" s="2" t="str">
        <v>ISR1000</v>
      </c>
      <c r="S112" s="2" t="str">
        <f ca="1">IFERROR(__xludf.DUMMYFUNCTION("""COMPUTED_VALUE"""),"GREEN-OPTION")</f>
        <v>GREEN-OPTION</v>
      </c>
      <c r="T112" s="10">
        <f ca="1">IFERROR(__xludf.DUMMYFUNCTION("""COMPUTED_VALUE"""),0)</f>
        <v>0</v>
      </c>
      <c r="U112" s="2" t="e">
        <f ca="1"/>
        <v>#NAME?</v>
      </c>
      <c r="V112" s="2" t="e">
        <f ca="1"/>
        <v>#NAME?</v>
      </c>
      <c r="W112" s="2" t="str">
        <f ca="1">IFERROR(__xludf.DUMMYFUNCTION("""COMPUTED_VALUE"""),"C1131-8PWS")</f>
        <v>C1131-8PWS</v>
      </c>
    </row>
    <row r="113" spans="1:23" ht="12.5" x14ac:dyDescent="0.25">
      <c r="A113" s="6">
        <v>11.5</v>
      </c>
      <c r="B113" s="5" t="s">
        <v>101</v>
      </c>
      <c r="C113" s="5" t="s">
        <v>22</v>
      </c>
      <c r="D113" s="5" t="s">
        <v>102</v>
      </c>
      <c r="E113" s="7"/>
      <c r="F113" s="5" t="s">
        <v>25</v>
      </c>
      <c r="G113" s="5">
        <v>28</v>
      </c>
      <c r="H113" s="5" t="s">
        <v>26</v>
      </c>
      <c r="I113" s="6">
        <v>1</v>
      </c>
      <c r="J113" s="7"/>
      <c r="K113" s="6">
        <v>0</v>
      </c>
      <c r="L113" s="6">
        <v>0</v>
      </c>
      <c r="M113" s="6">
        <v>0</v>
      </c>
      <c r="N113" s="6">
        <v>0</v>
      </c>
      <c r="O113" s="7"/>
      <c r="P113" s="2"/>
      <c r="Q113" s="2"/>
      <c r="R113" s="2" t="str">
        <v>ISR1000</v>
      </c>
      <c r="S113" s="2" t="str">
        <f ca="1">IFERROR(__xludf.DUMMYFUNCTION("""COMPUTED_VALUE"""),"SISR1100UK9-1715")</f>
        <v>SISR1100UK9-1715</v>
      </c>
      <c r="T113" s="10">
        <f ca="1">IFERROR(__xludf.DUMMYFUNCTION("""COMPUTED_VALUE"""),0)</f>
        <v>0</v>
      </c>
      <c r="U113" s="2" t="e">
        <f ca="1"/>
        <v>#NAME?</v>
      </c>
      <c r="V113" s="2" t="e">
        <f ca="1"/>
        <v>#NAME?</v>
      </c>
      <c r="W113" s="2" t="str">
        <f ca="1">IFERROR(__xludf.DUMMYFUNCTION("""COMPUTED_VALUE"""),"C1131-8PWS")</f>
        <v>C1131-8PWS</v>
      </c>
    </row>
    <row r="114" spans="1:23" ht="12.5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2" t="s">
        <v>42</v>
      </c>
      <c r="N114" s="13">
        <v>2469.61</v>
      </c>
      <c r="O114" s="14"/>
      <c r="P114" s="2"/>
      <c r="Q114" s="2"/>
      <c r="R114" s="2" t="str">
        <v/>
      </c>
      <c r="S114" s="2" t="str">
        <f ca="1">IFERROR(__xludf.DUMMYFUNCTION("""COMPUTED_VALUE"""),"")</f>
        <v/>
      </c>
      <c r="T114" s="2" t="str">
        <f ca="1">IFERROR(__xludf.DUMMYFUNCTION("""COMPUTED_VALUE"""),"")</f>
        <v/>
      </c>
      <c r="U114" s="2" t="e">
        <f ca="1"/>
        <v>#NAME?</v>
      </c>
      <c r="V114" s="2" t="e">
        <f ca="1"/>
        <v>#NAME?</v>
      </c>
      <c r="W114" s="2" t="str">
        <f ca="1">IFERROR(__xludf.DUMMYFUNCTION("""COMPUTED_VALUE"""),"")</f>
        <v/>
      </c>
    </row>
    <row r="115" spans="1:23" ht="12.5" x14ac:dyDescent="0.25">
      <c r="A115" s="15"/>
      <c r="B115" s="15"/>
      <c r="C115" s="16" t="s">
        <v>117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2" t="str">
        <v/>
      </c>
      <c r="S115" s="2" t="str">
        <f ca="1">IFERROR(__xludf.DUMMYFUNCTION("""COMPUTED_VALUE"""),"")</f>
        <v/>
      </c>
      <c r="T115" s="2" t="str">
        <f ca="1">IFERROR(__xludf.DUMMYFUNCTION("""COMPUTED_VALUE"""),"")</f>
        <v/>
      </c>
      <c r="U115" s="2" t="e">
        <f ca="1"/>
        <v>#NAME?</v>
      </c>
      <c r="V115" s="2" t="e">
        <f ca="1"/>
        <v>#NAME?</v>
      </c>
      <c r="W115" s="2" t="str">
        <f ca="1">IFERROR(__xludf.DUMMYFUNCTION("""COMPUTED_VALUE"""),"")</f>
        <v/>
      </c>
    </row>
    <row r="116" spans="1:23" ht="12.5" x14ac:dyDescent="0.25">
      <c r="A116" s="4">
        <v>12</v>
      </c>
      <c r="B116" s="4" t="s">
        <v>44</v>
      </c>
      <c r="C116" s="5" t="s">
        <v>33</v>
      </c>
      <c r="D116" s="5" t="s">
        <v>45</v>
      </c>
      <c r="E116" s="5" t="s">
        <v>24</v>
      </c>
      <c r="F116" s="5" t="s">
        <v>25</v>
      </c>
      <c r="G116" s="5">
        <v>4</v>
      </c>
      <c r="H116" s="5" t="s">
        <v>26</v>
      </c>
      <c r="I116" s="6">
        <v>1</v>
      </c>
      <c r="J116" s="7"/>
      <c r="K116" s="6">
        <v>0</v>
      </c>
      <c r="L116" s="6">
        <v>0</v>
      </c>
      <c r="M116" s="6">
        <v>0</v>
      </c>
      <c r="N116" s="6">
        <v>0</v>
      </c>
      <c r="O116" s="7"/>
      <c r="P116" s="2"/>
      <c r="Q116" s="2"/>
      <c r="R116" s="2" t="str">
        <v>ISR1000</v>
      </c>
      <c r="S116" s="2" t="str">
        <f ca="1">IFERROR(__xludf.DUMMYFUNCTION("""COMPUTED_VALUE"""),"L-DNA-TIER-ADD")</f>
        <v>L-DNA-TIER-ADD</v>
      </c>
      <c r="T116" s="10">
        <f ca="1">IFERROR(__xludf.DUMMYFUNCTION("""COMPUTED_VALUE"""),1)</f>
        <v>1</v>
      </c>
      <c r="U116" s="2" t="e">
        <f ca="1"/>
        <v>#NAME?</v>
      </c>
      <c r="V116" s="2" t="e">
        <f ca="1"/>
        <v>#NAME?</v>
      </c>
      <c r="W116" s="2" t="str">
        <f ca="1">IFERROR(__xludf.DUMMYFUNCTION("""COMPUTED_VALUE"""),"C1131-8PWS")</f>
        <v>C1131-8PWS</v>
      </c>
    </row>
    <row r="117" spans="1:23" ht="12.5" x14ac:dyDescent="0.25">
      <c r="A117" s="6">
        <v>12.1</v>
      </c>
      <c r="B117" s="5" t="s">
        <v>56</v>
      </c>
      <c r="C117" s="5" t="s">
        <v>33</v>
      </c>
      <c r="D117" s="5" t="s">
        <v>57</v>
      </c>
      <c r="E117" s="7"/>
      <c r="F117" s="5" t="s">
        <v>25</v>
      </c>
      <c r="G117" s="5">
        <v>2</v>
      </c>
      <c r="H117" s="5" t="s">
        <v>26</v>
      </c>
      <c r="I117" s="6">
        <v>1</v>
      </c>
      <c r="J117" s="7"/>
      <c r="K117" s="6">
        <v>0</v>
      </c>
      <c r="L117" s="6">
        <v>0</v>
      </c>
      <c r="M117" s="6">
        <v>0</v>
      </c>
      <c r="N117" s="6">
        <v>0</v>
      </c>
      <c r="O117" s="7"/>
      <c r="P117" s="2"/>
      <c r="Q117" s="2"/>
      <c r="R117" s="2" t="str">
        <v>ISR1000</v>
      </c>
      <c r="S117" s="2" t="str">
        <f ca="1">IFERROR(__xludf.DUMMYFUNCTION("""COMPUTED_VALUE"""),"C1100-8P-DNA-PF")</f>
        <v>C1100-8P-DNA-PF</v>
      </c>
      <c r="T117" s="10">
        <f ca="1">IFERROR(__xludf.DUMMYFUNCTION("""COMPUTED_VALUE"""),0)</f>
        <v>0</v>
      </c>
      <c r="U117" s="2" t="e">
        <f ca="1"/>
        <v>#NAME?</v>
      </c>
      <c r="V117" s="2" t="e">
        <f ca="1"/>
        <v>#NAME?</v>
      </c>
      <c r="W117" s="2" t="str">
        <f ca="1">IFERROR(__xludf.DUMMYFUNCTION("""COMPUTED_VALUE"""),"C1131-8PWS")</f>
        <v>C1131-8PWS</v>
      </c>
    </row>
    <row r="118" spans="1:23" ht="12.5" x14ac:dyDescent="0.25">
      <c r="A118" s="6">
        <v>12.2</v>
      </c>
      <c r="B118" s="5" t="s">
        <v>64</v>
      </c>
      <c r="C118" s="5" t="s">
        <v>22</v>
      </c>
      <c r="D118" s="5" t="s">
        <v>65</v>
      </c>
      <c r="E118" s="7"/>
      <c r="F118" s="5" t="s">
        <v>25</v>
      </c>
      <c r="G118" s="5">
        <v>2</v>
      </c>
      <c r="H118" s="5" t="s">
        <v>26</v>
      </c>
      <c r="I118" s="6">
        <v>1</v>
      </c>
      <c r="J118" s="7"/>
      <c r="K118" s="6">
        <v>0</v>
      </c>
      <c r="L118" s="6">
        <v>0</v>
      </c>
      <c r="M118" s="6">
        <v>0</v>
      </c>
      <c r="N118" s="6">
        <v>0</v>
      </c>
      <c r="O118" s="7"/>
      <c r="P118" s="2"/>
      <c r="Q118" s="2"/>
      <c r="R118" s="2" t="str">
        <v>ISR1000</v>
      </c>
      <c r="S118" s="2" t="str">
        <f ca="1">IFERROR(__xludf.DUMMYFUNCTION("""COMPUTED_VALUE"""),"IOSXE-CTRL-MODE-PF")</f>
        <v>IOSXE-CTRL-MODE-PF</v>
      </c>
      <c r="T118" s="10">
        <f ca="1">IFERROR(__xludf.DUMMYFUNCTION("""COMPUTED_VALUE"""),0)</f>
        <v>0</v>
      </c>
      <c r="U118" s="2" t="e">
        <f ca="1"/>
        <v>#NAME?</v>
      </c>
      <c r="V118" s="2" t="e">
        <f ca="1"/>
        <v>#NAME?</v>
      </c>
      <c r="W118" s="2" t="str">
        <f ca="1">IFERROR(__xludf.DUMMYFUNCTION("""COMPUTED_VALUE"""),"C1131-8PWS")</f>
        <v>C1131-8PWS</v>
      </c>
    </row>
    <row r="119" spans="1:23" ht="12.5" x14ac:dyDescent="0.25">
      <c r="A119" s="6">
        <v>12.3</v>
      </c>
      <c r="B119" s="5" t="s">
        <v>60</v>
      </c>
      <c r="C119" s="5" t="s">
        <v>33</v>
      </c>
      <c r="D119" s="5" t="s">
        <v>61</v>
      </c>
      <c r="E119" s="7"/>
      <c r="F119" s="5" t="s">
        <v>25</v>
      </c>
      <c r="G119" s="5">
        <v>2</v>
      </c>
      <c r="H119" s="5" t="s">
        <v>26</v>
      </c>
      <c r="I119" s="6">
        <v>1</v>
      </c>
      <c r="J119" s="7"/>
      <c r="K119" s="6">
        <v>0</v>
      </c>
      <c r="L119" s="6">
        <v>0</v>
      </c>
      <c r="M119" s="6">
        <v>0</v>
      </c>
      <c r="N119" s="6">
        <v>0</v>
      </c>
      <c r="O119" s="7"/>
      <c r="P119" s="2"/>
      <c r="Q119" s="2"/>
      <c r="R119" s="2" t="str">
        <v>ISR1000</v>
      </c>
      <c r="S119" s="2" t="str">
        <f ca="1">IFERROR(__xludf.DUMMYFUNCTION("""COMPUTED_VALUE"""),"SL-1100-8P-NA-A-L")</f>
        <v>SL-1100-8P-NA-A-L</v>
      </c>
      <c r="T119" s="10">
        <f ca="1">IFERROR(__xludf.DUMMYFUNCTION("""COMPUTED_VALUE"""),0)</f>
        <v>0</v>
      </c>
      <c r="U119" s="2" t="e">
        <f ca="1"/>
        <v>#NAME?</v>
      </c>
      <c r="V119" s="2" t="e">
        <f ca="1"/>
        <v>#NAME?</v>
      </c>
      <c r="W119" s="2" t="str">
        <f ca="1">IFERROR(__xludf.DUMMYFUNCTION("""COMPUTED_VALUE"""),"C1131-8PWS")</f>
        <v>C1131-8PWS</v>
      </c>
    </row>
    <row r="120" spans="1:23" ht="12.5" x14ac:dyDescent="0.25">
      <c r="A120" s="6">
        <v>12.4</v>
      </c>
      <c r="B120" s="5" t="s">
        <v>52</v>
      </c>
      <c r="C120" s="5" t="s">
        <v>33</v>
      </c>
      <c r="D120" s="5" t="s">
        <v>53</v>
      </c>
      <c r="E120" s="7"/>
      <c r="F120" s="5" t="s">
        <v>25</v>
      </c>
      <c r="G120" s="5">
        <v>2</v>
      </c>
      <c r="H120" s="5" t="s">
        <v>26</v>
      </c>
      <c r="I120" s="6">
        <v>1</v>
      </c>
      <c r="J120" s="7"/>
      <c r="K120" s="6">
        <v>0</v>
      </c>
      <c r="L120" s="6">
        <v>0</v>
      </c>
      <c r="M120" s="6">
        <v>0</v>
      </c>
      <c r="N120" s="6">
        <v>0</v>
      </c>
      <c r="O120" s="7"/>
      <c r="P120" s="2"/>
      <c r="Q120" s="2"/>
      <c r="R120" s="2" t="str">
        <v>ISR1000</v>
      </c>
      <c r="S120" s="2" t="str">
        <f ca="1">IFERROR(__xludf.DUMMYFUNCTION("""COMPUTED_VALUE"""),"SDWAN-UMB-ADV")</f>
        <v>SDWAN-UMB-ADV</v>
      </c>
      <c r="T120" s="10">
        <f ca="1">IFERROR(__xludf.DUMMYFUNCTION("""COMPUTED_VALUE"""),0)</f>
        <v>0</v>
      </c>
      <c r="U120" s="2" t="e">
        <f ca="1"/>
        <v>#NAME?</v>
      </c>
      <c r="V120" s="2" t="e">
        <f ca="1"/>
        <v>#NAME?</v>
      </c>
      <c r="W120" s="2" t="str">
        <f ca="1">IFERROR(__xludf.DUMMYFUNCTION("""COMPUTED_VALUE"""),"C1131-8PWS")</f>
        <v>C1131-8PWS</v>
      </c>
    </row>
    <row r="121" spans="1:23" ht="12.5" x14ac:dyDescent="0.25">
      <c r="A121" s="6">
        <v>12.5</v>
      </c>
      <c r="B121" s="5" t="s">
        <v>66</v>
      </c>
      <c r="C121" s="5" t="s">
        <v>22</v>
      </c>
      <c r="D121" s="5" t="s">
        <v>67</v>
      </c>
      <c r="E121" s="7"/>
      <c r="F121" s="5" t="s">
        <v>25</v>
      </c>
      <c r="G121" s="5">
        <v>2</v>
      </c>
      <c r="H121" s="5" t="s">
        <v>26</v>
      </c>
      <c r="I121" s="6">
        <v>1</v>
      </c>
      <c r="J121" s="7"/>
      <c r="K121" s="6">
        <v>0</v>
      </c>
      <c r="L121" s="6">
        <v>0</v>
      </c>
      <c r="M121" s="6">
        <v>0</v>
      </c>
      <c r="N121" s="6">
        <v>0</v>
      </c>
      <c r="O121" s="7"/>
      <c r="P121" s="2"/>
      <c r="Q121" s="2"/>
      <c r="R121" s="2" t="str">
        <v>ISR1000</v>
      </c>
      <c r="S121" s="2" t="str">
        <f ca="1">IFERROR(__xludf.DUMMYFUNCTION("""COMPUTED_VALUE"""),"SDWAN-ONPREM-PF")</f>
        <v>SDWAN-ONPREM-PF</v>
      </c>
      <c r="T121" s="10">
        <f ca="1">IFERROR(__xludf.DUMMYFUNCTION("""COMPUTED_VALUE"""),0)</f>
        <v>0</v>
      </c>
      <c r="U121" s="2" t="e">
        <f ca="1"/>
        <v>#NAME?</v>
      </c>
      <c r="V121" s="2" t="e">
        <f ca="1"/>
        <v>#NAME?</v>
      </c>
      <c r="W121" s="2" t="str">
        <f ca="1">IFERROR(__xludf.DUMMYFUNCTION("""COMPUTED_VALUE"""),"C1131-8PWS")</f>
        <v>C1131-8PWS</v>
      </c>
    </row>
    <row r="122" spans="1:23" ht="12.5" x14ac:dyDescent="0.25">
      <c r="A122" s="6">
        <v>12.6</v>
      </c>
      <c r="B122" s="5" t="s">
        <v>54</v>
      </c>
      <c r="C122" s="5" t="s">
        <v>33</v>
      </c>
      <c r="D122" s="5" t="s">
        <v>55</v>
      </c>
      <c r="E122" s="7"/>
      <c r="F122" s="5" t="s">
        <v>25</v>
      </c>
      <c r="G122" s="5">
        <v>2</v>
      </c>
      <c r="H122" s="5" t="s">
        <v>26</v>
      </c>
      <c r="I122" s="6">
        <v>1</v>
      </c>
      <c r="J122" s="7"/>
      <c r="K122" s="6">
        <v>0</v>
      </c>
      <c r="L122" s="6">
        <v>0</v>
      </c>
      <c r="M122" s="6">
        <v>0</v>
      </c>
      <c r="N122" s="6">
        <v>0</v>
      </c>
      <c r="O122" s="7"/>
      <c r="P122" s="2"/>
      <c r="Q122" s="2"/>
      <c r="R122" s="2" t="str">
        <v>ISR1000</v>
      </c>
      <c r="S122" s="2" t="str">
        <f ca="1">IFERROR(__xludf.DUMMYFUNCTION("""COMPUTED_VALUE"""),"TE-EMBED-WANI")</f>
        <v>TE-EMBED-WANI</v>
      </c>
      <c r="T122" s="10">
        <f ca="1">IFERROR(__xludf.DUMMYFUNCTION("""COMPUTED_VALUE"""),0)</f>
        <v>0</v>
      </c>
      <c r="U122" s="2" t="e">
        <f ca="1"/>
        <v>#NAME?</v>
      </c>
      <c r="V122" s="2" t="e">
        <f ca="1"/>
        <v>#NAME?</v>
      </c>
      <c r="W122" s="2" t="str">
        <f ca="1">IFERROR(__xludf.DUMMYFUNCTION("""COMPUTED_VALUE"""),"C1131-8PWS")</f>
        <v>C1131-8PWS</v>
      </c>
    </row>
    <row r="123" spans="1:23" ht="12.5" x14ac:dyDescent="0.25">
      <c r="A123" s="6">
        <v>12.7</v>
      </c>
      <c r="B123" s="5" t="s">
        <v>58</v>
      </c>
      <c r="C123" s="5" t="s">
        <v>33</v>
      </c>
      <c r="D123" s="5" t="s">
        <v>59</v>
      </c>
      <c r="E123" s="7"/>
      <c r="F123" s="5" t="s">
        <v>25</v>
      </c>
      <c r="G123" s="5">
        <v>2</v>
      </c>
      <c r="H123" s="5" t="s">
        <v>26</v>
      </c>
      <c r="I123" s="6">
        <v>1</v>
      </c>
      <c r="J123" s="7"/>
      <c r="K123" s="6">
        <v>0</v>
      </c>
      <c r="L123" s="6">
        <v>0</v>
      </c>
      <c r="M123" s="6">
        <v>0</v>
      </c>
      <c r="N123" s="6">
        <v>0</v>
      </c>
      <c r="O123" s="7"/>
      <c r="P123" s="2"/>
      <c r="Q123" s="2"/>
      <c r="R123" s="2" t="str">
        <v>ISR1000</v>
      </c>
      <c r="S123" s="2" t="str">
        <f ca="1">IFERROR(__xludf.DUMMYFUNCTION("""COMPUTED_VALUE"""),"FL-1100-8P-HSEC-L")</f>
        <v>FL-1100-8P-HSEC-L</v>
      </c>
      <c r="T123" s="10">
        <f ca="1">IFERROR(__xludf.DUMMYFUNCTION("""COMPUTED_VALUE"""),0)</f>
        <v>0</v>
      </c>
      <c r="U123" s="2" t="e">
        <f ca="1"/>
        <v>#NAME?</v>
      </c>
      <c r="V123" s="2" t="e">
        <f ca="1"/>
        <v>#NAME?</v>
      </c>
      <c r="W123" s="2" t="str">
        <f ca="1">IFERROR(__xludf.DUMMYFUNCTION("""COMPUTED_VALUE"""),"C1131-8PWS")</f>
        <v>C1131-8PWS</v>
      </c>
    </row>
    <row r="124" spans="1:23" ht="12.5" x14ac:dyDescent="0.25">
      <c r="A124" s="6">
        <v>12.8</v>
      </c>
      <c r="B124" s="5" t="s">
        <v>46</v>
      </c>
      <c r="C124" s="5" t="s">
        <v>33</v>
      </c>
      <c r="D124" s="5" t="s">
        <v>47</v>
      </c>
      <c r="E124" s="7"/>
      <c r="F124" s="5" t="s">
        <v>25</v>
      </c>
      <c r="G124" s="5" t="s">
        <v>25</v>
      </c>
      <c r="H124" s="5" t="s">
        <v>26</v>
      </c>
      <c r="I124" s="6">
        <v>1</v>
      </c>
      <c r="J124" s="7"/>
      <c r="K124" s="6">
        <v>148.61000000000001</v>
      </c>
      <c r="L124" s="8">
        <v>5349.96</v>
      </c>
      <c r="M124" s="6">
        <v>0</v>
      </c>
      <c r="N124" s="8">
        <v>5349.96</v>
      </c>
      <c r="O124" s="7"/>
      <c r="P124" s="2"/>
      <c r="Q124" s="2"/>
      <c r="R124" s="2" t="str">
        <v>ISR1000</v>
      </c>
      <c r="S124" s="2" t="str">
        <f ca="1">IFERROR(__xludf.DUMMYFUNCTION("""COMPUTED_VALUE"""),"DNA-P-T1-A-3Y")</f>
        <v>DNA-P-T1-A-3Y</v>
      </c>
      <c r="T124" s="10">
        <f ca="1">IFERROR(__xludf.DUMMYFUNCTION("""COMPUTED_VALUE"""),0)</f>
        <v>0</v>
      </c>
      <c r="U124" s="2" t="e">
        <f ca="1"/>
        <v>#NAME?</v>
      </c>
      <c r="V124" s="2" t="e">
        <f ca="1"/>
        <v>#NAME?</v>
      </c>
      <c r="W124" s="2" t="str">
        <f ca="1">IFERROR(__xludf.DUMMYFUNCTION("""COMPUTED_VALUE"""),"C1131-8PWS")</f>
        <v>C1131-8PWS</v>
      </c>
    </row>
    <row r="125" spans="1:23" ht="12.5" x14ac:dyDescent="0.25">
      <c r="A125" s="6">
        <v>12.9</v>
      </c>
      <c r="B125" s="5" t="s">
        <v>48</v>
      </c>
      <c r="C125" s="5" t="s">
        <v>22</v>
      </c>
      <c r="D125" s="5" t="s">
        <v>49</v>
      </c>
      <c r="E125" s="7"/>
      <c r="F125" s="5" t="s">
        <v>25</v>
      </c>
      <c r="G125" s="5">
        <v>2</v>
      </c>
      <c r="H125" s="5" t="s">
        <v>26</v>
      </c>
      <c r="I125" s="6">
        <v>1</v>
      </c>
      <c r="J125" s="7"/>
      <c r="K125" s="6">
        <v>30.65</v>
      </c>
      <c r="L125" s="8">
        <v>1103.4000000000001</v>
      </c>
      <c r="M125" s="6">
        <v>0</v>
      </c>
      <c r="N125" s="8">
        <v>1103.4000000000001</v>
      </c>
      <c r="O125" s="7"/>
      <c r="P125" s="2"/>
      <c r="Q125" s="2"/>
      <c r="R125" s="2" t="str">
        <v>ISR1000</v>
      </c>
      <c r="S125" s="2" t="str">
        <f ca="1">IFERROR(__xludf.DUMMYFUNCTION("""COMPUTED_VALUE"""),"SVS-PSTL1-T1-A3Y")</f>
        <v>SVS-PSTL1-T1-A3Y</v>
      </c>
      <c r="T125" s="10">
        <f ca="1">IFERROR(__xludf.DUMMYFUNCTION("""COMPUTED_VALUE"""),0)</f>
        <v>0</v>
      </c>
      <c r="U125" s="2" t="e">
        <f ca="1"/>
        <v>#NAME?</v>
      </c>
      <c r="V125" s="2" t="e">
        <f ca="1"/>
        <v>#NAME?</v>
      </c>
      <c r="W125" s="2" t="str">
        <f ca="1">IFERROR(__xludf.DUMMYFUNCTION("""COMPUTED_VALUE"""),"C1131-8PWS")</f>
        <v>C1131-8PWS</v>
      </c>
    </row>
    <row r="126" spans="1:23" ht="12.5" x14ac:dyDescent="0.25">
      <c r="A126" s="6">
        <v>12.1</v>
      </c>
      <c r="B126" s="5" t="s">
        <v>50</v>
      </c>
      <c r="C126" s="5" t="s">
        <v>33</v>
      </c>
      <c r="D126" s="5" t="s">
        <v>51</v>
      </c>
      <c r="E126" s="7"/>
      <c r="F126" s="5" t="s">
        <v>25</v>
      </c>
      <c r="G126" s="5">
        <v>2</v>
      </c>
      <c r="H126" s="5" t="s">
        <v>26</v>
      </c>
      <c r="I126" s="6">
        <v>1</v>
      </c>
      <c r="J126" s="7"/>
      <c r="K126" s="6">
        <v>0</v>
      </c>
      <c r="L126" s="6">
        <v>0</v>
      </c>
      <c r="M126" s="6">
        <v>0</v>
      </c>
      <c r="N126" s="6">
        <v>0</v>
      </c>
      <c r="O126" s="7"/>
      <c r="P126" s="2"/>
      <c r="Q126" s="2"/>
      <c r="R126" s="2" t="str">
        <v>ISR1000</v>
      </c>
      <c r="S126" s="2" t="str">
        <f ca="1">IFERROR(__xludf.DUMMYFUNCTION("""COMPUTED_VALUE"""),"DSTACK-T1-A")</f>
        <v>DSTACK-T1-A</v>
      </c>
      <c r="T126" s="10">
        <f ca="1">IFERROR(__xludf.DUMMYFUNCTION("""COMPUTED_VALUE"""),0)</f>
        <v>0</v>
      </c>
      <c r="U126" s="2" t="e">
        <f ca="1"/>
        <v>#NAME?</v>
      </c>
      <c r="V126" s="2" t="e">
        <f ca="1"/>
        <v>#NAME?</v>
      </c>
      <c r="W126" s="2" t="str">
        <f ca="1">IFERROR(__xludf.DUMMYFUNCTION("""COMPUTED_VALUE"""),"C1131-8PWS")</f>
        <v>C1131-8PWS</v>
      </c>
    </row>
    <row r="127" spans="1:23" ht="12.5" x14ac:dyDescent="0.25">
      <c r="A127" s="6">
        <v>12.11</v>
      </c>
      <c r="B127" s="5" t="s">
        <v>62</v>
      </c>
      <c r="C127" s="5" t="s">
        <v>33</v>
      </c>
      <c r="D127" s="5" t="s">
        <v>63</v>
      </c>
      <c r="E127" s="7"/>
      <c r="F127" s="5" t="s">
        <v>25</v>
      </c>
      <c r="G127" s="5">
        <v>2</v>
      </c>
      <c r="H127" s="5" t="s">
        <v>26</v>
      </c>
      <c r="I127" s="6">
        <v>1</v>
      </c>
      <c r="J127" s="7"/>
      <c r="K127" s="6">
        <v>0</v>
      </c>
      <c r="L127" s="6">
        <v>0</v>
      </c>
      <c r="M127" s="6">
        <v>0</v>
      </c>
      <c r="N127" s="6">
        <v>0</v>
      </c>
      <c r="O127" s="7"/>
      <c r="P127" s="2"/>
      <c r="Q127" s="2"/>
      <c r="R127" s="2" t="str">
        <v>ISR1000</v>
      </c>
      <c r="S127" s="2" t="str">
        <f ca="1">IFERROR(__xludf.DUMMYFUNCTION("""COMPUTED_VALUE"""),"DNA-HSEC-UPGD")</f>
        <v>DNA-HSEC-UPGD</v>
      </c>
      <c r="T127" s="10">
        <f ca="1">IFERROR(__xludf.DUMMYFUNCTION("""COMPUTED_VALUE"""),0)</f>
        <v>0</v>
      </c>
      <c r="U127" s="2" t="e">
        <f ca="1"/>
        <v>#NAME?</v>
      </c>
      <c r="V127" s="2" t="e">
        <f ca="1"/>
        <v>#NAME?</v>
      </c>
      <c r="W127" s="2" t="str">
        <f ca="1">IFERROR(__xludf.DUMMYFUNCTION("""COMPUTED_VALUE"""),"C1131-8PWS")</f>
        <v>C1131-8PWS</v>
      </c>
    </row>
    <row r="128" spans="1:23" ht="12.5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2" t="s">
        <v>42</v>
      </c>
      <c r="N128" s="13">
        <v>6453.36</v>
      </c>
      <c r="O128" s="14"/>
      <c r="P128" s="2"/>
      <c r="Q128" s="2"/>
      <c r="R128" s="2" t="str">
        <v/>
      </c>
      <c r="S128" s="2" t="str">
        <f ca="1">IFERROR(__xludf.DUMMYFUNCTION("""COMPUTED_VALUE"""),"")</f>
        <v/>
      </c>
      <c r="T128" s="2" t="str">
        <f ca="1">IFERROR(__xludf.DUMMYFUNCTION("""COMPUTED_VALUE"""),"")</f>
        <v/>
      </c>
      <c r="U128" s="2" t="e">
        <f ca="1"/>
        <v>#NAME?</v>
      </c>
      <c r="V128" s="2" t="e">
        <f ca="1"/>
        <v>#NAME?</v>
      </c>
      <c r="W128" s="2" t="str">
        <f ca="1">IFERROR(__xludf.DUMMYFUNCTION("""COMPUTED_VALUE"""),"")</f>
        <v/>
      </c>
    </row>
    <row r="129" spans="1:23" ht="12.5" x14ac:dyDescent="0.25">
      <c r="A129" s="4">
        <v>13</v>
      </c>
      <c r="B129" s="4" t="s">
        <v>118</v>
      </c>
      <c r="C129" s="5" t="s">
        <v>22</v>
      </c>
      <c r="D129" s="5" t="s">
        <v>119</v>
      </c>
      <c r="E129" s="5" t="s">
        <v>24</v>
      </c>
      <c r="F129" s="5" t="s">
        <v>25</v>
      </c>
      <c r="G129" s="5">
        <v>28</v>
      </c>
      <c r="H129" s="5" t="s">
        <v>26</v>
      </c>
      <c r="I129" s="6">
        <v>1</v>
      </c>
      <c r="J129" s="7"/>
      <c r="K129" s="8">
        <v>2155.89</v>
      </c>
      <c r="L129" s="8">
        <v>2155.89</v>
      </c>
      <c r="M129" s="6">
        <v>0</v>
      </c>
      <c r="N129" s="8">
        <v>2155.89</v>
      </c>
      <c r="O129" s="7"/>
      <c r="P129" s="2"/>
      <c r="Q129" s="2"/>
      <c r="R129" s="2" t="str">
        <v>ISR1000</v>
      </c>
      <c r="S129" s="2" t="str">
        <f ca="1">IFERROR(__xludf.DUMMYFUNCTION("""COMPUTED_VALUE"""),"C1131X-8PWS")</f>
        <v>C1131X-8PWS</v>
      </c>
      <c r="T129" s="10">
        <f ca="1">IFERROR(__xludf.DUMMYFUNCTION("""COMPUTED_VALUE"""),1)</f>
        <v>1</v>
      </c>
      <c r="U129" s="2" t="e">
        <f ca="1"/>
        <v>#NAME?</v>
      </c>
      <c r="V129" s="2" t="e">
        <f ca="1"/>
        <v>#NAME?</v>
      </c>
      <c r="W129" s="2" t="str">
        <f ca="1">IFERROR(__xludf.DUMMYFUNCTION("""COMPUTED_VALUE"""),"C1131X-8PWS")</f>
        <v>C1131X-8PWS</v>
      </c>
    </row>
    <row r="130" spans="1:23" ht="12.5" x14ac:dyDescent="0.25">
      <c r="A130" s="6" t="s">
        <v>120</v>
      </c>
      <c r="B130" s="5" t="s">
        <v>121</v>
      </c>
      <c r="C130" s="5" t="s">
        <v>22</v>
      </c>
      <c r="D130" s="5" t="s">
        <v>122</v>
      </c>
      <c r="E130" s="7"/>
      <c r="F130" s="5">
        <v>24</v>
      </c>
      <c r="G130" s="5" t="s">
        <v>25</v>
      </c>
      <c r="H130" s="5" t="s">
        <v>26</v>
      </c>
      <c r="I130" s="6">
        <v>1</v>
      </c>
      <c r="J130" s="7"/>
      <c r="K130" s="6">
        <v>533.5</v>
      </c>
      <c r="L130" s="6">
        <v>533.5</v>
      </c>
      <c r="M130" s="6">
        <v>0</v>
      </c>
      <c r="N130" s="6">
        <v>533.5</v>
      </c>
      <c r="O130" s="5" t="s">
        <v>30</v>
      </c>
      <c r="P130" s="2"/>
      <c r="Q130" s="2"/>
      <c r="R130" s="2" t="str">
        <v>ISR1000</v>
      </c>
      <c r="S130" s="2" t="str">
        <f ca="1">IFERROR(__xludf.DUMMYFUNCTION("""COMPUTED_VALUE"""),"CON-L1NBD-C113XPWS")</f>
        <v>CON-L1NBD-C113XPWS</v>
      </c>
      <c r="T130" s="10">
        <f ca="1">IFERROR(__xludf.DUMMYFUNCTION("""COMPUTED_VALUE"""),0)</f>
        <v>0</v>
      </c>
      <c r="U130" s="2" t="e">
        <f ca="1"/>
        <v>#NAME?</v>
      </c>
      <c r="V130" s="2" t="e">
        <f ca="1"/>
        <v>#NAME?</v>
      </c>
      <c r="W130" s="2" t="str">
        <f ca="1">IFERROR(__xludf.DUMMYFUNCTION("""COMPUTED_VALUE"""),"C1131X-8PWS")</f>
        <v>C1131X-8PWS</v>
      </c>
    </row>
    <row r="131" spans="1:23" ht="12.5" x14ac:dyDescent="0.25">
      <c r="A131" s="6">
        <v>13.1</v>
      </c>
      <c r="B131" s="5" t="s">
        <v>31</v>
      </c>
      <c r="C131" s="5" t="s">
        <v>22</v>
      </c>
      <c r="D131" s="5" t="s">
        <v>32</v>
      </c>
      <c r="E131" s="7"/>
      <c r="F131" s="5" t="s">
        <v>25</v>
      </c>
      <c r="G131" s="5">
        <v>42</v>
      </c>
      <c r="H131" s="5" t="s">
        <v>33</v>
      </c>
      <c r="I131" s="6">
        <v>1</v>
      </c>
      <c r="J131" s="7"/>
      <c r="K131" s="6">
        <v>0</v>
      </c>
      <c r="L131" s="6">
        <v>0</v>
      </c>
      <c r="M131" s="6">
        <v>0</v>
      </c>
      <c r="N131" s="6">
        <v>0</v>
      </c>
      <c r="O131" s="7"/>
      <c r="P131" s="2"/>
      <c r="Q131" s="2"/>
      <c r="R131" s="2" t="str">
        <v>ISR1000</v>
      </c>
      <c r="S131" s="2" t="str">
        <f ca="1">IFERROR(__xludf.DUMMYFUNCTION("""COMPUTED_VALUE"""),"PWR-66W-AC-V2")</f>
        <v>PWR-66W-AC-V2</v>
      </c>
      <c r="T131" s="10">
        <f ca="1">IFERROR(__xludf.DUMMYFUNCTION("""COMPUTED_VALUE"""),0)</f>
        <v>0</v>
      </c>
      <c r="U131" s="2" t="e">
        <f ca="1"/>
        <v>#NAME?</v>
      </c>
      <c r="V131" s="2" t="e">
        <f ca="1"/>
        <v>#NAME?</v>
      </c>
      <c r="W131" s="2" t="str">
        <f ca="1">IFERROR(__xludf.DUMMYFUNCTION("""COMPUTED_VALUE"""),"C1131X-8PWS")</f>
        <v>C1131X-8PWS</v>
      </c>
    </row>
    <row r="132" spans="1:23" ht="12.5" x14ac:dyDescent="0.25">
      <c r="A132" s="6">
        <v>13.2</v>
      </c>
      <c r="B132" s="5" t="s">
        <v>115</v>
      </c>
      <c r="C132" s="5" t="s">
        <v>22</v>
      </c>
      <c r="D132" s="5" t="s">
        <v>116</v>
      </c>
      <c r="E132" s="7"/>
      <c r="F132" s="5" t="s">
        <v>25</v>
      </c>
      <c r="G132" s="5">
        <v>28</v>
      </c>
      <c r="H132" s="5" t="s">
        <v>33</v>
      </c>
      <c r="I132" s="6">
        <v>1</v>
      </c>
      <c r="J132" s="7"/>
      <c r="K132" s="6">
        <v>0</v>
      </c>
      <c r="L132" s="6">
        <v>0</v>
      </c>
      <c r="M132" s="6">
        <v>0</v>
      </c>
      <c r="N132" s="6">
        <v>0</v>
      </c>
      <c r="O132" s="7"/>
      <c r="P132" s="2"/>
      <c r="Q132" s="2"/>
      <c r="R132" s="2" t="str">
        <v>ISR1000</v>
      </c>
      <c r="S132" s="2" t="str">
        <f ca="1">IFERROR(__xludf.DUMMYFUNCTION("""COMPUTED_VALUE"""),"SW9105AX-EWCEX-K9")</f>
        <v>SW9105AX-EWCEX-K9</v>
      </c>
      <c r="T132" s="10">
        <f ca="1">IFERROR(__xludf.DUMMYFUNCTION("""COMPUTED_VALUE"""),0)</f>
        <v>0</v>
      </c>
      <c r="U132" s="2" t="e">
        <f ca="1"/>
        <v>#NAME?</v>
      </c>
      <c r="V132" s="2" t="e">
        <f ca="1"/>
        <v>#NAME?</v>
      </c>
      <c r="W132" s="2" t="str">
        <f ca="1">IFERROR(__xludf.DUMMYFUNCTION("""COMPUTED_VALUE"""),"C1131X-8PWS")</f>
        <v>C1131X-8PWS</v>
      </c>
    </row>
    <row r="133" spans="1:23" ht="12.5" x14ac:dyDescent="0.25">
      <c r="A133" s="6">
        <v>13.3</v>
      </c>
      <c r="B133" s="5" t="s">
        <v>36</v>
      </c>
      <c r="C133" s="5" t="s">
        <v>22</v>
      </c>
      <c r="D133" s="5" t="s">
        <v>37</v>
      </c>
      <c r="E133" s="7"/>
      <c r="F133" s="5" t="s">
        <v>25</v>
      </c>
      <c r="G133" s="5">
        <v>14</v>
      </c>
      <c r="H133" s="5" t="s">
        <v>26</v>
      </c>
      <c r="I133" s="6">
        <v>1</v>
      </c>
      <c r="J133" s="7"/>
      <c r="K133" s="6">
        <v>0</v>
      </c>
      <c r="L133" s="6">
        <v>0</v>
      </c>
      <c r="M133" s="6">
        <v>0</v>
      </c>
      <c r="N133" s="6">
        <v>0</v>
      </c>
      <c r="O133" s="7"/>
      <c r="P133" s="2"/>
      <c r="Q133" s="2"/>
      <c r="R133" s="2" t="str">
        <v>ISR1000</v>
      </c>
      <c r="S133" s="2" t="str">
        <f ca="1">IFERROR(__xludf.DUMMYFUNCTION("""COMPUTED_VALUE"""),"CAB-ACE")</f>
        <v>CAB-ACE</v>
      </c>
      <c r="T133" s="10">
        <f ca="1">IFERROR(__xludf.DUMMYFUNCTION("""COMPUTED_VALUE"""),0)</f>
        <v>0</v>
      </c>
      <c r="U133" s="2" t="e">
        <f ca="1"/>
        <v>#NAME?</v>
      </c>
      <c r="V133" s="2" t="e">
        <f ca="1"/>
        <v>#NAME?</v>
      </c>
      <c r="W133" s="2" t="str">
        <f ca="1">IFERROR(__xludf.DUMMYFUNCTION("""COMPUTED_VALUE"""),"C1131X-8PWS")</f>
        <v>C1131X-8PWS</v>
      </c>
    </row>
    <row r="134" spans="1:23" ht="12.5" x14ac:dyDescent="0.25">
      <c r="A134" s="6">
        <v>13.4</v>
      </c>
      <c r="B134" s="5" t="s">
        <v>38</v>
      </c>
      <c r="C134" s="5" t="s">
        <v>22</v>
      </c>
      <c r="D134" s="5" t="s">
        <v>39</v>
      </c>
      <c r="E134" s="7"/>
      <c r="F134" s="5" t="s">
        <v>25</v>
      </c>
      <c r="G134" s="5">
        <v>14</v>
      </c>
      <c r="H134" s="5" t="s">
        <v>26</v>
      </c>
      <c r="I134" s="6">
        <v>1</v>
      </c>
      <c r="J134" s="7"/>
      <c r="K134" s="6">
        <v>0</v>
      </c>
      <c r="L134" s="6">
        <v>0</v>
      </c>
      <c r="M134" s="6">
        <v>0</v>
      </c>
      <c r="N134" s="6">
        <v>0</v>
      </c>
      <c r="O134" s="7"/>
      <c r="P134" s="2"/>
      <c r="Q134" s="2"/>
      <c r="R134" s="2" t="str">
        <v>ISR1000</v>
      </c>
      <c r="S134" s="2" t="str">
        <f ca="1">IFERROR(__xludf.DUMMYFUNCTION("""COMPUTED_VALUE"""),"GREEN-OPTION")</f>
        <v>GREEN-OPTION</v>
      </c>
      <c r="T134" s="10">
        <f ca="1">IFERROR(__xludf.DUMMYFUNCTION("""COMPUTED_VALUE"""),0)</f>
        <v>0</v>
      </c>
      <c r="U134" s="2" t="e">
        <f ca="1"/>
        <v>#NAME?</v>
      </c>
      <c r="V134" s="2" t="e">
        <f ca="1"/>
        <v>#NAME?</v>
      </c>
      <c r="W134" s="2" t="str">
        <f ca="1">IFERROR(__xludf.DUMMYFUNCTION("""COMPUTED_VALUE"""),"C1131X-8PWS")</f>
        <v>C1131X-8PWS</v>
      </c>
    </row>
    <row r="135" spans="1:23" ht="12.5" x14ac:dyDescent="0.25">
      <c r="A135" s="6">
        <v>13.5</v>
      </c>
      <c r="B135" s="5" t="s">
        <v>101</v>
      </c>
      <c r="C135" s="5" t="s">
        <v>22</v>
      </c>
      <c r="D135" s="5" t="s">
        <v>102</v>
      </c>
      <c r="E135" s="7"/>
      <c r="F135" s="5" t="s">
        <v>25</v>
      </c>
      <c r="G135" s="5">
        <v>28</v>
      </c>
      <c r="H135" s="5" t="s">
        <v>26</v>
      </c>
      <c r="I135" s="6">
        <v>1</v>
      </c>
      <c r="J135" s="7"/>
      <c r="K135" s="6">
        <v>0</v>
      </c>
      <c r="L135" s="6">
        <v>0</v>
      </c>
      <c r="M135" s="6">
        <v>0</v>
      </c>
      <c r="N135" s="6">
        <v>0</v>
      </c>
      <c r="O135" s="7"/>
      <c r="P135" s="2"/>
      <c r="Q135" s="2"/>
      <c r="R135" s="2" t="str">
        <v>ISR1000</v>
      </c>
      <c r="S135" s="2" t="str">
        <f ca="1">IFERROR(__xludf.DUMMYFUNCTION("""COMPUTED_VALUE"""),"SISR1100UK9-1715")</f>
        <v>SISR1100UK9-1715</v>
      </c>
      <c r="T135" s="10">
        <f ca="1">IFERROR(__xludf.DUMMYFUNCTION("""COMPUTED_VALUE"""),0)</f>
        <v>0</v>
      </c>
      <c r="U135" s="2" t="e">
        <f ca="1"/>
        <v>#NAME?</v>
      </c>
      <c r="V135" s="2" t="e">
        <f ca="1"/>
        <v>#NAME?</v>
      </c>
      <c r="W135" s="2" t="str">
        <f ca="1">IFERROR(__xludf.DUMMYFUNCTION("""COMPUTED_VALUE"""),"C1131X-8PWS")</f>
        <v>C1131X-8PWS</v>
      </c>
    </row>
    <row r="136" spans="1:23" ht="12.5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2" t="s">
        <v>42</v>
      </c>
      <c r="N136" s="13">
        <v>2689.39</v>
      </c>
      <c r="O136" s="14"/>
      <c r="P136" s="2"/>
      <c r="Q136" s="2"/>
      <c r="R136" s="2" t="str">
        <v/>
      </c>
      <c r="S136" s="2" t="str">
        <f ca="1">IFERROR(__xludf.DUMMYFUNCTION("""COMPUTED_VALUE"""),"")</f>
        <v/>
      </c>
      <c r="T136" s="2" t="str">
        <f ca="1">IFERROR(__xludf.DUMMYFUNCTION("""COMPUTED_VALUE"""),"")</f>
        <v/>
      </c>
      <c r="U136" s="2" t="e">
        <f ca="1"/>
        <v>#NAME?</v>
      </c>
      <c r="V136" s="2" t="e">
        <f ca="1"/>
        <v>#NAME?</v>
      </c>
      <c r="W136" s="2" t="str">
        <f ca="1">IFERROR(__xludf.DUMMYFUNCTION("""COMPUTED_VALUE"""),"")</f>
        <v/>
      </c>
    </row>
    <row r="137" spans="1:23" ht="12.5" x14ac:dyDescent="0.25">
      <c r="A137" s="15"/>
      <c r="B137" s="15"/>
      <c r="C137" s="16" t="s">
        <v>123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2" t="str">
        <v/>
      </c>
      <c r="S137" s="2" t="str">
        <f ca="1">IFERROR(__xludf.DUMMYFUNCTION("""COMPUTED_VALUE"""),"")</f>
        <v/>
      </c>
      <c r="T137" s="2" t="str">
        <f ca="1">IFERROR(__xludf.DUMMYFUNCTION("""COMPUTED_VALUE"""),"")</f>
        <v/>
      </c>
      <c r="U137" s="2" t="e">
        <f ca="1"/>
        <v>#NAME?</v>
      </c>
      <c r="V137" s="2" t="e">
        <f ca="1"/>
        <v>#NAME?</v>
      </c>
      <c r="W137" s="2" t="str">
        <f ca="1">IFERROR(__xludf.DUMMYFUNCTION("""COMPUTED_VALUE"""),"")</f>
        <v/>
      </c>
    </row>
    <row r="138" spans="1:23" ht="12.5" x14ac:dyDescent="0.25">
      <c r="A138" s="4">
        <v>14</v>
      </c>
      <c r="B138" s="4" t="s">
        <v>44</v>
      </c>
      <c r="C138" s="5" t="s">
        <v>33</v>
      </c>
      <c r="D138" s="5" t="s">
        <v>45</v>
      </c>
      <c r="E138" s="5" t="s">
        <v>24</v>
      </c>
      <c r="F138" s="5" t="s">
        <v>25</v>
      </c>
      <c r="G138" s="5">
        <v>4</v>
      </c>
      <c r="H138" s="5" t="s">
        <v>26</v>
      </c>
      <c r="I138" s="6">
        <v>1</v>
      </c>
      <c r="J138" s="7"/>
      <c r="K138" s="6">
        <v>0</v>
      </c>
      <c r="L138" s="6">
        <v>0</v>
      </c>
      <c r="M138" s="6">
        <v>0</v>
      </c>
      <c r="N138" s="6">
        <v>0</v>
      </c>
      <c r="O138" s="7"/>
      <c r="P138" s="2"/>
      <c r="Q138" s="2"/>
      <c r="R138" s="2" t="str">
        <v>ISR1000</v>
      </c>
      <c r="S138" s="2" t="str">
        <f ca="1">IFERROR(__xludf.DUMMYFUNCTION("""COMPUTED_VALUE"""),"L-DNA-TIER-ADD")</f>
        <v>L-DNA-TIER-ADD</v>
      </c>
      <c r="T138" s="10">
        <f ca="1">IFERROR(__xludf.DUMMYFUNCTION("""COMPUTED_VALUE"""),1)</f>
        <v>1</v>
      </c>
      <c r="U138" s="2" t="e">
        <f ca="1"/>
        <v>#NAME?</v>
      </c>
      <c r="V138" s="2" t="e">
        <f ca="1"/>
        <v>#NAME?</v>
      </c>
      <c r="W138" s="2" t="str">
        <f ca="1">IFERROR(__xludf.DUMMYFUNCTION("""COMPUTED_VALUE"""),"C1131X-8PWS")</f>
        <v>C1131X-8PWS</v>
      </c>
    </row>
    <row r="139" spans="1:23" ht="12.5" x14ac:dyDescent="0.25">
      <c r="A139" s="6">
        <v>14.1</v>
      </c>
      <c r="B139" s="5" t="s">
        <v>56</v>
      </c>
      <c r="C139" s="5" t="s">
        <v>33</v>
      </c>
      <c r="D139" s="5" t="s">
        <v>57</v>
      </c>
      <c r="E139" s="7"/>
      <c r="F139" s="5" t="s">
        <v>25</v>
      </c>
      <c r="G139" s="5">
        <v>2</v>
      </c>
      <c r="H139" s="5" t="s">
        <v>26</v>
      </c>
      <c r="I139" s="6">
        <v>1</v>
      </c>
      <c r="J139" s="7"/>
      <c r="K139" s="6">
        <v>0</v>
      </c>
      <c r="L139" s="6">
        <v>0</v>
      </c>
      <c r="M139" s="6">
        <v>0</v>
      </c>
      <c r="N139" s="6">
        <v>0</v>
      </c>
      <c r="O139" s="7"/>
      <c r="P139" s="2"/>
      <c r="Q139" s="2"/>
      <c r="R139" s="2" t="str">
        <v>ISR1000</v>
      </c>
      <c r="S139" s="2" t="str">
        <f ca="1">IFERROR(__xludf.DUMMYFUNCTION("""COMPUTED_VALUE"""),"C1100-8P-DNA-PF")</f>
        <v>C1100-8P-DNA-PF</v>
      </c>
      <c r="T139" s="10">
        <f ca="1">IFERROR(__xludf.DUMMYFUNCTION("""COMPUTED_VALUE"""),0)</f>
        <v>0</v>
      </c>
      <c r="U139" s="2" t="e">
        <f ca="1"/>
        <v>#NAME?</v>
      </c>
      <c r="V139" s="2" t="e">
        <f ca="1"/>
        <v>#NAME?</v>
      </c>
      <c r="W139" s="2" t="str">
        <f ca="1">IFERROR(__xludf.DUMMYFUNCTION("""COMPUTED_VALUE"""),"C1131X-8PWS")</f>
        <v>C1131X-8PWS</v>
      </c>
    </row>
    <row r="140" spans="1:23" ht="12.5" x14ac:dyDescent="0.25">
      <c r="A140" s="6">
        <v>14.2</v>
      </c>
      <c r="B140" s="5" t="s">
        <v>64</v>
      </c>
      <c r="C140" s="5" t="s">
        <v>22</v>
      </c>
      <c r="D140" s="5" t="s">
        <v>65</v>
      </c>
      <c r="E140" s="7"/>
      <c r="F140" s="5" t="s">
        <v>25</v>
      </c>
      <c r="G140" s="5">
        <v>2</v>
      </c>
      <c r="H140" s="5" t="s">
        <v>26</v>
      </c>
      <c r="I140" s="6">
        <v>1</v>
      </c>
      <c r="J140" s="7"/>
      <c r="K140" s="6">
        <v>0</v>
      </c>
      <c r="L140" s="6">
        <v>0</v>
      </c>
      <c r="M140" s="6">
        <v>0</v>
      </c>
      <c r="N140" s="6">
        <v>0</v>
      </c>
      <c r="O140" s="7"/>
      <c r="P140" s="2"/>
      <c r="Q140" s="2"/>
      <c r="R140" s="2" t="str">
        <v>ISR1000</v>
      </c>
      <c r="S140" s="2" t="str">
        <f ca="1">IFERROR(__xludf.DUMMYFUNCTION("""COMPUTED_VALUE"""),"IOSXE-CTRL-MODE-PF")</f>
        <v>IOSXE-CTRL-MODE-PF</v>
      </c>
      <c r="T140" s="10">
        <f ca="1">IFERROR(__xludf.DUMMYFUNCTION("""COMPUTED_VALUE"""),0)</f>
        <v>0</v>
      </c>
      <c r="U140" s="2" t="e">
        <f ca="1"/>
        <v>#NAME?</v>
      </c>
      <c r="V140" s="2" t="e">
        <f ca="1"/>
        <v>#NAME?</v>
      </c>
      <c r="W140" s="2" t="str">
        <f ca="1">IFERROR(__xludf.DUMMYFUNCTION("""COMPUTED_VALUE"""),"C1131X-8PWS")</f>
        <v>C1131X-8PWS</v>
      </c>
    </row>
    <row r="141" spans="1:23" ht="12.5" x14ac:dyDescent="0.25">
      <c r="A141" s="6">
        <v>14.3</v>
      </c>
      <c r="B141" s="5" t="s">
        <v>60</v>
      </c>
      <c r="C141" s="5" t="s">
        <v>33</v>
      </c>
      <c r="D141" s="5" t="s">
        <v>61</v>
      </c>
      <c r="E141" s="7"/>
      <c r="F141" s="5" t="s">
        <v>25</v>
      </c>
      <c r="G141" s="5">
        <v>2</v>
      </c>
      <c r="H141" s="5" t="s">
        <v>26</v>
      </c>
      <c r="I141" s="6">
        <v>1</v>
      </c>
      <c r="J141" s="7"/>
      <c r="K141" s="6">
        <v>0</v>
      </c>
      <c r="L141" s="6">
        <v>0</v>
      </c>
      <c r="M141" s="6">
        <v>0</v>
      </c>
      <c r="N141" s="6">
        <v>0</v>
      </c>
      <c r="O141" s="7"/>
      <c r="P141" s="2"/>
      <c r="Q141" s="2"/>
      <c r="R141" s="2" t="str">
        <v>ISR1000</v>
      </c>
      <c r="S141" s="2" t="str">
        <f ca="1">IFERROR(__xludf.DUMMYFUNCTION("""COMPUTED_VALUE"""),"SL-1100-8P-NA-A-L")</f>
        <v>SL-1100-8P-NA-A-L</v>
      </c>
      <c r="T141" s="10">
        <f ca="1">IFERROR(__xludf.DUMMYFUNCTION("""COMPUTED_VALUE"""),0)</f>
        <v>0</v>
      </c>
      <c r="U141" s="2" t="e">
        <f ca="1"/>
        <v>#NAME?</v>
      </c>
      <c r="V141" s="2" t="e">
        <f ca="1"/>
        <v>#NAME?</v>
      </c>
      <c r="W141" s="2" t="str">
        <f ca="1">IFERROR(__xludf.DUMMYFUNCTION("""COMPUTED_VALUE"""),"C1131X-8PWS")</f>
        <v>C1131X-8PWS</v>
      </c>
    </row>
    <row r="142" spans="1:23" ht="12.5" x14ac:dyDescent="0.25">
      <c r="A142" s="6">
        <v>14.4</v>
      </c>
      <c r="B142" s="5" t="s">
        <v>52</v>
      </c>
      <c r="C142" s="5" t="s">
        <v>33</v>
      </c>
      <c r="D142" s="5" t="s">
        <v>53</v>
      </c>
      <c r="E142" s="7"/>
      <c r="F142" s="5" t="s">
        <v>25</v>
      </c>
      <c r="G142" s="5">
        <v>2</v>
      </c>
      <c r="H142" s="5" t="s">
        <v>26</v>
      </c>
      <c r="I142" s="6">
        <v>1</v>
      </c>
      <c r="J142" s="7"/>
      <c r="K142" s="6">
        <v>0</v>
      </c>
      <c r="L142" s="6">
        <v>0</v>
      </c>
      <c r="M142" s="6">
        <v>0</v>
      </c>
      <c r="N142" s="6">
        <v>0</v>
      </c>
      <c r="O142" s="7"/>
      <c r="P142" s="2"/>
      <c r="Q142" s="2"/>
      <c r="R142" s="2" t="str">
        <v>ISR1000</v>
      </c>
      <c r="S142" s="2" t="str">
        <f ca="1">IFERROR(__xludf.DUMMYFUNCTION("""COMPUTED_VALUE"""),"SDWAN-UMB-ADV")</f>
        <v>SDWAN-UMB-ADV</v>
      </c>
      <c r="T142" s="10">
        <f ca="1">IFERROR(__xludf.DUMMYFUNCTION("""COMPUTED_VALUE"""),0)</f>
        <v>0</v>
      </c>
      <c r="U142" s="2" t="e">
        <f ca="1"/>
        <v>#NAME?</v>
      </c>
      <c r="V142" s="2" t="e">
        <f ca="1"/>
        <v>#NAME?</v>
      </c>
      <c r="W142" s="2" t="str">
        <f ca="1">IFERROR(__xludf.DUMMYFUNCTION("""COMPUTED_VALUE"""),"C1131X-8PWS")</f>
        <v>C1131X-8PWS</v>
      </c>
    </row>
    <row r="143" spans="1:23" ht="12.5" x14ac:dyDescent="0.25">
      <c r="A143" s="6">
        <v>14.5</v>
      </c>
      <c r="B143" s="5" t="s">
        <v>66</v>
      </c>
      <c r="C143" s="5" t="s">
        <v>22</v>
      </c>
      <c r="D143" s="5" t="s">
        <v>67</v>
      </c>
      <c r="E143" s="7"/>
      <c r="F143" s="5" t="s">
        <v>25</v>
      </c>
      <c r="G143" s="5">
        <v>2</v>
      </c>
      <c r="H143" s="5" t="s">
        <v>26</v>
      </c>
      <c r="I143" s="6">
        <v>1</v>
      </c>
      <c r="J143" s="7"/>
      <c r="K143" s="6">
        <v>0</v>
      </c>
      <c r="L143" s="6">
        <v>0</v>
      </c>
      <c r="M143" s="6">
        <v>0</v>
      </c>
      <c r="N143" s="6">
        <v>0</v>
      </c>
      <c r="O143" s="7"/>
      <c r="P143" s="2"/>
      <c r="Q143" s="2"/>
      <c r="R143" s="2" t="str">
        <v>ISR1000</v>
      </c>
      <c r="S143" s="2" t="str">
        <f ca="1">IFERROR(__xludf.DUMMYFUNCTION("""COMPUTED_VALUE"""),"SDWAN-ONPREM-PF")</f>
        <v>SDWAN-ONPREM-PF</v>
      </c>
      <c r="T143" s="10">
        <f ca="1">IFERROR(__xludf.DUMMYFUNCTION("""COMPUTED_VALUE"""),0)</f>
        <v>0</v>
      </c>
      <c r="U143" s="2" t="e">
        <f ca="1"/>
        <v>#NAME?</v>
      </c>
      <c r="V143" s="2" t="e">
        <f ca="1"/>
        <v>#NAME?</v>
      </c>
      <c r="W143" s="2" t="str">
        <f ca="1">IFERROR(__xludf.DUMMYFUNCTION("""COMPUTED_VALUE"""),"C1131X-8PWS")</f>
        <v>C1131X-8PWS</v>
      </c>
    </row>
    <row r="144" spans="1:23" ht="12.5" x14ac:dyDescent="0.25">
      <c r="A144" s="6">
        <v>14.6</v>
      </c>
      <c r="B144" s="5" t="s">
        <v>54</v>
      </c>
      <c r="C144" s="5" t="s">
        <v>33</v>
      </c>
      <c r="D144" s="5" t="s">
        <v>55</v>
      </c>
      <c r="E144" s="7"/>
      <c r="F144" s="5" t="s">
        <v>25</v>
      </c>
      <c r="G144" s="5">
        <v>2</v>
      </c>
      <c r="H144" s="5" t="s">
        <v>26</v>
      </c>
      <c r="I144" s="6">
        <v>1</v>
      </c>
      <c r="J144" s="7"/>
      <c r="K144" s="6">
        <v>0</v>
      </c>
      <c r="L144" s="6">
        <v>0</v>
      </c>
      <c r="M144" s="6">
        <v>0</v>
      </c>
      <c r="N144" s="6">
        <v>0</v>
      </c>
      <c r="O144" s="7"/>
      <c r="P144" s="2"/>
      <c r="Q144" s="2"/>
      <c r="R144" s="2" t="str">
        <v>ISR1000</v>
      </c>
      <c r="S144" s="2" t="str">
        <f ca="1">IFERROR(__xludf.DUMMYFUNCTION("""COMPUTED_VALUE"""),"TE-EMBED-WANI")</f>
        <v>TE-EMBED-WANI</v>
      </c>
      <c r="T144" s="10">
        <f ca="1">IFERROR(__xludf.DUMMYFUNCTION("""COMPUTED_VALUE"""),0)</f>
        <v>0</v>
      </c>
      <c r="U144" s="2" t="e">
        <f ca="1"/>
        <v>#NAME?</v>
      </c>
      <c r="V144" s="2" t="e">
        <f ca="1"/>
        <v>#NAME?</v>
      </c>
      <c r="W144" s="2" t="str">
        <f ca="1">IFERROR(__xludf.DUMMYFUNCTION("""COMPUTED_VALUE"""),"C1131X-8PWS")</f>
        <v>C1131X-8PWS</v>
      </c>
    </row>
    <row r="145" spans="1:23" ht="12.5" x14ac:dyDescent="0.25">
      <c r="A145" s="6">
        <v>14.7</v>
      </c>
      <c r="B145" s="5" t="s">
        <v>58</v>
      </c>
      <c r="C145" s="5" t="s">
        <v>33</v>
      </c>
      <c r="D145" s="5" t="s">
        <v>59</v>
      </c>
      <c r="E145" s="7"/>
      <c r="F145" s="5" t="s">
        <v>25</v>
      </c>
      <c r="G145" s="5">
        <v>2</v>
      </c>
      <c r="H145" s="5" t="s">
        <v>26</v>
      </c>
      <c r="I145" s="6">
        <v>1</v>
      </c>
      <c r="J145" s="7"/>
      <c r="K145" s="6">
        <v>0</v>
      </c>
      <c r="L145" s="6">
        <v>0</v>
      </c>
      <c r="M145" s="6">
        <v>0</v>
      </c>
      <c r="N145" s="6">
        <v>0</v>
      </c>
      <c r="O145" s="7"/>
      <c r="P145" s="2"/>
      <c r="Q145" s="2"/>
      <c r="R145" s="2" t="str">
        <v>ISR1000</v>
      </c>
      <c r="S145" s="2" t="str">
        <f ca="1">IFERROR(__xludf.DUMMYFUNCTION("""COMPUTED_VALUE"""),"FL-1100-8P-HSEC-L")</f>
        <v>FL-1100-8P-HSEC-L</v>
      </c>
      <c r="T145" s="10">
        <f ca="1">IFERROR(__xludf.DUMMYFUNCTION("""COMPUTED_VALUE"""),0)</f>
        <v>0</v>
      </c>
      <c r="U145" s="2" t="e">
        <f ca="1"/>
        <v>#NAME?</v>
      </c>
      <c r="V145" s="2" t="e">
        <f ca="1"/>
        <v>#NAME?</v>
      </c>
      <c r="W145" s="2" t="str">
        <f ca="1">IFERROR(__xludf.DUMMYFUNCTION("""COMPUTED_VALUE"""),"C1131X-8PWS")</f>
        <v>C1131X-8PWS</v>
      </c>
    </row>
    <row r="146" spans="1:23" ht="12.5" x14ac:dyDescent="0.25">
      <c r="A146" s="6">
        <v>14.8</v>
      </c>
      <c r="B146" s="5" t="s">
        <v>46</v>
      </c>
      <c r="C146" s="5" t="s">
        <v>33</v>
      </c>
      <c r="D146" s="5" t="s">
        <v>47</v>
      </c>
      <c r="E146" s="7"/>
      <c r="F146" s="5" t="s">
        <v>25</v>
      </c>
      <c r="G146" s="5" t="s">
        <v>25</v>
      </c>
      <c r="H146" s="5" t="s">
        <v>26</v>
      </c>
      <c r="I146" s="6">
        <v>1</v>
      </c>
      <c r="J146" s="7"/>
      <c r="K146" s="6">
        <v>148.61000000000001</v>
      </c>
      <c r="L146" s="8">
        <v>5349.96</v>
      </c>
      <c r="M146" s="6">
        <v>0</v>
      </c>
      <c r="N146" s="8">
        <v>5349.96</v>
      </c>
      <c r="O146" s="7"/>
      <c r="P146" s="2"/>
      <c r="Q146" s="2"/>
      <c r="R146" s="2" t="str">
        <v>ISR1000</v>
      </c>
      <c r="S146" s="2" t="str">
        <f ca="1">IFERROR(__xludf.DUMMYFUNCTION("""COMPUTED_VALUE"""),"DNA-P-T1-A-3Y")</f>
        <v>DNA-P-T1-A-3Y</v>
      </c>
      <c r="T146" s="10">
        <f ca="1">IFERROR(__xludf.DUMMYFUNCTION("""COMPUTED_VALUE"""),0)</f>
        <v>0</v>
      </c>
      <c r="U146" s="2" t="e">
        <f ca="1"/>
        <v>#NAME?</v>
      </c>
      <c r="V146" s="2" t="e">
        <f ca="1"/>
        <v>#NAME?</v>
      </c>
      <c r="W146" s="2" t="str">
        <f ca="1">IFERROR(__xludf.DUMMYFUNCTION("""COMPUTED_VALUE"""),"C1131X-8PWS")</f>
        <v>C1131X-8PWS</v>
      </c>
    </row>
    <row r="147" spans="1:23" ht="12.5" x14ac:dyDescent="0.25">
      <c r="A147" s="6">
        <v>14.9</v>
      </c>
      <c r="B147" s="5" t="s">
        <v>48</v>
      </c>
      <c r="C147" s="5" t="s">
        <v>22</v>
      </c>
      <c r="D147" s="5" t="s">
        <v>49</v>
      </c>
      <c r="E147" s="7"/>
      <c r="F147" s="5" t="s">
        <v>25</v>
      </c>
      <c r="G147" s="5">
        <v>2</v>
      </c>
      <c r="H147" s="5" t="s">
        <v>26</v>
      </c>
      <c r="I147" s="6">
        <v>1</v>
      </c>
      <c r="J147" s="7"/>
      <c r="K147" s="6">
        <v>30.65</v>
      </c>
      <c r="L147" s="8">
        <v>1103.4000000000001</v>
      </c>
      <c r="M147" s="6">
        <v>0</v>
      </c>
      <c r="N147" s="8">
        <v>1103.4000000000001</v>
      </c>
      <c r="O147" s="7"/>
      <c r="P147" s="2"/>
      <c r="Q147" s="2"/>
      <c r="R147" s="2" t="str">
        <v>ISR1000</v>
      </c>
      <c r="S147" s="2" t="str">
        <f ca="1">IFERROR(__xludf.DUMMYFUNCTION("""COMPUTED_VALUE"""),"SVS-PSTL1-T1-A3Y")</f>
        <v>SVS-PSTL1-T1-A3Y</v>
      </c>
      <c r="T147" s="10">
        <f ca="1">IFERROR(__xludf.DUMMYFUNCTION("""COMPUTED_VALUE"""),0)</f>
        <v>0</v>
      </c>
      <c r="U147" s="2" t="e">
        <f ca="1"/>
        <v>#NAME?</v>
      </c>
      <c r="V147" s="2" t="e">
        <f ca="1"/>
        <v>#NAME?</v>
      </c>
      <c r="W147" s="2" t="str">
        <f ca="1">IFERROR(__xludf.DUMMYFUNCTION("""COMPUTED_VALUE"""),"C1131X-8PWS")</f>
        <v>C1131X-8PWS</v>
      </c>
    </row>
    <row r="148" spans="1:23" ht="12.5" x14ac:dyDescent="0.25">
      <c r="A148" s="6">
        <v>14.1</v>
      </c>
      <c r="B148" s="5" t="s">
        <v>50</v>
      </c>
      <c r="C148" s="5" t="s">
        <v>33</v>
      </c>
      <c r="D148" s="5" t="s">
        <v>51</v>
      </c>
      <c r="E148" s="7"/>
      <c r="F148" s="5" t="s">
        <v>25</v>
      </c>
      <c r="G148" s="5">
        <v>2</v>
      </c>
      <c r="H148" s="5" t="s">
        <v>26</v>
      </c>
      <c r="I148" s="6">
        <v>1</v>
      </c>
      <c r="J148" s="7"/>
      <c r="K148" s="6">
        <v>0</v>
      </c>
      <c r="L148" s="6">
        <v>0</v>
      </c>
      <c r="M148" s="6">
        <v>0</v>
      </c>
      <c r="N148" s="6">
        <v>0</v>
      </c>
      <c r="O148" s="7"/>
      <c r="P148" s="2"/>
      <c r="Q148" s="2"/>
      <c r="R148" s="2" t="str">
        <v>ISR1000</v>
      </c>
      <c r="S148" s="2" t="str">
        <f ca="1">IFERROR(__xludf.DUMMYFUNCTION("""COMPUTED_VALUE"""),"DSTACK-T1-A")</f>
        <v>DSTACK-T1-A</v>
      </c>
      <c r="T148" s="10">
        <f ca="1">IFERROR(__xludf.DUMMYFUNCTION("""COMPUTED_VALUE"""),0)</f>
        <v>0</v>
      </c>
      <c r="U148" s="2" t="e">
        <f ca="1"/>
        <v>#NAME?</v>
      </c>
      <c r="V148" s="2" t="e">
        <f ca="1"/>
        <v>#NAME?</v>
      </c>
      <c r="W148" s="2" t="str">
        <f ca="1">IFERROR(__xludf.DUMMYFUNCTION("""COMPUTED_VALUE"""),"C1131X-8PWS")</f>
        <v>C1131X-8PWS</v>
      </c>
    </row>
    <row r="149" spans="1:23" ht="12.5" x14ac:dyDescent="0.25">
      <c r="A149" s="6">
        <v>14.11</v>
      </c>
      <c r="B149" s="5" t="s">
        <v>62</v>
      </c>
      <c r="C149" s="5" t="s">
        <v>33</v>
      </c>
      <c r="D149" s="5" t="s">
        <v>63</v>
      </c>
      <c r="E149" s="7"/>
      <c r="F149" s="5" t="s">
        <v>25</v>
      </c>
      <c r="G149" s="5">
        <v>2</v>
      </c>
      <c r="H149" s="5" t="s">
        <v>26</v>
      </c>
      <c r="I149" s="6">
        <v>1</v>
      </c>
      <c r="J149" s="7"/>
      <c r="K149" s="6">
        <v>0</v>
      </c>
      <c r="L149" s="6">
        <v>0</v>
      </c>
      <c r="M149" s="6">
        <v>0</v>
      </c>
      <c r="N149" s="6">
        <v>0</v>
      </c>
      <c r="O149" s="7"/>
      <c r="P149" s="2"/>
      <c r="Q149" s="2"/>
      <c r="R149" s="2" t="str">
        <v>ISR1000</v>
      </c>
      <c r="S149" s="2" t="str">
        <f ca="1">IFERROR(__xludf.DUMMYFUNCTION("""COMPUTED_VALUE"""),"DNA-HSEC-UPGD")</f>
        <v>DNA-HSEC-UPGD</v>
      </c>
      <c r="T149" s="10">
        <f ca="1">IFERROR(__xludf.DUMMYFUNCTION("""COMPUTED_VALUE"""),0)</f>
        <v>0</v>
      </c>
      <c r="U149" s="2" t="e">
        <f ca="1"/>
        <v>#NAME?</v>
      </c>
      <c r="V149" s="2" t="e">
        <f ca="1"/>
        <v>#NAME?</v>
      </c>
      <c r="W149" s="2" t="str">
        <f ca="1">IFERROR(__xludf.DUMMYFUNCTION("""COMPUTED_VALUE"""),"C1131X-8PWS")</f>
        <v>C1131X-8PWS</v>
      </c>
    </row>
    <row r="150" spans="1:23" ht="12.5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2" t="s">
        <v>42</v>
      </c>
      <c r="N150" s="13">
        <v>6453.36</v>
      </c>
      <c r="O150" s="14"/>
      <c r="P150" s="2"/>
      <c r="Q150" s="2"/>
      <c r="R150" s="2" t="str">
        <v/>
      </c>
      <c r="S150" s="2" t="str">
        <f ca="1">IFERROR(__xludf.DUMMYFUNCTION("""COMPUTED_VALUE"""),"")</f>
        <v/>
      </c>
      <c r="T150" s="2" t="str">
        <f ca="1">IFERROR(__xludf.DUMMYFUNCTION("""COMPUTED_VALUE"""),"")</f>
        <v/>
      </c>
      <c r="U150" s="2" t="e">
        <f ca="1"/>
        <v>#NAME?</v>
      </c>
      <c r="V150" s="2" t="e">
        <f ca="1"/>
        <v>#NAME?</v>
      </c>
      <c r="W150" s="2" t="str">
        <f ca="1">IFERROR(__xludf.DUMMYFUNCTION("""COMPUTED_VALUE"""),"")</f>
        <v/>
      </c>
    </row>
    <row r="151" spans="1:23" ht="12.5" x14ac:dyDescent="0.25">
      <c r="A151" s="4">
        <v>15</v>
      </c>
      <c r="B151" s="4" t="s">
        <v>124</v>
      </c>
      <c r="C151" s="5" t="s">
        <v>22</v>
      </c>
      <c r="D151" s="5" t="s">
        <v>125</v>
      </c>
      <c r="E151" s="5" t="s">
        <v>24</v>
      </c>
      <c r="F151" s="5" t="s">
        <v>25</v>
      </c>
      <c r="G151" s="5">
        <v>119</v>
      </c>
      <c r="H151" s="5" t="s">
        <v>26</v>
      </c>
      <c r="I151" s="6">
        <v>1</v>
      </c>
      <c r="J151" s="7"/>
      <c r="K151" s="8">
        <v>1242.19</v>
      </c>
      <c r="L151" s="8">
        <v>1242.19</v>
      </c>
      <c r="M151" s="6">
        <v>0</v>
      </c>
      <c r="N151" s="8">
        <v>1242.19</v>
      </c>
      <c r="O151" s="7"/>
      <c r="P151" s="2"/>
      <c r="Q151" s="2"/>
      <c r="R151" s="2" t="str">
        <v>ISR1000</v>
      </c>
      <c r="S151" s="2" t="str">
        <f ca="1">IFERROR(__xludf.DUMMYFUNCTION("""COMPUTED_VALUE"""),"C1121-4P")</f>
        <v>C1121-4P</v>
      </c>
      <c r="T151" s="10">
        <f ca="1">IFERROR(__xludf.DUMMYFUNCTION("""COMPUTED_VALUE"""),1)</f>
        <v>1</v>
      </c>
      <c r="U151" s="2" t="e">
        <f ca="1"/>
        <v>#NAME?</v>
      </c>
      <c r="V151" s="2" t="e">
        <f ca="1"/>
        <v>#NAME?</v>
      </c>
      <c r="W151" s="2" t="str">
        <f ca="1">IFERROR(__xludf.DUMMYFUNCTION("""COMPUTED_VALUE"""),"C1121-4P")</f>
        <v>C1121-4P</v>
      </c>
    </row>
    <row r="152" spans="1:23" ht="12.5" x14ac:dyDescent="0.25">
      <c r="A152" s="6" t="s">
        <v>126</v>
      </c>
      <c r="B152" s="5" t="s">
        <v>127</v>
      </c>
      <c r="C152" s="5" t="s">
        <v>22</v>
      </c>
      <c r="D152" s="5" t="s">
        <v>128</v>
      </c>
      <c r="E152" s="7"/>
      <c r="F152" s="5">
        <v>24</v>
      </c>
      <c r="G152" s="5" t="s">
        <v>25</v>
      </c>
      <c r="H152" s="5" t="s">
        <v>26</v>
      </c>
      <c r="I152" s="6">
        <v>1</v>
      </c>
      <c r="J152" s="7"/>
      <c r="K152" s="6">
        <v>308</v>
      </c>
      <c r="L152" s="6">
        <v>308</v>
      </c>
      <c r="M152" s="6">
        <v>0</v>
      </c>
      <c r="N152" s="6">
        <v>308</v>
      </c>
      <c r="O152" s="5" t="s">
        <v>30</v>
      </c>
      <c r="P152" s="2"/>
      <c r="Q152" s="2"/>
      <c r="R152" s="2" t="str">
        <v>ISR1000</v>
      </c>
      <c r="S152" s="2" t="str">
        <f ca="1">IFERROR(__xludf.DUMMYFUNCTION("""COMPUTED_VALUE"""),"CON-L1NBD-C11214PK")</f>
        <v>CON-L1NBD-C11214PK</v>
      </c>
      <c r="T152" s="10">
        <f ca="1">IFERROR(__xludf.DUMMYFUNCTION("""COMPUTED_VALUE"""),0)</f>
        <v>0</v>
      </c>
      <c r="U152" s="2" t="e">
        <f ca="1"/>
        <v>#NAME?</v>
      </c>
      <c r="V152" s="2" t="e">
        <f ca="1"/>
        <v>#NAME?</v>
      </c>
      <c r="W152" s="2" t="str">
        <f ca="1">IFERROR(__xludf.DUMMYFUNCTION("""COMPUTED_VALUE"""),"C1121-4P")</f>
        <v>C1121-4P</v>
      </c>
    </row>
    <row r="153" spans="1:23" ht="12.5" x14ac:dyDescent="0.25">
      <c r="A153" s="6">
        <v>15.1</v>
      </c>
      <c r="B153" s="5" t="s">
        <v>31</v>
      </c>
      <c r="C153" s="5" t="s">
        <v>22</v>
      </c>
      <c r="D153" s="5" t="s">
        <v>32</v>
      </c>
      <c r="E153" s="7"/>
      <c r="F153" s="5" t="s">
        <v>25</v>
      </c>
      <c r="G153" s="5">
        <v>42</v>
      </c>
      <c r="H153" s="5" t="s">
        <v>33</v>
      </c>
      <c r="I153" s="6">
        <v>1</v>
      </c>
      <c r="J153" s="7"/>
      <c r="K153" s="6">
        <v>0</v>
      </c>
      <c r="L153" s="6">
        <v>0</v>
      </c>
      <c r="M153" s="6">
        <v>0</v>
      </c>
      <c r="N153" s="6">
        <v>0</v>
      </c>
      <c r="O153" s="7"/>
      <c r="P153" s="2"/>
      <c r="Q153" s="2"/>
      <c r="R153" s="2" t="str">
        <v>ISR1000</v>
      </c>
      <c r="S153" s="2" t="str">
        <f ca="1">IFERROR(__xludf.DUMMYFUNCTION("""COMPUTED_VALUE"""),"PWR-66W-AC-V2")</f>
        <v>PWR-66W-AC-V2</v>
      </c>
      <c r="T153" s="10">
        <f ca="1">IFERROR(__xludf.DUMMYFUNCTION("""COMPUTED_VALUE"""),0)</f>
        <v>0</v>
      </c>
      <c r="U153" s="2" t="e">
        <f ca="1"/>
        <v>#NAME?</v>
      </c>
      <c r="V153" s="2" t="e">
        <f ca="1"/>
        <v>#NAME?</v>
      </c>
      <c r="W153" s="2" t="str">
        <f ca="1">IFERROR(__xludf.DUMMYFUNCTION("""COMPUTED_VALUE"""),"C1121-4P")</f>
        <v>C1121-4P</v>
      </c>
    </row>
    <row r="154" spans="1:23" ht="12.5" x14ac:dyDescent="0.25">
      <c r="A154" s="6">
        <v>15.2</v>
      </c>
      <c r="B154" s="5" t="s">
        <v>129</v>
      </c>
      <c r="C154" s="5" t="s">
        <v>22</v>
      </c>
      <c r="D154" s="5" t="s">
        <v>130</v>
      </c>
      <c r="E154" s="7"/>
      <c r="F154" s="5" t="s">
        <v>25</v>
      </c>
      <c r="G154" s="5">
        <v>28</v>
      </c>
      <c r="H154" s="5" t="s">
        <v>33</v>
      </c>
      <c r="I154" s="6">
        <v>1</v>
      </c>
      <c r="J154" s="7"/>
      <c r="K154" s="6">
        <v>0</v>
      </c>
      <c r="L154" s="6">
        <v>0</v>
      </c>
      <c r="M154" s="6">
        <v>0</v>
      </c>
      <c r="N154" s="6">
        <v>0</v>
      </c>
      <c r="O154" s="7"/>
      <c r="P154" s="2"/>
      <c r="Q154" s="2"/>
      <c r="R154" s="2" t="str">
        <v>ISR1000</v>
      </c>
      <c r="S154" s="2" t="str">
        <f ca="1">IFERROR(__xludf.DUMMYFUNCTION("""COMPUTED_VALUE"""),"SL-1K-4P-IPB")</f>
        <v>SL-1K-4P-IPB</v>
      </c>
      <c r="T154" s="10">
        <f ca="1">IFERROR(__xludf.DUMMYFUNCTION("""COMPUTED_VALUE"""),0)</f>
        <v>0</v>
      </c>
      <c r="U154" s="2" t="e">
        <f ca="1"/>
        <v>#NAME?</v>
      </c>
      <c r="V154" s="2" t="e">
        <f ca="1"/>
        <v>#NAME?</v>
      </c>
      <c r="W154" s="2" t="str">
        <f ca="1">IFERROR(__xludf.DUMMYFUNCTION("""COMPUTED_VALUE"""),"C1121-4P")</f>
        <v>C1121-4P</v>
      </c>
    </row>
    <row r="155" spans="1:23" ht="12.5" x14ac:dyDescent="0.25">
      <c r="A155" s="6">
        <v>15.3</v>
      </c>
      <c r="B155" s="5" t="s">
        <v>36</v>
      </c>
      <c r="C155" s="5" t="s">
        <v>22</v>
      </c>
      <c r="D155" s="5" t="s">
        <v>37</v>
      </c>
      <c r="E155" s="7"/>
      <c r="F155" s="5" t="s">
        <v>25</v>
      </c>
      <c r="G155" s="5">
        <v>14</v>
      </c>
      <c r="H155" s="5" t="s">
        <v>26</v>
      </c>
      <c r="I155" s="6">
        <v>1</v>
      </c>
      <c r="J155" s="7"/>
      <c r="K155" s="6">
        <v>0</v>
      </c>
      <c r="L155" s="6">
        <v>0</v>
      </c>
      <c r="M155" s="6">
        <v>0</v>
      </c>
      <c r="N155" s="6">
        <v>0</v>
      </c>
      <c r="O155" s="7"/>
      <c r="P155" s="2"/>
      <c r="Q155" s="2"/>
      <c r="R155" s="2" t="str">
        <v>ISR1000</v>
      </c>
      <c r="S155" s="2" t="str">
        <f ca="1">IFERROR(__xludf.DUMMYFUNCTION("""COMPUTED_VALUE"""),"CAB-ACE")</f>
        <v>CAB-ACE</v>
      </c>
      <c r="T155" s="10">
        <f ca="1">IFERROR(__xludf.DUMMYFUNCTION("""COMPUTED_VALUE"""),0)</f>
        <v>0</v>
      </c>
      <c r="U155" s="2" t="e">
        <f ca="1"/>
        <v>#NAME?</v>
      </c>
      <c r="V155" s="2" t="e">
        <f ca="1"/>
        <v>#NAME?</v>
      </c>
      <c r="W155" s="2" t="str">
        <f ca="1">IFERROR(__xludf.DUMMYFUNCTION("""COMPUTED_VALUE"""),"C1121-4P")</f>
        <v>C1121-4P</v>
      </c>
    </row>
    <row r="156" spans="1:23" ht="12.5" x14ac:dyDescent="0.25">
      <c r="A156" s="6">
        <v>15.4</v>
      </c>
      <c r="B156" s="5" t="s">
        <v>38</v>
      </c>
      <c r="C156" s="5" t="s">
        <v>22</v>
      </c>
      <c r="D156" s="5" t="s">
        <v>39</v>
      </c>
      <c r="E156" s="7"/>
      <c r="F156" s="5" t="s">
        <v>25</v>
      </c>
      <c r="G156" s="5">
        <v>14</v>
      </c>
      <c r="H156" s="5" t="s">
        <v>26</v>
      </c>
      <c r="I156" s="6">
        <v>1</v>
      </c>
      <c r="J156" s="7"/>
      <c r="K156" s="6">
        <v>0</v>
      </c>
      <c r="L156" s="6">
        <v>0</v>
      </c>
      <c r="M156" s="6">
        <v>0</v>
      </c>
      <c r="N156" s="6">
        <v>0</v>
      </c>
      <c r="O156" s="7"/>
      <c r="P156" s="2"/>
      <c r="Q156" s="2"/>
      <c r="R156" s="2" t="str">
        <v>ISR1000</v>
      </c>
      <c r="S156" s="2" t="str">
        <f ca="1">IFERROR(__xludf.DUMMYFUNCTION("""COMPUTED_VALUE"""),"GREEN-OPTION")</f>
        <v>GREEN-OPTION</v>
      </c>
      <c r="T156" s="10">
        <f ca="1">IFERROR(__xludf.DUMMYFUNCTION("""COMPUTED_VALUE"""),0)</f>
        <v>0</v>
      </c>
      <c r="U156" s="2" t="e">
        <f ca="1"/>
        <v>#NAME?</v>
      </c>
      <c r="V156" s="2" t="e">
        <f ca="1"/>
        <v>#NAME?</v>
      </c>
      <c r="W156" s="2" t="str">
        <f ca="1">IFERROR(__xludf.DUMMYFUNCTION("""COMPUTED_VALUE"""),"C1121-4P")</f>
        <v>C1121-4P</v>
      </c>
    </row>
    <row r="157" spans="1:23" ht="12.5" x14ac:dyDescent="0.25">
      <c r="A157" s="6">
        <v>15.5</v>
      </c>
      <c r="B157" s="5" t="s">
        <v>101</v>
      </c>
      <c r="C157" s="5" t="s">
        <v>22</v>
      </c>
      <c r="D157" s="5" t="s">
        <v>102</v>
      </c>
      <c r="E157" s="7"/>
      <c r="F157" s="5" t="s">
        <v>25</v>
      </c>
      <c r="G157" s="5">
        <v>28</v>
      </c>
      <c r="H157" s="5" t="s">
        <v>26</v>
      </c>
      <c r="I157" s="6">
        <v>1</v>
      </c>
      <c r="J157" s="7"/>
      <c r="K157" s="6">
        <v>0</v>
      </c>
      <c r="L157" s="6">
        <v>0</v>
      </c>
      <c r="M157" s="6">
        <v>0</v>
      </c>
      <c r="N157" s="6">
        <v>0</v>
      </c>
      <c r="O157" s="7"/>
      <c r="P157" s="2"/>
      <c r="Q157" s="2"/>
      <c r="R157" s="2" t="str">
        <v>ISR1000</v>
      </c>
      <c r="S157" s="2" t="str">
        <f ca="1">IFERROR(__xludf.DUMMYFUNCTION("""COMPUTED_VALUE"""),"SISR1100UK9-1715")</f>
        <v>SISR1100UK9-1715</v>
      </c>
      <c r="T157" s="10">
        <f ca="1">IFERROR(__xludf.DUMMYFUNCTION("""COMPUTED_VALUE"""),0)</f>
        <v>0</v>
      </c>
      <c r="U157" s="2" t="e">
        <f ca="1"/>
        <v>#NAME?</v>
      </c>
      <c r="V157" s="2" t="e">
        <f ca="1"/>
        <v>#NAME?</v>
      </c>
      <c r="W157" s="2" t="str">
        <f ca="1">IFERROR(__xludf.DUMMYFUNCTION("""COMPUTED_VALUE"""),"C1121-4P")</f>
        <v>C1121-4P</v>
      </c>
    </row>
    <row r="158" spans="1:23" ht="12.5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2" t="s">
        <v>42</v>
      </c>
      <c r="N158" s="13">
        <v>1550.19</v>
      </c>
      <c r="O158" s="14"/>
      <c r="P158" s="2"/>
      <c r="Q158" s="2"/>
      <c r="R158" s="2" t="str">
        <v/>
      </c>
      <c r="S158" s="2" t="str">
        <f ca="1">IFERROR(__xludf.DUMMYFUNCTION("""COMPUTED_VALUE"""),"")</f>
        <v/>
      </c>
      <c r="T158" s="2" t="str">
        <f ca="1">IFERROR(__xludf.DUMMYFUNCTION("""COMPUTED_VALUE"""),"")</f>
        <v/>
      </c>
      <c r="U158" s="2" t="e">
        <f ca="1"/>
        <v>#NAME?</v>
      </c>
      <c r="V158" s="2" t="e">
        <f ca="1"/>
        <v>#NAME?</v>
      </c>
      <c r="W158" s="2" t="str">
        <f ca="1">IFERROR(__xludf.DUMMYFUNCTION("""COMPUTED_VALUE"""),"")</f>
        <v/>
      </c>
    </row>
    <row r="159" spans="1:23" ht="12.5" x14ac:dyDescent="0.25">
      <c r="A159" s="15"/>
      <c r="B159" s="15"/>
      <c r="C159" s="16" t="s">
        <v>131</v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2" t="str">
        <v/>
      </c>
      <c r="S159" s="2" t="str">
        <f ca="1">IFERROR(__xludf.DUMMYFUNCTION("""COMPUTED_VALUE"""),"")</f>
        <v/>
      </c>
      <c r="T159" s="2" t="str">
        <f ca="1">IFERROR(__xludf.DUMMYFUNCTION("""COMPUTED_VALUE"""),"")</f>
        <v/>
      </c>
      <c r="U159" s="2" t="e">
        <f ca="1"/>
        <v>#NAME?</v>
      </c>
      <c r="V159" s="2" t="e">
        <f ca="1"/>
        <v>#NAME?</v>
      </c>
      <c r="W159" s="2" t="str">
        <f ca="1">IFERROR(__xludf.DUMMYFUNCTION("""COMPUTED_VALUE"""),"")</f>
        <v/>
      </c>
    </row>
    <row r="160" spans="1:23" ht="12.5" x14ac:dyDescent="0.25">
      <c r="A160" s="4">
        <v>16</v>
      </c>
      <c r="B160" s="4" t="s">
        <v>44</v>
      </c>
      <c r="C160" s="5" t="s">
        <v>33</v>
      </c>
      <c r="D160" s="5" t="s">
        <v>45</v>
      </c>
      <c r="E160" s="5" t="s">
        <v>24</v>
      </c>
      <c r="F160" s="5" t="s">
        <v>25</v>
      </c>
      <c r="G160" s="5">
        <v>4</v>
      </c>
      <c r="H160" s="5" t="s">
        <v>26</v>
      </c>
      <c r="I160" s="6">
        <v>1</v>
      </c>
      <c r="J160" s="7"/>
      <c r="K160" s="6">
        <v>0</v>
      </c>
      <c r="L160" s="6">
        <v>0</v>
      </c>
      <c r="M160" s="6">
        <v>0</v>
      </c>
      <c r="N160" s="6">
        <v>0</v>
      </c>
      <c r="O160" s="7"/>
      <c r="P160" s="2"/>
      <c r="Q160" s="2"/>
      <c r="R160" s="2" t="str">
        <v>ISR1000</v>
      </c>
      <c r="S160" s="2" t="str">
        <f ca="1">IFERROR(__xludf.DUMMYFUNCTION("""COMPUTED_VALUE"""),"L-DNA-TIER-ADD")</f>
        <v>L-DNA-TIER-ADD</v>
      </c>
      <c r="T160" s="10">
        <f ca="1">IFERROR(__xludf.DUMMYFUNCTION("""COMPUTED_VALUE"""),1)</f>
        <v>1</v>
      </c>
      <c r="U160" s="2" t="e">
        <f ca="1"/>
        <v>#NAME?</v>
      </c>
      <c r="V160" s="2" t="e">
        <f ca="1"/>
        <v>#NAME?</v>
      </c>
      <c r="W160" s="2" t="str">
        <f ca="1">IFERROR(__xludf.DUMMYFUNCTION("""COMPUTED_VALUE"""),"C1121-4P")</f>
        <v>C1121-4P</v>
      </c>
    </row>
    <row r="161" spans="1:23" ht="12.5" x14ac:dyDescent="0.25">
      <c r="A161" s="6">
        <v>16.100000000000001</v>
      </c>
      <c r="B161" s="5" t="s">
        <v>88</v>
      </c>
      <c r="C161" s="5" t="s">
        <v>33</v>
      </c>
      <c r="D161" s="5" t="s">
        <v>89</v>
      </c>
      <c r="E161" s="7"/>
      <c r="F161" s="5" t="s">
        <v>25</v>
      </c>
      <c r="G161" s="5">
        <v>2</v>
      </c>
      <c r="H161" s="5" t="s">
        <v>26</v>
      </c>
      <c r="I161" s="6">
        <v>1</v>
      </c>
      <c r="J161" s="7"/>
      <c r="K161" s="6">
        <v>0</v>
      </c>
      <c r="L161" s="6">
        <v>0</v>
      </c>
      <c r="M161" s="6">
        <v>0</v>
      </c>
      <c r="N161" s="6">
        <v>0</v>
      </c>
      <c r="O161" s="7"/>
      <c r="P161" s="2"/>
      <c r="Q161" s="2"/>
      <c r="R161" s="2" t="str">
        <v>ISR1000</v>
      </c>
      <c r="S161" s="2" t="str">
        <f ca="1">IFERROR(__xludf.DUMMYFUNCTION("""COMPUTED_VALUE"""),"C1100-4P-DNA-PF")</f>
        <v>C1100-4P-DNA-PF</v>
      </c>
      <c r="T161" s="10">
        <f ca="1">IFERROR(__xludf.DUMMYFUNCTION("""COMPUTED_VALUE"""),0)</f>
        <v>0</v>
      </c>
      <c r="U161" s="2" t="e">
        <f ca="1"/>
        <v>#NAME?</v>
      </c>
      <c r="V161" s="2" t="e">
        <f ca="1"/>
        <v>#NAME?</v>
      </c>
      <c r="W161" s="2" t="str">
        <f ca="1">IFERROR(__xludf.DUMMYFUNCTION("""COMPUTED_VALUE"""),"C1121-4P")</f>
        <v>C1121-4P</v>
      </c>
    </row>
    <row r="162" spans="1:23" ht="12.5" x14ac:dyDescent="0.25">
      <c r="A162" s="6">
        <v>16.2</v>
      </c>
      <c r="B162" s="5" t="s">
        <v>64</v>
      </c>
      <c r="C162" s="5" t="s">
        <v>22</v>
      </c>
      <c r="D162" s="5" t="s">
        <v>65</v>
      </c>
      <c r="E162" s="7"/>
      <c r="F162" s="5" t="s">
        <v>25</v>
      </c>
      <c r="G162" s="5">
        <v>2</v>
      </c>
      <c r="H162" s="5" t="s">
        <v>26</v>
      </c>
      <c r="I162" s="6">
        <v>1</v>
      </c>
      <c r="J162" s="7"/>
      <c r="K162" s="6">
        <v>0</v>
      </c>
      <c r="L162" s="6">
        <v>0</v>
      </c>
      <c r="M162" s="6">
        <v>0</v>
      </c>
      <c r="N162" s="6">
        <v>0</v>
      </c>
      <c r="O162" s="7"/>
      <c r="P162" s="2"/>
      <c r="Q162" s="2"/>
      <c r="R162" s="2" t="str">
        <v>ISR1000</v>
      </c>
      <c r="S162" s="2" t="str">
        <f ca="1">IFERROR(__xludf.DUMMYFUNCTION("""COMPUTED_VALUE"""),"IOSXE-CTRL-MODE-PF")</f>
        <v>IOSXE-CTRL-MODE-PF</v>
      </c>
      <c r="T162" s="10">
        <f ca="1">IFERROR(__xludf.DUMMYFUNCTION("""COMPUTED_VALUE"""),0)</f>
        <v>0</v>
      </c>
      <c r="U162" s="2" t="e">
        <f ca="1"/>
        <v>#NAME?</v>
      </c>
      <c r="V162" s="2" t="e">
        <f ca="1"/>
        <v>#NAME?</v>
      </c>
      <c r="W162" s="2" t="str">
        <f ca="1">IFERROR(__xludf.DUMMYFUNCTION("""COMPUTED_VALUE"""),"C1121-4P")</f>
        <v>C1121-4P</v>
      </c>
    </row>
    <row r="163" spans="1:23" ht="12.5" x14ac:dyDescent="0.25">
      <c r="A163" s="6">
        <v>16.3</v>
      </c>
      <c r="B163" s="5" t="s">
        <v>92</v>
      </c>
      <c r="C163" s="5" t="s">
        <v>33</v>
      </c>
      <c r="D163" s="5" t="s">
        <v>93</v>
      </c>
      <c r="E163" s="7"/>
      <c r="F163" s="5" t="s">
        <v>25</v>
      </c>
      <c r="G163" s="5">
        <v>2</v>
      </c>
      <c r="H163" s="5" t="s">
        <v>26</v>
      </c>
      <c r="I163" s="6">
        <v>1</v>
      </c>
      <c r="J163" s="7"/>
      <c r="K163" s="6">
        <v>0</v>
      </c>
      <c r="L163" s="6">
        <v>0</v>
      </c>
      <c r="M163" s="6">
        <v>0</v>
      </c>
      <c r="N163" s="6">
        <v>0</v>
      </c>
      <c r="O163" s="7"/>
      <c r="P163" s="2"/>
      <c r="Q163" s="2"/>
      <c r="R163" s="2" t="str">
        <v>ISR1000</v>
      </c>
      <c r="S163" s="2" t="str">
        <f ca="1">IFERROR(__xludf.DUMMYFUNCTION("""COMPUTED_VALUE"""),"SL-1100-4P-NA-A-L")</f>
        <v>SL-1100-4P-NA-A-L</v>
      </c>
      <c r="T163" s="10">
        <f ca="1">IFERROR(__xludf.DUMMYFUNCTION("""COMPUTED_VALUE"""),0)</f>
        <v>0</v>
      </c>
      <c r="U163" s="2" t="e">
        <f ca="1"/>
        <v>#NAME?</v>
      </c>
      <c r="V163" s="2" t="e">
        <f ca="1"/>
        <v>#NAME?</v>
      </c>
      <c r="W163" s="2" t="str">
        <f ca="1">IFERROR(__xludf.DUMMYFUNCTION("""COMPUTED_VALUE"""),"C1121-4P")</f>
        <v>C1121-4P</v>
      </c>
    </row>
    <row r="164" spans="1:23" ht="12.5" x14ac:dyDescent="0.25">
      <c r="A164" s="6">
        <v>16.399999999999999</v>
      </c>
      <c r="B164" s="5" t="s">
        <v>52</v>
      </c>
      <c r="C164" s="5" t="s">
        <v>33</v>
      </c>
      <c r="D164" s="5" t="s">
        <v>53</v>
      </c>
      <c r="E164" s="7"/>
      <c r="F164" s="5" t="s">
        <v>25</v>
      </c>
      <c r="G164" s="5">
        <v>2</v>
      </c>
      <c r="H164" s="5" t="s">
        <v>26</v>
      </c>
      <c r="I164" s="6">
        <v>1</v>
      </c>
      <c r="J164" s="7"/>
      <c r="K164" s="6">
        <v>0</v>
      </c>
      <c r="L164" s="6">
        <v>0</v>
      </c>
      <c r="M164" s="6">
        <v>0</v>
      </c>
      <c r="N164" s="6">
        <v>0</v>
      </c>
      <c r="O164" s="7"/>
      <c r="P164" s="2"/>
      <c r="Q164" s="2"/>
      <c r="R164" s="2" t="str">
        <v>ISR1000</v>
      </c>
      <c r="S164" s="2" t="str">
        <f ca="1">IFERROR(__xludf.DUMMYFUNCTION("""COMPUTED_VALUE"""),"SDWAN-UMB-ADV")</f>
        <v>SDWAN-UMB-ADV</v>
      </c>
      <c r="T164" s="10">
        <f ca="1">IFERROR(__xludf.DUMMYFUNCTION("""COMPUTED_VALUE"""),0)</f>
        <v>0</v>
      </c>
      <c r="U164" s="2" t="e">
        <f ca="1"/>
        <v>#NAME?</v>
      </c>
      <c r="V164" s="2" t="e">
        <f ca="1"/>
        <v>#NAME?</v>
      </c>
      <c r="W164" s="2" t="str">
        <f ca="1">IFERROR(__xludf.DUMMYFUNCTION("""COMPUTED_VALUE"""),"C1121-4P")</f>
        <v>C1121-4P</v>
      </c>
    </row>
    <row r="165" spans="1:23" ht="12.5" x14ac:dyDescent="0.25">
      <c r="A165" s="6">
        <v>16.5</v>
      </c>
      <c r="B165" s="5" t="s">
        <v>66</v>
      </c>
      <c r="C165" s="5" t="s">
        <v>22</v>
      </c>
      <c r="D165" s="5" t="s">
        <v>67</v>
      </c>
      <c r="E165" s="7"/>
      <c r="F165" s="5" t="s">
        <v>25</v>
      </c>
      <c r="G165" s="5">
        <v>2</v>
      </c>
      <c r="H165" s="5" t="s">
        <v>26</v>
      </c>
      <c r="I165" s="6">
        <v>1</v>
      </c>
      <c r="J165" s="7"/>
      <c r="K165" s="6">
        <v>0</v>
      </c>
      <c r="L165" s="6">
        <v>0</v>
      </c>
      <c r="M165" s="6">
        <v>0</v>
      </c>
      <c r="N165" s="6">
        <v>0</v>
      </c>
      <c r="O165" s="7"/>
      <c r="P165" s="2"/>
      <c r="Q165" s="2"/>
      <c r="R165" s="2" t="str">
        <v>ISR1000</v>
      </c>
      <c r="S165" s="2" t="str">
        <f ca="1">IFERROR(__xludf.DUMMYFUNCTION("""COMPUTED_VALUE"""),"SDWAN-ONPREM-PF")</f>
        <v>SDWAN-ONPREM-PF</v>
      </c>
      <c r="T165" s="10">
        <f ca="1">IFERROR(__xludf.DUMMYFUNCTION("""COMPUTED_VALUE"""),0)</f>
        <v>0</v>
      </c>
      <c r="U165" s="2" t="e">
        <f ca="1"/>
        <v>#NAME?</v>
      </c>
      <c r="V165" s="2" t="e">
        <f ca="1"/>
        <v>#NAME?</v>
      </c>
      <c r="W165" s="2" t="str">
        <f ca="1">IFERROR(__xludf.DUMMYFUNCTION("""COMPUTED_VALUE"""),"C1121-4P")</f>
        <v>C1121-4P</v>
      </c>
    </row>
    <row r="166" spans="1:23" ht="12.5" x14ac:dyDescent="0.25">
      <c r="A166" s="6">
        <v>16.600000000000001</v>
      </c>
      <c r="B166" s="5" t="s">
        <v>54</v>
      </c>
      <c r="C166" s="5" t="s">
        <v>33</v>
      </c>
      <c r="D166" s="5" t="s">
        <v>55</v>
      </c>
      <c r="E166" s="7"/>
      <c r="F166" s="5" t="s">
        <v>25</v>
      </c>
      <c r="G166" s="5">
        <v>2</v>
      </c>
      <c r="H166" s="5" t="s">
        <v>26</v>
      </c>
      <c r="I166" s="6">
        <v>1</v>
      </c>
      <c r="J166" s="7"/>
      <c r="K166" s="6">
        <v>0</v>
      </c>
      <c r="L166" s="6">
        <v>0</v>
      </c>
      <c r="M166" s="6">
        <v>0</v>
      </c>
      <c r="N166" s="6">
        <v>0</v>
      </c>
      <c r="O166" s="7"/>
      <c r="P166" s="2"/>
      <c r="Q166" s="2"/>
      <c r="R166" s="2" t="str">
        <v>ISR1000</v>
      </c>
      <c r="S166" s="2" t="str">
        <f ca="1">IFERROR(__xludf.DUMMYFUNCTION("""COMPUTED_VALUE"""),"TE-EMBED-WANI")</f>
        <v>TE-EMBED-WANI</v>
      </c>
      <c r="T166" s="10">
        <f ca="1">IFERROR(__xludf.DUMMYFUNCTION("""COMPUTED_VALUE"""),0)</f>
        <v>0</v>
      </c>
      <c r="U166" s="2" t="e">
        <f ca="1"/>
        <v>#NAME?</v>
      </c>
      <c r="V166" s="2" t="e">
        <f ca="1"/>
        <v>#NAME?</v>
      </c>
      <c r="W166" s="2" t="str">
        <f ca="1">IFERROR(__xludf.DUMMYFUNCTION("""COMPUTED_VALUE"""),"C1121-4P")</f>
        <v>C1121-4P</v>
      </c>
    </row>
    <row r="167" spans="1:23" ht="12.5" x14ac:dyDescent="0.25">
      <c r="A167" s="6">
        <v>16.7</v>
      </c>
      <c r="B167" s="5" t="s">
        <v>90</v>
      </c>
      <c r="C167" s="5" t="s">
        <v>33</v>
      </c>
      <c r="D167" s="5" t="s">
        <v>91</v>
      </c>
      <c r="E167" s="7"/>
      <c r="F167" s="5" t="s">
        <v>25</v>
      </c>
      <c r="G167" s="5">
        <v>2</v>
      </c>
      <c r="H167" s="5" t="s">
        <v>26</v>
      </c>
      <c r="I167" s="6">
        <v>1</v>
      </c>
      <c r="J167" s="7"/>
      <c r="K167" s="6">
        <v>0</v>
      </c>
      <c r="L167" s="6">
        <v>0</v>
      </c>
      <c r="M167" s="6">
        <v>0</v>
      </c>
      <c r="N167" s="6">
        <v>0</v>
      </c>
      <c r="O167" s="7"/>
      <c r="P167" s="2"/>
      <c r="Q167" s="2"/>
      <c r="R167" s="2" t="str">
        <v>ISR1000</v>
      </c>
      <c r="S167" s="2" t="str">
        <f ca="1">IFERROR(__xludf.DUMMYFUNCTION("""COMPUTED_VALUE"""),"FL-1100-4P-HSEC-L")</f>
        <v>FL-1100-4P-HSEC-L</v>
      </c>
      <c r="T167" s="10">
        <f ca="1">IFERROR(__xludf.DUMMYFUNCTION("""COMPUTED_VALUE"""),0)</f>
        <v>0</v>
      </c>
      <c r="U167" s="2" t="e">
        <f ca="1"/>
        <v>#NAME?</v>
      </c>
      <c r="V167" s="2" t="e">
        <f ca="1"/>
        <v>#NAME?</v>
      </c>
      <c r="W167" s="2" t="str">
        <f ca="1">IFERROR(__xludf.DUMMYFUNCTION("""COMPUTED_VALUE"""),"C1121-4P")</f>
        <v>C1121-4P</v>
      </c>
    </row>
    <row r="168" spans="1:23" ht="12.5" x14ac:dyDescent="0.25">
      <c r="A168" s="6">
        <v>16.8</v>
      </c>
      <c r="B168" s="5" t="s">
        <v>46</v>
      </c>
      <c r="C168" s="5" t="s">
        <v>33</v>
      </c>
      <c r="D168" s="5" t="s">
        <v>47</v>
      </c>
      <c r="E168" s="7"/>
      <c r="F168" s="5" t="s">
        <v>25</v>
      </c>
      <c r="G168" s="5" t="s">
        <v>25</v>
      </c>
      <c r="H168" s="5" t="s">
        <v>26</v>
      </c>
      <c r="I168" s="6">
        <v>1</v>
      </c>
      <c r="J168" s="7"/>
      <c r="K168" s="6">
        <v>148.61000000000001</v>
      </c>
      <c r="L168" s="8">
        <v>5349.96</v>
      </c>
      <c r="M168" s="6">
        <v>0</v>
      </c>
      <c r="N168" s="8">
        <v>5349.96</v>
      </c>
      <c r="O168" s="7"/>
      <c r="P168" s="2"/>
      <c r="Q168" s="2"/>
      <c r="R168" s="2" t="str">
        <v>ISR1000</v>
      </c>
      <c r="S168" s="2" t="str">
        <f ca="1">IFERROR(__xludf.DUMMYFUNCTION("""COMPUTED_VALUE"""),"DNA-P-T1-A-3Y")</f>
        <v>DNA-P-T1-A-3Y</v>
      </c>
      <c r="T168" s="10">
        <f ca="1">IFERROR(__xludf.DUMMYFUNCTION("""COMPUTED_VALUE"""),0)</f>
        <v>0</v>
      </c>
      <c r="U168" s="2" t="e">
        <f ca="1"/>
        <v>#NAME?</v>
      </c>
      <c r="V168" s="2" t="e">
        <f ca="1"/>
        <v>#NAME?</v>
      </c>
      <c r="W168" s="2" t="str">
        <f ca="1">IFERROR(__xludf.DUMMYFUNCTION("""COMPUTED_VALUE"""),"C1121-4P")</f>
        <v>C1121-4P</v>
      </c>
    </row>
    <row r="169" spans="1:23" ht="12.5" x14ac:dyDescent="0.25">
      <c r="A169" s="6">
        <v>16.899999999999999</v>
      </c>
      <c r="B169" s="5" t="s">
        <v>48</v>
      </c>
      <c r="C169" s="5" t="s">
        <v>22</v>
      </c>
      <c r="D169" s="5" t="s">
        <v>49</v>
      </c>
      <c r="E169" s="7"/>
      <c r="F169" s="5" t="s">
        <v>25</v>
      </c>
      <c r="G169" s="5">
        <v>2</v>
      </c>
      <c r="H169" s="5" t="s">
        <v>26</v>
      </c>
      <c r="I169" s="6">
        <v>1</v>
      </c>
      <c r="J169" s="7"/>
      <c r="K169" s="6">
        <v>30.65</v>
      </c>
      <c r="L169" s="8">
        <v>1103.4000000000001</v>
      </c>
      <c r="M169" s="6">
        <v>0</v>
      </c>
      <c r="N169" s="8">
        <v>1103.4000000000001</v>
      </c>
      <c r="O169" s="7"/>
      <c r="P169" s="2"/>
      <c r="Q169" s="2"/>
      <c r="R169" s="2" t="str">
        <v>ISR1000</v>
      </c>
      <c r="S169" s="2" t="str">
        <f ca="1">IFERROR(__xludf.DUMMYFUNCTION("""COMPUTED_VALUE"""),"SVS-PSTL1-T1-A3Y")</f>
        <v>SVS-PSTL1-T1-A3Y</v>
      </c>
      <c r="T169" s="10">
        <f ca="1">IFERROR(__xludf.DUMMYFUNCTION("""COMPUTED_VALUE"""),0)</f>
        <v>0</v>
      </c>
      <c r="U169" s="2" t="e">
        <f ca="1"/>
        <v>#NAME?</v>
      </c>
      <c r="V169" s="2" t="e">
        <f ca="1"/>
        <v>#NAME?</v>
      </c>
      <c r="W169" s="2" t="str">
        <f ca="1">IFERROR(__xludf.DUMMYFUNCTION("""COMPUTED_VALUE"""),"C1121-4P")</f>
        <v>C1121-4P</v>
      </c>
    </row>
    <row r="170" spans="1:23" ht="12.5" x14ac:dyDescent="0.25">
      <c r="A170" s="6">
        <v>16.100000000000001</v>
      </c>
      <c r="B170" s="5" t="s">
        <v>50</v>
      </c>
      <c r="C170" s="5" t="s">
        <v>33</v>
      </c>
      <c r="D170" s="5" t="s">
        <v>51</v>
      </c>
      <c r="E170" s="7"/>
      <c r="F170" s="5" t="s">
        <v>25</v>
      </c>
      <c r="G170" s="5">
        <v>2</v>
      </c>
      <c r="H170" s="5" t="s">
        <v>26</v>
      </c>
      <c r="I170" s="6">
        <v>1</v>
      </c>
      <c r="J170" s="7"/>
      <c r="K170" s="6">
        <v>0</v>
      </c>
      <c r="L170" s="6">
        <v>0</v>
      </c>
      <c r="M170" s="6">
        <v>0</v>
      </c>
      <c r="N170" s="6">
        <v>0</v>
      </c>
      <c r="O170" s="7"/>
      <c r="P170" s="2"/>
      <c r="Q170" s="2"/>
      <c r="R170" s="2" t="str">
        <v>ISR1000</v>
      </c>
      <c r="S170" s="2" t="str">
        <f ca="1">IFERROR(__xludf.DUMMYFUNCTION("""COMPUTED_VALUE"""),"DSTACK-T1-A")</f>
        <v>DSTACK-T1-A</v>
      </c>
      <c r="T170" s="10">
        <f ca="1">IFERROR(__xludf.DUMMYFUNCTION("""COMPUTED_VALUE"""),0)</f>
        <v>0</v>
      </c>
      <c r="U170" s="2" t="e">
        <f ca="1"/>
        <v>#NAME?</v>
      </c>
      <c r="V170" s="2" t="e">
        <f ca="1"/>
        <v>#NAME?</v>
      </c>
      <c r="W170" s="2" t="str">
        <f ca="1">IFERROR(__xludf.DUMMYFUNCTION("""COMPUTED_VALUE"""),"C1121-4P")</f>
        <v>C1121-4P</v>
      </c>
    </row>
    <row r="171" spans="1:23" ht="12.5" x14ac:dyDescent="0.25">
      <c r="A171" s="6">
        <v>16.11</v>
      </c>
      <c r="B171" s="5" t="s">
        <v>62</v>
      </c>
      <c r="C171" s="5" t="s">
        <v>33</v>
      </c>
      <c r="D171" s="5" t="s">
        <v>63</v>
      </c>
      <c r="E171" s="7"/>
      <c r="F171" s="5" t="s">
        <v>25</v>
      </c>
      <c r="G171" s="5">
        <v>2</v>
      </c>
      <c r="H171" s="5" t="s">
        <v>26</v>
      </c>
      <c r="I171" s="6">
        <v>1</v>
      </c>
      <c r="J171" s="7"/>
      <c r="K171" s="6">
        <v>0</v>
      </c>
      <c r="L171" s="6">
        <v>0</v>
      </c>
      <c r="M171" s="6">
        <v>0</v>
      </c>
      <c r="N171" s="6">
        <v>0</v>
      </c>
      <c r="O171" s="7"/>
      <c r="P171" s="2"/>
      <c r="Q171" s="2"/>
      <c r="R171" s="2" t="str">
        <v>ISR1000</v>
      </c>
      <c r="S171" s="2" t="str">
        <f ca="1">IFERROR(__xludf.DUMMYFUNCTION("""COMPUTED_VALUE"""),"DNA-HSEC-UPGD")</f>
        <v>DNA-HSEC-UPGD</v>
      </c>
      <c r="T171" s="10">
        <f ca="1">IFERROR(__xludf.DUMMYFUNCTION("""COMPUTED_VALUE"""),0)</f>
        <v>0</v>
      </c>
      <c r="U171" s="2" t="e">
        <f ca="1"/>
        <v>#NAME?</v>
      </c>
      <c r="V171" s="2" t="e">
        <f ca="1"/>
        <v>#NAME?</v>
      </c>
      <c r="W171" s="2" t="str">
        <f ca="1">IFERROR(__xludf.DUMMYFUNCTION("""COMPUTED_VALUE"""),"C1121-4P")</f>
        <v>C1121-4P</v>
      </c>
    </row>
    <row r="172" spans="1:23" ht="12.5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2" t="s">
        <v>42</v>
      </c>
      <c r="N172" s="13">
        <v>6453.36</v>
      </c>
      <c r="O172" s="14"/>
      <c r="P172" s="2"/>
      <c r="Q172" s="2"/>
      <c r="R172" s="2" t="str">
        <v/>
      </c>
      <c r="S172" s="2" t="str">
        <f ca="1">IFERROR(__xludf.DUMMYFUNCTION("""COMPUTED_VALUE"""),"")</f>
        <v/>
      </c>
      <c r="T172" s="2" t="str">
        <f ca="1">IFERROR(__xludf.DUMMYFUNCTION("""COMPUTED_VALUE"""),"")</f>
        <v/>
      </c>
      <c r="U172" s="2" t="e">
        <f ca="1"/>
        <v>#NAME?</v>
      </c>
      <c r="V172" s="2" t="e">
        <f ca="1"/>
        <v>#NAME?</v>
      </c>
      <c r="W172" s="2" t="str">
        <f ca="1">IFERROR(__xludf.DUMMYFUNCTION("""COMPUTED_VALUE"""),"")</f>
        <v/>
      </c>
    </row>
    <row r="173" spans="1:23" ht="12.5" x14ac:dyDescent="0.25">
      <c r="A173" s="4">
        <v>17</v>
      </c>
      <c r="B173" s="4" t="s">
        <v>132</v>
      </c>
      <c r="C173" s="5" t="s">
        <v>22</v>
      </c>
      <c r="D173" s="5" t="s">
        <v>133</v>
      </c>
      <c r="E173" s="5" t="s">
        <v>24</v>
      </c>
      <c r="F173" s="5" t="s">
        <v>25</v>
      </c>
      <c r="G173" s="5">
        <v>119</v>
      </c>
      <c r="H173" s="5" t="s">
        <v>26</v>
      </c>
      <c r="I173" s="6">
        <v>1</v>
      </c>
      <c r="J173" s="7"/>
      <c r="K173" s="8">
        <v>1489.45</v>
      </c>
      <c r="L173" s="8">
        <v>1489.45</v>
      </c>
      <c r="M173" s="6">
        <v>0</v>
      </c>
      <c r="N173" s="8">
        <v>1489.45</v>
      </c>
      <c r="O173" s="7"/>
      <c r="P173" s="2"/>
      <c r="Q173" s="2"/>
      <c r="R173" s="2" t="str">
        <v>ISR1000</v>
      </c>
      <c r="S173" s="2" t="str">
        <f ca="1">IFERROR(__xludf.DUMMYFUNCTION("""COMPUTED_VALUE"""),"C1121-8P")</f>
        <v>C1121-8P</v>
      </c>
      <c r="T173" s="10">
        <f ca="1">IFERROR(__xludf.DUMMYFUNCTION("""COMPUTED_VALUE"""),1)</f>
        <v>1</v>
      </c>
      <c r="U173" s="2" t="e">
        <f ca="1"/>
        <v>#NAME?</v>
      </c>
      <c r="V173" s="2" t="e">
        <f ca="1"/>
        <v>#NAME?</v>
      </c>
      <c r="W173" s="2" t="str">
        <f ca="1">IFERROR(__xludf.DUMMYFUNCTION("""COMPUTED_VALUE"""),"C1121-8P")</f>
        <v>C1121-8P</v>
      </c>
    </row>
    <row r="174" spans="1:23" ht="12.5" x14ac:dyDescent="0.25">
      <c r="A174" s="6" t="s">
        <v>134</v>
      </c>
      <c r="B174" s="5" t="s">
        <v>135</v>
      </c>
      <c r="C174" s="5" t="s">
        <v>22</v>
      </c>
      <c r="D174" s="5" t="s">
        <v>136</v>
      </c>
      <c r="E174" s="7"/>
      <c r="F174" s="5">
        <v>24</v>
      </c>
      <c r="G174" s="5" t="s">
        <v>25</v>
      </c>
      <c r="H174" s="5" t="s">
        <v>26</v>
      </c>
      <c r="I174" s="6">
        <v>1</v>
      </c>
      <c r="J174" s="7"/>
      <c r="K174" s="6">
        <v>368.5</v>
      </c>
      <c r="L174" s="6">
        <v>368.5</v>
      </c>
      <c r="M174" s="6">
        <v>0</v>
      </c>
      <c r="N174" s="6">
        <v>368.5</v>
      </c>
      <c r="O174" s="5" t="s">
        <v>30</v>
      </c>
      <c r="P174" s="2"/>
      <c r="Q174" s="2"/>
      <c r="R174" s="2" t="str">
        <v>ISR1000</v>
      </c>
      <c r="S174" s="2" t="str">
        <f ca="1">IFERROR(__xludf.DUMMYFUNCTION("""COMPUTED_VALUE"""),"CON-L1NBD-C11218P2")</f>
        <v>CON-L1NBD-C11218P2</v>
      </c>
      <c r="T174" s="10">
        <f ca="1">IFERROR(__xludf.DUMMYFUNCTION("""COMPUTED_VALUE"""),0)</f>
        <v>0</v>
      </c>
      <c r="U174" s="2" t="e">
        <f ca="1"/>
        <v>#NAME?</v>
      </c>
      <c r="V174" s="2" t="e">
        <f ca="1"/>
        <v>#NAME?</v>
      </c>
      <c r="W174" s="2" t="str">
        <f ca="1">IFERROR(__xludf.DUMMYFUNCTION("""COMPUTED_VALUE"""),"C1121-8P")</f>
        <v>C1121-8P</v>
      </c>
    </row>
    <row r="175" spans="1:23" ht="12.5" x14ac:dyDescent="0.25">
      <c r="A175" s="6">
        <v>17.100000000000001</v>
      </c>
      <c r="B175" s="5" t="s">
        <v>31</v>
      </c>
      <c r="C175" s="5" t="s">
        <v>22</v>
      </c>
      <c r="D175" s="5" t="s">
        <v>32</v>
      </c>
      <c r="E175" s="7"/>
      <c r="F175" s="5" t="s">
        <v>25</v>
      </c>
      <c r="G175" s="5">
        <v>42</v>
      </c>
      <c r="H175" s="5" t="s">
        <v>33</v>
      </c>
      <c r="I175" s="6">
        <v>1</v>
      </c>
      <c r="J175" s="7"/>
      <c r="K175" s="6">
        <v>0</v>
      </c>
      <c r="L175" s="6">
        <v>0</v>
      </c>
      <c r="M175" s="6">
        <v>0</v>
      </c>
      <c r="N175" s="6">
        <v>0</v>
      </c>
      <c r="O175" s="7"/>
      <c r="P175" s="2"/>
      <c r="Q175" s="2"/>
      <c r="R175" s="2" t="str">
        <v>ISR1000</v>
      </c>
      <c r="S175" s="2" t="str">
        <f ca="1">IFERROR(__xludf.DUMMYFUNCTION("""COMPUTED_VALUE"""),"PWR-66W-AC-V2")</f>
        <v>PWR-66W-AC-V2</v>
      </c>
      <c r="T175" s="10">
        <f ca="1">IFERROR(__xludf.DUMMYFUNCTION("""COMPUTED_VALUE"""),0)</f>
        <v>0</v>
      </c>
      <c r="U175" s="2" t="e">
        <f ca="1"/>
        <v>#NAME?</v>
      </c>
      <c r="V175" s="2" t="e">
        <f ca="1"/>
        <v>#NAME?</v>
      </c>
      <c r="W175" s="2" t="str">
        <f ca="1">IFERROR(__xludf.DUMMYFUNCTION("""COMPUTED_VALUE"""),"C1121-8P")</f>
        <v>C1121-8P</v>
      </c>
    </row>
    <row r="176" spans="1:23" ht="12.5" x14ac:dyDescent="0.25">
      <c r="A176" s="6">
        <v>17.2</v>
      </c>
      <c r="B176" s="5" t="s">
        <v>34</v>
      </c>
      <c r="C176" s="5" t="s">
        <v>22</v>
      </c>
      <c r="D176" s="5" t="s">
        <v>35</v>
      </c>
      <c r="E176" s="7"/>
      <c r="F176" s="5" t="s">
        <v>25</v>
      </c>
      <c r="G176" s="5">
        <v>28</v>
      </c>
      <c r="H176" s="5" t="s">
        <v>33</v>
      </c>
      <c r="I176" s="6">
        <v>1</v>
      </c>
      <c r="J176" s="7"/>
      <c r="K176" s="6">
        <v>0</v>
      </c>
      <c r="L176" s="6">
        <v>0</v>
      </c>
      <c r="M176" s="6">
        <v>0</v>
      </c>
      <c r="N176" s="6">
        <v>0</v>
      </c>
      <c r="O176" s="7"/>
      <c r="P176" s="2"/>
      <c r="Q176" s="2"/>
      <c r="R176" s="2" t="str">
        <v>ISR1000</v>
      </c>
      <c r="S176" s="2" t="str">
        <f ca="1">IFERROR(__xludf.DUMMYFUNCTION("""COMPUTED_VALUE"""),"SL-1K-8P-IPB")</f>
        <v>SL-1K-8P-IPB</v>
      </c>
      <c r="T176" s="10">
        <f ca="1">IFERROR(__xludf.DUMMYFUNCTION("""COMPUTED_VALUE"""),0)</f>
        <v>0</v>
      </c>
      <c r="U176" s="2" t="e">
        <f ca="1"/>
        <v>#NAME?</v>
      </c>
      <c r="V176" s="2" t="e">
        <f ca="1"/>
        <v>#NAME?</v>
      </c>
      <c r="W176" s="2" t="str">
        <f ca="1">IFERROR(__xludf.DUMMYFUNCTION("""COMPUTED_VALUE"""),"C1121-8P")</f>
        <v>C1121-8P</v>
      </c>
    </row>
    <row r="177" spans="1:23" ht="12.5" x14ac:dyDescent="0.25">
      <c r="A177" s="6">
        <v>17.3</v>
      </c>
      <c r="B177" s="5" t="s">
        <v>36</v>
      </c>
      <c r="C177" s="5" t="s">
        <v>22</v>
      </c>
      <c r="D177" s="5" t="s">
        <v>37</v>
      </c>
      <c r="E177" s="7"/>
      <c r="F177" s="5" t="s">
        <v>25</v>
      </c>
      <c r="G177" s="5">
        <v>14</v>
      </c>
      <c r="H177" s="5" t="s">
        <v>26</v>
      </c>
      <c r="I177" s="6">
        <v>1</v>
      </c>
      <c r="J177" s="7"/>
      <c r="K177" s="6">
        <v>0</v>
      </c>
      <c r="L177" s="6">
        <v>0</v>
      </c>
      <c r="M177" s="6">
        <v>0</v>
      </c>
      <c r="N177" s="6">
        <v>0</v>
      </c>
      <c r="O177" s="7"/>
      <c r="P177" s="2"/>
      <c r="Q177" s="2"/>
      <c r="R177" s="2" t="str">
        <v>ISR1000</v>
      </c>
      <c r="S177" s="2" t="str">
        <f ca="1">IFERROR(__xludf.DUMMYFUNCTION("""COMPUTED_VALUE"""),"CAB-ACE")</f>
        <v>CAB-ACE</v>
      </c>
      <c r="T177" s="10">
        <f ca="1">IFERROR(__xludf.DUMMYFUNCTION("""COMPUTED_VALUE"""),0)</f>
        <v>0</v>
      </c>
      <c r="U177" s="2" t="e">
        <f ca="1"/>
        <v>#NAME?</v>
      </c>
      <c r="V177" s="2" t="e">
        <f ca="1"/>
        <v>#NAME?</v>
      </c>
      <c r="W177" s="2" t="str">
        <f ca="1">IFERROR(__xludf.DUMMYFUNCTION("""COMPUTED_VALUE"""),"C1121-8P")</f>
        <v>C1121-8P</v>
      </c>
    </row>
    <row r="178" spans="1:23" ht="12.5" x14ac:dyDescent="0.25">
      <c r="A178" s="6">
        <v>17.399999999999999</v>
      </c>
      <c r="B178" s="5" t="s">
        <v>38</v>
      </c>
      <c r="C178" s="5" t="s">
        <v>22</v>
      </c>
      <c r="D178" s="5" t="s">
        <v>39</v>
      </c>
      <c r="E178" s="7"/>
      <c r="F178" s="5" t="s">
        <v>25</v>
      </c>
      <c r="G178" s="5">
        <v>14</v>
      </c>
      <c r="H178" s="5" t="s">
        <v>26</v>
      </c>
      <c r="I178" s="6">
        <v>1</v>
      </c>
      <c r="J178" s="7"/>
      <c r="K178" s="6">
        <v>0</v>
      </c>
      <c r="L178" s="6">
        <v>0</v>
      </c>
      <c r="M178" s="6">
        <v>0</v>
      </c>
      <c r="N178" s="6">
        <v>0</v>
      </c>
      <c r="O178" s="7"/>
      <c r="P178" s="2"/>
      <c r="Q178" s="2"/>
      <c r="R178" s="2" t="str">
        <v>ISR1000</v>
      </c>
      <c r="S178" s="2" t="str">
        <f ca="1">IFERROR(__xludf.DUMMYFUNCTION("""COMPUTED_VALUE"""),"GREEN-OPTION")</f>
        <v>GREEN-OPTION</v>
      </c>
      <c r="T178" s="10">
        <f ca="1">IFERROR(__xludf.DUMMYFUNCTION("""COMPUTED_VALUE"""),0)</f>
        <v>0</v>
      </c>
      <c r="U178" s="2" t="e">
        <f ca="1"/>
        <v>#NAME?</v>
      </c>
      <c r="V178" s="2" t="e">
        <f ca="1"/>
        <v>#NAME?</v>
      </c>
      <c r="W178" s="2" t="str">
        <f ca="1">IFERROR(__xludf.DUMMYFUNCTION("""COMPUTED_VALUE"""),"C1121-8P")</f>
        <v>C1121-8P</v>
      </c>
    </row>
    <row r="179" spans="1:23" ht="12.5" x14ac:dyDescent="0.25">
      <c r="A179" s="6">
        <v>17.5</v>
      </c>
      <c r="B179" s="5" t="s">
        <v>101</v>
      </c>
      <c r="C179" s="5" t="s">
        <v>22</v>
      </c>
      <c r="D179" s="5" t="s">
        <v>102</v>
      </c>
      <c r="E179" s="7"/>
      <c r="F179" s="5" t="s">
        <v>25</v>
      </c>
      <c r="G179" s="5">
        <v>28</v>
      </c>
      <c r="H179" s="5" t="s">
        <v>26</v>
      </c>
      <c r="I179" s="6">
        <v>1</v>
      </c>
      <c r="J179" s="7"/>
      <c r="K179" s="6">
        <v>0</v>
      </c>
      <c r="L179" s="6">
        <v>0</v>
      </c>
      <c r="M179" s="6">
        <v>0</v>
      </c>
      <c r="N179" s="6">
        <v>0</v>
      </c>
      <c r="O179" s="7"/>
      <c r="P179" s="2"/>
      <c r="Q179" s="2"/>
      <c r="R179" s="2" t="str">
        <v>ISR1000</v>
      </c>
      <c r="S179" s="2" t="str">
        <f ca="1">IFERROR(__xludf.DUMMYFUNCTION("""COMPUTED_VALUE"""),"SISR1100UK9-1715")</f>
        <v>SISR1100UK9-1715</v>
      </c>
      <c r="T179" s="10">
        <f ca="1">IFERROR(__xludf.DUMMYFUNCTION("""COMPUTED_VALUE"""),0)</f>
        <v>0</v>
      </c>
      <c r="U179" s="2" t="e">
        <f ca="1"/>
        <v>#NAME?</v>
      </c>
      <c r="V179" s="2" t="e">
        <f ca="1"/>
        <v>#NAME?</v>
      </c>
      <c r="W179" s="2" t="str">
        <f ca="1">IFERROR(__xludf.DUMMYFUNCTION("""COMPUTED_VALUE"""),"C1121-8P")</f>
        <v>C1121-8P</v>
      </c>
    </row>
    <row r="180" spans="1:23" ht="12.5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2" t="s">
        <v>42</v>
      </c>
      <c r="N180" s="13">
        <v>1857.95</v>
      </c>
      <c r="O180" s="14"/>
      <c r="P180" s="2"/>
      <c r="Q180" s="2"/>
      <c r="R180" s="2" t="str">
        <v/>
      </c>
      <c r="S180" s="2" t="str">
        <f ca="1">IFERROR(__xludf.DUMMYFUNCTION("""COMPUTED_VALUE"""),"")</f>
        <v/>
      </c>
      <c r="T180" s="2" t="str">
        <f ca="1">IFERROR(__xludf.DUMMYFUNCTION("""COMPUTED_VALUE"""),"")</f>
        <v/>
      </c>
      <c r="U180" s="2" t="e">
        <f ca="1"/>
        <v>#NAME?</v>
      </c>
      <c r="V180" s="2" t="e">
        <f ca="1"/>
        <v>#NAME?</v>
      </c>
      <c r="W180" s="2" t="str">
        <f ca="1">IFERROR(__xludf.DUMMYFUNCTION("""COMPUTED_VALUE"""),"")</f>
        <v/>
      </c>
    </row>
    <row r="181" spans="1:23" ht="12.5" x14ac:dyDescent="0.25">
      <c r="A181" s="15"/>
      <c r="B181" s="15"/>
      <c r="C181" s="16" t="s">
        <v>137</v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2" t="str">
        <v/>
      </c>
      <c r="S181" s="2" t="str">
        <f ca="1">IFERROR(__xludf.DUMMYFUNCTION("""COMPUTED_VALUE"""),"")</f>
        <v/>
      </c>
      <c r="T181" s="2" t="str">
        <f ca="1">IFERROR(__xludf.DUMMYFUNCTION("""COMPUTED_VALUE"""),"")</f>
        <v/>
      </c>
      <c r="U181" s="2" t="e">
        <f ca="1"/>
        <v>#NAME?</v>
      </c>
      <c r="V181" s="2" t="e">
        <f ca="1"/>
        <v>#NAME?</v>
      </c>
      <c r="W181" s="2" t="str">
        <f ca="1">IFERROR(__xludf.DUMMYFUNCTION("""COMPUTED_VALUE"""),"")</f>
        <v/>
      </c>
    </row>
    <row r="182" spans="1:23" ht="12.5" x14ac:dyDescent="0.25">
      <c r="A182" s="4">
        <v>18</v>
      </c>
      <c r="B182" s="4" t="s">
        <v>44</v>
      </c>
      <c r="C182" s="5" t="s">
        <v>33</v>
      </c>
      <c r="D182" s="5" t="s">
        <v>45</v>
      </c>
      <c r="E182" s="5" t="s">
        <v>24</v>
      </c>
      <c r="F182" s="5" t="s">
        <v>25</v>
      </c>
      <c r="G182" s="5">
        <v>4</v>
      </c>
      <c r="H182" s="5" t="s">
        <v>26</v>
      </c>
      <c r="I182" s="6">
        <v>1</v>
      </c>
      <c r="J182" s="7"/>
      <c r="K182" s="6">
        <v>0</v>
      </c>
      <c r="L182" s="6">
        <v>0</v>
      </c>
      <c r="M182" s="6">
        <v>0</v>
      </c>
      <c r="N182" s="6">
        <v>0</v>
      </c>
      <c r="O182" s="7"/>
      <c r="P182" s="2"/>
      <c r="Q182" s="2"/>
      <c r="R182" s="2" t="str">
        <v>ISR1000</v>
      </c>
      <c r="S182" s="2" t="str">
        <f ca="1">IFERROR(__xludf.DUMMYFUNCTION("""COMPUTED_VALUE"""),"L-DNA-TIER-ADD")</f>
        <v>L-DNA-TIER-ADD</v>
      </c>
      <c r="T182" s="10">
        <f ca="1">IFERROR(__xludf.DUMMYFUNCTION("""COMPUTED_VALUE"""),1)</f>
        <v>1</v>
      </c>
      <c r="U182" s="2" t="e">
        <f ca="1"/>
        <v>#NAME?</v>
      </c>
      <c r="V182" s="2" t="e">
        <f ca="1"/>
        <v>#NAME?</v>
      </c>
      <c r="W182" s="2" t="str">
        <f ca="1">IFERROR(__xludf.DUMMYFUNCTION("""COMPUTED_VALUE"""),"C1121-8P")</f>
        <v>C1121-8P</v>
      </c>
    </row>
    <row r="183" spans="1:23" ht="12.5" x14ac:dyDescent="0.25">
      <c r="A183" s="6">
        <v>18.100000000000001</v>
      </c>
      <c r="B183" s="5" t="s">
        <v>56</v>
      </c>
      <c r="C183" s="5" t="s">
        <v>33</v>
      </c>
      <c r="D183" s="5" t="s">
        <v>57</v>
      </c>
      <c r="E183" s="7"/>
      <c r="F183" s="5" t="s">
        <v>25</v>
      </c>
      <c r="G183" s="5">
        <v>2</v>
      </c>
      <c r="H183" s="5" t="s">
        <v>26</v>
      </c>
      <c r="I183" s="6">
        <v>1</v>
      </c>
      <c r="J183" s="7"/>
      <c r="K183" s="6">
        <v>0</v>
      </c>
      <c r="L183" s="6">
        <v>0</v>
      </c>
      <c r="M183" s="6">
        <v>0</v>
      </c>
      <c r="N183" s="6">
        <v>0</v>
      </c>
      <c r="O183" s="7"/>
      <c r="P183" s="2"/>
      <c r="Q183" s="2"/>
      <c r="R183" s="2" t="str">
        <v>ISR1000</v>
      </c>
      <c r="S183" s="2" t="str">
        <f ca="1">IFERROR(__xludf.DUMMYFUNCTION("""COMPUTED_VALUE"""),"C1100-8P-DNA-PF")</f>
        <v>C1100-8P-DNA-PF</v>
      </c>
      <c r="T183" s="10">
        <f ca="1">IFERROR(__xludf.DUMMYFUNCTION("""COMPUTED_VALUE"""),0)</f>
        <v>0</v>
      </c>
      <c r="U183" s="2" t="e">
        <f ca="1"/>
        <v>#NAME?</v>
      </c>
      <c r="V183" s="2" t="e">
        <f ca="1"/>
        <v>#NAME?</v>
      </c>
      <c r="W183" s="2" t="str">
        <f ca="1">IFERROR(__xludf.DUMMYFUNCTION("""COMPUTED_VALUE"""),"C1121-8P")</f>
        <v>C1121-8P</v>
      </c>
    </row>
    <row r="184" spans="1:23" ht="12.5" x14ac:dyDescent="0.25">
      <c r="A184" s="6">
        <v>18.2</v>
      </c>
      <c r="B184" s="5" t="s">
        <v>64</v>
      </c>
      <c r="C184" s="5" t="s">
        <v>22</v>
      </c>
      <c r="D184" s="5" t="s">
        <v>65</v>
      </c>
      <c r="E184" s="7"/>
      <c r="F184" s="5" t="s">
        <v>25</v>
      </c>
      <c r="G184" s="5">
        <v>2</v>
      </c>
      <c r="H184" s="5" t="s">
        <v>26</v>
      </c>
      <c r="I184" s="6">
        <v>1</v>
      </c>
      <c r="J184" s="7"/>
      <c r="K184" s="6">
        <v>0</v>
      </c>
      <c r="L184" s="6">
        <v>0</v>
      </c>
      <c r="M184" s="6">
        <v>0</v>
      </c>
      <c r="N184" s="6">
        <v>0</v>
      </c>
      <c r="O184" s="7"/>
      <c r="P184" s="2"/>
      <c r="Q184" s="2"/>
      <c r="R184" s="2" t="str">
        <v>ISR1000</v>
      </c>
      <c r="S184" s="2" t="str">
        <f ca="1">IFERROR(__xludf.DUMMYFUNCTION("""COMPUTED_VALUE"""),"IOSXE-CTRL-MODE-PF")</f>
        <v>IOSXE-CTRL-MODE-PF</v>
      </c>
      <c r="T184" s="10">
        <f ca="1">IFERROR(__xludf.DUMMYFUNCTION("""COMPUTED_VALUE"""),0)</f>
        <v>0</v>
      </c>
      <c r="U184" s="2" t="e">
        <f ca="1"/>
        <v>#NAME?</v>
      </c>
      <c r="V184" s="2" t="e">
        <f ca="1"/>
        <v>#NAME?</v>
      </c>
      <c r="W184" s="2" t="str">
        <f ca="1">IFERROR(__xludf.DUMMYFUNCTION("""COMPUTED_VALUE"""),"C1121-8P")</f>
        <v>C1121-8P</v>
      </c>
    </row>
    <row r="185" spans="1:23" ht="12.5" x14ac:dyDescent="0.25">
      <c r="A185" s="6">
        <v>18.3</v>
      </c>
      <c r="B185" s="5" t="s">
        <v>60</v>
      </c>
      <c r="C185" s="5" t="s">
        <v>33</v>
      </c>
      <c r="D185" s="5" t="s">
        <v>61</v>
      </c>
      <c r="E185" s="7"/>
      <c r="F185" s="5" t="s">
        <v>25</v>
      </c>
      <c r="G185" s="5">
        <v>2</v>
      </c>
      <c r="H185" s="5" t="s">
        <v>26</v>
      </c>
      <c r="I185" s="6">
        <v>1</v>
      </c>
      <c r="J185" s="7"/>
      <c r="K185" s="6">
        <v>0</v>
      </c>
      <c r="L185" s="6">
        <v>0</v>
      </c>
      <c r="M185" s="6">
        <v>0</v>
      </c>
      <c r="N185" s="6">
        <v>0</v>
      </c>
      <c r="O185" s="7"/>
      <c r="P185" s="2"/>
      <c r="Q185" s="2"/>
      <c r="R185" s="2" t="str">
        <v>ISR1000</v>
      </c>
      <c r="S185" s="2" t="str">
        <f ca="1">IFERROR(__xludf.DUMMYFUNCTION("""COMPUTED_VALUE"""),"SL-1100-8P-NA-A-L")</f>
        <v>SL-1100-8P-NA-A-L</v>
      </c>
      <c r="T185" s="10">
        <f ca="1">IFERROR(__xludf.DUMMYFUNCTION("""COMPUTED_VALUE"""),0)</f>
        <v>0</v>
      </c>
      <c r="U185" s="2" t="e">
        <f ca="1"/>
        <v>#NAME?</v>
      </c>
      <c r="V185" s="2" t="e">
        <f ca="1"/>
        <v>#NAME?</v>
      </c>
      <c r="W185" s="2" t="str">
        <f ca="1">IFERROR(__xludf.DUMMYFUNCTION("""COMPUTED_VALUE"""),"C1121-8P")</f>
        <v>C1121-8P</v>
      </c>
    </row>
    <row r="186" spans="1:23" ht="12.5" x14ac:dyDescent="0.25">
      <c r="A186" s="6">
        <v>18.399999999999999</v>
      </c>
      <c r="B186" s="5" t="s">
        <v>52</v>
      </c>
      <c r="C186" s="5" t="s">
        <v>33</v>
      </c>
      <c r="D186" s="5" t="s">
        <v>53</v>
      </c>
      <c r="E186" s="7"/>
      <c r="F186" s="5" t="s">
        <v>25</v>
      </c>
      <c r="G186" s="5">
        <v>2</v>
      </c>
      <c r="H186" s="5" t="s">
        <v>26</v>
      </c>
      <c r="I186" s="6">
        <v>1</v>
      </c>
      <c r="J186" s="7"/>
      <c r="K186" s="6">
        <v>0</v>
      </c>
      <c r="L186" s="6">
        <v>0</v>
      </c>
      <c r="M186" s="6">
        <v>0</v>
      </c>
      <c r="N186" s="6">
        <v>0</v>
      </c>
      <c r="O186" s="7"/>
      <c r="P186" s="2"/>
      <c r="Q186" s="2"/>
      <c r="R186" s="2" t="str">
        <v>ISR1000</v>
      </c>
      <c r="S186" s="2" t="str">
        <f ca="1">IFERROR(__xludf.DUMMYFUNCTION("""COMPUTED_VALUE"""),"SDWAN-UMB-ADV")</f>
        <v>SDWAN-UMB-ADV</v>
      </c>
      <c r="T186" s="10">
        <f ca="1">IFERROR(__xludf.DUMMYFUNCTION("""COMPUTED_VALUE"""),0)</f>
        <v>0</v>
      </c>
      <c r="U186" s="2" t="e">
        <f ca="1"/>
        <v>#NAME?</v>
      </c>
      <c r="V186" s="2" t="e">
        <f ca="1"/>
        <v>#NAME?</v>
      </c>
      <c r="W186" s="2" t="str">
        <f ca="1">IFERROR(__xludf.DUMMYFUNCTION("""COMPUTED_VALUE"""),"C1121-8P")</f>
        <v>C1121-8P</v>
      </c>
    </row>
    <row r="187" spans="1:23" ht="12.5" x14ac:dyDescent="0.25">
      <c r="A187" s="6">
        <v>18.5</v>
      </c>
      <c r="B187" s="5" t="s">
        <v>66</v>
      </c>
      <c r="C187" s="5" t="s">
        <v>22</v>
      </c>
      <c r="D187" s="5" t="s">
        <v>67</v>
      </c>
      <c r="E187" s="7"/>
      <c r="F187" s="5" t="s">
        <v>25</v>
      </c>
      <c r="G187" s="5">
        <v>2</v>
      </c>
      <c r="H187" s="5" t="s">
        <v>26</v>
      </c>
      <c r="I187" s="6">
        <v>1</v>
      </c>
      <c r="J187" s="7"/>
      <c r="K187" s="6">
        <v>0</v>
      </c>
      <c r="L187" s="6">
        <v>0</v>
      </c>
      <c r="M187" s="6">
        <v>0</v>
      </c>
      <c r="N187" s="6">
        <v>0</v>
      </c>
      <c r="O187" s="7"/>
      <c r="P187" s="2"/>
      <c r="Q187" s="2"/>
      <c r="R187" s="2" t="str">
        <v>ISR1000</v>
      </c>
      <c r="S187" s="2" t="str">
        <f ca="1">IFERROR(__xludf.DUMMYFUNCTION("""COMPUTED_VALUE"""),"SDWAN-ONPREM-PF")</f>
        <v>SDWAN-ONPREM-PF</v>
      </c>
      <c r="T187" s="10">
        <f ca="1">IFERROR(__xludf.DUMMYFUNCTION("""COMPUTED_VALUE"""),0)</f>
        <v>0</v>
      </c>
      <c r="U187" s="2" t="e">
        <f ca="1"/>
        <v>#NAME?</v>
      </c>
      <c r="V187" s="2" t="e">
        <f ca="1"/>
        <v>#NAME?</v>
      </c>
      <c r="W187" s="2" t="str">
        <f ca="1">IFERROR(__xludf.DUMMYFUNCTION("""COMPUTED_VALUE"""),"C1121-8P")</f>
        <v>C1121-8P</v>
      </c>
    </row>
    <row r="188" spans="1:23" ht="12.5" x14ac:dyDescent="0.25">
      <c r="A188" s="6">
        <v>18.600000000000001</v>
      </c>
      <c r="B188" s="5" t="s">
        <v>54</v>
      </c>
      <c r="C188" s="5" t="s">
        <v>33</v>
      </c>
      <c r="D188" s="5" t="s">
        <v>55</v>
      </c>
      <c r="E188" s="7"/>
      <c r="F188" s="5" t="s">
        <v>25</v>
      </c>
      <c r="G188" s="5">
        <v>2</v>
      </c>
      <c r="H188" s="5" t="s">
        <v>26</v>
      </c>
      <c r="I188" s="6">
        <v>1</v>
      </c>
      <c r="J188" s="7"/>
      <c r="K188" s="6">
        <v>0</v>
      </c>
      <c r="L188" s="6">
        <v>0</v>
      </c>
      <c r="M188" s="6">
        <v>0</v>
      </c>
      <c r="N188" s="6">
        <v>0</v>
      </c>
      <c r="O188" s="7"/>
      <c r="P188" s="2"/>
      <c r="Q188" s="2"/>
      <c r="R188" s="2" t="str">
        <v>ISR1000</v>
      </c>
      <c r="S188" s="2" t="str">
        <f ca="1">IFERROR(__xludf.DUMMYFUNCTION("""COMPUTED_VALUE"""),"TE-EMBED-WANI")</f>
        <v>TE-EMBED-WANI</v>
      </c>
      <c r="T188" s="10">
        <f ca="1">IFERROR(__xludf.DUMMYFUNCTION("""COMPUTED_VALUE"""),0)</f>
        <v>0</v>
      </c>
      <c r="U188" s="2" t="e">
        <f ca="1"/>
        <v>#NAME?</v>
      </c>
      <c r="V188" s="2" t="e">
        <f ca="1"/>
        <v>#NAME?</v>
      </c>
      <c r="W188" s="2" t="str">
        <f ca="1">IFERROR(__xludf.DUMMYFUNCTION("""COMPUTED_VALUE"""),"C1121-8P")</f>
        <v>C1121-8P</v>
      </c>
    </row>
    <row r="189" spans="1:23" ht="12.5" x14ac:dyDescent="0.25">
      <c r="A189" s="6">
        <v>18.7</v>
      </c>
      <c r="B189" s="5" t="s">
        <v>58</v>
      </c>
      <c r="C189" s="5" t="s">
        <v>33</v>
      </c>
      <c r="D189" s="5" t="s">
        <v>59</v>
      </c>
      <c r="E189" s="7"/>
      <c r="F189" s="5" t="s">
        <v>25</v>
      </c>
      <c r="G189" s="5">
        <v>2</v>
      </c>
      <c r="H189" s="5" t="s">
        <v>26</v>
      </c>
      <c r="I189" s="6">
        <v>1</v>
      </c>
      <c r="J189" s="7"/>
      <c r="K189" s="6">
        <v>0</v>
      </c>
      <c r="L189" s="6">
        <v>0</v>
      </c>
      <c r="M189" s="6">
        <v>0</v>
      </c>
      <c r="N189" s="6">
        <v>0</v>
      </c>
      <c r="O189" s="7"/>
      <c r="P189" s="2"/>
      <c r="Q189" s="2"/>
      <c r="R189" s="2" t="str">
        <v>ISR1000</v>
      </c>
      <c r="S189" s="2" t="str">
        <f ca="1">IFERROR(__xludf.DUMMYFUNCTION("""COMPUTED_VALUE"""),"FL-1100-8P-HSEC-L")</f>
        <v>FL-1100-8P-HSEC-L</v>
      </c>
      <c r="T189" s="10">
        <f ca="1">IFERROR(__xludf.DUMMYFUNCTION("""COMPUTED_VALUE"""),0)</f>
        <v>0</v>
      </c>
      <c r="U189" s="2" t="e">
        <f ca="1"/>
        <v>#NAME?</v>
      </c>
      <c r="V189" s="2" t="e">
        <f ca="1"/>
        <v>#NAME?</v>
      </c>
      <c r="W189" s="2" t="str">
        <f ca="1">IFERROR(__xludf.DUMMYFUNCTION("""COMPUTED_VALUE"""),"C1121-8P")</f>
        <v>C1121-8P</v>
      </c>
    </row>
    <row r="190" spans="1:23" ht="12.5" x14ac:dyDescent="0.25">
      <c r="A190" s="6">
        <v>18.8</v>
      </c>
      <c r="B190" s="5" t="s">
        <v>46</v>
      </c>
      <c r="C190" s="5" t="s">
        <v>33</v>
      </c>
      <c r="D190" s="5" t="s">
        <v>47</v>
      </c>
      <c r="E190" s="7"/>
      <c r="F190" s="5" t="s">
        <v>25</v>
      </c>
      <c r="G190" s="5" t="s">
        <v>25</v>
      </c>
      <c r="H190" s="5" t="s">
        <v>26</v>
      </c>
      <c r="I190" s="6">
        <v>1</v>
      </c>
      <c r="J190" s="7"/>
      <c r="K190" s="6">
        <v>148.61000000000001</v>
      </c>
      <c r="L190" s="8">
        <v>5349.96</v>
      </c>
      <c r="M190" s="6">
        <v>0</v>
      </c>
      <c r="N190" s="8">
        <v>5349.96</v>
      </c>
      <c r="O190" s="7"/>
      <c r="P190" s="2"/>
      <c r="Q190" s="2"/>
      <c r="R190" s="2" t="str">
        <v>ISR1000</v>
      </c>
      <c r="S190" s="2" t="str">
        <f ca="1">IFERROR(__xludf.DUMMYFUNCTION("""COMPUTED_VALUE"""),"DNA-P-T1-A-3Y")</f>
        <v>DNA-P-T1-A-3Y</v>
      </c>
      <c r="T190" s="10">
        <f ca="1">IFERROR(__xludf.DUMMYFUNCTION("""COMPUTED_VALUE"""),0)</f>
        <v>0</v>
      </c>
      <c r="U190" s="2" t="e">
        <f ca="1"/>
        <v>#NAME?</v>
      </c>
      <c r="V190" s="2" t="e">
        <f ca="1"/>
        <v>#NAME?</v>
      </c>
      <c r="W190" s="2" t="str">
        <f ca="1">IFERROR(__xludf.DUMMYFUNCTION("""COMPUTED_VALUE"""),"C1121-8P")</f>
        <v>C1121-8P</v>
      </c>
    </row>
    <row r="191" spans="1:23" ht="12.5" x14ac:dyDescent="0.25">
      <c r="A191" s="6">
        <v>18.899999999999999</v>
      </c>
      <c r="B191" s="5" t="s">
        <v>48</v>
      </c>
      <c r="C191" s="5" t="s">
        <v>22</v>
      </c>
      <c r="D191" s="5" t="s">
        <v>49</v>
      </c>
      <c r="E191" s="7"/>
      <c r="F191" s="5" t="s">
        <v>25</v>
      </c>
      <c r="G191" s="5">
        <v>2</v>
      </c>
      <c r="H191" s="5" t="s">
        <v>26</v>
      </c>
      <c r="I191" s="6">
        <v>1</v>
      </c>
      <c r="J191" s="7"/>
      <c r="K191" s="6">
        <v>30.65</v>
      </c>
      <c r="L191" s="8">
        <v>1103.4000000000001</v>
      </c>
      <c r="M191" s="6">
        <v>0</v>
      </c>
      <c r="N191" s="8">
        <v>1103.4000000000001</v>
      </c>
      <c r="O191" s="7"/>
      <c r="P191" s="2"/>
      <c r="Q191" s="2"/>
      <c r="R191" s="2" t="str">
        <v>ISR1000</v>
      </c>
      <c r="S191" s="2" t="str">
        <f ca="1">IFERROR(__xludf.DUMMYFUNCTION("""COMPUTED_VALUE"""),"SVS-PSTL1-T1-A3Y")</f>
        <v>SVS-PSTL1-T1-A3Y</v>
      </c>
      <c r="T191" s="10">
        <f ca="1">IFERROR(__xludf.DUMMYFUNCTION("""COMPUTED_VALUE"""),0)</f>
        <v>0</v>
      </c>
      <c r="U191" s="2" t="e">
        <f ca="1"/>
        <v>#NAME?</v>
      </c>
      <c r="V191" s="2" t="e">
        <f ca="1"/>
        <v>#NAME?</v>
      </c>
      <c r="W191" s="2" t="str">
        <f ca="1">IFERROR(__xludf.DUMMYFUNCTION("""COMPUTED_VALUE"""),"C1121-8P")</f>
        <v>C1121-8P</v>
      </c>
    </row>
    <row r="192" spans="1:23" ht="12.5" x14ac:dyDescent="0.25">
      <c r="A192" s="6">
        <v>18.100000000000001</v>
      </c>
      <c r="B192" s="5" t="s">
        <v>50</v>
      </c>
      <c r="C192" s="5" t="s">
        <v>33</v>
      </c>
      <c r="D192" s="5" t="s">
        <v>51</v>
      </c>
      <c r="E192" s="7"/>
      <c r="F192" s="5" t="s">
        <v>25</v>
      </c>
      <c r="G192" s="5">
        <v>2</v>
      </c>
      <c r="H192" s="5" t="s">
        <v>26</v>
      </c>
      <c r="I192" s="6">
        <v>1</v>
      </c>
      <c r="J192" s="7"/>
      <c r="K192" s="6">
        <v>0</v>
      </c>
      <c r="L192" s="6">
        <v>0</v>
      </c>
      <c r="M192" s="6">
        <v>0</v>
      </c>
      <c r="N192" s="6">
        <v>0</v>
      </c>
      <c r="O192" s="7"/>
      <c r="P192" s="2"/>
      <c r="Q192" s="2"/>
      <c r="R192" s="2" t="str">
        <v>ISR1000</v>
      </c>
      <c r="S192" s="2" t="str">
        <f ca="1">IFERROR(__xludf.DUMMYFUNCTION("""COMPUTED_VALUE"""),"DSTACK-T1-A")</f>
        <v>DSTACK-T1-A</v>
      </c>
      <c r="T192" s="10">
        <f ca="1">IFERROR(__xludf.DUMMYFUNCTION("""COMPUTED_VALUE"""),0)</f>
        <v>0</v>
      </c>
      <c r="U192" s="2" t="e">
        <f ca="1"/>
        <v>#NAME?</v>
      </c>
      <c r="V192" s="2" t="e">
        <f ca="1"/>
        <v>#NAME?</v>
      </c>
      <c r="W192" s="2" t="str">
        <f ca="1">IFERROR(__xludf.DUMMYFUNCTION("""COMPUTED_VALUE"""),"C1121-8P")</f>
        <v>C1121-8P</v>
      </c>
    </row>
    <row r="193" spans="1:23" ht="12.5" x14ac:dyDescent="0.25">
      <c r="A193" s="6">
        <v>18.11</v>
      </c>
      <c r="B193" s="5" t="s">
        <v>62</v>
      </c>
      <c r="C193" s="5" t="s">
        <v>33</v>
      </c>
      <c r="D193" s="5" t="s">
        <v>63</v>
      </c>
      <c r="E193" s="7"/>
      <c r="F193" s="5" t="s">
        <v>25</v>
      </c>
      <c r="G193" s="5">
        <v>2</v>
      </c>
      <c r="H193" s="5" t="s">
        <v>26</v>
      </c>
      <c r="I193" s="6">
        <v>1</v>
      </c>
      <c r="J193" s="7"/>
      <c r="K193" s="6">
        <v>0</v>
      </c>
      <c r="L193" s="6">
        <v>0</v>
      </c>
      <c r="M193" s="6">
        <v>0</v>
      </c>
      <c r="N193" s="6">
        <v>0</v>
      </c>
      <c r="O193" s="7"/>
      <c r="P193" s="2"/>
      <c r="Q193" s="2"/>
      <c r="R193" s="2" t="str">
        <v>ISR1000</v>
      </c>
      <c r="S193" s="2" t="str">
        <f ca="1">IFERROR(__xludf.DUMMYFUNCTION("""COMPUTED_VALUE"""),"DNA-HSEC-UPGD")</f>
        <v>DNA-HSEC-UPGD</v>
      </c>
      <c r="T193" s="10">
        <f ca="1">IFERROR(__xludf.DUMMYFUNCTION("""COMPUTED_VALUE"""),0)</f>
        <v>0</v>
      </c>
      <c r="U193" s="2" t="e">
        <f ca="1"/>
        <v>#NAME?</v>
      </c>
      <c r="V193" s="2" t="e">
        <f ca="1"/>
        <v>#NAME?</v>
      </c>
      <c r="W193" s="2" t="str">
        <f ca="1">IFERROR(__xludf.DUMMYFUNCTION("""COMPUTED_VALUE"""),"C1121-8P")</f>
        <v>C1121-8P</v>
      </c>
    </row>
    <row r="194" spans="1:23" ht="12.5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2" t="s">
        <v>42</v>
      </c>
      <c r="N194" s="13">
        <v>6453.36</v>
      </c>
      <c r="O194" s="14"/>
      <c r="P194" s="2"/>
      <c r="Q194" s="2"/>
      <c r="R194" s="2" t="str">
        <v/>
      </c>
      <c r="S194" s="2" t="str">
        <f ca="1">IFERROR(__xludf.DUMMYFUNCTION("""COMPUTED_VALUE"""),"")</f>
        <v/>
      </c>
      <c r="T194" s="2" t="str">
        <f ca="1">IFERROR(__xludf.DUMMYFUNCTION("""COMPUTED_VALUE"""),"")</f>
        <v/>
      </c>
      <c r="U194" s="2" t="e">
        <f ca="1"/>
        <v>#NAME?</v>
      </c>
      <c r="V194" s="2" t="e">
        <f ca="1"/>
        <v>#NAME?</v>
      </c>
      <c r="W194" s="2" t="str">
        <f ca="1">IFERROR(__xludf.DUMMYFUNCTION("""COMPUTED_VALUE"""),"")</f>
        <v/>
      </c>
    </row>
    <row r="195" spans="1:23" ht="12.5" x14ac:dyDescent="0.25">
      <c r="A195" s="4">
        <v>19</v>
      </c>
      <c r="B195" s="4" t="s">
        <v>138</v>
      </c>
      <c r="C195" s="5" t="s">
        <v>22</v>
      </c>
      <c r="D195" s="5" t="s">
        <v>139</v>
      </c>
      <c r="E195" s="5" t="s">
        <v>24</v>
      </c>
      <c r="F195" s="5" t="s">
        <v>25</v>
      </c>
      <c r="G195" s="5">
        <v>56</v>
      </c>
      <c r="H195" s="5" t="s">
        <v>26</v>
      </c>
      <c r="I195" s="6">
        <v>1</v>
      </c>
      <c r="J195" s="7"/>
      <c r="K195" s="8">
        <v>1656.08</v>
      </c>
      <c r="L195" s="8">
        <v>1656.08</v>
      </c>
      <c r="M195" s="6">
        <v>0</v>
      </c>
      <c r="N195" s="8">
        <v>1656.08</v>
      </c>
      <c r="O195" s="7"/>
      <c r="P195" s="2"/>
      <c r="Q195" s="2"/>
      <c r="R195" s="2" t="str">
        <v>ISR1000</v>
      </c>
      <c r="S195" s="2" t="str">
        <f ca="1">IFERROR(__xludf.DUMMYFUNCTION("""COMPUTED_VALUE"""),"C1116-4P")</f>
        <v>C1116-4P</v>
      </c>
      <c r="T195" s="10">
        <f ca="1">IFERROR(__xludf.DUMMYFUNCTION("""COMPUTED_VALUE"""),1)</f>
        <v>1</v>
      </c>
      <c r="U195" s="2" t="e">
        <f ca="1"/>
        <v>#NAME?</v>
      </c>
      <c r="V195" s="2" t="e">
        <f ca="1"/>
        <v>#NAME?</v>
      </c>
      <c r="W195" s="2" t="str">
        <f ca="1">IFERROR(__xludf.DUMMYFUNCTION("""COMPUTED_VALUE"""),"C1116-4P")</f>
        <v>C1116-4P</v>
      </c>
    </row>
    <row r="196" spans="1:23" ht="12.5" x14ac:dyDescent="0.25">
      <c r="A196" s="6" t="s">
        <v>140</v>
      </c>
      <c r="B196" s="5" t="s">
        <v>141</v>
      </c>
      <c r="C196" s="5" t="s">
        <v>22</v>
      </c>
      <c r="D196" s="5" t="s">
        <v>84</v>
      </c>
      <c r="E196" s="7"/>
      <c r="F196" s="5">
        <v>24</v>
      </c>
      <c r="G196" s="5" t="s">
        <v>25</v>
      </c>
      <c r="H196" s="5" t="s">
        <v>26</v>
      </c>
      <c r="I196" s="6">
        <v>1</v>
      </c>
      <c r="J196" s="7"/>
      <c r="K196" s="6">
        <v>409.76</v>
      </c>
      <c r="L196" s="6">
        <v>409.76</v>
      </c>
      <c r="M196" s="6">
        <v>0</v>
      </c>
      <c r="N196" s="6">
        <v>409.76</v>
      </c>
      <c r="O196" s="5" t="s">
        <v>30</v>
      </c>
      <c r="P196" s="2"/>
      <c r="Q196" s="2"/>
      <c r="R196" s="2" t="str">
        <v>ISR1000</v>
      </c>
      <c r="S196" s="2" t="str">
        <f ca="1">IFERROR(__xludf.DUMMYFUNCTION("""COMPUTED_VALUE"""),"CON-L1NBD-C1114P6")</f>
        <v>CON-L1NBD-C1114P6</v>
      </c>
      <c r="T196" s="10">
        <f ca="1">IFERROR(__xludf.DUMMYFUNCTION("""COMPUTED_VALUE"""),0)</f>
        <v>0</v>
      </c>
      <c r="U196" s="2" t="e">
        <f ca="1"/>
        <v>#NAME?</v>
      </c>
      <c r="V196" s="2" t="e">
        <f ca="1"/>
        <v>#NAME?</v>
      </c>
      <c r="W196" s="2" t="str">
        <f ca="1">IFERROR(__xludf.DUMMYFUNCTION("""COMPUTED_VALUE"""),"C1116-4P")</f>
        <v>C1116-4P</v>
      </c>
    </row>
    <row r="197" spans="1:23" ht="12.5" x14ac:dyDescent="0.25">
      <c r="A197" s="6">
        <v>19.100000000000001</v>
      </c>
      <c r="B197" s="5" t="s">
        <v>31</v>
      </c>
      <c r="C197" s="5" t="s">
        <v>22</v>
      </c>
      <c r="D197" s="5" t="s">
        <v>32</v>
      </c>
      <c r="E197" s="7"/>
      <c r="F197" s="5" t="s">
        <v>25</v>
      </c>
      <c r="G197" s="5">
        <v>42</v>
      </c>
      <c r="H197" s="5" t="s">
        <v>33</v>
      </c>
      <c r="I197" s="6">
        <v>1</v>
      </c>
      <c r="J197" s="7"/>
      <c r="K197" s="6">
        <v>0</v>
      </c>
      <c r="L197" s="6">
        <v>0</v>
      </c>
      <c r="M197" s="6">
        <v>0</v>
      </c>
      <c r="N197" s="6">
        <v>0</v>
      </c>
      <c r="O197" s="7"/>
      <c r="P197" s="2"/>
      <c r="Q197" s="2"/>
      <c r="R197" s="2" t="str">
        <v>ISR1000</v>
      </c>
      <c r="S197" s="2" t="str">
        <f ca="1">IFERROR(__xludf.DUMMYFUNCTION("""COMPUTED_VALUE"""),"PWR-66W-AC-V2")</f>
        <v>PWR-66W-AC-V2</v>
      </c>
      <c r="T197" s="10">
        <f ca="1">IFERROR(__xludf.DUMMYFUNCTION("""COMPUTED_VALUE"""),0)</f>
        <v>0</v>
      </c>
      <c r="U197" s="2" t="e">
        <f ca="1"/>
        <v>#NAME?</v>
      </c>
      <c r="V197" s="2" t="e">
        <f ca="1"/>
        <v>#NAME?</v>
      </c>
      <c r="W197" s="2" t="str">
        <f ca="1">IFERROR(__xludf.DUMMYFUNCTION("""COMPUTED_VALUE"""),"C1116-4P")</f>
        <v>C1116-4P</v>
      </c>
    </row>
    <row r="198" spans="1:23" ht="12.5" x14ac:dyDescent="0.25">
      <c r="A198" s="6">
        <v>19.2</v>
      </c>
      <c r="B198" s="5" t="s">
        <v>85</v>
      </c>
      <c r="C198" s="5" t="s">
        <v>22</v>
      </c>
      <c r="D198" s="5" t="s">
        <v>86</v>
      </c>
      <c r="E198" s="7"/>
      <c r="F198" s="5" t="s">
        <v>25</v>
      </c>
      <c r="G198" s="5">
        <v>2</v>
      </c>
      <c r="H198" s="5" t="s">
        <v>33</v>
      </c>
      <c r="I198" s="6">
        <v>1</v>
      </c>
      <c r="J198" s="7"/>
      <c r="K198" s="6">
        <v>0</v>
      </c>
      <c r="L198" s="6">
        <v>0</v>
      </c>
      <c r="M198" s="6">
        <v>0</v>
      </c>
      <c r="N198" s="6">
        <v>0</v>
      </c>
      <c r="O198" s="7"/>
      <c r="P198" s="2"/>
      <c r="Q198" s="2"/>
      <c r="R198" s="2" t="str">
        <v>ISR1000</v>
      </c>
      <c r="S198" s="2" t="str">
        <f ca="1">IFERROR(__xludf.DUMMYFUNCTION("""COMPUTED_VALUE"""),"SL-1100-4P-IPB")</f>
        <v>SL-1100-4P-IPB</v>
      </c>
      <c r="T198" s="10">
        <f ca="1">IFERROR(__xludf.DUMMYFUNCTION("""COMPUTED_VALUE"""),0)</f>
        <v>0</v>
      </c>
      <c r="U198" s="2" t="e">
        <f ca="1"/>
        <v>#NAME?</v>
      </c>
      <c r="V198" s="2" t="e">
        <f ca="1"/>
        <v>#NAME?</v>
      </c>
      <c r="W198" s="2" t="str">
        <f ca="1">IFERROR(__xludf.DUMMYFUNCTION("""COMPUTED_VALUE"""),"C1116-4P")</f>
        <v>C1116-4P</v>
      </c>
    </row>
    <row r="199" spans="1:23" ht="12.5" x14ac:dyDescent="0.25">
      <c r="A199" s="6">
        <v>19.3</v>
      </c>
      <c r="B199" s="5" t="s">
        <v>36</v>
      </c>
      <c r="C199" s="5" t="s">
        <v>22</v>
      </c>
      <c r="D199" s="5" t="s">
        <v>37</v>
      </c>
      <c r="E199" s="7"/>
      <c r="F199" s="5" t="s">
        <v>25</v>
      </c>
      <c r="G199" s="5">
        <v>14</v>
      </c>
      <c r="H199" s="5" t="s">
        <v>26</v>
      </c>
      <c r="I199" s="6">
        <v>1</v>
      </c>
      <c r="J199" s="7"/>
      <c r="K199" s="6">
        <v>0</v>
      </c>
      <c r="L199" s="6">
        <v>0</v>
      </c>
      <c r="M199" s="6">
        <v>0</v>
      </c>
      <c r="N199" s="6">
        <v>0</v>
      </c>
      <c r="O199" s="7"/>
      <c r="P199" s="2"/>
      <c r="Q199" s="2"/>
      <c r="R199" s="2" t="str">
        <v>ISR1000</v>
      </c>
      <c r="S199" s="2" t="str">
        <f ca="1">IFERROR(__xludf.DUMMYFUNCTION("""COMPUTED_VALUE"""),"CAB-ACE")</f>
        <v>CAB-ACE</v>
      </c>
      <c r="T199" s="10">
        <f ca="1">IFERROR(__xludf.DUMMYFUNCTION("""COMPUTED_VALUE"""),0)</f>
        <v>0</v>
      </c>
      <c r="U199" s="2" t="e">
        <f ca="1"/>
        <v>#NAME?</v>
      </c>
      <c r="V199" s="2" t="e">
        <f ca="1"/>
        <v>#NAME?</v>
      </c>
      <c r="W199" s="2" t="str">
        <f ca="1">IFERROR(__xludf.DUMMYFUNCTION("""COMPUTED_VALUE"""),"C1116-4P")</f>
        <v>C1116-4P</v>
      </c>
    </row>
    <row r="200" spans="1:23" ht="12.5" x14ac:dyDescent="0.25">
      <c r="A200" s="6">
        <v>19.399999999999999</v>
      </c>
      <c r="B200" s="5" t="s">
        <v>101</v>
      </c>
      <c r="C200" s="5" t="s">
        <v>22</v>
      </c>
      <c r="D200" s="5" t="s">
        <v>102</v>
      </c>
      <c r="E200" s="7"/>
      <c r="F200" s="5" t="s">
        <v>25</v>
      </c>
      <c r="G200" s="5">
        <v>28</v>
      </c>
      <c r="H200" s="5" t="s">
        <v>26</v>
      </c>
      <c r="I200" s="6">
        <v>1</v>
      </c>
      <c r="J200" s="7"/>
      <c r="K200" s="6">
        <v>0</v>
      </c>
      <c r="L200" s="6">
        <v>0</v>
      </c>
      <c r="M200" s="6">
        <v>0</v>
      </c>
      <c r="N200" s="6">
        <v>0</v>
      </c>
      <c r="O200" s="7"/>
      <c r="P200" s="2"/>
      <c r="Q200" s="2"/>
      <c r="R200" s="2" t="str">
        <v>ISR1000</v>
      </c>
      <c r="S200" s="2" t="str">
        <f ca="1">IFERROR(__xludf.DUMMYFUNCTION("""COMPUTED_VALUE"""),"SISR1100UK9-1715")</f>
        <v>SISR1100UK9-1715</v>
      </c>
      <c r="T200" s="10">
        <f ca="1">IFERROR(__xludf.DUMMYFUNCTION("""COMPUTED_VALUE"""),0)</f>
        <v>0</v>
      </c>
      <c r="U200" s="2" t="e">
        <f ca="1"/>
        <v>#NAME?</v>
      </c>
      <c r="V200" s="2" t="e">
        <f ca="1"/>
        <v>#NAME?</v>
      </c>
      <c r="W200" s="2" t="str">
        <f ca="1">IFERROR(__xludf.DUMMYFUNCTION("""COMPUTED_VALUE"""),"C1116-4P")</f>
        <v>C1116-4P</v>
      </c>
    </row>
    <row r="201" spans="1:23" ht="12.5" x14ac:dyDescent="0.25">
      <c r="A201" s="6">
        <v>19.5</v>
      </c>
      <c r="B201" s="5" t="s">
        <v>142</v>
      </c>
      <c r="C201" s="5" t="s">
        <v>22</v>
      </c>
      <c r="D201" s="5" t="s">
        <v>143</v>
      </c>
      <c r="E201" s="7"/>
      <c r="F201" s="5" t="s">
        <v>25</v>
      </c>
      <c r="G201" s="5">
        <v>28</v>
      </c>
      <c r="H201" s="5" t="s">
        <v>33</v>
      </c>
      <c r="I201" s="6">
        <v>1</v>
      </c>
      <c r="J201" s="7"/>
      <c r="K201" s="6">
        <v>0</v>
      </c>
      <c r="L201" s="6">
        <v>0</v>
      </c>
      <c r="M201" s="6">
        <v>0</v>
      </c>
      <c r="N201" s="6">
        <v>0</v>
      </c>
      <c r="O201" s="7"/>
      <c r="P201" s="2"/>
      <c r="Q201" s="2"/>
      <c r="R201" s="2" t="str">
        <v>ISR1000</v>
      </c>
      <c r="S201" s="2" t="str">
        <f ca="1">IFERROR(__xludf.DUMMYFUNCTION("""COMPUTED_VALUE"""),"FW-VA-1116-39G1")</f>
        <v>FW-VA-1116-39G1</v>
      </c>
      <c r="T201" s="10">
        <f ca="1">IFERROR(__xludf.DUMMYFUNCTION("""COMPUTED_VALUE"""),0)</f>
        <v>0</v>
      </c>
      <c r="U201" s="2" t="e">
        <f ca="1"/>
        <v>#NAME?</v>
      </c>
      <c r="V201" s="2" t="e">
        <f ca="1"/>
        <v>#NAME?</v>
      </c>
      <c r="W201" s="2" t="str">
        <f ca="1">IFERROR(__xludf.DUMMYFUNCTION("""COMPUTED_VALUE"""),"C1116-4P")</f>
        <v>C1116-4P</v>
      </c>
    </row>
    <row r="202" spans="1:23" ht="12.5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2" t="s">
        <v>42</v>
      </c>
      <c r="N202" s="13">
        <v>2065.84</v>
      </c>
      <c r="O202" s="14"/>
      <c r="P202" s="2"/>
      <c r="Q202" s="2"/>
      <c r="R202" s="2" t="str">
        <v/>
      </c>
      <c r="S202" s="2" t="str">
        <f ca="1">IFERROR(__xludf.DUMMYFUNCTION("""COMPUTED_VALUE"""),"")</f>
        <v/>
      </c>
      <c r="T202" s="2" t="str">
        <f ca="1">IFERROR(__xludf.DUMMYFUNCTION("""COMPUTED_VALUE"""),"")</f>
        <v/>
      </c>
      <c r="U202" s="2" t="e">
        <f ca="1"/>
        <v>#NAME?</v>
      </c>
      <c r="V202" s="2" t="e">
        <f ca="1"/>
        <v>#NAME?</v>
      </c>
      <c r="W202" s="2" t="str">
        <f ca="1">IFERROR(__xludf.DUMMYFUNCTION("""COMPUTED_VALUE"""),"")</f>
        <v/>
      </c>
    </row>
    <row r="203" spans="1:23" ht="12.5" x14ac:dyDescent="0.25">
      <c r="A203" s="15"/>
      <c r="B203" s="15"/>
      <c r="C203" s="16" t="s">
        <v>144</v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2" t="str">
        <v/>
      </c>
      <c r="S203" s="2" t="str">
        <f ca="1">IFERROR(__xludf.DUMMYFUNCTION("""COMPUTED_VALUE"""),"")</f>
        <v/>
      </c>
      <c r="T203" s="2" t="str">
        <f ca="1">IFERROR(__xludf.DUMMYFUNCTION("""COMPUTED_VALUE"""),"")</f>
        <v/>
      </c>
      <c r="U203" s="2" t="e">
        <f ca="1"/>
        <v>#NAME?</v>
      </c>
      <c r="V203" s="2" t="e">
        <f ca="1"/>
        <v>#NAME?</v>
      </c>
      <c r="W203" s="2" t="str">
        <f ca="1">IFERROR(__xludf.DUMMYFUNCTION("""COMPUTED_VALUE"""),"")</f>
        <v/>
      </c>
    </row>
    <row r="204" spans="1:23" ht="12.5" x14ac:dyDescent="0.25">
      <c r="A204" s="4">
        <v>20</v>
      </c>
      <c r="B204" s="4" t="s">
        <v>44</v>
      </c>
      <c r="C204" s="5" t="s">
        <v>33</v>
      </c>
      <c r="D204" s="5" t="s">
        <v>45</v>
      </c>
      <c r="E204" s="5" t="s">
        <v>24</v>
      </c>
      <c r="F204" s="5" t="s">
        <v>25</v>
      </c>
      <c r="G204" s="5">
        <v>4</v>
      </c>
      <c r="H204" s="5" t="s">
        <v>26</v>
      </c>
      <c r="I204" s="6">
        <v>1</v>
      </c>
      <c r="J204" s="7"/>
      <c r="K204" s="6">
        <v>0</v>
      </c>
      <c r="L204" s="6">
        <v>0</v>
      </c>
      <c r="M204" s="6">
        <v>0</v>
      </c>
      <c r="N204" s="6">
        <v>0</v>
      </c>
      <c r="O204" s="7"/>
      <c r="P204" s="2"/>
      <c r="Q204" s="2"/>
      <c r="R204" s="2" t="str">
        <v>ISR1000</v>
      </c>
      <c r="S204" s="2" t="str">
        <f ca="1">IFERROR(__xludf.DUMMYFUNCTION("""COMPUTED_VALUE"""),"L-DNA-TIER-ADD")</f>
        <v>L-DNA-TIER-ADD</v>
      </c>
      <c r="T204" s="10">
        <f ca="1">IFERROR(__xludf.DUMMYFUNCTION("""COMPUTED_VALUE"""),1)</f>
        <v>1</v>
      </c>
      <c r="U204" s="2" t="e">
        <f ca="1"/>
        <v>#NAME?</v>
      </c>
      <c r="V204" s="2" t="e">
        <f ca="1"/>
        <v>#NAME?</v>
      </c>
      <c r="W204" s="2" t="str">
        <f ca="1">IFERROR(__xludf.DUMMYFUNCTION("""COMPUTED_VALUE"""),"C1116-4P")</f>
        <v>C1116-4P</v>
      </c>
    </row>
    <row r="205" spans="1:23" ht="12.5" x14ac:dyDescent="0.25">
      <c r="A205" s="6">
        <v>20.100000000000001</v>
      </c>
      <c r="B205" s="5" t="s">
        <v>88</v>
      </c>
      <c r="C205" s="5" t="s">
        <v>33</v>
      </c>
      <c r="D205" s="5" t="s">
        <v>89</v>
      </c>
      <c r="E205" s="7"/>
      <c r="F205" s="5" t="s">
        <v>25</v>
      </c>
      <c r="G205" s="5">
        <v>2</v>
      </c>
      <c r="H205" s="5" t="s">
        <v>26</v>
      </c>
      <c r="I205" s="6">
        <v>1</v>
      </c>
      <c r="J205" s="7"/>
      <c r="K205" s="6">
        <v>0</v>
      </c>
      <c r="L205" s="6">
        <v>0</v>
      </c>
      <c r="M205" s="6">
        <v>0</v>
      </c>
      <c r="N205" s="6">
        <v>0</v>
      </c>
      <c r="O205" s="7"/>
      <c r="P205" s="2"/>
      <c r="Q205" s="2"/>
      <c r="R205" s="2" t="str">
        <v>ISR1000</v>
      </c>
      <c r="S205" s="2" t="str">
        <f ca="1">IFERROR(__xludf.DUMMYFUNCTION("""COMPUTED_VALUE"""),"C1100-4P-DNA-PF")</f>
        <v>C1100-4P-DNA-PF</v>
      </c>
      <c r="T205" s="10">
        <f ca="1">IFERROR(__xludf.DUMMYFUNCTION("""COMPUTED_VALUE"""),0)</f>
        <v>0</v>
      </c>
      <c r="U205" s="2" t="e">
        <f ca="1"/>
        <v>#NAME?</v>
      </c>
      <c r="V205" s="2" t="e">
        <f ca="1"/>
        <v>#NAME?</v>
      </c>
      <c r="W205" s="2" t="str">
        <f ca="1">IFERROR(__xludf.DUMMYFUNCTION("""COMPUTED_VALUE"""),"C1116-4P")</f>
        <v>C1116-4P</v>
      </c>
    </row>
    <row r="206" spans="1:23" ht="12.5" x14ac:dyDescent="0.25">
      <c r="A206" s="6">
        <v>20.2</v>
      </c>
      <c r="B206" s="5" t="s">
        <v>64</v>
      </c>
      <c r="C206" s="5" t="s">
        <v>22</v>
      </c>
      <c r="D206" s="5" t="s">
        <v>65</v>
      </c>
      <c r="E206" s="7"/>
      <c r="F206" s="5" t="s">
        <v>25</v>
      </c>
      <c r="G206" s="5">
        <v>2</v>
      </c>
      <c r="H206" s="5" t="s">
        <v>26</v>
      </c>
      <c r="I206" s="6">
        <v>1</v>
      </c>
      <c r="J206" s="7"/>
      <c r="K206" s="6">
        <v>0</v>
      </c>
      <c r="L206" s="6">
        <v>0</v>
      </c>
      <c r="M206" s="6">
        <v>0</v>
      </c>
      <c r="N206" s="6">
        <v>0</v>
      </c>
      <c r="O206" s="7"/>
      <c r="P206" s="2"/>
      <c r="Q206" s="2"/>
      <c r="R206" s="2" t="str">
        <v>ISR1000</v>
      </c>
      <c r="S206" s="2" t="str">
        <f ca="1">IFERROR(__xludf.DUMMYFUNCTION("""COMPUTED_VALUE"""),"IOSXE-CTRL-MODE-PF")</f>
        <v>IOSXE-CTRL-MODE-PF</v>
      </c>
      <c r="T206" s="10">
        <f ca="1">IFERROR(__xludf.DUMMYFUNCTION("""COMPUTED_VALUE"""),0)</f>
        <v>0</v>
      </c>
      <c r="U206" s="2" t="e">
        <f ca="1"/>
        <v>#NAME?</v>
      </c>
      <c r="V206" s="2" t="e">
        <f ca="1"/>
        <v>#NAME?</v>
      </c>
      <c r="W206" s="2" t="str">
        <f ca="1">IFERROR(__xludf.DUMMYFUNCTION("""COMPUTED_VALUE"""),"C1116-4P")</f>
        <v>C1116-4P</v>
      </c>
    </row>
    <row r="207" spans="1:23" ht="12.5" x14ac:dyDescent="0.25">
      <c r="A207" s="6">
        <v>20.3</v>
      </c>
      <c r="B207" s="5" t="s">
        <v>90</v>
      </c>
      <c r="C207" s="5" t="s">
        <v>33</v>
      </c>
      <c r="D207" s="5" t="s">
        <v>91</v>
      </c>
      <c r="E207" s="7"/>
      <c r="F207" s="5" t="s">
        <v>25</v>
      </c>
      <c r="G207" s="5">
        <v>2</v>
      </c>
      <c r="H207" s="5" t="s">
        <v>26</v>
      </c>
      <c r="I207" s="6">
        <v>1</v>
      </c>
      <c r="J207" s="7"/>
      <c r="K207" s="6">
        <v>0</v>
      </c>
      <c r="L207" s="6">
        <v>0</v>
      </c>
      <c r="M207" s="6">
        <v>0</v>
      </c>
      <c r="N207" s="6">
        <v>0</v>
      </c>
      <c r="O207" s="7"/>
      <c r="P207" s="2"/>
      <c r="Q207" s="2"/>
      <c r="R207" s="2" t="str">
        <v>ISR1000</v>
      </c>
      <c r="S207" s="2" t="str">
        <f ca="1">IFERROR(__xludf.DUMMYFUNCTION("""COMPUTED_VALUE"""),"FL-1100-4P-HSEC-L")</f>
        <v>FL-1100-4P-HSEC-L</v>
      </c>
      <c r="T207" s="10">
        <f ca="1">IFERROR(__xludf.DUMMYFUNCTION("""COMPUTED_VALUE"""),0)</f>
        <v>0</v>
      </c>
      <c r="U207" s="2" t="e">
        <f ca="1"/>
        <v>#NAME?</v>
      </c>
      <c r="V207" s="2" t="e">
        <f ca="1"/>
        <v>#NAME?</v>
      </c>
      <c r="W207" s="2" t="str">
        <f ca="1">IFERROR(__xludf.DUMMYFUNCTION("""COMPUTED_VALUE"""),"C1116-4P")</f>
        <v>C1116-4P</v>
      </c>
    </row>
    <row r="208" spans="1:23" ht="12.5" x14ac:dyDescent="0.25">
      <c r="A208" s="6">
        <v>20.399999999999999</v>
      </c>
      <c r="B208" s="5" t="s">
        <v>46</v>
      </c>
      <c r="C208" s="5" t="s">
        <v>33</v>
      </c>
      <c r="D208" s="5" t="s">
        <v>47</v>
      </c>
      <c r="E208" s="7"/>
      <c r="F208" s="5" t="s">
        <v>25</v>
      </c>
      <c r="G208" s="5" t="s">
        <v>25</v>
      </c>
      <c r="H208" s="5" t="s">
        <v>26</v>
      </c>
      <c r="I208" s="6">
        <v>1</v>
      </c>
      <c r="J208" s="7"/>
      <c r="K208" s="6">
        <v>148.61000000000001</v>
      </c>
      <c r="L208" s="8">
        <v>5349.96</v>
      </c>
      <c r="M208" s="6">
        <v>0</v>
      </c>
      <c r="N208" s="8">
        <v>5349.96</v>
      </c>
      <c r="O208" s="7"/>
      <c r="P208" s="2"/>
      <c r="Q208" s="2"/>
      <c r="R208" s="2" t="str">
        <v>ISR1000</v>
      </c>
      <c r="S208" s="2" t="str">
        <f ca="1">IFERROR(__xludf.DUMMYFUNCTION("""COMPUTED_VALUE"""),"DNA-P-T1-A-3Y")</f>
        <v>DNA-P-T1-A-3Y</v>
      </c>
      <c r="T208" s="10">
        <f ca="1">IFERROR(__xludf.DUMMYFUNCTION("""COMPUTED_VALUE"""),0)</f>
        <v>0</v>
      </c>
      <c r="U208" s="2" t="e">
        <f ca="1"/>
        <v>#NAME?</v>
      </c>
      <c r="V208" s="2" t="e">
        <f ca="1"/>
        <v>#NAME?</v>
      </c>
      <c r="W208" s="2" t="str">
        <f ca="1">IFERROR(__xludf.DUMMYFUNCTION("""COMPUTED_VALUE"""),"C1116-4P")</f>
        <v>C1116-4P</v>
      </c>
    </row>
    <row r="209" spans="1:23" ht="12.5" x14ac:dyDescent="0.25">
      <c r="A209" s="6">
        <v>20.5</v>
      </c>
      <c r="B209" s="5" t="s">
        <v>48</v>
      </c>
      <c r="C209" s="5" t="s">
        <v>22</v>
      </c>
      <c r="D209" s="5" t="s">
        <v>49</v>
      </c>
      <c r="E209" s="7"/>
      <c r="F209" s="5" t="s">
        <v>25</v>
      </c>
      <c r="G209" s="5">
        <v>2</v>
      </c>
      <c r="H209" s="5" t="s">
        <v>26</v>
      </c>
      <c r="I209" s="6">
        <v>1</v>
      </c>
      <c r="J209" s="7"/>
      <c r="K209" s="6">
        <v>30.65</v>
      </c>
      <c r="L209" s="8">
        <v>1103.4000000000001</v>
      </c>
      <c r="M209" s="6">
        <v>0</v>
      </c>
      <c r="N209" s="8">
        <v>1103.4000000000001</v>
      </c>
      <c r="O209" s="7"/>
      <c r="P209" s="2"/>
      <c r="Q209" s="2"/>
      <c r="R209" s="2" t="str">
        <v>ISR1000</v>
      </c>
      <c r="S209" s="2" t="str">
        <f ca="1">IFERROR(__xludf.DUMMYFUNCTION("""COMPUTED_VALUE"""),"SVS-PSTL1-T1-A3Y")</f>
        <v>SVS-PSTL1-T1-A3Y</v>
      </c>
      <c r="T209" s="10">
        <f ca="1">IFERROR(__xludf.DUMMYFUNCTION("""COMPUTED_VALUE"""),0)</f>
        <v>0</v>
      </c>
      <c r="U209" s="2" t="e">
        <f ca="1"/>
        <v>#NAME?</v>
      </c>
      <c r="V209" s="2" t="e">
        <f ca="1"/>
        <v>#NAME?</v>
      </c>
      <c r="W209" s="2" t="str">
        <f ca="1">IFERROR(__xludf.DUMMYFUNCTION("""COMPUTED_VALUE"""),"C1116-4P")</f>
        <v>C1116-4P</v>
      </c>
    </row>
    <row r="210" spans="1:23" ht="12.5" x14ac:dyDescent="0.25">
      <c r="A210" s="6">
        <v>20.6</v>
      </c>
      <c r="B210" s="5" t="s">
        <v>50</v>
      </c>
      <c r="C210" s="5" t="s">
        <v>33</v>
      </c>
      <c r="D210" s="5" t="s">
        <v>51</v>
      </c>
      <c r="E210" s="7"/>
      <c r="F210" s="5" t="s">
        <v>25</v>
      </c>
      <c r="G210" s="5">
        <v>2</v>
      </c>
      <c r="H210" s="5" t="s">
        <v>26</v>
      </c>
      <c r="I210" s="6">
        <v>1</v>
      </c>
      <c r="J210" s="7"/>
      <c r="K210" s="6">
        <v>0</v>
      </c>
      <c r="L210" s="6">
        <v>0</v>
      </c>
      <c r="M210" s="6">
        <v>0</v>
      </c>
      <c r="N210" s="6">
        <v>0</v>
      </c>
      <c r="O210" s="7"/>
      <c r="P210" s="2"/>
      <c r="Q210" s="2"/>
      <c r="R210" s="2" t="str">
        <v>ISR1000</v>
      </c>
      <c r="S210" s="2" t="str">
        <f ca="1">IFERROR(__xludf.DUMMYFUNCTION("""COMPUTED_VALUE"""),"DSTACK-T1-A")</f>
        <v>DSTACK-T1-A</v>
      </c>
      <c r="T210" s="10">
        <f ca="1">IFERROR(__xludf.DUMMYFUNCTION("""COMPUTED_VALUE"""),0)</f>
        <v>0</v>
      </c>
      <c r="U210" s="2" t="e">
        <f ca="1"/>
        <v>#NAME?</v>
      </c>
      <c r="V210" s="2" t="e">
        <f ca="1"/>
        <v>#NAME?</v>
      </c>
      <c r="W210" s="2" t="str">
        <f ca="1">IFERROR(__xludf.DUMMYFUNCTION("""COMPUTED_VALUE"""),"C1116-4P")</f>
        <v>C1116-4P</v>
      </c>
    </row>
    <row r="211" spans="1:23" ht="12.5" x14ac:dyDescent="0.25">
      <c r="A211" s="6">
        <v>20.7</v>
      </c>
      <c r="B211" s="5" t="s">
        <v>92</v>
      </c>
      <c r="C211" s="5" t="s">
        <v>33</v>
      </c>
      <c r="D211" s="5" t="s">
        <v>93</v>
      </c>
      <c r="E211" s="7"/>
      <c r="F211" s="5" t="s">
        <v>25</v>
      </c>
      <c r="G211" s="5">
        <v>2</v>
      </c>
      <c r="H211" s="5" t="s">
        <v>26</v>
      </c>
      <c r="I211" s="6">
        <v>1</v>
      </c>
      <c r="J211" s="7"/>
      <c r="K211" s="6">
        <v>0</v>
      </c>
      <c r="L211" s="6">
        <v>0</v>
      </c>
      <c r="M211" s="6">
        <v>0</v>
      </c>
      <c r="N211" s="6">
        <v>0</v>
      </c>
      <c r="O211" s="7"/>
      <c r="P211" s="2"/>
      <c r="Q211" s="2"/>
      <c r="R211" s="2" t="str">
        <v>ISR1000</v>
      </c>
      <c r="S211" s="2" t="str">
        <f ca="1">IFERROR(__xludf.DUMMYFUNCTION("""COMPUTED_VALUE"""),"SL-1100-4P-NA-A-L")</f>
        <v>SL-1100-4P-NA-A-L</v>
      </c>
      <c r="T211" s="10">
        <f ca="1">IFERROR(__xludf.DUMMYFUNCTION("""COMPUTED_VALUE"""),0)</f>
        <v>0</v>
      </c>
      <c r="U211" s="2" t="e">
        <f ca="1"/>
        <v>#NAME?</v>
      </c>
      <c r="V211" s="2" t="e">
        <f ca="1"/>
        <v>#NAME?</v>
      </c>
      <c r="W211" s="2" t="str">
        <f ca="1">IFERROR(__xludf.DUMMYFUNCTION("""COMPUTED_VALUE"""),"C1116-4P")</f>
        <v>C1116-4P</v>
      </c>
    </row>
    <row r="212" spans="1:23" ht="12.5" x14ac:dyDescent="0.25">
      <c r="A212" s="6">
        <v>20.8</v>
      </c>
      <c r="B212" s="5" t="s">
        <v>62</v>
      </c>
      <c r="C212" s="5" t="s">
        <v>33</v>
      </c>
      <c r="D212" s="5" t="s">
        <v>63</v>
      </c>
      <c r="E212" s="7"/>
      <c r="F212" s="5" t="s">
        <v>25</v>
      </c>
      <c r="G212" s="5">
        <v>2</v>
      </c>
      <c r="H212" s="5" t="s">
        <v>26</v>
      </c>
      <c r="I212" s="6">
        <v>1</v>
      </c>
      <c r="J212" s="7"/>
      <c r="K212" s="6">
        <v>0</v>
      </c>
      <c r="L212" s="6">
        <v>0</v>
      </c>
      <c r="M212" s="6">
        <v>0</v>
      </c>
      <c r="N212" s="6">
        <v>0</v>
      </c>
      <c r="O212" s="7"/>
      <c r="P212" s="2"/>
      <c r="Q212" s="2"/>
      <c r="R212" s="2" t="str">
        <v>ISR1000</v>
      </c>
      <c r="S212" s="2" t="str">
        <f ca="1">IFERROR(__xludf.DUMMYFUNCTION("""COMPUTED_VALUE"""),"DNA-HSEC-UPGD")</f>
        <v>DNA-HSEC-UPGD</v>
      </c>
      <c r="T212" s="10">
        <f ca="1">IFERROR(__xludf.DUMMYFUNCTION("""COMPUTED_VALUE"""),0)</f>
        <v>0</v>
      </c>
      <c r="U212" s="2" t="e">
        <f ca="1"/>
        <v>#NAME?</v>
      </c>
      <c r="V212" s="2" t="e">
        <f ca="1"/>
        <v>#NAME?</v>
      </c>
      <c r="W212" s="2" t="str">
        <f ca="1">IFERROR(__xludf.DUMMYFUNCTION("""COMPUTED_VALUE"""),"C1116-4P")</f>
        <v>C1116-4P</v>
      </c>
    </row>
    <row r="213" spans="1:23" ht="12.5" x14ac:dyDescent="0.25">
      <c r="A213" s="6">
        <v>20.9</v>
      </c>
      <c r="B213" s="5" t="s">
        <v>52</v>
      </c>
      <c r="C213" s="5" t="s">
        <v>33</v>
      </c>
      <c r="D213" s="5" t="s">
        <v>53</v>
      </c>
      <c r="E213" s="7"/>
      <c r="F213" s="5" t="s">
        <v>25</v>
      </c>
      <c r="G213" s="5">
        <v>2</v>
      </c>
      <c r="H213" s="5" t="s">
        <v>26</v>
      </c>
      <c r="I213" s="6">
        <v>1</v>
      </c>
      <c r="J213" s="7"/>
      <c r="K213" s="6">
        <v>0</v>
      </c>
      <c r="L213" s="6">
        <v>0</v>
      </c>
      <c r="M213" s="6">
        <v>0</v>
      </c>
      <c r="N213" s="6">
        <v>0</v>
      </c>
      <c r="O213" s="7"/>
      <c r="P213" s="2"/>
      <c r="Q213" s="2"/>
      <c r="R213" s="2" t="str">
        <v>ISR1000</v>
      </c>
      <c r="S213" s="2" t="str">
        <f ca="1">IFERROR(__xludf.DUMMYFUNCTION("""COMPUTED_VALUE"""),"SDWAN-UMB-ADV")</f>
        <v>SDWAN-UMB-ADV</v>
      </c>
      <c r="T213" s="10">
        <f ca="1">IFERROR(__xludf.DUMMYFUNCTION("""COMPUTED_VALUE"""),0)</f>
        <v>0</v>
      </c>
      <c r="U213" s="2" t="e">
        <f ca="1"/>
        <v>#NAME?</v>
      </c>
      <c r="V213" s="2" t="e">
        <f ca="1"/>
        <v>#NAME?</v>
      </c>
      <c r="W213" s="2" t="str">
        <f ca="1">IFERROR(__xludf.DUMMYFUNCTION("""COMPUTED_VALUE"""),"C1116-4P")</f>
        <v>C1116-4P</v>
      </c>
    </row>
    <row r="214" spans="1:23" ht="12.5" x14ac:dyDescent="0.25">
      <c r="A214" s="6">
        <v>20.100000000000001</v>
      </c>
      <c r="B214" s="5" t="s">
        <v>66</v>
      </c>
      <c r="C214" s="5" t="s">
        <v>22</v>
      </c>
      <c r="D214" s="5" t="s">
        <v>67</v>
      </c>
      <c r="E214" s="7"/>
      <c r="F214" s="5" t="s">
        <v>25</v>
      </c>
      <c r="G214" s="5">
        <v>2</v>
      </c>
      <c r="H214" s="5" t="s">
        <v>26</v>
      </c>
      <c r="I214" s="6">
        <v>1</v>
      </c>
      <c r="J214" s="7"/>
      <c r="K214" s="6">
        <v>0</v>
      </c>
      <c r="L214" s="6">
        <v>0</v>
      </c>
      <c r="M214" s="6">
        <v>0</v>
      </c>
      <c r="N214" s="6">
        <v>0</v>
      </c>
      <c r="O214" s="7"/>
      <c r="P214" s="2"/>
      <c r="Q214" s="2"/>
      <c r="R214" s="2" t="str">
        <v>ISR1000</v>
      </c>
      <c r="S214" s="2" t="str">
        <f ca="1">IFERROR(__xludf.DUMMYFUNCTION("""COMPUTED_VALUE"""),"SDWAN-ONPREM-PF")</f>
        <v>SDWAN-ONPREM-PF</v>
      </c>
      <c r="T214" s="10">
        <f ca="1">IFERROR(__xludf.DUMMYFUNCTION("""COMPUTED_VALUE"""),0)</f>
        <v>0</v>
      </c>
      <c r="U214" s="2" t="e">
        <f ca="1"/>
        <v>#NAME?</v>
      </c>
      <c r="V214" s="2" t="e">
        <f ca="1"/>
        <v>#NAME?</v>
      </c>
      <c r="W214" s="2" t="str">
        <f ca="1">IFERROR(__xludf.DUMMYFUNCTION("""COMPUTED_VALUE"""),"C1116-4P")</f>
        <v>C1116-4P</v>
      </c>
    </row>
    <row r="215" spans="1:23" ht="12.5" x14ac:dyDescent="0.25">
      <c r="A215" s="6">
        <v>20.11</v>
      </c>
      <c r="B215" s="5" t="s">
        <v>54</v>
      </c>
      <c r="C215" s="5" t="s">
        <v>33</v>
      </c>
      <c r="D215" s="5" t="s">
        <v>55</v>
      </c>
      <c r="E215" s="7"/>
      <c r="F215" s="5" t="s">
        <v>25</v>
      </c>
      <c r="G215" s="5">
        <v>2</v>
      </c>
      <c r="H215" s="5" t="s">
        <v>26</v>
      </c>
      <c r="I215" s="6">
        <v>1</v>
      </c>
      <c r="J215" s="7"/>
      <c r="K215" s="6">
        <v>0</v>
      </c>
      <c r="L215" s="6">
        <v>0</v>
      </c>
      <c r="M215" s="6">
        <v>0</v>
      </c>
      <c r="N215" s="6">
        <v>0</v>
      </c>
      <c r="O215" s="7"/>
      <c r="P215" s="2"/>
      <c r="Q215" s="2"/>
      <c r="R215" s="2" t="str">
        <v>ISR1000</v>
      </c>
      <c r="S215" s="2" t="str">
        <f ca="1">IFERROR(__xludf.DUMMYFUNCTION("""COMPUTED_VALUE"""),"TE-EMBED-WANI")</f>
        <v>TE-EMBED-WANI</v>
      </c>
      <c r="T215" s="10">
        <f ca="1">IFERROR(__xludf.DUMMYFUNCTION("""COMPUTED_VALUE"""),0)</f>
        <v>0</v>
      </c>
      <c r="U215" s="2" t="e">
        <f ca="1"/>
        <v>#NAME?</v>
      </c>
      <c r="V215" s="2" t="e">
        <f ca="1"/>
        <v>#NAME?</v>
      </c>
      <c r="W215" s="2" t="str">
        <f ca="1">IFERROR(__xludf.DUMMYFUNCTION("""COMPUTED_VALUE"""),"C1116-4P")</f>
        <v>C1116-4P</v>
      </c>
    </row>
    <row r="216" spans="1:23" ht="12.5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2" t="s">
        <v>42</v>
      </c>
      <c r="N216" s="13">
        <v>6453.36</v>
      </c>
      <c r="O216" s="14"/>
      <c r="P216" s="2"/>
      <c r="Q216" s="2"/>
      <c r="R216" s="2" t="str">
        <v/>
      </c>
      <c r="S216" s="2" t="str">
        <f ca="1">IFERROR(__xludf.DUMMYFUNCTION("""COMPUTED_VALUE"""),"")</f>
        <v/>
      </c>
      <c r="T216" s="2" t="str">
        <f ca="1">IFERROR(__xludf.DUMMYFUNCTION("""COMPUTED_VALUE"""),"")</f>
        <v/>
      </c>
      <c r="U216" s="2" t="e">
        <f ca="1"/>
        <v>#NAME?</v>
      </c>
      <c r="V216" s="2" t="e">
        <f ca="1"/>
        <v>#NAME?</v>
      </c>
      <c r="W216" s="2" t="str">
        <f ca="1">IFERROR(__xludf.DUMMYFUNCTION("""COMPUTED_VALUE"""),"")</f>
        <v/>
      </c>
    </row>
    <row r="217" spans="1:23" ht="12.5" x14ac:dyDescent="0.25">
      <c r="A217" s="4">
        <v>21</v>
      </c>
      <c r="B217" s="4" t="s">
        <v>145</v>
      </c>
      <c r="C217" s="5" t="s">
        <v>22</v>
      </c>
      <c r="D217" s="5" t="s">
        <v>146</v>
      </c>
      <c r="E217" s="5" t="s">
        <v>24</v>
      </c>
      <c r="F217" s="5" t="s">
        <v>25</v>
      </c>
      <c r="G217" s="5">
        <v>56</v>
      </c>
      <c r="H217" s="5" t="s">
        <v>26</v>
      </c>
      <c r="I217" s="6">
        <v>1</v>
      </c>
      <c r="J217" s="7"/>
      <c r="K217" s="8">
        <v>2487.58</v>
      </c>
      <c r="L217" s="8">
        <v>2487.58</v>
      </c>
      <c r="M217" s="6">
        <v>0</v>
      </c>
      <c r="N217" s="8">
        <v>2487.58</v>
      </c>
      <c r="O217" s="7"/>
      <c r="P217" s="2"/>
      <c r="Q217" s="2"/>
      <c r="R217" s="2" t="str">
        <v>ISR1000</v>
      </c>
      <c r="S217" s="2" t="str">
        <f ca="1">IFERROR(__xludf.DUMMYFUNCTION("""COMPUTED_VALUE"""),"C1112-8P")</f>
        <v>C1112-8P</v>
      </c>
      <c r="T217" s="10">
        <f ca="1">IFERROR(__xludf.DUMMYFUNCTION("""COMPUTED_VALUE"""),1)</f>
        <v>1</v>
      </c>
      <c r="U217" s="2" t="e">
        <f ca="1"/>
        <v>#NAME?</v>
      </c>
      <c r="V217" s="2" t="e">
        <f ca="1"/>
        <v>#NAME?</v>
      </c>
      <c r="W217" s="2" t="str">
        <f ca="1">IFERROR(__xludf.DUMMYFUNCTION("""COMPUTED_VALUE"""),"C1112-8P")</f>
        <v>C1112-8P</v>
      </c>
    </row>
    <row r="218" spans="1:23" ht="12.5" x14ac:dyDescent="0.25">
      <c r="A218" s="6" t="s">
        <v>147</v>
      </c>
      <c r="B218" s="5" t="s">
        <v>148</v>
      </c>
      <c r="C218" s="5" t="s">
        <v>22</v>
      </c>
      <c r="D218" s="5" t="s">
        <v>149</v>
      </c>
      <c r="E218" s="7"/>
      <c r="F218" s="5">
        <v>24</v>
      </c>
      <c r="G218" s="5" t="s">
        <v>25</v>
      </c>
      <c r="H218" s="5" t="s">
        <v>26</v>
      </c>
      <c r="I218" s="6">
        <v>1</v>
      </c>
      <c r="J218" s="7"/>
      <c r="K218" s="6">
        <v>616</v>
      </c>
      <c r="L218" s="6">
        <v>616</v>
      </c>
      <c r="M218" s="6">
        <v>0</v>
      </c>
      <c r="N218" s="6">
        <v>616</v>
      </c>
      <c r="O218" s="5" t="s">
        <v>30</v>
      </c>
      <c r="P218" s="2"/>
      <c r="Q218" s="2"/>
      <c r="R218" s="2" t="str">
        <v>ISR1000</v>
      </c>
      <c r="S218" s="2" t="str">
        <f ca="1">IFERROR(__xludf.DUMMYFUNCTION("""COMPUTED_VALUE"""),"CON-L1NBD-C11128PK")</f>
        <v>CON-L1NBD-C11128PK</v>
      </c>
      <c r="T218" s="10">
        <f ca="1">IFERROR(__xludf.DUMMYFUNCTION("""COMPUTED_VALUE"""),0)</f>
        <v>0</v>
      </c>
      <c r="U218" s="2" t="e">
        <f ca="1"/>
        <v>#NAME?</v>
      </c>
      <c r="V218" s="2" t="e">
        <f ca="1"/>
        <v>#NAME?</v>
      </c>
      <c r="W218" s="2" t="str">
        <f ca="1">IFERROR(__xludf.DUMMYFUNCTION("""COMPUTED_VALUE"""),"C1112-8P")</f>
        <v>C1112-8P</v>
      </c>
    </row>
    <row r="219" spans="1:23" ht="12.5" x14ac:dyDescent="0.25">
      <c r="A219" s="6">
        <v>21.1</v>
      </c>
      <c r="B219" s="5" t="s">
        <v>150</v>
      </c>
      <c r="C219" s="5" t="s">
        <v>22</v>
      </c>
      <c r="D219" s="5" t="s">
        <v>151</v>
      </c>
      <c r="E219" s="7"/>
      <c r="F219" s="5" t="s">
        <v>25</v>
      </c>
      <c r="G219" s="5">
        <v>28</v>
      </c>
      <c r="H219" s="5" t="s">
        <v>33</v>
      </c>
      <c r="I219" s="6">
        <v>1</v>
      </c>
      <c r="J219" s="7"/>
      <c r="K219" s="6">
        <v>0</v>
      </c>
      <c r="L219" s="6">
        <v>0</v>
      </c>
      <c r="M219" s="6">
        <v>0</v>
      </c>
      <c r="N219" s="6">
        <v>0</v>
      </c>
      <c r="O219" s="7"/>
      <c r="P219" s="2"/>
      <c r="Q219" s="2"/>
      <c r="R219" s="2" t="str">
        <v>ISR1000</v>
      </c>
      <c r="S219" s="2" t="str">
        <f ca="1">IFERROR(__xludf.DUMMYFUNCTION("""COMPUTED_VALUE"""),"FW-GFAST-1112-43J")</f>
        <v>FW-GFAST-1112-43J</v>
      </c>
      <c r="T219" s="10">
        <f ca="1">IFERROR(__xludf.DUMMYFUNCTION("""COMPUTED_VALUE"""),0)</f>
        <v>0</v>
      </c>
      <c r="U219" s="2" t="e">
        <f ca="1"/>
        <v>#NAME?</v>
      </c>
      <c r="V219" s="2" t="e">
        <f ca="1"/>
        <v>#NAME?</v>
      </c>
      <c r="W219" s="2" t="str">
        <f ca="1">IFERROR(__xludf.DUMMYFUNCTION("""COMPUTED_VALUE"""),"C1112-8P")</f>
        <v>C1112-8P</v>
      </c>
    </row>
    <row r="220" spans="1:23" ht="12.5" x14ac:dyDescent="0.25">
      <c r="A220" s="6">
        <v>21.2</v>
      </c>
      <c r="B220" s="5" t="s">
        <v>31</v>
      </c>
      <c r="C220" s="5" t="s">
        <v>22</v>
      </c>
      <c r="D220" s="5" t="s">
        <v>32</v>
      </c>
      <c r="E220" s="7"/>
      <c r="F220" s="5" t="s">
        <v>25</v>
      </c>
      <c r="G220" s="5">
        <v>42</v>
      </c>
      <c r="H220" s="5" t="s">
        <v>33</v>
      </c>
      <c r="I220" s="6">
        <v>1</v>
      </c>
      <c r="J220" s="7"/>
      <c r="K220" s="6">
        <v>0</v>
      </c>
      <c r="L220" s="6">
        <v>0</v>
      </c>
      <c r="M220" s="6">
        <v>0</v>
      </c>
      <c r="N220" s="6">
        <v>0</v>
      </c>
      <c r="O220" s="7"/>
      <c r="P220" s="2"/>
      <c r="Q220" s="2"/>
      <c r="R220" s="2" t="str">
        <v>ISR1000</v>
      </c>
      <c r="S220" s="2" t="str">
        <f ca="1">IFERROR(__xludf.DUMMYFUNCTION("""COMPUTED_VALUE"""),"PWR-66W-AC-V2")</f>
        <v>PWR-66W-AC-V2</v>
      </c>
      <c r="T220" s="10">
        <f ca="1">IFERROR(__xludf.DUMMYFUNCTION("""COMPUTED_VALUE"""),0)</f>
        <v>0</v>
      </c>
      <c r="U220" s="2" t="e">
        <f ca="1"/>
        <v>#NAME?</v>
      </c>
      <c r="V220" s="2" t="e">
        <f ca="1"/>
        <v>#NAME?</v>
      </c>
      <c r="W220" s="2" t="str">
        <f ca="1">IFERROR(__xludf.DUMMYFUNCTION("""COMPUTED_VALUE"""),"C1112-8P")</f>
        <v>C1112-8P</v>
      </c>
    </row>
    <row r="221" spans="1:23" ht="12.5" x14ac:dyDescent="0.25">
      <c r="A221" s="6">
        <v>21.3</v>
      </c>
      <c r="B221" s="5" t="s">
        <v>152</v>
      </c>
      <c r="C221" s="5" t="s">
        <v>22</v>
      </c>
      <c r="D221" s="5" t="s">
        <v>153</v>
      </c>
      <c r="E221" s="7"/>
      <c r="F221" s="5" t="s">
        <v>25</v>
      </c>
      <c r="G221" s="5">
        <v>2</v>
      </c>
      <c r="H221" s="5" t="s">
        <v>33</v>
      </c>
      <c r="I221" s="6">
        <v>1</v>
      </c>
      <c r="J221" s="7"/>
      <c r="K221" s="6">
        <v>0</v>
      </c>
      <c r="L221" s="6">
        <v>0</v>
      </c>
      <c r="M221" s="6">
        <v>0</v>
      </c>
      <c r="N221" s="6">
        <v>0</v>
      </c>
      <c r="O221" s="7"/>
      <c r="P221" s="2"/>
      <c r="Q221" s="2"/>
      <c r="R221" s="2" t="str">
        <v>ISR1000</v>
      </c>
      <c r="S221" s="2" t="str">
        <f ca="1">IFERROR(__xludf.DUMMYFUNCTION("""COMPUTED_VALUE"""),"SL-1100-8P-IPB")</f>
        <v>SL-1100-8P-IPB</v>
      </c>
      <c r="T221" s="10">
        <f ca="1">IFERROR(__xludf.DUMMYFUNCTION("""COMPUTED_VALUE"""),0)</f>
        <v>0</v>
      </c>
      <c r="U221" s="2" t="e">
        <f ca="1"/>
        <v>#NAME?</v>
      </c>
      <c r="V221" s="2" t="e">
        <f ca="1"/>
        <v>#NAME?</v>
      </c>
      <c r="W221" s="2" t="str">
        <f ca="1">IFERROR(__xludf.DUMMYFUNCTION("""COMPUTED_VALUE"""),"C1112-8P")</f>
        <v>C1112-8P</v>
      </c>
    </row>
    <row r="222" spans="1:23" ht="12.5" x14ac:dyDescent="0.25">
      <c r="A222" s="6">
        <v>21.4</v>
      </c>
      <c r="B222" s="5" t="s">
        <v>36</v>
      </c>
      <c r="C222" s="5" t="s">
        <v>22</v>
      </c>
      <c r="D222" s="5" t="s">
        <v>37</v>
      </c>
      <c r="E222" s="7"/>
      <c r="F222" s="5" t="s">
        <v>25</v>
      </c>
      <c r="G222" s="5">
        <v>14</v>
      </c>
      <c r="H222" s="5" t="s">
        <v>26</v>
      </c>
      <c r="I222" s="6">
        <v>1</v>
      </c>
      <c r="J222" s="7"/>
      <c r="K222" s="6">
        <v>0</v>
      </c>
      <c r="L222" s="6">
        <v>0</v>
      </c>
      <c r="M222" s="6">
        <v>0</v>
      </c>
      <c r="N222" s="6">
        <v>0</v>
      </c>
      <c r="O222" s="7"/>
      <c r="P222" s="2"/>
      <c r="Q222" s="2"/>
      <c r="R222" s="2" t="str">
        <v>ISR1000</v>
      </c>
      <c r="S222" s="2" t="str">
        <f ca="1">IFERROR(__xludf.DUMMYFUNCTION("""COMPUTED_VALUE"""),"CAB-ACE")</f>
        <v>CAB-ACE</v>
      </c>
      <c r="T222" s="10">
        <f ca="1">IFERROR(__xludf.DUMMYFUNCTION("""COMPUTED_VALUE"""),0)</f>
        <v>0</v>
      </c>
      <c r="U222" s="2" t="e">
        <f ca="1"/>
        <v>#NAME?</v>
      </c>
      <c r="V222" s="2" t="e">
        <f ca="1"/>
        <v>#NAME?</v>
      </c>
      <c r="W222" s="2" t="str">
        <f ca="1">IFERROR(__xludf.DUMMYFUNCTION("""COMPUTED_VALUE"""),"C1112-8P")</f>
        <v>C1112-8P</v>
      </c>
    </row>
    <row r="223" spans="1:23" ht="12.5" x14ac:dyDescent="0.25">
      <c r="A223" s="6">
        <v>21.5</v>
      </c>
      <c r="B223" s="5" t="s">
        <v>101</v>
      </c>
      <c r="C223" s="5" t="s">
        <v>22</v>
      </c>
      <c r="D223" s="5" t="s">
        <v>102</v>
      </c>
      <c r="E223" s="7"/>
      <c r="F223" s="5" t="s">
        <v>25</v>
      </c>
      <c r="G223" s="5">
        <v>28</v>
      </c>
      <c r="H223" s="5" t="s">
        <v>26</v>
      </c>
      <c r="I223" s="6">
        <v>1</v>
      </c>
      <c r="J223" s="7"/>
      <c r="K223" s="6">
        <v>0</v>
      </c>
      <c r="L223" s="6">
        <v>0</v>
      </c>
      <c r="M223" s="6">
        <v>0</v>
      </c>
      <c r="N223" s="6">
        <v>0</v>
      </c>
      <c r="O223" s="7"/>
      <c r="P223" s="2"/>
      <c r="Q223" s="2"/>
      <c r="R223" s="2" t="str">
        <v>ISR1000</v>
      </c>
      <c r="S223" s="2" t="str">
        <f ca="1">IFERROR(__xludf.DUMMYFUNCTION("""COMPUTED_VALUE"""),"SISR1100UK9-1715")</f>
        <v>SISR1100UK9-1715</v>
      </c>
      <c r="T223" s="10">
        <f ca="1">IFERROR(__xludf.DUMMYFUNCTION("""COMPUTED_VALUE"""),0)</f>
        <v>0</v>
      </c>
      <c r="U223" s="2" t="e">
        <f ca="1"/>
        <v>#NAME?</v>
      </c>
      <c r="V223" s="2" t="e">
        <f ca="1"/>
        <v>#NAME?</v>
      </c>
      <c r="W223" s="2" t="str">
        <f ca="1">IFERROR(__xludf.DUMMYFUNCTION("""COMPUTED_VALUE"""),"C1112-8P")</f>
        <v>C1112-8P</v>
      </c>
    </row>
    <row r="224" spans="1:23" ht="12.5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2" t="s">
        <v>42</v>
      </c>
      <c r="N224" s="13">
        <v>3103.58</v>
      </c>
      <c r="O224" s="14"/>
      <c r="P224" s="2"/>
      <c r="Q224" s="2"/>
      <c r="R224" s="2" t="str">
        <v/>
      </c>
      <c r="S224" s="2" t="str">
        <f ca="1">IFERROR(__xludf.DUMMYFUNCTION("""COMPUTED_VALUE"""),"")</f>
        <v/>
      </c>
      <c r="T224" s="2" t="str">
        <f ca="1">IFERROR(__xludf.DUMMYFUNCTION("""COMPUTED_VALUE"""),"")</f>
        <v/>
      </c>
      <c r="U224" s="2" t="e">
        <f ca="1"/>
        <v>#NAME?</v>
      </c>
      <c r="V224" s="2" t="e">
        <f ca="1"/>
        <v>#NAME?</v>
      </c>
      <c r="W224" s="2" t="str">
        <f ca="1">IFERROR(__xludf.DUMMYFUNCTION("""COMPUTED_VALUE"""),"")</f>
        <v/>
      </c>
    </row>
    <row r="225" spans="1:23" ht="12.5" x14ac:dyDescent="0.25">
      <c r="A225" s="15"/>
      <c r="B225" s="15"/>
      <c r="C225" s="16" t="s">
        <v>154</v>
      </c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2" t="str">
        <v/>
      </c>
      <c r="S225" s="2" t="str">
        <f ca="1">IFERROR(__xludf.DUMMYFUNCTION("""COMPUTED_VALUE"""),"")</f>
        <v/>
      </c>
      <c r="T225" s="2" t="str">
        <f ca="1">IFERROR(__xludf.DUMMYFUNCTION("""COMPUTED_VALUE"""),"")</f>
        <v/>
      </c>
      <c r="U225" s="2" t="e">
        <f ca="1"/>
        <v>#NAME?</v>
      </c>
      <c r="V225" s="2" t="e">
        <f ca="1"/>
        <v>#NAME?</v>
      </c>
      <c r="W225" s="2" t="str">
        <f ca="1">IFERROR(__xludf.DUMMYFUNCTION("""COMPUTED_VALUE"""),"")</f>
        <v/>
      </c>
    </row>
    <row r="226" spans="1:23" ht="12.5" x14ac:dyDescent="0.25">
      <c r="A226" s="4">
        <v>22</v>
      </c>
      <c r="B226" s="4" t="s">
        <v>44</v>
      </c>
      <c r="C226" s="5" t="s">
        <v>33</v>
      </c>
      <c r="D226" s="5" t="s">
        <v>45</v>
      </c>
      <c r="E226" s="5" t="s">
        <v>24</v>
      </c>
      <c r="F226" s="5" t="s">
        <v>25</v>
      </c>
      <c r="G226" s="5">
        <v>4</v>
      </c>
      <c r="H226" s="5" t="s">
        <v>26</v>
      </c>
      <c r="I226" s="6">
        <v>1</v>
      </c>
      <c r="J226" s="7"/>
      <c r="K226" s="6">
        <v>0</v>
      </c>
      <c r="L226" s="6">
        <v>0</v>
      </c>
      <c r="M226" s="6">
        <v>0</v>
      </c>
      <c r="N226" s="6">
        <v>0</v>
      </c>
      <c r="O226" s="7"/>
      <c r="P226" s="2"/>
      <c r="Q226" s="2"/>
      <c r="R226" s="2" t="str">
        <v>ISR1000</v>
      </c>
      <c r="S226" s="2" t="str">
        <f ca="1">IFERROR(__xludf.DUMMYFUNCTION("""COMPUTED_VALUE"""),"L-DNA-TIER-ADD")</f>
        <v>L-DNA-TIER-ADD</v>
      </c>
      <c r="T226" s="10">
        <f ca="1">IFERROR(__xludf.DUMMYFUNCTION("""COMPUTED_VALUE"""),1)</f>
        <v>1</v>
      </c>
      <c r="U226" s="2" t="e">
        <f ca="1"/>
        <v>#NAME?</v>
      </c>
      <c r="V226" s="2" t="e">
        <f ca="1"/>
        <v>#NAME?</v>
      </c>
      <c r="W226" s="2" t="str">
        <f ca="1">IFERROR(__xludf.DUMMYFUNCTION("""COMPUTED_VALUE"""),"C1112-8P")</f>
        <v>C1112-8P</v>
      </c>
    </row>
    <row r="227" spans="1:23" ht="12.5" x14ac:dyDescent="0.25">
      <c r="A227" s="6">
        <v>22.1</v>
      </c>
      <c r="B227" s="5" t="s">
        <v>64</v>
      </c>
      <c r="C227" s="5" t="s">
        <v>22</v>
      </c>
      <c r="D227" s="5" t="s">
        <v>65</v>
      </c>
      <c r="E227" s="7"/>
      <c r="F227" s="5" t="s">
        <v>25</v>
      </c>
      <c r="G227" s="5">
        <v>2</v>
      </c>
      <c r="H227" s="5" t="s">
        <v>26</v>
      </c>
      <c r="I227" s="6">
        <v>1</v>
      </c>
      <c r="J227" s="7"/>
      <c r="K227" s="6">
        <v>0</v>
      </c>
      <c r="L227" s="6">
        <v>0</v>
      </c>
      <c r="M227" s="6">
        <v>0</v>
      </c>
      <c r="N227" s="6">
        <v>0</v>
      </c>
      <c r="O227" s="7"/>
      <c r="P227" s="2"/>
      <c r="Q227" s="2"/>
      <c r="R227" s="2" t="str">
        <v>ISR1000</v>
      </c>
      <c r="S227" s="2" t="str">
        <f ca="1">IFERROR(__xludf.DUMMYFUNCTION("""COMPUTED_VALUE"""),"IOSXE-CTRL-MODE-PF")</f>
        <v>IOSXE-CTRL-MODE-PF</v>
      </c>
      <c r="T227" s="10">
        <f ca="1">IFERROR(__xludf.DUMMYFUNCTION("""COMPUTED_VALUE"""),0)</f>
        <v>0</v>
      </c>
      <c r="U227" s="2" t="e">
        <f ca="1"/>
        <v>#NAME?</v>
      </c>
      <c r="V227" s="2" t="e">
        <f ca="1"/>
        <v>#NAME?</v>
      </c>
      <c r="W227" s="2" t="str">
        <f ca="1">IFERROR(__xludf.DUMMYFUNCTION("""COMPUTED_VALUE"""),"C1112-8P")</f>
        <v>C1112-8P</v>
      </c>
    </row>
    <row r="228" spans="1:23" ht="12.5" x14ac:dyDescent="0.25">
      <c r="A228" s="6">
        <v>22.2</v>
      </c>
      <c r="B228" s="5" t="s">
        <v>46</v>
      </c>
      <c r="C228" s="5" t="s">
        <v>33</v>
      </c>
      <c r="D228" s="5" t="s">
        <v>47</v>
      </c>
      <c r="E228" s="7"/>
      <c r="F228" s="5" t="s">
        <v>25</v>
      </c>
      <c r="G228" s="5" t="s">
        <v>25</v>
      </c>
      <c r="H228" s="5" t="s">
        <v>26</v>
      </c>
      <c r="I228" s="6">
        <v>1</v>
      </c>
      <c r="J228" s="7"/>
      <c r="K228" s="6">
        <v>148.61000000000001</v>
      </c>
      <c r="L228" s="8">
        <v>5349.96</v>
      </c>
      <c r="M228" s="6">
        <v>0</v>
      </c>
      <c r="N228" s="8">
        <v>5349.96</v>
      </c>
      <c r="O228" s="7"/>
      <c r="P228" s="2"/>
      <c r="Q228" s="2"/>
      <c r="R228" s="2" t="str">
        <v>ISR1000</v>
      </c>
      <c r="S228" s="2" t="str">
        <f ca="1">IFERROR(__xludf.DUMMYFUNCTION("""COMPUTED_VALUE"""),"DNA-P-T1-A-3Y")</f>
        <v>DNA-P-T1-A-3Y</v>
      </c>
      <c r="T228" s="10">
        <f ca="1">IFERROR(__xludf.DUMMYFUNCTION("""COMPUTED_VALUE"""),0)</f>
        <v>0</v>
      </c>
      <c r="U228" s="2" t="e">
        <f ca="1"/>
        <v>#NAME?</v>
      </c>
      <c r="V228" s="2" t="e">
        <f ca="1"/>
        <v>#NAME?</v>
      </c>
      <c r="W228" s="2" t="str">
        <f ca="1">IFERROR(__xludf.DUMMYFUNCTION("""COMPUTED_VALUE"""),"C1112-8P")</f>
        <v>C1112-8P</v>
      </c>
    </row>
    <row r="229" spans="1:23" ht="12.5" x14ac:dyDescent="0.25">
      <c r="A229" s="6">
        <v>22.3</v>
      </c>
      <c r="B229" s="5" t="s">
        <v>48</v>
      </c>
      <c r="C229" s="5" t="s">
        <v>22</v>
      </c>
      <c r="D229" s="5" t="s">
        <v>49</v>
      </c>
      <c r="E229" s="7"/>
      <c r="F229" s="5" t="s">
        <v>25</v>
      </c>
      <c r="G229" s="5">
        <v>2</v>
      </c>
      <c r="H229" s="5" t="s">
        <v>26</v>
      </c>
      <c r="I229" s="6">
        <v>1</v>
      </c>
      <c r="J229" s="7"/>
      <c r="K229" s="6">
        <v>30.65</v>
      </c>
      <c r="L229" s="8">
        <v>1103.4000000000001</v>
      </c>
      <c r="M229" s="6">
        <v>0</v>
      </c>
      <c r="N229" s="8">
        <v>1103.4000000000001</v>
      </c>
      <c r="O229" s="7"/>
      <c r="P229" s="2"/>
      <c r="Q229" s="2"/>
      <c r="R229" s="2" t="str">
        <v>ISR1000</v>
      </c>
      <c r="S229" s="2" t="str">
        <f ca="1">IFERROR(__xludf.DUMMYFUNCTION("""COMPUTED_VALUE"""),"SVS-PSTL1-T1-A3Y")</f>
        <v>SVS-PSTL1-T1-A3Y</v>
      </c>
      <c r="T229" s="10">
        <f ca="1">IFERROR(__xludf.DUMMYFUNCTION("""COMPUTED_VALUE"""),0)</f>
        <v>0</v>
      </c>
      <c r="U229" s="2" t="e">
        <f ca="1"/>
        <v>#NAME?</v>
      </c>
      <c r="V229" s="2" t="e">
        <f ca="1"/>
        <v>#NAME?</v>
      </c>
      <c r="W229" s="2" t="str">
        <f ca="1">IFERROR(__xludf.DUMMYFUNCTION("""COMPUTED_VALUE"""),"C1112-8P")</f>
        <v>C1112-8P</v>
      </c>
    </row>
    <row r="230" spans="1:23" ht="12.5" x14ac:dyDescent="0.25">
      <c r="A230" s="6">
        <v>22.4</v>
      </c>
      <c r="B230" s="5" t="s">
        <v>50</v>
      </c>
      <c r="C230" s="5" t="s">
        <v>33</v>
      </c>
      <c r="D230" s="5" t="s">
        <v>51</v>
      </c>
      <c r="E230" s="7"/>
      <c r="F230" s="5" t="s">
        <v>25</v>
      </c>
      <c r="G230" s="5">
        <v>2</v>
      </c>
      <c r="H230" s="5" t="s">
        <v>26</v>
      </c>
      <c r="I230" s="6">
        <v>1</v>
      </c>
      <c r="J230" s="7"/>
      <c r="K230" s="6">
        <v>0</v>
      </c>
      <c r="L230" s="6">
        <v>0</v>
      </c>
      <c r="M230" s="6">
        <v>0</v>
      </c>
      <c r="N230" s="6">
        <v>0</v>
      </c>
      <c r="O230" s="7"/>
      <c r="P230" s="2"/>
      <c r="Q230" s="2"/>
      <c r="R230" s="2" t="str">
        <v>ISR1000</v>
      </c>
      <c r="S230" s="2" t="str">
        <f ca="1">IFERROR(__xludf.DUMMYFUNCTION("""COMPUTED_VALUE"""),"DSTACK-T1-A")</f>
        <v>DSTACK-T1-A</v>
      </c>
      <c r="T230" s="10">
        <f ca="1">IFERROR(__xludf.DUMMYFUNCTION("""COMPUTED_VALUE"""),0)</f>
        <v>0</v>
      </c>
      <c r="U230" s="2" t="e">
        <f ca="1"/>
        <v>#NAME?</v>
      </c>
      <c r="V230" s="2" t="e">
        <f ca="1"/>
        <v>#NAME?</v>
      </c>
      <c r="W230" s="2" t="str">
        <f ca="1">IFERROR(__xludf.DUMMYFUNCTION("""COMPUTED_VALUE"""),"C1112-8P")</f>
        <v>C1112-8P</v>
      </c>
    </row>
    <row r="231" spans="1:23" ht="12.5" x14ac:dyDescent="0.25">
      <c r="A231" s="6">
        <v>22.5</v>
      </c>
      <c r="B231" s="5" t="s">
        <v>62</v>
      </c>
      <c r="C231" s="5" t="s">
        <v>33</v>
      </c>
      <c r="D231" s="5" t="s">
        <v>63</v>
      </c>
      <c r="E231" s="7"/>
      <c r="F231" s="5" t="s">
        <v>25</v>
      </c>
      <c r="G231" s="5">
        <v>2</v>
      </c>
      <c r="H231" s="5" t="s">
        <v>26</v>
      </c>
      <c r="I231" s="6">
        <v>1</v>
      </c>
      <c r="J231" s="7"/>
      <c r="K231" s="6">
        <v>0</v>
      </c>
      <c r="L231" s="6">
        <v>0</v>
      </c>
      <c r="M231" s="6">
        <v>0</v>
      </c>
      <c r="N231" s="6">
        <v>0</v>
      </c>
      <c r="O231" s="7"/>
      <c r="P231" s="2"/>
      <c r="Q231" s="2"/>
      <c r="R231" s="2" t="str">
        <v>ISR1000</v>
      </c>
      <c r="S231" s="2" t="str">
        <f ca="1">IFERROR(__xludf.DUMMYFUNCTION("""COMPUTED_VALUE"""),"DNA-HSEC-UPGD")</f>
        <v>DNA-HSEC-UPGD</v>
      </c>
      <c r="T231" s="10">
        <f ca="1">IFERROR(__xludf.DUMMYFUNCTION("""COMPUTED_VALUE"""),0)</f>
        <v>0</v>
      </c>
      <c r="U231" s="2" t="e">
        <f ca="1"/>
        <v>#NAME?</v>
      </c>
      <c r="V231" s="2" t="e">
        <f ca="1"/>
        <v>#NAME?</v>
      </c>
      <c r="W231" s="2" t="str">
        <f ca="1">IFERROR(__xludf.DUMMYFUNCTION("""COMPUTED_VALUE"""),"C1112-8P")</f>
        <v>C1112-8P</v>
      </c>
    </row>
    <row r="232" spans="1:23" ht="12.5" x14ac:dyDescent="0.25">
      <c r="A232" s="6">
        <v>22.6</v>
      </c>
      <c r="B232" s="5" t="s">
        <v>52</v>
      </c>
      <c r="C232" s="5" t="s">
        <v>33</v>
      </c>
      <c r="D232" s="5" t="s">
        <v>53</v>
      </c>
      <c r="E232" s="7"/>
      <c r="F232" s="5" t="s">
        <v>25</v>
      </c>
      <c r="G232" s="5">
        <v>2</v>
      </c>
      <c r="H232" s="5" t="s">
        <v>26</v>
      </c>
      <c r="I232" s="6">
        <v>1</v>
      </c>
      <c r="J232" s="7"/>
      <c r="K232" s="6">
        <v>0</v>
      </c>
      <c r="L232" s="6">
        <v>0</v>
      </c>
      <c r="M232" s="6">
        <v>0</v>
      </c>
      <c r="N232" s="6">
        <v>0</v>
      </c>
      <c r="O232" s="7"/>
      <c r="P232" s="2"/>
      <c r="Q232" s="2"/>
      <c r="R232" s="2" t="str">
        <v>ISR1000</v>
      </c>
      <c r="S232" s="2" t="str">
        <f ca="1">IFERROR(__xludf.DUMMYFUNCTION("""COMPUTED_VALUE"""),"SDWAN-UMB-ADV")</f>
        <v>SDWAN-UMB-ADV</v>
      </c>
      <c r="T232" s="10">
        <f ca="1">IFERROR(__xludf.DUMMYFUNCTION("""COMPUTED_VALUE"""),0)</f>
        <v>0</v>
      </c>
      <c r="U232" s="2" t="e">
        <f ca="1"/>
        <v>#NAME?</v>
      </c>
      <c r="V232" s="2" t="e">
        <f ca="1"/>
        <v>#NAME?</v>
      </c>
      <c r="W232" s="2" t="str">
        <f ca="1">IFERROR(__xludf.DUMMYFUNCTION("""COMPUTED_VALUE"""),"C1112-8P")</f>
        <v>C1112-8P</v>
      </c>
    </row>
    <row r="233" spans="1:23" ht="12.5" x14ac:dyDescent="0.25">
      <c r="A233" s="6">
        <v>22.7</v>
      </c>
      <c r="B233" s="5" t="s">
        <v>66</v>
      </c>
      <c r="C233" s="5" t="s">
        <v>22</v>
      </c>
      <c r="D233" s="5" t="s">
        <v>67</v>
      </c>
      <c r="E233" s="7"/>
      <c r="F233" s="5" t="s">
        <v>25</v>
      </c>
      <c r="G233" s="5">
        <v>2</v>
      </c>
      <c r="H233" s="5" t="s">
        <v>26</v>
      </c>
      <c r="I233" s="6">
        <v>1</v>
      </c>
      <c r="J233" s="7"/>
      <c r="K233" s="6">
        <v>0</v>
      </c>
      <c r="L233" s="6">
        <v>0</v>
      </c>
      <c r="M233" s="6">
        <v>0</v>
      </c>
      <c r="N233" s="6">
        <v>0</v>
      </c>
      <c r="O233" s="7"/>
      <c r="P233" s="2"/>
      <c r="Q233" s="2"/>
      <c r="R233" s="2" t="str">
        <v>ISR1000</v>
      </c>
      <c r="S233" s="2" t="str">
        <f ca="1">IFERROR(__xludf.DUMMYFUNCTION("""COMPUTED_VALUE"""),"SDWAN-ONPREM-PF")</f>
        <v>SDWAN-ONPREM-PF</v>
      </c>
      <c r="T233" s="10">
        <f ca="1">IFERROR(__xludf.DUMMYFUNCTION("""COMPUTED_VALUE"""),0)</f>
        <v>0</v>
      </c>
      <c r="U233" s="2" t="e">
        <f ca="1"/>
        <v>#NAME?</v>
      </c>
      <c r="V233" s="2" t="e">
        <f ca="1"/>
        <v>#NAME?</v>
      </c>
      <c r="W233" s="2" t="str">
        <f ca="1">IFERROR(__xludf.DUMMYFUNCTION("""COMPUTED_VALUE"""),"C1112-8P")</f>
        <v>C1112-8P</v>
      </c>
    </row>
    <row r="234" spans="1:23" ht="12.5" x14ac:dyDescent="0.25">
      <c r="A234" s="6">
        <v>22.8</v>
      </c>
      <c r="B234" s="5" t="s">
        <v>54</v>
      </c>
      <c r="C234" s="5" t="s">
        <v>33</v>
      </c>
      <c r="D234" s="5" t="s">
        <v>55</v>
      </c>
      <c r="E234" s="7"/>
      <c r="F234" s="5" t="s">
        <v>25</v>
      </c>
      <c r="G234" s="5">
        <v>2</v>
      </c>
      <c r="H234" s="5" t="s">
        <v>26</v>
      </c>
      <c r="I234" s="6">
        <v>1</v>
      </c>
      <c r="J234" s="7"/>
      <c r="K234" s="6">
        <v>0</v>
      </c>
      <c r="L234" s="6">
        <v>0</v>
      </c>
      <c r="M234" s="6">
        <v>0</v>
      </c>
      <c r="N234" s="6">
        <v>0</v>
      </c>
      <c r="O234" s="7"/>
      <c r="P234" s="2"/>
      <c r="Q234" s="2"/>
      <c r="R234" s="2" t="str">
        <v>ISR1000</v>
      </c>
      <c r="S234" s="2" t="str">
        <f ca="1">IFERROR(__xludf.DUMMYFUNCTION("""COMPUTED_VALUE"""),"TE-EMBED-WANI")</f>
        <v>TE-EMBED-WANI</v>
      </c>
      <c r="T234" s="10">
        <f ca="1">IFERROR(__xludf.DUMMYFUNCTION("""COMPUTED_VALUE"""),0)</f>
        <v>0</v>
      </c>
      <c r="U234" s="2" t="e">
        <f ca="1"/>
        <v>#NAME?</v>
      </c>
      <c r="V234" s="2" t="e">
        <f ca="1"/>
        <v>#NAME?</v>
      </c>
      <c r="W234" s="2" t="str">
        <f ca="1">IFERROR(__xludf.DUMMYFUNCTION("""COMPUTED_VALUE"""),"C1112-8P")</f>
        <v>C1112-8P</v>
      </c>
    </row>
    <row r="235" spans="1:23" ht="12.5" x14ac:dyDescent="0.25">
      <c r="A235" s="6">
        <v>22.9</v>
      </c>
      <c r="B235" s="5" t="s">
        <v>56</v>
      </c>
      <c r="C235" s="5" t="s">
        <v>33</v>
      </c>
      <c r="D235" s="5" t="s">
        <v>57</v>
      </c>
      <c r="E235" s="7"/>
      <c r="F235" s="5" t="s">
        <v>25</v>
      </c>
      <c r="G235" s="5">
        <v>2</v>
      </c>
      <c r="H235" s="5" t="s">
        <v>26</v>
      </c>
      <c r="I235" s="6">
        <v>1</v>
      </c>
      <c r="J235" s="7"/>
      <c r="K235" s="6">
        <v>0</v>
      </c>
      <c r="L235" s="6">
        <v>0</v>
      </c>
      <c r="M235" s="6">
        <v>0</v>
      </c>
      <c r="N235" s="6">
        <v>0</v>
      </c>
      <c r="O235" s="7"/>
      <c r="P235" s="2"/>
      <c r="Q235" s="2"/>
      <c r="R235" s="2" t="str">
        <v>ISR1000</v>
      </c>
      <c r="S235" s="2" t="str">
        <f ca="1">IFERROR(__xludf.DUMMYFUNCTION("""COMPUTED_VALUE"""),"C1100-8P-DNA-PF")</f>
        <v>C1100-8P-DNA-PF</v>
      </c>
      <c r="T235" s="10">
        <f ca="1">IFERROR(__xludf.DUMMYFUNCTION("""COMPUTED_VALUE"""),0)</f>
        <v>0</v>
      </c>
      <c r="U235" s="2" t="e">
        <f ca="1"/>
        <v>#NAME?</v>
      </c>
      <c r="V235" s="2" t="e">
        <f ca="1"/>
        <v>#NAME?</v>
      </c>
      <c r="W235" s="2" t="str">
        <f ca="1">IFERROR(__xludf.DUMMYFUNCTION("""COMPUTED_VALUE"""),"C1112-8P")</f>
        <v>C1112-8P</v>
      </c>
    </row>
    <row r="236" spans="1:23" ht="12.5" x14ac:dyDescent="0.25">
      <c r="A236" s="6">
        <v>22.1</v>
      </c>
      <c r="B236" s="5" t="s">
        <v>58</v>
      </c>
      <c r="C236" s="5" t="s">
        <v>33</v>
      </c>
      <c r="D236" s="5" t="s">
        <v>59</v>
      </c>
      <c r="E236" s="7"/>
      <c r="F236" s="5" t="s">
        <v>25</v>
      </c>
      <c r="G236" s="5">
        <v>2</v>
      </c>
      <c r="H236" s="5" t="s">
        <v>26</v>
      </c>
      <c r="I236" s="6">
        <v>1</v>
      </c>
      <c r="J236" s="7"/>
      <c r="K236" s="6">
        <v>0</v>
      </c>
      <c r="L236" s="6">
        <v>0</v>
      </c>
      <c r="M236" s="6">
        <v>0</v>
      </c>
      <c r="N236" s="6">
        <v>0</v>
      </c>
      <c r="O236" s="7"/>
      <c r="P236" s="2"/>
      <c r="Q236" s="2"/>
      <c r="R236" s="2" t="str">
        <v>ISR1000</v>
      </c>
      <c r="S236" s="2" t="str">
        <f ca="1">IFERROR(__xludf.DUMMYFUNCTION("""COMPUTED_VALUE"""),"FL-1100-8P-HSEC-L")</f>
        <v>FL-1100-8P-HSEC-L</v>
      </c>
      <c r="T236" s="10">
        <f ca="1">IFERROR(__xludf.DUMMYFUNCTION("""COMPUTED_VALUE"""),0)</f>
        <v>0</v>
      </c>
      <c r="U236" s="2" t="e">
        <f ca="1"/>
        <v>#NAME?</v>
      </c>
      <c r="V236" s="2" t="e">
        <f ca="1"/>
        <v>#NAME?</v>
      </c>
      <c r="W236" s="2" t="str">
        <f ca="1">IFERROR(__xludf.DUMMYFUNCTION("""COMPUTED_VALUE"""),"C1112-8P")</f>
        <v>C1112-8P</v>
      </c>
    </row>
    <row r="237" spans="1:23" ht="12.5" x14ac:dyDescent="0.25">
      <c r="A237" s="6">
        <v>22.11</v>
      </c>
      <c r="B237" s="5" t="s">
        <v>60</v>
      </c>
      <c r="C237" s="5" t="s">
        <v>33</v>
      </c>
      <c r="D237" s="5" t="s">
        <v>61</v>
      </c>
      <c r="E237" s="7"/>
      <c r="F237" s="5" t="s">
        <v>25</v>
      </c>
      <c r="G237" s="5">
        <v>2</v>
      </c>
      <c r="H237" s="5" t="s">
        <v>26</v>
      </c>
      <c r="I237" s="6">
        <v>1</v>
      </c>
      <c r="J237" s="7"/>
      <c r="K237" s="6">
        <v>0</v>
      </c>
      <c r="L237" s="6">
        <v>0</v>
      </c>
      <c r="M237" s="6">
        <v>0</v>
      </c>
      <c r="N237" s="6">
        <v>0</v>
      </c>
      <c r="O237" s="7"/>
      <c r="P237" s="2"/>
      <c r="Q237" s="2"/>
      <c r="R237" s="2" t="str">
        <v>ISR1000</v>
      </c>
      <c r="S237" s="2" t="str">
        <f ca="1">IFERROR(__xludf.DUMMYFUNCTION("""COMPUTED_VALUE"""),"SL-1100-8P-NA-A-L")</f>
        <v>SL-1100-8P-NA-A-L</v>
      </c>
      <c r="T237" s="10">
        <f ca="1">IFERROR(__xludf.DUMMYFUNCTION("""COMPUTED_VALUE"""),0)</f>
        <v>0</v>
      </c>
      <c r="U237" s="2" t="e">
        <f ca="1"/>
        <v>#NAME?</v>
      </c>
      <c r="V237" s="2" t="e">
        <f ca="1"/>
        <v>#NAME?</v>
      </c>
      <c r="W237" s="2" t="str">
        <f ca="1">IFERROR(__xludf.DUMMYFUNCTION("""COMPUTED_VALUE"""),"C1112-8P")</f>
        <v>C1112-8P</v>
      </c>
    </row>
    <row r="238" spans="1:23" ht="12.5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2" t="s">
        <v>42</v>
      </c>
      <c r="N238" s="13">
        <v>6453.36</v>
      </c>
      <c r="O238" s="14"/>
      <c r="P238" s="2"/>
      <c r="Q238" s="2"/>
      <c r="R238" s="2" t="str">
        <v/>
      </c>
      <c r="S238" s="2" t="str">
        <f ca="1">IFERROR(__xludf.DUMMYFUNCTION("""COMPUTED_VALUE"""),"")</f>
        <v/>
      </c>
      <c r="T238" s="2" t="str">
        <f ca="1">IFERROR(__xludf.DUMMYFUNCTION("""COMPUTED_VALUE"""),"")</f>
        <v/>
      </c>
      <c r="U238" s="2" t="e">
        <f ca="1"/>
        <v>#NAME?</v>
      </c>
      <c r="V238" s="2" t="e">
        <f ca="1"/>
        <v>#NAME?</v>
      </c>
      <c r="W238" s="2" t="str">
        <f ca="1">IFERROR(__xludf.DUMMYFUNCTION("""COMPUTED_VALUE"""),"")</f>
        <v/>
      </c>
    </row>
    <row r="239" spans="1:23" ht="12.5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2" t="s">
        <v>155</v>
      </c>
      <c r="N239" s="13">
        <v>98960.2</v>
      </c>
      <c r="O239" s="14"/>
      <c r="P239" s="2"/>
      <c r="Q239" s="2"/>
      <c r="R239" s="2" t="str">
        <v/>
      </c>
      <c r="S239" s="2" t="str">
        <f ca="1">IFERROR(__xludf.DUMMYFUNCTION("""COMPUTED_VALUE"""),"")</f>
        <v/>
      </c>
      <c r="T239" s="2" t="str">
        <f ca="1">IFERROR(__xludf.DUMMYFUNCTION("""COMPUTED_VALUE"""),"")</f>
        <v/>
      </c>
      <c r="U239" s="2" t="e">
        <f ca="1"/>
        <v>#NAME?</v>
      </c>
      <c r="V239" s="2" t="e">
        <f ca="1"/>
        <v>#NAME?</v>
      </c>
      <c r="W239" s="2" t="str">
        <f ca="1">IFERROR(__xludf.DUMMYFUNCTION("""COMPUTED_VALUE"""),"")</f>
        <v/>
      </c>
    </row>
    <row r="240" spans="1:23" ht="12.5" x14ac:dyDescent="0.25">
      <c r="R240" s="9" t="str">
        <v/>
      </c>
      <c r="S240" s="9" t="str">
        <f ca="1">IFERROR(__xludf.DUMMYFUNCTION("""COMPUTED_VALUE"""),"")</f>
        <v/>
      </c>
      <c r="T240" s="9" t="str">
        <f ca="1">IFERROR(__xludf.DUMMYFUNCTION("""COMPUTED_VALUE"""),"")</f>
        <v/>
      </c>
      <c r="U240" s="9" t="e">
        <f ca="1"/>
        <v>#NAME?</v>
      </c>
      <c r="V240" s="9" t="e">
        <f ca="1"/>
        <v>#NAME?</v>
      </c>
      <c r="W240" s="9" t="str">
        <f ca="1">IFERROR(__xludf.DUMMYFUNCTION("""COMPUTED_VALUE"""),"")</f>
        <v/>
      </c>
    </row>
    <row r="241" spans="18:23" ht="12.5" x14ac:dyDescent="0.25">
      <c r="R241" s="9" t="str">
        <v/>
      </c>
      <c r="S241" s="9" t="str">
        <f ca="1">IFERROR(__xludf.DUMMYFUNCTION("""COMPUTED_VALUE"""),"")</f>
        <v/>
      </c>
      <c r="T241" s="9" t="str">
        <f ca="1">IFERROR(__xludf.DUMMYFUNCTION("""COMPUTED_VALUE"""),"")</f>
        <v/>
      </c>
      <c r="U241" s="9" t="e">
        <f ca="1"/>
        <v>#NAME?</v>
      </c>
      <c r="V241" s="9" t="e">
        <f ca="1"/>
        <v>#NAME?</v>
      </c>
      <c r="W241" s="9" t="str">
        <f ca="1">IFERROR(__xludf.DUMMYFUNCTION("""COMPUTED_VALUE"""),"")</f>
        <v/>
      </c>
    </row>
    <row r="242" spans="18:23" ht="12.5" x14ac:dyDescent="0.25">
      <c r="R242" s="9" t="str">
        <v/>
      </c>
      <c r="S242" s="9" t="str">
        <f ca="1">IFERROR(__xludf.DUMMYFUNCTION("""COMPUTED_VALUE"""),"")</f>
        <v/>
      </c>
      <c r="T242" s="9" t="str">
        <f ca="1">IFERROR(__xludf.DUMMYFUNCTION("""COMPUTED_VALUE"""),"")</f>
        <v/>
      </c>
      <c r="U242" s="9" t="e">
        <f ca="1"/>
        <v>#NAME?</v>
      </c>
      <c r="V242" s="9" t="e">
        <f ca="1"/>
        <v>#NAME?</v>
      </c>
      <c r="W242" s="9" t="str">
        <f ca="1">IFERROR(__xludf.DUMMYFUNCTION("""COMPUTED_VALUE"""),"")</f>
        <v/>
      </c>
    </row>
    <row r="243" spans="18:23" ht="12.5" x14ac:dyDescent="0.25">
      <c r="R243" s="9" t="str">
        <v/>
      </c>
      <c r="S243" s="9" t="str">
        <f ca="1">IFERROR(__xludf.DUMMYFUNCTION("""COMPUTED_VALUE"""),"")</f>
        <v/>
      </c>
      <c r="T243" s="9" t="str">
        <f ca="1">IFERROR(__xludf.DUMMYFUNCTION("""COMPUTED_VALUE"""),"")</f>
        <v/>
      </c>
      <c r="U243" s="9" t="e">
        <f ca="1"/>
        <v>#NAME?</v>
      </c>
      <c r="V243" s="9" t="e">
        <f ca="1"/>
        <v>#NAME?</v>
      </c>
      <c r="W243" s="9" t="str">
        <f ca="1">IFERROR(__xludf.DUMMYFUNCTION("""COMPUTED_VALUE"""),"")</f>
        <v/>
      </c>
    </row>
    <row r="244" spans="18:23" ht="12.5" x14ac:dyDescent="0.25">
      <c r="R244" s="9" t="str">
        <v/>
      </c>
      <c r="S244" s="9" t="str">
        <f ca="1">IFERROR(__xludf.DUMMYFUNCTION("""COMPUTED_VALUE"""),"")</f>
        <v/>
      </c>
      <c r="T244" s="9" t="str">
        <f ca="1">IFERROR(__xludf.DUMMYFUNCTION("""COMPUTED_VALUE"""),"")</f>
        <v/>
      </c>
      <c r="U244" s="9" t="e">
        <f ca="1"/>
        <v>#NAME?</v>
      </c>
      <c r="V244" s="9" t="e">
        <f ca="1"/>
        <v>#NAME?</v>
      </c>
      <c r="W244" s="9" t="str">
        <f ca="1">IFERROR(__xludf.DUMMYFUNCTION("""COMPUTED_VALUE"""),"")</f>
        <v/>
      </c>
    </row>
    <row r="245" spans="18:23" ht="12.5" x14ac:dyDescent="0.25">
      <c r="R245" s="9" t="str">
        <v/>
      </c>
      <c r="S245" s="9" t="str">
        <f ca="1">IFERROR(__xludf.DUMMYFUNCTION("""COMPUTED_VALUE"""),"")</f>
        <v/>
      </c>
      <c r="T245" s="9" t="str">
        <f ca="1">IFERROR(__xludf.DUMMYFUNCTION("""COMPUTED_VALUE"""),"")</f>
        <v/>
      </c>
      <c r="U245" s="9" t="e">
        <f ca="1"/>
        <v>#NAME?</v>
      </c>
      <c r="V245" s="9" t="e">
        <f ca="1"/>
        <v>#NAME?</v>
      </c>
      <c r="W245" s="9" t="str">
        <f ca="1">IFERROR(__xludf.DUMMYFUNCTION("""COMPUTED_VALUE"""),"")</f>
        <v/>
      </c>
    </row>
    <row r="246" spans="18:23" ht="12.5" x14ac:dyDescent="0.25">
      <c r="R246" s="9" t="str">
        <v/>
      </c>
      <c r="S246" s="9" t="str">
        <f ca="1">IFERROR(__xludf.DUMMYFUNCTION("""COMPUTED_VALUE"""),"")</f>
        <v/>
      </c>
      <c r="T246" s="9" t="str">
        <f ca="1">IFERROR(__xludf.DUMMYFUNCTION("""COMPUTED_VALUE"""),"")</f>
        <v/>
      </c>
      <c r="U246" s="9" t="e">
        <f ca="1"/>
        <v>#NAME?</v>
      </c>
      <c r="V246" s="9" t="e">
        <f ca="1"/>
        <v>#NAME?</v>
      </c>
      <c r="W246" s="9" t="str">
        <f ca="1">IFERROR(__xludf.DUMMYFUNCTION("""COMPUTED_VALUE"""),"")</f>
        <v/>
      </c>
    </row>
    <row r="247" spans="18:23" ht="12.5" x14ac:dyDescent="0.25">
      <c r="R247" s="9" t="str">
        <v/>
      </c>
      <c r="S247" s="9" t="str">
        <f ca="1">IFERROR(__xludf.DUMMYFUNCTION("""COMPUTED_VALUE"""),"")</f>
        <v/>
      </c>
      <c r="T247" s="9" t="str">
        <f ca="1">IFERROR(__xludf.DUMMYFUNCTION("""COMPUTED_VALUE"""),"")</f>
        <v/>
      </c>
      <c r="U247" s="9" t="e">
        <f ca="1"/>
        <v>#NAME?</v>
      </c>
      <c r="V247" s="9" t="e">
        <f ca="1"/>
        <v>#NAME?</v>
      </c>
      <c r="W247" s="9" t="str">
        <f ca="1">IFERROR(__xludf.DUMMYFUNCTION("""COMPUTED_VALUE"""),"")</f>
        <v/>
      </c>
    </row>
    <row r="248" spans="18:23" ht="12.5" x14ac:dyDescent="0.25">
      <c r="R248" s="9" t="str">
        <v/>
      </c>
      <c r="S248" s="9" t="str">
        <f ca="1">IFERROR(__xludf.DUMMYFUNCTION("""COMPUTED_VALUE"""),"")</f>
        <v/>
      </c>
      <c r="T248" s="9" t="str">
        <f ca="1">IFERROR(__xludf.DUMMYFUNCTION("""COMPUTED_VALUE"""),"")</f>
        <v/>
      </c>
      <c r="U248" s="9" t="e">
        <f ca="1"/>
        <v>#NAME?</v>
      </c>
      <c r="V248" s="9" t="e">
        <f ca="1"/>
        <v>#NAME?</v>
      </c>
      <c r="W248" s="9" t="str">
        <f ca="1">IFERROR(__xludf.DUMMYFUNCTION("""COMPUTED_VALUE"""),"")</f>
        <v/>
      </c>
    </row>
    <row r="249" spans="18:23" ht="12.5" x14ac:dyDescent="0.25">
      <c r="R249" s="9" t="str">
        <v/>
      </c>
      <c r="S249" s="9" t="str">
        <f ca="1">IFERROR(__xludf.DUMMYFUNCTION("""COMPUTED_VALUE"""),"")</f>
        <v/>
      </c>
      <c r="T249" s="9" t="str">
        <f ca="1">IFERROR(__xludf.DUMMYFUNCTION("""COMPUTED_VALUE"""),"")</f>
        <v/>
      </c>
      <c r="U249" s="9" t="e">
        <f ca="1"/>
        <v>#NAME?</v>
      </c>
      <c r="V249" s="9" t="e">
        <f ca="1"/>
        <v>#NAME?</v>
      </c>
      <c r="W249" s="9" t="str">
        <f ca="1">IFERROR(__xludf.DUMMYFUNCTION("""COMPUTED_VALUE"""),"")</f>
        <v/>
      </c>
    </row>
    <row r="250" spans="18:23" ht="12.5" x14ac:dyDescent="0.25">
      <c r="R250" s="9" t="str">
        <v/>
      </c>
      <c r="S250" s="9" t="str">
        <f ca="1">IFERROR(__xludf.DUMMYFUNCTION("""COMPUTED_VALUE"""),"")</f>
        <v/>
      </c>
      <c r="T250" s="9" t="str">
        <f ca="1">IFERROR(__xludf.DUMMYFUNCTION("""COMPUTED_VALUE"""),"")</f>
        <v/>
      </c>
      <c r="U250" s="9" t="e">
        <f ca="1"/>
        <v>#NAME?</v>
      </c>
      <c r="V250" s="9" t="e">
        <f ca="1"/>
        <v>#NAME?</v>
      </c>
      <c r="W250" s="9" t="str">
        <f ca="1">IFERROR(__xludf.DUMMYFUNCTION("""COMPUTED_VALUE"""),"")</f>
        <v/>
      </c>
    </row>
    <row r="251" spans="18:23" ht="12.5" x14ac:dyDescent="0.25">
      <c r="R251" s="9" t="str">
        <v/>
      </c>
      <c r="S251" s="9" t="str">
        <f ca="1">IFERROR(__xludf.DUMMYFUNCTION("""COMPUTED_VALUE"""),"")</f>
        <v/>
      </c>
      <c r="T251" s="9" t="str">
        <f ca="1">IFERROR(__xludf.DUMMYFUNCTION("""COMPUTED_VALUE"""),"")</f>
        <v/>
      </c>
      <c r="U251" s="9" t="e">
        <f ca="1"/>
        <v>#NAME?</v>
      </c>
      <c r="V251" s="9" t="e">
        <f ca="1"/>
        <v>#NAME?</v>
      </c>
      <c r="W251" s="9" t="str">
        <f ca="1">IFERROR(__xludf.DUMMYFUNCTION("""COMPUTED_VALUE"""),"")</f>
        <v/>
      </c>
    </row>
    <row r="252" spans="18:23" ht="12.5" x14ac:dyDescent="0.25">
      <c r="R252" s="9" t="str">
        <v/>
      </c>
      <c r="S252" s="9" t="str">
        <f ca="1">IFERROR(__xludf.DUMMYFUNCTION("""COMPUTED_VALUE"""),"")</f>
        <v/>
      </c>
      <c r="T252" s="9" t="str">
        <f ca="1">IFERROR(__xludf.DUMMYFUNCTION("""COMPUTED_VALUE"""),"")</f>
        <v/>
      </c>
      <c r="U252" s="9" t="e">
        <f ca="1"/>
        <v>#NAME?</v>
      </c>
      <c r="V252" s="9" t="e">
        <f ca="1"/>
        <v>#NAME?</v>
      </c>
      <c r="W252" s="9" t="str">
        <f ca="1">IFERROR(__xludf.DUMMYFUNCTION("""COMPUTED_VALUE"""),"")</f>
        <v/>
      </c>
    </row>
    <row r="253" spans="18:23" ht="12.5" x14ac:dyDescent="0.25">
      <c r="R253" s="9" t="str">
        <v/>
      </c>
      <c r="S253" s="9" t="str">
        <f ca="1">IFERROR(__xludf.DUMMYFUNCTION("""COMPUTED_VALUE"""),"")</f>
        <v/>
      </c>
      <c r="T253" s="9" t="str">
        <f ca="1">IFERROR(__xludf.DUMMYFUNCTION("""COMPUTED_VALUE"""),"")</f>
        <v/>
      </c>
      <c r="U253" s="9" t="e">
        <f ca="1"/>
        <v>#NAME?</v>
      </c>
      <c r="V253" s="9" t="e">
        <f ca="1"/>
        <v>#NAME?</v>
      </c>
      <c r="W253" s="9" t="str">
        <f ca="1">IFERROR(__xludf.DUMMYFUNCTION("""COMPUTED_VALUE"""),"")</f>
        <v/>
      </c>
    </row>
    <row r="254" spans="18:23" ht="12.5" x14ac:dyDescent="0.25">
      <c r="R254" s="9" t="str">
        <v/>
      </c>
      <c r="S254" s="9" t="str">
        <f ca="1">IFERROR(__xludf.DUMMYFUNCTION("""COMPUTED_VALUE"""),"")</f>
        <v/>
      </c>
      <c r="T254" s="9" t="str">
        <f ca="1">IFERROR(__xludf.DUMMYFUNCTION("""COMPUTED_VALUE"""),"")</f>
        <v/>
      </c>
      <c r="U254" s="9" t="e">
        <f ca="1"/>
        <v>#NAME?</v>
      </c>
      <c r="V254" s="9" t="e">
        <f ca="1"/>
        <v>#NAME?</v>
      </c>
      <c r="W254" s="9" t="str">
        <f ca="1">IFERROR(__xludf.DUMMYFUNCTION("""COMPUTED_VALUE"""),"")</f>
        <v/>
      </c>
    </row>
    <row r="255" spans="18:23" ht="12.5" x14ac:dyDescent="0.25">
      <c r="R255" s="9" t="str">
        <v/>
      </c>
      <c r="S255" s="9" t="str">
        <f ca="1">IFERROR(__xludf.DUMMYFUNCTION("""COMPUTED_VALUE"""),"")</f>
        <v/>
      </c>
      <c r="T255" s="9" t="str">
        <f ca="1">IFERROR(__xludf.DUMMYFUNCTION("""COMPUTED_VALUE"""),"")</f>
        <v/>
      </c>
      <c r="U255" s="9" t="e">
        <f ca="1"/>
        <v>#NAME?</v>
      </c>
      <c r="V255" s="9" t="e">
        <f ca="1"/>
        <v>#NAME?</v>
      </c>
      <c r="W255" s="9" t="str">
        <f ca="1">IFERROR(__xludf.DUMMYFUNCTION("""COMPUTED_VALUE"""),"")</f>
        <v/>
      </c>
    </row>
    <row r="256" spans="18:23" ht="12.5" x14ac:dyDescent="0.25">
      <c r="R256" s="9" t="str">
        <v/>
      </c>
      <c r="S256" s="9" t="str">
        <f ca="1">IFERROR(__xludf.DUMMYFUNCTION("""COMPUTED_VALUE"""),"")</f>
        <v/>
      </c>
      <c r="T256" s="9" t="str">
        <f ca="1">IFERROR(__xludf.DUMMYFUNCTION("""COMPUTED_VALUE"""),"")</f>
        <v/>
      </c>
      <c r="U256" s="9" t="e">
        <f ca="1"/>
        <v>#NAME?</v>
      </c>
      <c r="V256" s="9" t="e">
        <f ca="1"/>
        <v>#NAME?</v>
      </c>
      <c r="W256" s="9" t="str">
        <f ca="1">IFERROR(__xludf.DUMMYFUNCTION("""COMPUTED_VALUE"""),"")</f>
        <v/>
      </c>
    </row>
    <row r="257" spans="18:23" ht="12.5" x14ac:dyDescent="0.25">
      <c r="R257" s="9" t="str">
        <v/>
      </c>
      <c r="S257" s="9" t="str">
        <f ca="1">IFERROR(__xludf.DUMMYFUNCTION("""COMPUTED_VALUE"""),"")</f>
        <v/>
      </c>
      <c r="T257" s="9" t="str">
        <f ca="1">IFERROR(__xludf.DUMMYFUNCTION("""COMPUTED_VALUE"""),"")</f>
        <v/>
      </c>
      <c r="U257" s="9" t="e">
        <f ca="1"/>
        <v>#NAME?</v>
      </c>
      <c r="V257" s="9" t="e">
        <f ca="1"/>
        <v>#NAME?</v>
      </c>
      <c r="W257" s="9" t="str">
        <f ca="1">IFERROR(__xludf.DUMMYFUNCTION("""COMPUTED_VALUE"""),"")</f>
        <v/>
      </c>
    </row>
    <row r="258" spans="18:23" ht="12.5" x14ac:dyDescent="0.25">
      <c r="R258" s="9" t="str">
        <v/>
      </c>
      <c r="S258" s="9" t="str">
        <f ca="1">IFERROR(__xludf.DUMMYFUNCTION("""COMPUTED_VALUE"""),"")</f>
        <v/>
      </c>
      <c r="T258" s="9" t="str">
        <f ca="1">IFERROR(__xludf.DUMMYFUNCTION("""COMPUTED_VALUE"""),"")</f>
        <v/>
      </c>
      <c r="U258" s="9" t="e">
        <f ca="1"/>
        <v>#NAME?</v>
      </c>
      <c r="V258" s="9" t="e">
        <f ca="1"/>
        <v>#NAME?</v>
      </c>
      <c r="W258" s="9" t="str">
        <f ca="1">IFERROR(__xludf.DUMMYFUNCTION("""COMPUTED_VALUE"""),"")</f>
        <v/>
      </c>
    </row>
    <row r="259" spans="18:23" ht="12.5" x14ac:dyDescent="0.25">
      <c r="R259" s="9" t="str">
        <v/>
      </c>
      <c r="S259" s="9" t="str">
        <f ca="1">IFERROR(__xludf.DUMMYFUNCTION("""COMPUTED_VALUE"""),"")</f>
        <v/>
      </c>
      <c r="T259" s="9" t="str">
        <f ca="1">IFERROR(__xludf.DUMMYFUNCTION("""COMPUTED_VALUE"""),"")</f>
        <v/>
      </c>
      <c r="U259" s="9" t="e">
        <f ca="1"/>
        <v>#NAME?</v>
      </c>
      <c r="V259" s="9" t="e">
        <f ca="1"/>
        <v>#NAME?</v>
      </c>
      <c r="W259" s="9" t="str">
        <f ca="1">IFERROR(__xludf.DUMMYFUNCTION("""COMPUTED_VALUE"""),"")</f>
        <v/>
      </c>
    </row>
    <row r="260" spans="18:23" ht="12.5" x14ac:dyDescent="0.25">
      <c r="R260" s="9" t="str">
        <v/>
      </c>
      <c r="S260" s="9" t="str">
        <f ca="1">IFERROR(__xludf.DUMMYFUNCTION("""COMPUTED_VALUE"""),"")</f>
        <v/>
      </c>
      <c r="T260" s="9" t="str">
        <f ca="1">IFERROR(__xludf.DUMMYFUNCTION("""COMPUTED_VALUE"""),"")</f>
        <v/>
      </c>
      <c r="U260" s="9" t="e">
        <f ca="1"/>
        <v>#NAME?</v>
      </c>
      <c r="V260" s="9" t="e">
        <f ca="1"/>
        <v>#NAME?</v>
      </c>
      <c r="W260" s="9" t="str">
        <f ca="1">IFERROR(__xludf.DUMMYFUNCTION("""COMPUTED_VALUE"""),"")</f>
        <v/>
      </c>
    </row>
    <row r="261" spans="18:23" ht="12.5" x14ac:dyDescent="0.25">
      <c r="R261" s="9" t="str">
        <v/>
      </c>
      <c r="S261" s="9" t="str">
        <f ca="1">IFERROR(__xludf.DUMMYFUNCTION("""COMPUTED_VALUE"""),"")</f>
        <v/>
      </c>
      <c r="T261" s="9" t="str">
        <f ca="1">IFERROR(__xludf.DUMMYFUNCTION("""COMPUTED_VALUE"""),"")</f>
        <v/>
      </c>
      <c r="U261" s="9" t="e">
        <f ca="1"/>
        <v>#NAME?</v>
      </c>
      <c r="V261" s="9" t="e">
        <f ca="1"/>
        <v>#NAME?</v>
      </c>
      <c r="W261" s="9" t="str">
        <f ca="1">IFERROR(__xludf.DUMMYFUNCTION("""COMPUTED_VALUE"""),"")</f>
        <v/>
      </c>
    </row>
    <row r="262" spans="18:23" ht="12.5" x14ac:dyDescent="0.25">
      <c r="R262" s="9" t="str">
        <v/>
      </c>
      <c r="S262" s="9" t="str">
        <f ca="1">IFERROR(__xludf.DUMMYFUNCTION("""COMPUTED_VALUE"""),"")</f>
        <v/>
      </c>
      <c r="T262" s="9" t="str">
        <f ca="1">IFERROR(__xludf.DUMMYFUNCTION("""COMPUTED_VALUE"""),"")</f>
        <v/>
      </c>
      <c r="U262" s="9" t="e">
        <f ca="1"/>
        <v>#NAME?</v>
      </c>
      <c r="V262" s="9" t="e">
        <f ca="1"/>
        <v>#NAME?</v>
      </c>
      <c r="W262" s="9" t="str">
        <f ca="1">IFERROR(__xludf.DUMMYFUNCTION("""COMPUTED_VALUE"""),"")</f>
        <v/>
      </c>
    </row>
    <row r="263" spans="18:23" ht="12.5" x14ac:dyDescent="0.25">
      <c r="R263" s="9" t="str">
        <v/>
      </c>
      <c r="S263" s="9" t="str">
        <f ca="1">IFERROR(__xludf.DUMMYFUNCTION("""COMPUTED_VALUE"""),"")</f>
        <v/>
      </c>
      <c r="T263" s="9" t="str">
        <f ca="1">IFERROR(__xludf.DUMMYFUNCTION("""COMPUTED_VALUE"""),"")</f>
        <v/>
      </c>
      <c r="U263" s="9" t="e">
        <f ca="1"/>
        <v>#NAME?</v>
      </c>
      <c r="V263" s="9" t="e">
        <f ca="1"/>
        <v>#NAME?</v>
      </c>
      <c r="W263" s="9" t="str">
        <f ca="1">IFERROR(__xludf.DUMMYFUNCTION("""COMPUTED_VALUE"""),"")</f>
        <v/>
      </c>
    </row>
    <row r="264" spans="18:23" ht="12.5" x14ac:dyDescent="0.25">
      <c r="R264" s="9" t="str">
        <v/>
      </c>
      <c r="S264" s="9" t="str">
        <f ca="1">IFERROR(__xludf.DUMMYFUNCTION("""COMPUTED_VALUE"""),"")</f>
        <v/>
      </c>
      <c r="T264" s="9" t="str">
        <f ca="1">IFERROR(__xludf.DUMMYFUNCTION("""COMPUTED_VALUE"""),"")</f>
        <v/>
      </c>
      <c r="U264" s="9" t="e">
        <f ca="1"/>
        <v>#NAME?</v>
      </c>
      <c r="V264" s="9" t="e">
        <f ca="1"/>
        <v>#NAME?</v>
      </c>
      <c r="W264" s="9" t="str">
        <f ca="1">IFERROR(__xludf.DUMMYFUNCTION("""COMPUTED_VALUE"""),"")</f>
        <v/>
      </c>
    </row>
    <row r="265" spans="18:23" ht="12.5" x14ac:dyDescent="0.25">
      <c r="R265" s="9" t="str">
        <v/>
      </c>
      <c r="S265" s="9" t="str">
        <f ca="1">IFERROR(__xludf.DUMMYFUNCTION("""COMPUTED_VALUE"""),"")</f>
        <v/>
      </c>
      <c r="T265" s="9" t="str">
        <f ca="1">IFERROR(__xludf.DUMMYFUNCTION("""COMPUTED_VALUE"""),"")</f>
        <v/>
      </c>
      <c r="U265" s="9" t="e">
        <f ca="1"/>
        <v>#NAME?</v>
      </c>
      <c r="V265" s="9" t="e">
        <f ca="1"/>
        <v>#NAME?</v>
      </c>
      <c r="W265" s="9" t="str">
        <f ca="1">IFERROR(__xludf.DUMMYFUNCTION("""COMPUTED_VALUE"""),"")</f>
        <v/>
      </c>
    </row>
    <row r="266" spans="18:23" ht="12.5" x14ac:dyDescent="0.25">
      <c r="R266" s="9" t="str">
        <v/>
      </c>
      <c r="S266" s="9" t="str">
        <f ca="1">IFERROR(__xludf.DUMMYFUNCTION("""COMPUTED_VALUE"""),"")</f>
        <v/>
      </c>
      <c r="T266" s="9" t="str">
        <f ca="1">IFERROR(__xludf.DUMMYFUNCTION("""COMPUTED_VALUE"""),"")</f>
        <v/>
      </c>
      <c r="U266" s="9" t="e">
        <f ca="1"/>
        <v>#NAME?</v>
      </c>
      <c r="V266" s="9" t="e">
        <f ca="1"/>
        <v>#NAME?</v>
      </c>
      <c r="W266" s="9" t="str">
        <f ca="1">IFERROR(__xludf.DUMMYFUNCTION("""COMPUTED_VALUE"""),"")</f>
        <v/>
      </c>
    </row>
    <row r="267" spans="18:23" ht="12.5" x14ac:dyDescent="0.25">
      <c r="R267" s="9" t="str">
        <v/>
      </c>
      <c r="S267" s="9" t="str">
        <f ca="1">IFERROR(__xludf.DUMMYFUNCTION("""COMPUTED_VALUE"""),"")</f>
        <v/>
      </c>
      <c r="T267" s="9" t="str">
        <f ca="1">IFERROR(__xludf.DUMMYFUNCTION("""COMPUTED_VALUE"""),"")</f>
        <v/>
      </c>
      <c r="U267" s="9" t="e">
        <f ca="1"/>
        <v>#NAME?</v>
      </c>
      <c r="V267" s="9" t="e">
        <f ca="1"/>
        <v>#NAME?</v>
      </c>
      <c r="W267" s="9" t="str">
        <f ca="1">IFERROR(__xludf.DUMMYFUNCTION("""COMPUTED_VALUE"""),"")</f>
        <v/>
      </c>
    </row>
    <row r="268" spans="18:23" ht="12.5" x14ac:dyDescent="0.25">
      <c r="R268" s="9" t="str">
        <v/>
      </c>
      <c r="S268" s="9" t="str">
        <f ca="1">IFERROR(__xludf.DUMMYFUNCTION("""COMPUTED_VALUE"""),"")</f>
        <v/>
      </c>
      <c r="T268" s="9" t="str">
        <f ca="1">IFERROR(__xludf.DUMMYFUNCTION("""COMPUTED_VALUE"""),"")</f>
        <v/>
      </c>
      <c r="U268" s="9" t="e">
        <f ca="1"/>
        <v>#NAME?</v>
      </c>
      <c r="V268" s="9" t="e">
        <f ca="1"/>
        <v>#NAME?</v>
      </c>
      <c r="W268" s="9" t="str">
        <f ca="1">IFERROR(__xludf.DUMMYFUNCTION("""COMPUTED_VALUE"""),"")</f>
        <v/>
      </c>
    </row>
    <row r="269" spans="18:23" ht="12.5" x14ac:dyDescent="0.25">
      <c r="R269" s="9" t="str">
        <v/>
      </c>
      <c r="S269" s="9" t="str">
        <f ca="1">IFERROR(__xludf.DUMMYFUNCTION("""COMPUTED_VALUE"""),"")</f>
        <v/>
      </c>
      <c r="T269" s="9" t="str">
        <f ca="1">IFERROR(__xludf.DUMMYFUNCTION("""COMPUTED_VALUE"""),"")</f>
        <v/>
      </c>
      <c r="U269" s="9" t="e">
        <f ca="1"/>
        <v>#NAME?</v>
      </c>
      <c r="V269" s="9" t="e">
        <f ca="1"/>
        <v>#NAME?</v>
      </c>
      <c r="W269" s="9" t="str">
        <f ca="1">IFERROR(__xludf.DUMMYFUNCTION("""COMPUTED_VALUE"""),"")</f>
        <v/>
      </c>
    </row>
    <row r="270" spans="18:23" ht="12.5" x14ac:dyDescent="0.25">
      <c r="R270" s="9" t="str">
        <v/>
      </c>
      <c r="S270" s="9" t="str">
        <f ca="1">IFERROR(__xludf.DUMMYFUNCTION("""COMPUTED_VALUE"""),"")</f>
        <v/>
      </c>
      <c r="T270" s="9" t="str">
        <f ca="1">IFERROR(__xludf.DUMMYFUNCTION("""COMPUTED_VALUE"""),"")</f>
        <v/>
      </c>
      <c r="U270" s="9" t="e">
        <f ca="1"/>
        <v>#NAME?</v>
      </c>
      <c r="V270" s="9" t="e">
        <f ca="1"/>
        <v>#NAME?</v>
      </c>
      <c r="W270" s="9" t="str">
        <f ca="1">IFERROR(__xludf.DUMMYFUNCTION("""COMPUTED_VALUE"""),"")</f>
        <v/>
      </c>
    </row>
    <row r="271" spans="18:23" ht="12.5" x14ac:dyDescent="0.25">
      <c r="R271" s="9" t="str">
        <v/>
      </c>
      <c r="S271" s="9" t="str">
        <f ca="1">IFERROR(__xludf.DUMMYFUNCTION("""COMPUTED_VALUE"""),"")</f>
        <v/>
      </c>
      <c r="T271" s="9" t="str">
        <f ca="1">IFERROR(__xludf.DUMMYFUNCTION("""COMPUTED_VALUE"""),"")</f>
        <v/>
      </c>
      <c r="U271" s="9" t="e">
        <f ca="1"/>
        <v>#NAME?</v>
      </c>
      <c r="V271" s="9" t="e">
        <f ca="1"/>
        <v>#NAME?</v>
      </c>
      <c r="W271" s="9" t="str">
        <f ca="1">IFERROR(__xludf.DUMMYFUNCTION("""COMPUTED_VALUE"""),"")</f>
        <v/>
      </c>
    </row>
    <row r="272" spans="18:23" ht="12.5" x14ac:dyDescent="0.25">
      <c r="R272" s="9" t="str">
        <v/>
      </c>
      <c r="S272" s="9" t="str">
        <f ca="1">IFERROR(__xludf.DUMMYFUNCTION("""COMPUTED_VALUE"""),"")</f>
        <v/>
      </c>
      <c r="T272" s="9" t="str">
        <f ca="1">IFERROR(__xludf.DUMMYFUNCTION("""COMPUTED_VALUE"""),"")</f>
        <v/>
      </c>
      <c r="U272" s="9" t="e">
        <f ca="1"/>
        <v>#NAME?</v>
      </c>
      <c r="V272" s="9" t="e">
        <f ca="1"/>
        <v>#NAME?</v>
      </c>
      <c r="W272" s="9" t="str">
        <f ca="1">IFERROR(__xludf.DUMMYFUNCTION("""COMPUTED_VALUE"""),"")</f>
        <v/>
      </c>
    </row>
    <row r="273" spans="18:23" ht="12.5" x14ac:dyDescent="0.25">
      <c r="R273" s="9" t="str">
        <v/>
      </c>
      <c r="S273" s="9" t="str">
        <f ca="1">IFERROR(__xludf.DUMMYFUNCTION("""COMPUTED_VALUE"""),"")</f>
        <v/>
      </c>
      <c r="T273" s="9" t="str">
        <f ca="1">IFERROR(__xludf.DUMMYFUNCTION("""COMPUTED_VALUE"""),"")</f>
        <v/>
      </c>
      <c r="U273" s="9" t="e">
        <f ca="1"/>
        <v>#NAME?</v>
      </c>
      <c r="V273" s="9" t="e">
        <f ca="1"/>
        <v>#NAME?</v>
      </c>
      <c r="W273" s="9" t="str">
        <f ca="1">IFERROR(__xludf.DUMMYFUNCTION("""COMPUTED_VALUE"""),"")</f>
        <v/>
      </c>
    </row>
    <row r="274" spans="18:23" ht="12.5" x14ac:dyDescent="0.25">
      <c r="R274" s="9" t="str">
        <v/>
      </c>
      <c r="S274" s="9" t="str">
        <f ca="1">IFERROR(__xludf.DUMMYFUNCTION("""COMPUTED_VALUE"""),"")</f>
        <v/>
      </c>
      <c r="T274" s="9" t="str">
        <f ca="1">IFERROR(__xludf.DUMMYFUNCTION("""COMPUTED_VALUE"""),"")</f>
        <v/>
      </c>
      <c r="U274" s="9" t="e">
        <f ca="1"/>
        <v>#NAME?</v>
      </c>
      <c r="V274" s="9" t="e">
        <f ca="1"/>
        <v>#NAME?</v>
      </c>
      <c r="W274" s="9" t="str">
        <f ca="1">IFERROR(__xludf.DUMMYFUNCTION("""COMPUTED_VALUE"""),"")</f>
        <v/>
      </c>
    </row>
    <row r="275" spans="18:23" ht="12.5" x14ac:dyDescent="0.25">
      <c r="R275" s="9" t="str">
        <v/>
      </c>
      <c r="S275" s="9" t="str">
        <f ca="1">IFERROR(__xludf.DUMMYFUNCTION("""COMPUTED_VALUE"""),"")</f>
        <v/>
      </c>
      <c r="T275" s="9" t="str">
        <f ca="1">IFERROR(__xludf.DUMMYFUNCTION("""COMPUTED_VALUE"""),"")</f>
        <v/>
      </c>
      <c r="U275" s="9" t="e">
        <f ca="1"/>
        <v>#NAME?</v>
      </c>
      <c r="V275" s="9" t="e">
        <f ca="1"/>
        <v>#NAME?</v>
      </c>
      <c r="W275" s="9" t="str">
        <f ca="1">IFERROR(__xludf.DUMMYFUNCTION("""COMPUTED_VALUE"""),"")</f>
        <v/>
      </c>
    </row>
    <row r="276" spans="18:23" ht="12.5" x14ac:dyDescent="0.25">
      <c r="R276" s="9" t="str">
        <v/>
      </c>
      <c r="S276" s="9" t="str">
        <f ca="1">IFERROR(__xludf.DUMMYFUNCTION("""COMPUTED_VALUE"""),"")</f>
        <v/>
      </c>
      <c r="T276" s="9" t="str">
        <f ca="1">IFERROR(__xludf.DUMMYFUNCTION("""COMPUTED_VALUE"""),"")</f>
        <v/>
      </c>
      <c r="U276" s="9" t="e">
        <f ca="1"/>
        <v>#NAME?</v>
      </c>
      <c r="V276" s="9" t="e">
        <f ca="1"/>
        <v>#NAME?</v>
      </c>
      <c r="W276" s="9" t="str">
        <f ca="1">IFERROR(__xludf.DUMMYFUNCTION("""COMPUTED_VALUE"""),"")</f>
        <v/>
      </c>
    </row>
    <row r="277" spans="18:23" ht="12.5" x14ac:dyDescent="0.25">
      <c r="R277" s="9" t="str">
        <v/>
      </c>
      <c r="S277" s="9" t="str">
        <f ca="1">IFERROR(__xludf.DUMMYFUNCTION("""COMPUTED_VALUE"""),"")</f>
        <v/>
      </c>
      <c r="T277" s="9" t="str">
        <f ca="1">IFERROR(__xludf.DUMMYFUNCTION("""COMPUTED_VALUE"""),"")</f>
        <v/>
      </c>
      <c r="U277" s="9" t="e">
        <f ca="1"/>
        <v>#NAME?</v>
      </c>
      <c r="V277" s="9" t="e">
        <f ca="1"/>
        <v>#NAME?</v>
      </c>
      <c r="W277" s="9" t="str">
        <f ca="1">IFERROR(__xludf.DUMMYFUNCTION("""COMPUTED_VALUE"""),"")</f>
        <v/>
      </c>
    </row>
    <row r="278" spans="18:23" ht="12.5" x14ac:dyDescent="0.25">
      <c r="R278" s="9" t="str">
        <v/>
      </c>
      <c r="S278" s="9" t="str">
        <f ca="1">IFERROR(__xludf.DUMMYFUNCTION("""COMPUTED_VALUE"""),"")</f>
        <v/>
      </c>
      <c r="T278" s="9" t="str">
        <f ca="1">IFERROR(__xludf.DUMMYFUNCTION("""COMPUTED_VALUE"""),"")</f>
        <v/>
      </c>
      <c r="U278" s="9" t="e">
        <f ca="1"/>
        <v>#NAME?</v>
      </c>
      <c r="V278" s="9" t="e">
        <f ca="1"/>
        <v>#NAME?</v>
      </c>
      <c r="W278" s="9" t="str">
        <f ca="1">IFERROR(__xludf.DUMMYFUNCTION("""COMPUTED_VALUE"""),"")</f>
        <v/>
      </c>
    </row>
    <row r="279" spans="18:23" ht="12.5" x14ac:dyDescent="0.25">
      <c r="R279" s="9" t="str">
        <v/>
      </c>
      <c r="S279" s="9" t="str">
        <f ca="1">IFERROR(__xludf.DUMMYFUNCTION("""COMPUTED_VALUE"""),"")</f>
        <v/>
      </c>
      <c r="T279" s="9" t="str">
        <f ca="1">IFERROR(__xludf.DUMMYFUNCTION("""COMPUTED_VALUE"""),"")</f>
        <v/>
      </c>
      <c r="U279" s="9" t="e">
        <f ca="1"/>
        <v>#NAME?</v>
      </c>
      <c r="V279" s="9" t="e">
        <f ca="1"/>
        <v>#NAME?</v>
      </c>
      <c r="W279" s="9" t="str">
        <f ca="1">IFERROR(__xludf.DUMMYFUNCTION("""COMPUTED_VALUE"""),"")</f>
        <v/>
      </c>
    </row>
    <row r="280" spans="18:23" ht="12.5" x14ac:dyDescent="0.25">
      <c r="R280" s="9" t="str">
        <v/>
      </c>
      <c r="S280" s="9" t="str">
        <f ca="1">IFERROR(__xludf.DUMMYFUNCTION("""COMPUTED_VALUE"""),"")</f>
        <v/>
      </c>
      <c r="T280" s="9" t="str">
        <f ca="1">IFERROR(__xludf.DUMMYFUNCTION("""COMPUTED_VALUE"""),"")</f>
        <v/>
      </c>
      <c r="U280" s="9" t="e">
        <f ca="1"/>
        <v>#NAME?</v>
      </c>
      <c r="V280" s="9" t="e">
        <f ca="1"/>
        <v>#NAME?</v>
      </c>
      <c r="W280" s="9" t="str">
        <f ca="1">IFERROR(__xludf.DUMMYFUNCTION("""COMPUTED_VALUE"""),"")</f>
        <v/>
      </c>
    </row>
    <row r="281" spans="18:23" ht="12.5" x14ac:dyDescent="0.25">
      <c r="R281" s="9" t="str">
        <v/>
      </c>
      <c r="S281" s="9" t="str">
        <f ca="1">IFERROR(__xludf.DUMMYFUNCTION("""COMPUTED_VALUE"""),"")</f>
        <v/>
      </c>
      <c r="T281" s="9" t="str">
        <f ca="1">IFERROR(__xludf.DUMMYFUNCTION("""COMPUTED_VALUE"""),"")</f>
        <v/>
      </c>
      <c r="U281" s="9" t="e">
        <f ca="1"/>
        <v>#NAME?</v>
      </c>
      <c r="V281" s="9" t="e">
        <f ca="1"/>
        <v>#NAME?</v>
      </c>
      <c r="W281" s="9" t="str">
        <f ca="1">IFERROR(__xludf.DUMMYFUNCTION("""COMPUTED_VALUE"""),"")</f>
        <v/>
      </c>
    </row>
    <row r="282" spans="18:23" ht="12.5" x14ac:dyDescent="0.25">
      <c r="R282" s="9" t="str">
        <v/>
      </c>
      <c r="S282" s="9" t="str">
        <f ca="1">IFERROR(__xludf.DUMMYFUNCTION("""COMPUTED_VALUE"""),"")</f>
        <v/>
      </c>
      <c r="T282" s="9" t="str">
        <f ca="1">IFERROR(__xludf.DUMMYFUNCTION("""COMPUTED_VALUE"""),"")</f>
        <v/>
      </c>
      <c r="U282" s="9" t="e">
        <f ca="1"/>
        <v>#NAME?</v>
      </c>
      <c r="V282" s="9" t="e">
        <f ca="1"/>
        <v>#NAME?</v>
      </c>
      <c r="W282" s="9" t="str">
        <f ca="1">IFERROR(__xludf.DUMMYFUNCTION("""COMPUTED_VALUE"""),"")</f>
        <v/>
      </c>
    </row>
    <row r="283" spans="18:23" ht="12.5" x14ac:dyDescent="0.25">
      <c r="R283" s="9" t="str">
        <v/>
      </c>
      <c r="S283" s="9" t="str">
        <f ca="1">IFERROR(__xludf.DUMMYFUNCTION("""COMPUTED_VALUE"""),"")</f>
        <v/>
      </c>
      <c r="T283" s="9" t="str">
        <f ca="1">IFERROR(__xludf.DUMMYFUNCTION("""COMPUTED_VALUE"""),"")</f>
        <v/>
      </c>
      <c r="U283" s="9" t="e">
        <f ca="1"/>
        <v>#NAME?</v>
      </c>
      <c r="V283" s="9" t="e">
        <f ca="1"/>
        <v>#NAME?</v>
      </c>
      <c r="W283" s="9" t="str">
        <f ca="1">IFERROR(__xludf.DUMMYFUNCTION("""COMPUTED_VALUE"""),"")</f>
        <v/>
      </c>
    </row>
    <row r="284" spans="18:23" ht="12.5" x14ac:dyDescent="0.25">
      <c r="R284" s="9" t="str">
        <v/>
      </c>
      <c r="S284" s="9" t="str">
        <f ca="1">IFERROR(__xludf.DUMMYFUNCTION("""COMPUTED_VALUE"""),"")</f>
        <v/>
      </c>
      <c r="T284" s="9" t="str">
        <f ca="1">IFERROR(__xludf.DUMMYFUNCTION("""COMPUTED_VALUE"""),"")</f>
        <v/>
      </c>
      <c r="U284" s="9" t="e">
        <f ca="1"/>
        <v>#NAME?</v>
      </c>
      <c r="V284" s="9" t="e">
        <f ca="1"/>
        <v>#NAME?</v>
      </c>
      <c r="W284" s="9" t="str">
        <f ca="1">IFERROR(__xludf.DUMMYFUNCTION("""COMPUTED_VALUE"""),"")</f>
        <v/>
      </c>
    </row>
    <row r="285" spans="18:23" ht="12.5" x14ac:dyDescent="0.25">
      <c r="R285" s="9" t="str">
        <v/>
      </c>
      <c r="S285" s="9" t="str">
        <f ca="1">IFERROR(__xludf.DUMMYFUNCTION("""COMPUTED_VALUE"""),"")</f>
        <v/>
      </c>
      <c r="T285" s="9" t="str">
        <f ca="1">IFERROR(__xludf.DUMMYFUNCTION("""COMPUTED_VALUE"""),"")</f>
        <v/>
      </c>
      <c r="U285" s="9" t="e">
        <f ca="1"/>
        <v>#NAME?</v>
      </c>
      <c r="V285" s="9" t="e">
        <f ca="1"/>
        <v>#NAME?</v>
      </c>
      <c r="W285" s="9" t="str">
        <f ca="1">IFERROR(__xludf.DUMMYFUNCTION("""COMPUTED_VALUE"""),"")</f>
        <v/>
      </c>
    </row>
    <row r="286" spans="18:23" ht="12.5" x14ac:dyDescent="0.25">
      <c r="R286" s="9" t="str">
        <v/>
      </c>
      <c r="S286" s="9" t="str">
        <f ca="1">IFERROR(__xludf.DUMMYFUNCTION("""COMPUTED_VALUE"""),"")</f>
        <v/>
      </c>
      <c r="T286" s="9" t="str">
        <f ca="1">IFERROR(__xludf.DUMMYFUNCTION("""COMPUTED_VALUE"""),"")</f>
        <v/>
      </c>
      <c r="U286" s="9" t="e">
        <f ca="1"/>
        <v>#NAME?</v>
      </c>
      <c r="V286" s="9" t="e">
        <f ca="1"/>
        <v>#NAME?</v>
      </c>
      <c r="W286" s="9" t="str">
        <f ca="1">IFERROR(__xludf.DUMMYFUNCTION("""COMPUTED_VALUE"""),"")</f>
        <v/>
      </c>
    </row>
    <row r="287" spans="18:23" ht="12.5" x14ac:dyDescent="0.25">
      <c r="R287" s="9" t="str">
        <v/>
      </c>
      <c r="S287" s="9" t="str">
        <f ca="1">IFERROR(__xludf.DUMMYFUNCTION("""COMPUTED_VALUE"""),"")</f>
        <v/>
      </c>
      <c r="T287" s="9" t="str">
        <f ca="1">IFERROR(__xludf.DUMMYFUNCTION("""COMPUTED_VALUE"""),"")</f>
        <v/>
      </c>
      <c r="U287" s="9" t="e">
        <f ca="1"/>
        <v>#NAME?</v>
      </c>
      <c r="V287" s="9" t="e">
        <f ca="1"/>
        <v>#NAME?</v>
      </c>
      <c r="W287" s="9" t="str">
        <f ca="1">IFERROR(__xludf.DUMMYFUNCTION("""COMPUTED_VALUE"""),"")</f>
        <v/>
      </c>
    </row>
    <row r="288" spans="18:23" ht="12.5" x14ac:dyDescent="0.25">
      <c r="R288" s="9" t="str">
        <v/>
      </c>
      <c r="S288" s="9" t="str">
        <f ca="1">IFERROR(__xludf.DUMMYFUNCTION("""COMPUTED_VALUE"""),"")</f>
        <v/>
      </c>
      <c r="T288" s="9" t="str">
        <f ca="1">IFERROR(__xludf.DUMMYFUNCTION("""COMPUTED_VALUE"""),"")</f>
        <v/>
      </c>
      <c r="U288" s="9" t="e">
        <f ca="1"/>
        <v>#NAME?</v>
      </c>
      <c r="V288" s="9" t="e">
        <f ca="1"/>
        <v>#NAME?</v>
      </c>
      <c r="W288" s="9" t="str">
        <f ca="1">IFERROR(__xludf.DUMMYFUNCTION("""COMPUTED_VALUE"""),"")</f>
        <v/>
      </c>
    </row>
    <row r="289" spans="18:23" ht="12.5" x14ac:dyDescent="0.25">
      <c r="R289" s="9" t="str">
        <v/>
      </c>
      <c r="S289" s="9" t="str">
        <f ca="1">IFERROR(__xludf.DUMMYFUNCTION("""COMPUTED_VALUE"""),"")</f>
        <v/>
      </c>
      <c r="T289" s="9" t="str">
        <f ca="1">IFERROR(__xludf.DUMMYFUNCTION("""COMPUTED_VALUE"""),"")</f>
        <v/>
      </c>
      <c r="U289" s="9" t="e">
        <f ca="1"/>
        <v>#NAME?</v>
      </c>
      <c r="V289" s="9" t="e">
        <f ca="1"/>
        <v>#NAME?</v>
      </c>
      <c r="W289" s="9" t="str">
        <f ca="1">IFERROR(__xludf.DUMMYFUNCTION("""COMPUTED_VALUE"""),"")</f>
        <v/>
      </c>
    </row>
    <row r="290" spans="18:23" ht="12.5" x14ac:dyDescent="0.25">
      <c r="R290" s="9" t="str">
        <v/>
      </c>
      <c r="S290" s="9" t="str">
        <f ca="1">IFERROR(__xludf.DUMMYFUNCTION("""COMPUTED_VALUE"""),"")</f>
        <v/>
      </c>
      <c r="T290" s="9" t="str">
        <f ca="1">IFERROR(__xludf.DUMMYFUNCTION("""COMPUTED_VALUE"""),"")</f>
        <v/>
      </c>
      <c r="U290" s="9" t="e">
        <f ca="1"/>
        <v>#NAME?</v>
      </c>
      <c r="V290" s="9" t="e">
        <f ca="1"/>
        <v>#NAME?</v>
      </c>
      <c r="W290" s="9" t="str">
        <f ca="1">IFERROR(__xludf.DUMMYFUNCTION("""COMPUTED_VALUE"""),"")</f>
        <v/>
      </c>
    </row>
    <row r="291" spans="18:23" ht="12.5" x14ac:dyDescent="0.25">
      <c r="R291" s="9" t="str">
        <v/>
      </c>
      <c r="S291" s="9" t="str">
        <f ca="1">IFERROR(__xludf.DUMMYFUNCTION("""COMPUTED_VALUE"""),"")</f>
        <v/>
      </c>
      <c r="T291" s="9" t="str">
        <f ca="1">IFERROR(__xludf.DUMMYFUNCTION("""COMPUTED_VALUE"""),"")</f>
        <v/>
      </c>
      <c r="U291" s="9" t="e">
        <f ca="1"/>
        <v>#NAME?</v>
      </c>
      <c r="V291" s="9" t="e">
        <f ca="1"/>
        <v>#NAME?</v>
      </c>
      <c r="W291" s="9" t="str">
        <f ca="1">IFERROR(__xludf.DUMMYFUNCTION("""COMPUTED_VALUE"""),"")</f>
        <v/>
      </c>
    </row>
    <row r="292" spans="18:23" ht="12.5" x14ac:dyDescent="0.25">
      <c r="R292" s="9" t="str">
        <v/>
      </c>
      <c r="S292" s="9" t="str">
        <f ca="1">IFERROR(__xludf.DUMMYFUNCTION("""COMPUTED_VALUE"""),"")</f>
        <v/>
      </c>
      <c r="T292" s="9" t="str">
        <f ca="1">IFERROR(__xludf.DUMMYFUNCTION("""COMPUTED_VALUE"""),"")</f>
        <v/>
      </c>
      <c r="U292" s="9" t="e">
        <f ca="1"/>
        <v>#NAME?</v>
      </c>
      <c r="V292" s="9" t="e">
        <f ca="1"/>
        <v>#NAME?</v>
      </c>
      <c r="W292" s="9" t="str">
        <f ca="1">IFERROR(__xludf.DUMMYFUNCTION("""COMPUTED_VALUE"""),"")</f>
        <v/>
      </c>
    </row>
    <row r="293" spans="18:23" ht="12.5" x14ac:dyDescent="0.25">
      <c r="R293" s="9" t="str">
        <v/>
      </c>
      <c r="S293" s="9" t="str">
        <f ca="1">IFERROR(__xludf.DUMMYFUNCTION("""COMPUTED_VALUE"""),"")</f>
        <v/>
      </c>
      <c r="T293" s="9" t="str">
        <f ca="1">IFERROR(__xludf.DUMMYFUNCTION("""COMPUTED_VALUE"""),"")</f>
        <v/>
      </c>
      <c r="U293" s="9" t="e">
        <f ca="1"/>
        <v>#NAME?</v>
      </c>
      <c r="V293" s="9" t="e">
        <f ca="1"/>
        <v>#NAME?</v>
      </c>
      <c r="W293" s="9" t="str">
        <f ca="1">IFERROR(__xludf.DUMMYFUNCTION("""COMPUTED_VALUE"""),"")</f>
        <v/>
      </c>
    </row>
    <row r="294" spans="18:23" ht="12.5" x14ac:dyDescent="0.25">
      <c r="R294" s="9" t="str">
        <v/>
      </c>
      <c r="S294" s="9" t="str">
        <f ca="1">IFERROR(__xludf.DUMMYFUNCTION("""COMPUTED_VALUE"""),"")</f>
        <v/>
      </c>
      <c r="T294" s="9" t="str">
        <f ca="1">IFERROR(__xludf.DUMMYFUNCTION("""COMPUTED_VALUE"""),"")</f>
        <v/>
      </c>
      <c r="U294" s="9" t="e">
        <f ca="1"/>
        <v>#NAME?</v>
      </c>
      <c r="V294" s="9" t="e">
        <f ca="1"/>
        <v>#NAME?</v>
      </c>
      <c r="W294" s="9" t="str">
        <f ca="1">IFERROR(__xludf.DUMMYFUNCTION("""COMPUTED_VALUE"""),"")</f>
        <v/>
      </c>
    </row>
    <row r="295" spans="18:23" ht="12.5" x14ac:dyDescent="0.25">
      <c r="R295" s="9" t="str">
        <v/>
      </c>
      <c r="S295" s="9" t="str">
        <f ca="1">IFERROR(__xludf.DUMMYFUNCTION("""COMPUTED_VALUE"""),"")</f>
        <v/>
      </c>
      <c r="T295" s="9" t="str">
        <f ca="1">IFERROR(__xludf.DUMMYFUNCTION("""COMPUTED_VALUE"""),"")</f>
        <v/>
      </c>
      <c r="U295" s="9" t="e">
        <f ca="1"/>
        <v>#NAME?</v>
      </c>
      <c r="V295" s="9" t="e">
        <f ca="1"/>
        <v>#NAME?</v>
      </c>
      <c r="W295" s="9" t="str">
        <f ca="1">IFERROR(__xludf.DUMMYFUNCTION("""COMPUTED_VALUE"""),"")</f>
        <v/>
      </c>
    </row>
    <row r="296" spans="18:23" ht="12.5" x14ac:dyDescent="0.25">
      <c r="R296" s="9" t="str">
        <v/>
      </c>
      <c r="S296" s="9" t="str">
        <f ca="1">IFERROR(__xludf.DUMMYFUNCTION("""COMPUTED_VALUE"""),"")</f>
        <v/>
      </c>
      <c r="T296" s="9" t="str">
        <f ca="1">IFERROR(__xludf.DUMMYFUNCTION("""COMPUTED_VALUE"""),"")</f>
        <v/>
      </c>
      <c r="U296" s="9" t="e">
        <f ca="1"/>
        <v>#NAME?</v>
      </c>
      <c r="V296" s="9" t="e">
        <f ca="1"/>
        <v>#NAME?</v>
      </c>
      <c r="W296" s="9" t="str">
        <f ca="1">IFERROR(__xludf.DUMMYFUNCTION("""COMPUTED_VALUE"""),"")</f>
        <v/>
      </c>
    </row>
    <row r="297" spans="18:23" ht="12.5" x14ac:dyDescent="0.25">
      <c r="R297" s="9" t="str">
        <v/>
      </c>
      <c r="S297" s="9" t="str">
        <f ca="1">IFERROR(__xludf.DUMMYFUNCTION("""COMPUTED_VALUE"""),"")</f>
        <v/>
      </c>
      <c r="T297" s="9" t="str">
        <f ca="1">IFERROR(__xludf.DUMMYFUNCTION("""COMPUTED_VALUE"""),"")</f>
        <v/>
      </c>
      <c r="U297" s="9" t="e">
        <f ca="1"/>
        <v>#NAME?</v>
      </c>
      <c r="V297" s="9" t="e">
        <f ca="1"/>
        <v>#NAME?</v>
      </c>
      <c r="W297" s="9" t="str">
        <f ca="1">IFERROR(__xludf.DUMMYFUNCTION("""COMPUTED_VALUE"""),"")</f>
        <v/>
      </c>
    </row>
    <row r="298" spans="18:23" ht="12.5" x14ac:dyDescent="0.25">
      <c r="R298" s="9" t="str">
        <v/>
      </c>
      <c r="S298" s="9" t="str">
        <f ca="1">IFERROR(__xludf.DUMMYFUNCTION("""COMPUTED_VALUE"""),"")</f>
        <v/>
      </c>
      <c r="T298" s="9" t="str">
        <f ca="1">IFERROR(__xludf.DUMMYFUNCTION("""COMPUTED_VALUE"""),"")</f>
        <v/>
      </c>
      <c r="U298" s="9" t="e">
        <f ca="1"/>
        <v>#NAME?</v>
      </c>
      <c r="V298" s="9" t="e">
        <f ca="1"/>
        <v>#NAME?</v>
      </c>
      <c r="W298" s="9" t="str">
        <f ca="1">IFERROR(__xludf.DUMMYFUNCTION("""COMPUTED_VALUE"""),"")</f>
        <v/>
      </c>
    </row>
    <row r="299" spans="18:23" ht="12.5" x14ac:dyDescent="0.25">
      <c r="R299" s="9" t="str">
        <v/>
      </c>
      <c r="S299" s="9" t="str">
        <f ca="1">IFERROR(__xludf.DUMMYFUNCTION("""COMPUTED_VALUE"""),"")</f>
        <v/>
      </c>
      <c r="T299" s="9" t="str">
        <f ca="1">IFERROR(__xludf.DUMMYFUNCTION("""COMPUTED_VALUE"""),"")</f>
        <v/>
      </c>
      <c r="U299" s="9" t="e">
        <f ca="1"/>
        <v>#NAME?</v>
      </c>
      <c r="V299" s="9" t="e">
        <f ca="1"/>
        <v>#NAME?</v>
      </c>
      <c r="W299" s="9" t="str">
        <f ca="1">IFERROR(__xludf.DUMMYFUNCTION("""COMPUTED_VALUE"""),"")</f>
        <v/>
      </c>
    </row>
    <row r="300" spans="18:23" ht="12.5" x14ac:dyDescent="0.25">
      <c r="R300" s="9" t="str">
        <v/>
      </c>
      <c r="S300" s="9" t="str">
        <f ca="1">IFERROR(__xludf.DUMMYFUNCTION("""COMPUTED_VALUE"""),"")</f>
        <v/>
      </c>
      <c r="T300" s="9" t="str">
        <f ca="1">IFERROR(__xludf.DUMMYFUNCTION("""COMPUTED_VALUE"""),"")</f>
        <v/>
      </c>
      <c r="U300" s="9" t="e">
        <f ca="1"/>
        <v>#NAME?</v>
      </c>
      <c r="V300" s="9" t="e">
        <f ca="1"/>
        <v>#NAME?</v>
      </c>
      <c r="W300" s="9" t="str">
        <f ca="1">IFERROR(__xludf.DUMMYFUNCTION("""COMPUTED_VALUE"""),"")</f>
        <v/>
      </c>
    </row>
    <row r="301" spans="18:23" ht="12.5" x14ac:dyDescent="0.25">
      <c r="R301" s="9" t="str">
        <v/>
      </c>
      <c r="S301" s="9" t="str">
        <f ca="1">IFERROR(__xludf.DUMMYFUNCTION("""COMPUTED_VALUE"""),"")</f>
        <v/>
      </c>
      <c r="T301" s="9" t="str">
        <f ca="1">IFERROR(__xludf.DUMMYFUNCTION("""COMPUTED_VALUE"""),"")</f>
        <v/>
      </c>
      <c r="U301" s="9" t="e">
        <f ca="1"/>
        <v>#NAME?</v>
      </c>
      <c r="V301" s="9" t="e">
        <f ca="1"/>
        <v>#NAME?</v>
      </c>
      <c r="W301" s="9" t="str">
        <f ca="1">IFERROR(__xludf.DUMMYFUNCTION("""COMPUTED_VALUE"""),"")</f>
        <v/>
      </c>
    </row>
    <row r="302" spans="18:23" ht="12.5" x14ac:dyDescent="0.25">
      <c r="R302" s="9" t="str">
        <v/>
      </c>
      <c r="S302" s="9" t="str">
        <f ca="1">IFERROR(__xludf.DUMMYFUNCTION("""COMPUTED_VALUE"""),"")</f>
        <v/>
      </c>
      <c r="T302" s="9" t="str">
        <f ca="1">IFERROR(__xludf.DUMMYFUNCTION("""COMPUTED_VALUE"""),"")</f>
        <v/>
      </c>
      <c r="U302" s="9" t="e">
        <f ca="1"/>
        <v>#NAME?</v>
      </c>
      <c r="V302" s="9" t="e">
        <f ca="1"/>
        <v>#NAME?</v>
      </c>
      <c r="W302" s="9" t="str">
        <f ca="1">IFERROR(__xludf.DUMMYFUNCTION("""COMPUTED_VALUE"""),"")</f>
        <v/>
      </c>
    </row>
    <row r="303" spans="18:23" ht="12.5" x14ac:dyDescent="0.25">
      <c r="R303" s="9" t="str">
        <v/>
      </c>
      <c r="S303" s="9" t="str">
        <f ca="1">IFERROR(__xludf.DUMMYFUNCTION("""COMPUTED_VALUE"""),"")</f>
        <v/>
      </c>
      <c r="T303" s="9" t="str">
        <f ca="1">IFERROR(__xludf.DUMMYFUNCTION("""COMPUTED_VALUE"""),"")</f>
        <v/>
      </c>
      <c r="U303" s="9" t="e">
        <f ca="1"/>
        <v>#NAME?</v>
      </c>
      <c r="V303" s="9" t="e">
        <f ca="1"/>
        <v>#NAME?</v>
      </c>
      <c r="W303" s="9" t="str">
        <f ca="1">IFERROR(__xludf.DUMMYFUNCTION("""COMPUTED_VALUE"""),"")</f>
        <v/>
      </c>
    </row>
    <row r="304" spans="18:23" ht="12.5" x14ac:dyDescent="0.25">
      <c r="R304" s="9" t="str">
        <v/>
      </c>
      <c r="S304" s="9" t="str">
        <f ca="1">IFERROR(__xludf.DUMMYFUNCTION("""COMPUTED_VALUE"""),"")</f>
        <v/>
      </c>
      <c r="T304" s="9" t="str">
        <f ca="1">IFERROR(__xludf.DUMMYFUNCTION("""COMPUTED_VALUE"""),"")</f>
        <v/>
      </c>
      <c r="U304" s="9" t="e">
        <f ca="1"/>
        <v>#NAME?</v>
      </c>
      <c r="V304" s="9" t="e">
        <f ca="1"/>
        <v>#NAME?</v>
      </c>
      <c r="W304" s="9" t="str">
        <f ca="1">IFERROR(__xludf.DUMMYFUNCTION("""COMPUTED_VALUE"""),"")</f>
        <v/>
      </c>
    </row>
    <row r="305" spans="18:23" ht="12.5" x14ac:dyDescent="0.25">
      <c r="R305" s="9" t="str">
        <v/>
      </c>
      <c r="S305" s="9" t="str">
        <f ca="1">IFERROR(__xludf.DUMMYFUNCTION("""COMPUTED_VALUE"""),"")</f>
        <v/>
      </c>
      <c r="T305" s="9" t="str">
        <f ca="1">IFERROR(__xludf.DUMMYFUNCTION("""COMPUTED_VALUE"""),"")</f>
        <v/>
      </c>
      <c r="U305" s="9" t="e">
        <f ca="1"/>
        <v>#NAME?</v>
      </c>
      <c r="V305" s="9" t="e">
        <f ca="1"/>
        <v>#NAME?</v>
      </c>
      <c r="W305" s="9" t="str">
        <f ca="1">IFERROR(__xludf.DUMMYFUNCTION("""COMPUTED_VALUE"""),"")</f>
        <v/>
      </c>
    </row>
    <row r="306" spans="18:23" ht="12.5" x14ac:dyDescent="0.25">
      <c r="R306" s="9" t="str">
        <v/>
      </c>
      <c r="S306" s="9" t="str">
        <f ca="1">IFERROR(__xludf.DUMMYFUNCTION("""COMPUTED_VALUE"""),"")</f>
        <v/>
      </c>
      <c r="T306" s="9" t="str">
        <f ca="1">IFERROR(__xludf.DUMMYFUNCTION("""COMPUTED_VALUE"""),"")</f>
        <v/>
      </c>
      <c r="U306" s="9" t="e">
        <f ca="1"/>
        <v>#NAME?</v>
      </c>
      <c r="V306" s="9" t="e">
        <f ca="1"/>
        <v>#NAME?</v>
      </c>
      <c r="W306" s="9" t="str">
        <f ca="1">IFERROR(__xludf.DUMMYFUNCTION("""COMPUTED_VALUE"""),"")</f>
        <v/>
      </c>
    </row>
    <row r="307" spans="18:23" ht="12.5" x14ac:dyDescent="0.25">
      <c r="R307" s="9" t="str">
        <v/>
      </c>
      <c r="S307" s="9" t="str">
        <f ca="1">IFERROR(__xludf.DUMMYFUNCTION("""COMPUTED_VALUE"""),"")</f>
        <v/>
      </c>
      <c r="T307" s="9" t="str">
        <f ca="1">IFERROR(__xludf.DUMMYFUNCTION("""COMPUTED_VALUE"""),"")</f>
        <v/>
      </c>
      <c r="U307" s="9" t="e">
        <f ca="1"/>
        <v>#NAME?</v>
      </c>
      <c r="V307" s="9" t="e">
        <f ca="1"/>
        <v>#NAME?</v>
      </c>
      <c r="W307" s="9" t="str">
        <f ca="1">IFERROR(__xludf.DUMMYFUNCTION("""COMPUTED_VALUE"""),"")</f>
        <v/>
      </c>
    </row>
    <row r="308" spans="18:23" ht="12.5" x14ac:dyDescent="0.25">
      <c r="R308" s="9" t="str">
        <v/>
      </c>
      <c r="S308" s="9" t="str">
        <f ca="1">IFERROR(__xludf.DUMMYFUNCTION("""COMPUTED_VALUE"""),"")</f>
        <v/>
      </c>
      <c r="T308" s="9" t="str">
        <f ca="1">IFERROR(__xludf.DUMMYFUNCTION("""COMPUTED_VALUE"""),"")</f>
        <v/>
      </c>
      <c r="U308" s="9" t="e">
        <f ca="1"/>
        <v>#NAME?</v>
      </c>
      <c r="V308" s="9" t="e">
        <f ca="1"/>
        <v>#NAME?</v>
      </c>
      <c r="W308" s="9" t="str">
        <f ca="1">IFERROR(__xludf.DUMMYFUNCTION("""COMPUTED_VALUE"""),"")</f>
        <v/>
      </c>
    </row>
    <row r="309" spans="18:23" ht="12.5" x14ac:dyDescent="0.25">
      <c r="R309" s="9" t="str">
        <v/>
      </c>
      <c r="S309" s="9" t="str">
        <f ca="1">IFERROR(__xludf.DUMMYFUNCTION("""COMPUTED_VALUE"""),"")</f>
        <v/>
      </c>
      <c r="T309" s="9" t="str">
        <f ca="1">IFERROR(__xludf.DUMMYFUNCTION("""COMPUTED_VALUE"""),"")</f>
        <v/>
      </c>
      <c r="U309" s="9" t="e">
        <f ca="1"/>
        <v>#NAME?</v>
      </c>
      <c r="V309" s="9" t="e">
        <f ca="1"/>
        <v>#NAME?</v>
      </c>
      <c r="W309" s="9" t="str">
        <f ca="1">IFERROR(__xludf.DUMMYFUNCTION("""COMPUTED_VALUE"""),"")</f>
        <v/>
      </c>
    </row>
    <row r="310" spans="18:23" ht="12.5" x14ac:dyDescent="0.25">
      <c r="R310" s="9" t="str">
        <v/>
      </c>
      <c r="S310" s="9" t="str">
        <f ca="1">IFERROR(__xludf.DUMMYFUNCTION("""COMPUTED_VALUE"""),"")</f>
        <v/>
      </c>
      <c r="T310" s="9" t="str">
        <f ca="1">IFERROR(__xludf.DUMMYFUNCTION("""COMPUTED_VALUE"""),"")</f>
        <v/>
      </c>
      <c r="U310" s="9" t="e">
        <f ca="1"/>
        <v>#NAME?</v>
      </c>
      <c r="V310" s="9" t="e">
        <f ca="1"/>
        <v>#NAME?</v>
      </c>
      <c r="W310" s="9" t="str">
        <f ca="1">IFERROR(__xludf.DUMMYFUNCTION("""COMPUTED_VALUE"""),"")</f>
        <v/>
      </c>
    </row>
    <row r="311" spans="18:23" ht="12.5" x14ac:dyDescent="0.25">
      <c r="R311" s="9" t="str">
        <v/>
      </c>
      <c r="S311" s="9" t="str">
        <f ca="1">IFERROR(__xludf.DUMMYFUNCTION("""COMPUTED_VALUE"""),"")</f>
        <v/>
      </c>
      <c r="T311" s="9" t="str">
        <f ca="1">IFERROR(__xludf.DUMMYFUNCTION("""COMPUTED_VALUE"""),"")</f>
        <v/>
      </c>
      <c r="U311" s="9" t="e">
        <f ca="1"/>
        <v>#NAME?</v>
      </c>
      <c r="V311" s="9" t="e">
        <f ca="1"/>
        <v>#NAME?</v>
      </c>
      <c r="W311" s="9" t="str">
        <f ca="1">IFERROR(__xludf.DUMMYFUNCTION("""COMPUTED_VALUE"""),"")</f>
        <v/>
      </c>
    </row>
    <row r="312" spans="18:23" ht="12.5" x14ac:dyDescent="0.25">
      <c r="R312" s="9" t="str">
        <v/>
      </c>
      <c r="S312" s="9" t="str">
        <f ca="1">IFERROR(__xludf.DUMMYFUNCTION("""COMPUTED_VALUE"""),"")</f>
        <v/>
      </c>
      <c r="T312" s="9" t="str">
        <f ca="1">IFERROR(__xludf.DUMMYFUNCTION("""COMPUTED_VALUE"""),"")</f>
        <v/>
      </c>
      <c r="U312" s="9" t="e">
        <f ca="1"/>
        <v>#NAME?</v>
      </c>
      <c r="V312" s="9" t="e">
        <f ca="1"/>
        <v>#NAME?</v>
      </c>
      <c r="W312" s="9" t="str">
        <f ca="1">IFERROR(__xludf.DUMMYFUNCTION("""COMPUTED_VALUE"""),"")</f>
        <v/>
      </c>
    </row>
    <row r="313" spans="18:23" ht="12.5" x14ac:dyDescent="0.25">
      <c r="R313" s="9" t="str">
        <v/>
      </c>
      <c r="S313" s="9" t="str">
        <f ca="1">IFERROR(__xludf.DUMMYFUNCTION("""COMPUTED_VALUE"""),"")</f>
        <v/>
      </c>
      <c r="T313" s="9" t="str">
        <f ca="1">IFERROR(__xludf.DUMMYFUNCTION("""COMPUTED_VALUE"""),"")</f>
        <v/>
      </c>
      <c r="U313" s="9" t="e">
        <f ca="1"/>
        <v>#NAME?</v>
      </c>
      <c r="V313" s="9" t="e">
        <f ca="1"/>
        <v>#NAME?</v>
      </c>
      <c r="W313" s="9" t="str">
        <f ca="1">IFERROR(__xludf.DUMMYFUNCTION("""COMPUTED_VALUE"""),"")</f>
        <v/>
      </c>
    </row>
    <row r="314" spans="18:23" ht="12.5" x14ac:dyDescent="0.25">
      <c r="R314" s="9" t="str">
        <v/>
      </c>
      <c r="S314" s="9" t="str">
        <f ca="1">IFERROR(__xludf.DUMMYFUNCTION("""COMPUTED_VALUE"""),"")</f>
        <v/>
      </c>
      <c r="T314" s="9" t="str">
        <f ca="1">IFERROR(__xludf.DUMMYFUNCTION("""COMPUTED_VALUE"""),"")</f>
        <v/>
      </c>
      <c r="U314" s="9" t="e">
        <f ca="1"/>
        <v>#NAME?</v>
      </c>
      <c r="V314" s="9" t="e">
        <f ca="1"/>
        <v>#NAME?</v>
      </c>
      <c r="W314" s="9" t="str">
        <f ca="1">IFERROR(__xludf.DUMMYFUNCTION("""COMPUTED_VALUE"""),"")</f>
        <v/>
      </c>
    </row>
    <row r="315" spans="18:23" ht="12.5" x14ac:dyDescent="0.25">
      <c r="R315" s="9" t="str">
        <v/>
      </c>
      <c r="S315" s="9" t="str">
        <f ca="1">IFERROR(__xludf.DUMMYFUNCTION("""COMPUTED_VALUE"""),"")</f>
        <v/>
      </c>
      <c r="T315" s="9" t="str">
        <f ca="1">IFERROR(__xludf.DUMMYFUNCTION("""COMPUTED_VALUE"""),"")</f>
        <v/>
      </c>
      <c r="U315" s="9" t="e">
        <f ca="1"/>
        <v>#NAME?</v>
      </c>
      <c r="V315" s="9" t="e">
        <f ca="1"/>
        <v>#NAME?</v>
      </c>
      <c r="W315" s="9" t="str">
        <f ca="1">IFERROR(__xludf.DUMMYFUNCTION("""COMPUTED_VALUE"""),"")</f>
        <v/>
      </c>
    </row>
    <row r="316" spans="18:23" ht="12.5" x14ac:dyDescent="0.25">
      <c r="R316" s="9" t="str">
        <v/>
      </c>
      <c r="S316" s="9" t="str">
        <f ca="1">IFERROR(__xludf.DUMMYFUNCTION("""COMPUTED_VALUE"""),"")</f>
        <v/>
      </c>
      <c r="T316" s="9" t="str">
        <f ca="1">IFERROR(__xludf.DUMMYFUNCTION("""COMPUTED_VALUE"""),"")</f>
        <v/>
      </c>
      <c r="U316" s="9" t="e">
        <f ca="1"/>
        <v>#NAME?</v>
      </c>
      <c r="V316" s="9" t="e">
        <f ca="1"/>
        <v>#NAME?</v>
      </c>
      <c r="W316" s="9" t="str">
        <f ca="1">IFERROR(__xludf.DUMMYFUNCTION("""COMPUTED_VALUE"""),"")</f>
        <v/>
      </c>
    </row>
    <row r="317" spans="18:23" ht="12.5" x14ac:dyDescent="0.25">
      <c r="R317" s="9" t="str">
        <v/>
      </c>
      <c r="S317" s="9" t="str">
        <f ca="1">IFERROR(__xludf.DUMMYFUNCTION("""COMPUTED_VALUE"""),"")</f>
        <v/>
      </c>
      <c r="T317" s="9" t="str">
        <f ca="1">IFERROR(__xludf.DUMMYFUNCTION("""COMPUTED_VALUE"""),"")</f>
        <v/>
      </c>
      <c r="U317" s="9" t="e">
        <f ca="1"/>
        <v>#NAME?</v>
      </c>
      <c r="V317" s="9" t="e">
        <f ca="1"/>
        <v>#NAME?</v>
      </c>
      <c r="W317" s="9" t="str">
        <f ca="1">IFERROR(__xludf.DUMMYFUNCTION("""COMPUTED_VALUE"""),"")</f>
        <v/>
      </c>
    </row>
    <row r="318" spans="18:23" ht="12.5" x14ac:dyDescent="0.25">
      <c r="R318" s="9" t="str">
        <v/>
      </c>
      <c r="S318" s="9" t="str">
        <f ca="1">IFERROR(__xludf.DUMMYFUNCTION("""COMPUTED_VALUE"""),"")</f>
        <v/>
      </c>
      <c r="T318" s="9" t="str">
        <f ca="1">IFERROR(__xludf.DUMMYFUNCTION("""COMPUTED_VALUE"""),"")</f>
        <v/>
      </c>
      <c r="U318" s="9" t="e">
        <f ca="1"/>
        <v>#NAME?</v>
      </c>
      <c r="V318" s="9" t="e">
        <f ca="1"/>
        <v>#NAME?</v>
      </c>
      <c r="W318" s="9" t="str">
        <f ca="1">IFERROR(__xludf.DUMMYFUNCTION("""COMPUTED_VALUE"""),"")</f>
        <v/>
      </c>
    </row>
    <row r="319" spans="18:23" ht="12.5" x14ac:dyDescent="0.25">
      <c r="R319" s="9" t="str">
        <v/>
      </c>
      <c r="S319" s="9" t="str">
        <f ca="1">IFERROR(__xludf.DUMMYFUNCTION("""COMPUTED_VALUE"""),"")</f>
        <v/>
      </c>
      <c r="T319" s="9" t="str">
        <f ca="1">IFERROR(__xludf.DUMMYFUNCTION("""COMPUTED_VALUE"""),"")</f>
        <v/>
      </c>
      <c r="U319" s="9" t="e">
        <f ca="1"/>
        <v>#NAME?</v>
      </c>
      <c r="V319" s="9" t="e">
        <f ca="1"/>
        <v>#NAME?</v>
      </c>
      <c r="W319" s="9" t="str">
        <f ca="1">IFERROR(__xludf.DUMMYFUNCTION("""COMPUTED_VALUE"""),"")</f>
        <v/>
      </c>
    </row>
    <row r="320" spans="18:23" ht="12.5" x14ac:dyDescent="0.25">
      <c r="R320" s="9" t="str">
        <v/>
      </c>
      <c r="S320" s="9" t="str">
        <f ca="1">IFERROR(__xludf.DUMMYFUNCTION("""COMPUTED_VALUE"""),"")</f>
        <v/>
      </c>
      <c r="T320" s="9" t="str">
        <f ca="1">IFERROR(__xludf.DUMMYFUNCTION("""COMPUTED_VALUE"""),"")</f>
        <v/>
      </c>
      <c r="U320" s="9" t="e">
        <f ca="1"/>
        <v>#NAME?</v>
      </c>
      <c r="V320" s="9" t="e">
        <f ca="1"/>
        <v>#NAME?</v>
      </c>
      <c r="W320" s="9" t="str">
        <f ca="1">IFERROR(__xludf.DUMMYFUNCTION("""COMPUTED_VALUE"""),"")</f>
        <v/>
      </c>
    </row>
    <row r="321" spans="18:23" ht="12.5" x14ac:dyDescent="0.25">
      <c r="R321" s="9" t="str">
        <v/>
      </c>
      <c r="S321" s="9" t="str">
        <f ca="1">IFERROR(__xludf.DUMMYFUNCTION("""COMPUTED_VALUE"""),"")</f>
        <v/>
      </c>
      <c r="T321" s="9" t="str">
        <f ca="1">IFERROR(__xludf.DUMMYFUNCTION("""COMPUTED_VALUE"""),"")</f>
        <v/>
      </c>
      <c r="U321" s="9" t="e">
        <f ca="1"/>
        <v>#NAME?</v>
      </c>
      <c r="V321" s="9" t="e">
        <f ca="1"/>
        <v>#NAME?</v>
      </c>
      <c r="W321" s="9" t="str">
        <f ca="1">IFERROR(__xludf.DUMMYFUNCTION("""COMPUTED_VALUE"""),"")</f>
        <v/>
      </c>
    </row>
    <row r="322" spans="18:23" ht="12.5" x14ac:dyDescent="0.25">
      <c r="R322" s="9" t="str">
        <v/>
      </c>
      <c r="S322" s="9" t="str">
        <f ca="1">IFERROR(__xludf.DUMMYFUNCTION("""COMPUTED_VALUE"""),"")</f>
        <v/>
      </c>
      <c r="T322" s="9" t="str">
        <f ca="1">IFERROR(__xludf.DUMMYFUNCTION("""COMPUTED_VALUE"""),"")</f>
        <v/>
      </c>
      <c r="U322" s="9" t="e">
        <f ca="1"/>
        <v>#NAME?</v>
      </c>
      <c r="V322" s="9" t="e">
        <f ca="1"/>
        <v>#NAME?</v>
      </c>
      <c r="W322" s="9" t="str">
        <f ca="1">IFERROR(__xludf.DUMMYFUNCTION("""COMPUTED_VALUE"""),"")</f>
        <v/>
      </c>
    </row>
    <row r="323" spans="18:23" ht="12.5" x14ac:dyDescent="0.25">
      <c r="R323" s="9" t="str">
        <v/>
      </c>
      <c r="S323" s="9" t="str">
        <f ca="1">IFERROR(__xludf.DUMMYFUNCTION("""COMPUTED_VALUE"""),"")</f>
        <v/>
      </c>
      <c r="T323" s="9" t="str">
        <f ca="1">IFERROR(__xludf.DUMMYFUNCTION("""COMPUTED_VALUE"""),"")</f>
        <v/>
      </c>
      <c r="U323" s="9" t="e">
        <f ca="1"/>
        <v>#NAME?</v>
      </c>
      <c r="V323" s="9" t="e">
        <f ca="1"/>
        <v>#NAME?</v>
      </c>
      <c r="W323" s="9" t="str">
        <f ca="1">IFERROR(__xludf.DUMMYFUNCTION("""COMPUTED_VALUE"""),"")</f>
        <v/>
      </c>
    </row>
    <row r="324" spans="18:23" ht="12.5" x14ac:dyDescent="0.25">
      <c r="R324" s="9" t="str">
        <v/>
      </c>
      <c r="S324" s="9" t="str">
        <f ca="1">IFERROR(__xludf.DUMMYFUNCTION("""COMPUTED_VALUE"""),"")</f>
        <v/>
      </c>
      <c r="T324" s="9" t="str">
        <f ca="1">IFERROR(__xludf.DUMMYFUNCTION("""COMPUTED_VALUE"""),"")</f>
        <v/>
      </c>
      <c r="U324" s="9" t="e">
        <f ca="1"/>
        <v>#NAME?</v>
      </c>
      <c r="V324" s="9" t="e">
        <f ca="1"/>
        <v>#NAME?</v>
      </c>
      <c r="W324" s="9" t="str">
        <f ca="1">IFERROR(__xludf.DUMMYFUNCTION("""COMPUTED_VALUE"""),"")</f>
        <v/>
      </c>
    </row>
    <row r="325" spans="18:23" ht="12.5" x14ac:dyDescent="0.25">
      <c r="R325" s="9" t="str">
        <v/>
      </c>
      <c r="S325" s="9" t="str">
        <f ca="1">IFERROR(__xludf.DUMMYFUNCTION("""COMPUTED_VALUE"""),"")</f>
        <v/>
      </c>
      <c r="T325" s="9" t="str">
        <f ca="1">IFERROR(__xludf.DUMMYFUNCTION("""COMPUTED_VALUE"""),"")</f>
        <v/>
      </c>
      <c r="U325" s="9" t="e">
        <f ca="1"/>
        <v>#NAME?</v>
      </c>
      <c r="V325" s="9" t="e">
        <f ca="1"/>
        <v>#NAME?</v>
      </c>
      <c r="W325" s="9" t="str">
        <f ca="1">IFERROR(__xludf.DUMMYFUNCTION("""COMPUTED_VALUE"""),"")</f>
        <v/>
      </c>
    </row>
    <row r="326" spans="18:23" ht="12.5" x14ac:dyDescent="0.25">
      <c r="R326" s="9" t="str">
        <v/>
      </c>
      <c r="S326" s="9" t="str">
        <f ca="1">IFERROR(__xludf.DUMMYFUNCTION("""COMPUTED_VALUE"""),"")</f>
        <v/>
      </c>
      <c r="T326" s="9" t="str">
        <f ca="1">IFERROR(__xludf.DUMMYFUNCTION("""COMPUTED_VALUE"""),"")</f>
        <v/>
      </c>
      <c r="U326" s="9" t="e">
        <f ca="1"/>
        <v>#NAME?</v>
      </c>
      <c r="V326" s="9" t="e">
        <f ca="1"/>
        <v>#NAME?</v>
      </c>
      <c r="W326" s="9" t="str">
        <f ca="1">IFERROR(__xludf.DUMMYFUNCTION("""COMPUTED_VALUE"""),"")</f>
        <v/>
      </c>
    </row>
    <row r="327" spans="18:23" ht="12.5" x14ac:dyDescent="0.25">
      <c r="R327" s="9" t="str">
        <v/>
      </c>
      <c r="S327" s="9" t="str">
        <f ca="1">IFERROR(__xludf.DUMMYFUNCTION("""COMPUTED_VALUE"""),"")</f>
        <v/>
      </c>
      <c r="T327" s="9" t="str">
        <f ca="1">IFERROR(__xludf.DUMMYFUNCTION("""COMPUTED_VALUE"""),"")</f>
        <v/>
      </c>
      <c r="U327" s="9" t="e">
        <f ca="1"/>
        <v>#NAME?</v>
      </c>
      <c r="V327" s="9" t="e">
        <f ca="1"/>
        <v>#NAME?</v>
      </c>
      <c r="W327" s="9" t="str">
        <f ca="1">IFERROR(__xludf.DUMMYFUNCTION("""COMPUTED_VALUE"""),"")</f>
        <v/>
      </c>
    </row>
    <row r="328" spans="18:23" ht="12.5" x14ac:dyDescent="0.25">
      <c r="R328" s="9" t="str">
        <v/>
      </c>
      <c r="S328" s="9" t="str">
        <f ca="1">IFERROR(__xludf.DUMMYFUNCTION("""COMPUTED_VALUE"""),"")</f>
        <v/>
      </c>
      <c r="T328" s="9" t="str">
        <f ca="1">IFERROR(__xludf.DUMMYFUNCTION("""COMPUTED_VALUE"""),"")</f>
        <v/>
      </c>
      <c r="U328" s="9" t="e">
        <f ca="1"/>
        <v>#NAME?</v>
      </c>
      <c r="V328" s="9" t="e">
        <f ca="1"/>
        <v>#NAME?</v>
      </c>
      <c r="W328" s="9" t="str">
        <f ca="1">IFERROR(__xludf.DUMMYFUNCTION("""COMPUTED_VALUE"""),"")</f>
        <v/>
      </c>
    </row>
    <row r="329" spans="18:23" ht="12.5" x14ac:dyDescent="0.25">
      <c r="R329" s="9" t="str">
        <v/>
      </c>
      <c r="S329" s="9" t="str">
        <f ca="1">IFERROR(__xludf.DUMMYFUNCTION("""COMPUTED_VALUE"""),"")</f>
        <v/>
      </c>
      <c r="T329" s="9" t="str">
        <f ca="1">IFERROR(__xludf.DUMMYFUNCTION("""COMPUTED_VALUE"""),"")</f>
        <v/>
      </c>
      <c r="U329" s="9" t="e">
        <f ca="1"/>
        <v>#NAME?</v>
      </c>
      <c r="V329" s="9" t="e">
        <f ca="1"/>
        <v>#NAME?</v>
      </c>
      <c r="W329" s="9" t="str">
        <f ca="1">IFERROR(__xludf.DUMMYFUNCTION("""COMPUTED_VALUE"""),"")</f>
        <v/>
      </c>
    </row>
    <row r="330" spans="18:23" ht="12.5" x14ac:dyDescent="0.25">
      <c r="R330" s="9" t="str">
        <v/>
      </c>
      <c r="S330" s="9" t="str">
        <f ca="1">IFERROR(__xludf.DUMMYFUNCTION("""COMPUTED_VALUE"""),"")</f>
        <v/>
      </c>
      <c r="T330" s="9" t="str">
        <f ca="1">IFERROR(__xludf.DUMMYFUNCTION("""COMPUTED_VALUE"""),"")</f>
        <v/>
      </c>
      <c r="U330" s="9" t="e">
        <f ca="1"/>
        <v>#NAME?</v>
      </c>
      <c r="V330" s="9" t="e">
        <f ca="1"/>
        <v>#NAME?</v>
      </c>
      <c r="W330" s="9" t="str">
        <f ca="1">IFERROR(__xludf.DUMMYFUNCTION("""COMPUTED_VALUE"""),"")</f>
        <v/>
      </c>
    </row>
    <row r="331" spans="18:23" ht="12.5" x14ac:dyDescent="0.25">
      <c r="R331" s="9" t="str">
        <v/>
      </c>
      <c r="S331" s="9" t="str">
        <f ca="1">IFERROR(__xludf.DUMMYFUNCTION("""COMPUTED_VALUE"""),"")</f>
        <v/>
      </c>
      <c r="T331" s="9" t="str">
        <f ca="1">IFERROR(__xludf.DUMMYFUNCTION("""COMPUTED_VALUE"""),"")</f>
        <v/>
      </c>
      <c r="U331" s="9" t="e">
        <f ca="1"/>
        <v>#NAME?</v>
      </c>
      <c r="V331" s="9" t="e">
        <f ca="1"/>
        <v>#NAME?</v>
      </c>
      <c r="W331" s="9" t="str">
        <f ca="1">IFERROR(__xludf.DUMMYFUNCTION("""COMPUTED_VALUE"""),"")</f>
        <v/>
      </c>
    </row>
    <row r="332" spans="18:23" ht="12.5" x14ac:dyDescent="0.25">
      <c r="R332" s="9" t="str">
        <v/>
      </c>
      <c r="S332" s="9" t="str">
        <f ca="1">IFERROR(__xludf.DUMMYFUNCTION("""COMPUTED_VALUE"""),"")</f>
        <v/>
      </c>
      <c r="T332" s="9" t="str">
        <f ca="1">IFERROR(__xludf.DUMMYFUNCTION("""COMPUTED_VALUE"""),"")</f>
        <v/>
      </c>
      <c r="U332" s="9" t="e">
        <f ca="1"/>
        <v>#NAME?</v>
      </c>
      <c r="V332" s="9" t="e">
        <f ca="1"/>
        <v>#NAME?</v>
      </c>
      <c r="W332" s="9" t="str">
        <f ca="1">IFERROR(__xludf.DUMMYFUNCTION("""COMPUTED_VALUE"""),"")</f>
        <v/>
      </c>
    </row>
    <row r="333" spans="18:23" ht="12.5" x14ac:dyDescent="0.25">
      <c r="R333" s="9" t="str">
        <v/>
      </c>
      <c r="S333" s="9" t="str">
        <f ca="1">IFERROR(__xludf.DUMMYFUNCTION("""COMPUTED_VALUE"""),"")</f>
        <v/>
      </c>
      <c r="T333" s="9" t="str">
        <f ca="1">IFERROR(__xludf.DUMMYFUNCTION("""COMPUTED_VALUE"""),"")</f>
        <v/>
      </c>
      <c r="U333" s="9" t="e">
        <f ca="1"/>
        <v>#NAME?</v>
      </c>
      <c r="V333" s="9" t="e">
        <f ca="1"/>
        <v>#NAME?</v>
      </c>
      <c r="W333" s="9" t="str">
        <f ca="1">IFERROR(__xludf.DUMMYFUNCTION("""COMPUTED_VALUE"""),"")</f>
        <v/>
      </c>
    </row>
    <row r="334" spans="18:23" ht="12.5" x14ac:dyDescent="0.25">
      <c r="R334" s="9" t="str">
        <v/>
      </c>
      <c r="S334" s="9" t="str">
        <f ca="1">IFERROR(__xludf.DUMMYFUNCTION("""COMPUTED_VALUE"""),"")</f>
        <v/>
      </c>
      <c r="T334" s="9" t="str">
        <f ca="1">IFERROR(__xludf.DUMMYFUNCTION("""COMPUTED_VALUE"""),"")</f>
        <v/>
      </c>
      <c r="U334" s="9" t="e">
        <f ca="1"/>
        <v>#NAME?</v>
      </c>
      <c r="V334" s="9" t="e">
        <f ca="1"/>
        <v>#NAME?</v>
      </c>
      <c r="W334" s="9" t="str">
        <f ca="1">IFERROR(__xludf.DUMMYFUNCTION("""COMPUTED_VALUE"""),"")</f>
        <v/>
      </c>
    </row>
    <row r="335" spans="18:23" ht="12.5" x14ac:dyDescent="0.25">
      <c r="R335" s="9" t="str">
        <v/>
      </c>
      <c r="S335" s="9" t="str">
        <f ca="1">IFERROR(__xludf.DUMMYFUNCTION("""COMPUTED_VALUE"""),"")</f>
        <v/>
      </c>
      <c r="T335" s="9" t="str">
        <f ca="1">IFERROR(__xludf.DUMMYFUNCTION("""COMPUTED_VALUE"""),"")</f>
        <v/>
      </c>
      <c r="U335" s="9" t="e">
        <f ca="1"/>
        <v>#NAME?</v>
      </c>
      <c r="V335" s="9" t="e">
        <f ca="1"/>
        <v>#NAME?</v>
      </c>
      <c r="W335" s="9" t="str">
        <f ca="1">IFERROR(__xludf.DUMMYFUNCTION("""COMPUTED_VALUE"""),"")</f>
        <v/>
      </c>
    </row>
    <row r="336" spans="18:23" ht="12.5" x14ac:dyDescent="0.25">
      <c r="R336" s="9" t="str">
        <v/>
      </c>
      <c r="S336" s="9" t="str">
        <f ca="1">IFERROR(__xludf.DUMMYFUNCTION("""COMPUTED_VALUE"""),"")</f>
        <v/>
      </c>
      <c r="T336" s="9" t="str">
        <f ca="1">IFERROR(__xludf.DUMMYFUNCTION("""COMPUTED_VALUE"""),"")</f>
        <v/>
      </c>
      <c r="U336" s="9" t="e">
        <f ca="1"/>
        <v>#NAME?</v>
      </c>
      <c r="V336" s="9" t="e">
        <f ca="1"/>
        <v>#NAME?</v>
      </c>
      <c r="W336" s="9" t="str">
        <f ca="1">IFERROR(__xludf.DUMMYFUNCTION("""COMPUTED_VALUE"""),"")</f>
        <v/>
      </c>
    </row>
    <row r="337" spans="18:23" ht="12.5" x14ac:dyDescent="0.25">
      <c r="R337" s="9" t="str">
        <v/>
      </c>
      <c r="S337" s="9" t="str">
        <f ca="1">IFERROR(__xludf.DUMMYFUNCTION("""COMPUTED_VALUE"""),"")</f>
        <v/>
      </c>
      <c r="T337" s="9" t="str">
        <f ca="1">IFERROR(__xludf.DUMMYFUNCTION("""COMPUTED_VALUE"""),"")</f>
        <v/>
      </c>
      <c r="U337" s="9" t="e">
        <f ca="1"/>
        <v>#NAME?</v>
      </c>
      <c r="V337" s="9" t="e">
        <f ca="1"/>
        <v>#NAME?</v>
      </c>
      <c r="W337" s="9" t="str">
        <f ca="1">IFERROR(__xludf.DUMMYFUNCTION("""COMPUTED_VALUE"""),"")</f>
        <v/>
      </c>
    </row>
    <row r="338" spans="18:23" ht="12.5" x14ac:dyDescent="0.25">
      <c r="R338" s="9" t="str">
        <v/>
      </c>
      <c r="S338" s="9" t="str">
        <f ca="1">IFERROR(__xludf.DUMMYFUNCTION("""COMPUTED_VALUE"""),"")</f>
        <v/>
      </c>
      <c r="T338" s="9" t="str">
        <f ca="1">IFERROR(__xludf.DUMMYFUNCTION("""COMPUTED_VALUE"""),"")</f>
        <v/>
      </c>
      <c r="U338" s="9" t="e">
        <f ca="1"/>
        <v>#NAME?</v>
      </c>
      <c r="V338" s="9" t="e">
        <f ca="1"/>
        <v>#NAME?</v>
      </c>
      <c r="W338" s="9" t="str">
        <f ca="1">IFERROR(__xludf.DUMMYFUNCTION("""COMPUTED_VALUE"""),"")</f>
        <v/>
      </c>
    </row>
    <row r="339" spans="18:23" ht="12.5" x14ac:dyDescent="0.25">
      <c r="R339" s="9" t="str">
        <v/>
      </c>
      <c r="S339" s="9" t="str">
        <f ca="1">IFERROR(__xludf.DUMMYFUNCTION("""COMPUTED_VALUE"""),"")</f>
        <v/>
      </c>
      <c r="T339" s="9" t="str">
        <f ca="1">IFERROR(__xludf.DUMMYFUNCTION("""COMPUTED_VALUE"""),"")</f>
        <v/>
      </c>
      <c r="U339" s="9" t="e">
        <f ca="1"/>
        <v>#NAME?</v>
      </c>
      <c r="V339" s="9" t="e">
        <f ca="1"/>
        <v>#NAME?</v>
      </c>
      <c r="W339" s="9" t="str">
        <f ca="1">IFERROR(__xludf.DUMMYFUNCTION("""COMPUTED_VALUE"""),"")</f>
        <v/>
      </c>
    </row>
    <row r="340" spans="18:23" ht="12.5" x14ac:dyDescent="0.25">
      <c r="R340" s="9" t="str">
        <v/>
      </c>
      <c r="S340" s="9" t="str">
        <f ca="1">IFERROR(__xludf.DUMMYFUNCTION("""COMPUTED_VALUE"""),"")</f>
        <v/>
      </c>
      <c r="T340" s="9" t="str">
        <f ca="1">IFERROR(__xludf.DUMMYFUNCTION("""COMPUTED_VALUE"""),"")</f>
        <v/>
      </c>
      <c r="U340" s="9" t="e">
        <f ca="1"/>
        <v>#NAME?</v>
      </c>
      <c r="V340" s="9" t="e">
        <f ca="1"/>
        <v>#NAME?</v>
      </c>
      <c r="W340" s="9" t="str">
        <f ca="1">IFERROR(__xludf.DUMMYFUNCTION("""COMPUTED_VALUE"""),"")</f>
        <v/>
      </c>
    </row>
    <row r="341" spans="18:23" ht="12.5" x14ac:dyDescent="0.25">
      <c r="R341" s="9" t="str">
        <v/>
      </c>
      <c r="S341" s="9" t="str">
        <f ca="1">IFERROR(__xludf.DUMMYFUNCTION("""COMPUTED_VALUE"""),"")</f>
        <v/>
      </c>
      <c r="T341" s="9" t="str">
        <f ca="1">IFERROR(__xludf.DUMMYFUNCTION("""COMPUTED_VALUE"""),"")</f>
        <v/>
      </c>
      <c r="U341" s="9" t="e">
        <f ca="1"/>
        <v>#NAME?</v>
      </c>
      <c r="V341" s="9" t="e">
        <f ca="1"/>
        <v>#NAME?</v>
      </c>
      <c r="W341" s="9" t="str">
        <f ca="1">IFERROR(__xludf.DUMMYFUNCTION("""COMPUTED_VALUE"""),"")</f>
        <v/>
      </c>
    </row>
    <row r="342" spans="18:23" ht="12.5" x14ac:dyDescent="0.25">
      <c r="R342" s="9" t="str">
        <v/>
      </c>
      <c r="S342" s="9" t="str">
        <f ca="1">IFERROR(__xludf.DUMMYFUNCTION("""COMPUTED_VALUE"""),"")</f>
        <v/>
      </c>
      <c r="T342" s="9" t="str">
        <f ca="1">IFERROR(__xludf.DUMMYFUNCTION("""COMPUTED_VALUE"""),"")</f>
        <v/>
      </c>
      <c r="U342" s="9" t="e">
        <f ca="1"/>
        <v>#NAME?</v>
      </c>
      <c r="V342" s="9" t="e">
        <f ca="1"/>
        <v>#NAME?</v>
      </c>
      <c r="W342" s="9" t="str">
        <f ca="1">IFERROR(__xludf.DUMMYFUNCTION("""COMPUTED_VALUE"""),"")</f>
        <v/>
      </c>
    </row>
    <row r="343" spans="18:23" ht="12.5" x14ac:dyDescent="0.25">
      <c r="R343" s="9" t="str">
        <v/>
      </c>
      <c r="S343" s="9" t="str">
        <f ca="1">IFERROR(__xludf.DUMMYFUNCTION("""COMPUTED_VALUE"""),"")</f>
        <v/>
      </c>
      <c r="T343" s="9" t="str">
        <f ca="1">IFERROR(__xludf.DUMMYFUNCTION("""COMPUTED_VALUE"""),"")</f>
        <v/>
      </c>
      <c r="U343" s="9" t="e">
        <f ca="1"/>
        <v>#NAME?</v>
      </c>
      <c r="V343" s="9" t="e">
        <f ca="1"/>
        <v>#NAME?</v>
      </c>
      <c r="W343" s="9" t="str">
        <f ca="1">IFERROR(__xludf.DUMMYFUNCTION("""COMPUTED_VALUE"""),"")</f>
        <v/>
      </c>
    </row>
    <row r="344" spans="18:23" ht="12.5" x14ac:dyDescent="0.25">
      <c r="R344" s="9" t="str">
        <v/>
      </c>
      <c r="S344" s="9" t="str">
        <f ca="1">IFERROR(__xludf.DUMMYFUNCTION("""COMPUTED_VALUE"""),"")</f>
        <v/>
      </c>
      <c r="T344" s="9" t="str">
        <f ca="1">IFERROR(__xludf.DUMMYFUNCTION("""COMPUTED_VALUE"""),"")</f>
        <v/>
      </c>
      <c r="U344" s="9" t="e">
        <f ca="1"/>
        <v>#NAME?</v>
      </c>
      <c r="V344" s="9" t="e">
        <f ca="1"/>
        <v>#NAME?</v>
      </c>
      <c r="W344" s="9" t="str">
        <f ca="1">IFERROR(__xludf.DUMMYFUNCTION("""COMPUTED_VALUE"""),"")</f>
        <v/>
      </c>
    </row>
    <row r="345" spans="18:23" ht="12.5" x14ac:dyDescent="0.25">
      <c r="R345" s="9" t="str">
        <v/>
      </c>
      <c r="S345" s="9" t="str">
        <f ca="1">IFERROR(__xludf.DUMMYFUNCTION("""COMPUTED_VALUE"""),"")</f>
        <v/>
      </c>
      <c r="T345" s="9" t="str">
        <f ca="1">IFERROR(__xludf.DUMMYFUNCTION("""COMPUTED_VALUE"""),"")</f>
        <v/>
      </c>
      <c r="U345" s="9" t="e">
        <f ca="1"/>
        <v>#NAME?</v>
      </c>
      <c r="V345" s="9" t="e">
        <f ca="1"/>
        <v>#NAME?</v>
      </c>
      <c r="W345" s="9" t="str">
        <f ca="1">IFERROR(__xludf.DUMMYFUNCTION("""COMPUTED_VALUE"""),"")</f>
        <v/>
      </c>
    </row>
    <row r="346" spans="18:23" ht="12.5" x14ac:dyDescent="0.25">
      <c r="R346" s="9" t="str">
        <v/>
      </c>
      <c r="S346" s="9" t="str">
        <f ca="1">IFERROR(__xludf.DUMMYFUNCTION("""COMPUTED_VALUE"""),"")</f>
        <v/>
      </c>
      <c r="T346" s="9" t="str">
        <f ca="1">IFERROR(__xludf.DUMMYFUNCTION("""COMPUTED_VALUE"""),"")</f>
        <v/>
      </c>
      <c r="U346" s="9" t="e">
        <f ca="1"/>
        <v>#NAME?</v>
      </c>
      <c r="V346" s="9" t="e">
        <f ca="1"/>
        <v>#NAME?</v>
      </c>
      <c r="W346" s="9" t="str">
        <f ca="1">IFERROR(__xludf.DUMMYFUNCTION("""COMPUTED_VALUE"""),"")</f>
        <v/>
      </c>
    </row>
    <row r="347" spans="18:23" ht="12.5" x14ac:dyDescent="0.25">
      <c r="R347" s="9" t="str">
        <v/>
      </c>
      <c r="S347" s="9" t="str">
        <f ca="1">IFERROR(__xludf.DUMMYFUNCTION("""COMPUTED_VALUE"""),"")</f>
        <v/>
      </c>
      <c r="T347" s="9" t="str">
        <f ca="1">IFERROR(__xludf.DUMMYFUNCTION("""COMPUTED_VALUE"""),"")</f>
        <v/>
      </c>
      <c r="U347" s="9" t="e">
        <f ca="1"/>
        <v>#NAME?</v>
      </c>
      <c r="V347" s="9" t="e">
        <f ca="1"/>
        <v>#NAME?</v>
      </c>
      <c r="W347" s="9" t="str">
        <f ca="1">IFERROR(__xludf.DUMMYFUNCTION("""COMPUTED_VALUE"""),"")</f>
        <v/>
      </c>
    </row>
    <row r="348" spans="18:23" ht="12.5" x14ac:dyDescent="0.25">
      <c r="R348" s="9" t="str">
        <v/>
      </c>
      <c r="S348" s="9" t="str">
        <f ca="1">IFERROR(__xludf.DUMMYFUNCTION("""COMPUTED_VALUE"""),"")</f>
        <v/>
      </c>
      <c r="T348" s="9" t="str">
        <f ca="1">IFERROR(__xludf.DUMMYFUNCTION("""COMPUTED_VALUE"""),"")</f>
        <v/>
      </c>
      <c r="U348" s="9" t="e">
        <f ca="1"/>
        <v>#NAME?</v>
      </c>
      <c r="V348" s="9" t="e">
        <f ca="1"/>
        <v>#NAME?</v>
      </c>
      <c r="W348" s="9" t="str">
        <f ca="1">IFERROR(__xludf.DUMMYFUNCTION("""COMPUTED_VALUE"""),"")</f>
        <v/>
      </c>
    </row>
    <row r="349" spans="18:23" ht="12.5" x14ac:dyDescent="0.25">
      <c r="R349" s="9" t="str">
        <v/>
      </c>
      <c r="S349" s="9" t="str">
        <f ca="1">IFERROR(__xludf.DUMMYFUNCTION("""COMPUTED_VALUE"""),"")</f>
        <v/>
      </c>
      <c r="T349" s="9" t="str">
        <f ca="1">IFERROR(__xludf.DUMMYFUNCTION("""COMPUTED_VALUE"""),"")</f>
        <v/>
      </c>
      <c r="U349" s="9" t="e">
        <f ca="1"/>
        <v>#NAME?</v>
      </c>
      <c r="V349" s="9" t="e">
        <f ca="1"/>
        <v>#NAME?</v>
      </c>
      <c r="W349" s="9" t="str">
        <f ca="1">IFERROR(__xludf.DUMMYFUNCTION("""COMPUTED_VALUE"""),"")</f>
        <v/>
      </c>
    </row>
    <row r="350" spans="18:23" ht="12.5" x14ac:dyDescent="0.25">
      <c r="R350" s="9" t="str">
        <v/>
      </c>
      <c r="S350" s="9" t="str">
        <f ca="1">IFERROR(__xludf.DUMMYFUNCTION("""COMPUTED_VALUE"""),"")</f>
        <v/>
      </c>
      <c r="T350" s="9" t="str">
        <f ca="1">IFERROR(__xludf.DUMMYFUNCTION("""COMPUTED_VALUE"""),"")</f>
        <v/>
      </c>
      <c r="U350" s="9" t="e">
        <f ca="1"/>
        <v>#NAME?</v>
      </c>
      <c r="V350" s="9" t="e">
        <f ca="1"/>
        <v>#NAME?</v>
      </c>
      <c r="W350" s="9" t="str">
        <f ca="1">IFERROR(__xludf.DUMMYFUNCTION("""COMPUTED_VALUE"""),"")</f>
        <v/>
      </c>
    </row>
    <row r="351" spans="18:23" ht="12.5" x14ac:dyDescent="0.25">
      <c r="R351" s="9" t="str">
        <v/>
      </c>
      <c r="S351" s="9" t="str">
        <f ca="1">IFERROR(__xludf.DUMMYFUNCTION("""COMPUTED_VALUE"""),"")</f>
        <v/>
      </c>
      <c r="T351" s="9" t="str">
        <f ca="1">IFERROR(__xludf.DUMMYFUNCTION("""COMPUTED_VALUE"""),"")</f>
        <v/>
      </c>
      <c r="U351" s="9" t="e">
        <f ca="1"/>
        <v>#NAME?</v>
      </c>
      <c r="V351" s="9" t="e">
        <f ca="1"/>
        <v>#NAME?</v>
      </c>
      <c r="W351" s="9" t="str">
        <f ca="1">IFERROR(__xludf.DUMMYFUNCTION("""COMPUTED_VALUE"""),"")</f>
        <v/>
      </c>
    </row>
    <row r="352" spans="18:23" ht="12.5" x14ac:dyDescent="0.25">
      <c r="R352" s="9" t="str">
        <v/>
      </c>
      <c r="S352" s="9" t="str">
        <f ca="1">IFERROR(__xludf.DUMMYFUNCTION("""COMPUTED_VALUE"""),"")</f>
        <v/>
      </c>
      <c r="T352" s="9" t="str">
        <f ca="1">IFERROR(__xludf.DUMMYFUNCTION("""COMPUTED_VALUE"""),"")</f>
        <v/>
      </c>
      <c r="U352" s="9" t="e">
        <f ca="1"/>
        <v>#NAME?</v>
      </c>
      <c r="V352" s="9" t="e">
        <f ca="1"/>
        <v>#NAME?</v>
      </c>
      <c r="W352" s="9" t="str">
        <f ca="1">IFERROR(__xludf.DUMMYFUNCTION("""COMPUTED_VALUE"""),"")</f>
        <v/>
      </c>
    </row>
    <row r="353" spans="18:23" ht="12.5" x14ac:dyDescent="0.25">
      <c r="R353" s="9" t="str">
        <v/>
      </c>
      <c r="S353" s="9" t="str">
        <f ca="1">IFERROR(__xludf.DUMMYFUNCTION("""COMPUTED_VALUE"""),"")</f>
        <v/>
      </c>
      <c r="T353" s="9" t="str">
        <f ca="1">IFERROR(__xludf.DUMMYFUNCTION("""COMPUTED_VALUE"""),"")</f>
        <v/>
      </c>
      <c r="U353" s="9" t="e">
        <f ca="1"/>
        <v>#NAME?</v>
      </c>
      <c r="V353" s="9" t="e">
        <f ca="1"/>
        <v>#NAME?</v>
      </c>
      <c r="W353" s="9" t="str">
        <f ca="1">IFERROR(__xludf.DUMMYFUNCTION("""COMPUTED_VALUE"""),"")</f>
        <v/>
      </c>
    </row>
    <row r="354" spans="18:23" ht="12.5" x14ac:dyDescent="0.25">
      <c r="R354" s="9" t="str">
        <v/>
      </c>
      <c r="S354" s="9" t="str">
        <f ca="1">IFERROR(__xludf.DUMMYFUNCTION("""COMPUTED_VALUE"""),"")</f>
        <v/>
      </c>
      <c r="T354" s="9" t="str">
        <f ca="1">IFERROR(__xludf.DUMMYFUNCTION("""COMPUTED_VALUE"""),"")</f>
        <v/>
      </c>
      <c r="U354" s="9" t="e">
        <f ca="1"/>
        <v>#NAME?</v>
      </c>
      <c r="V354" s="9" t="e">
        <f ca="1"/>
        <v>#NAME?</v>
      </c>
      <c r="W354" s="9" t="str">
        <f ca="1">IFERROR(__xludf.DUMMYFUNCTION("""COMPUTED_VALUE"""),"")</f>
        <v/>
      </c>
    </row>
    <row r="355" spans="18:23" ht="12.5" x14ac:dyDescent="0.25">
      <c r="R355" s="9" t="str">
        <v/>
      </c>
      <c r="S355" s="9" t="str">
        <f ca="1">IFERROR(__xludf.DUMMYFUNCTION("""COMPUTED_VALUE"""),"")</f>
        <v/>
      </c>
      <c r="T355" s="9" t="str">
        <f ca="1">IFERROR(__xludf.DUMMYFUNCTION("""COMPUTED_VALUE"""),"")</f>
        <v/>
      </c>
      <c r="U355" s="9" t="e">
        <f ca="1"/>
        <v>#NAME?</v>
      </c>
      <c r="V355" s="9" t="e">
        <f ca="1"/>
        <v>#NAME?</v>
      </c>
      <c r="W355" s="9" t="str">
        <f ca="1">IFERROR(__xludf.DUMMYFUNCTION("""COMPUTED_VALUE"""),"")</f>
        <v/>
      </c>
    </row>
    <row r="356" spans="18:23" ht="12.5" x14ac:dyDescent="0.25">
      <c r="R356" s="9" t="str">
        <v/>
      </c>
      <c r="S356" s="9" t="str">
        <f ca="1">IFERROR(__xludf.DUMMYFUNCTION("""COMPUTED_VALUE"""),"")</f>
        <v/>
      </c>
      <c r="T356" s="9" t="str">
        <f ca="1">IFERROR(__xludf.DUMMYFUNCTION("""COMPUTED_VALUE"""),"")</f>
        <v/>
      </c>
      <c r="U356" s="9" t="e">
        <f ca="1"/>
        <v>#NAME?</v>
      </c>
      <c r="V356" s="9" t="e">
        <f ca="1"/>
        <v>#NAME?</v>
      </c>
      <c r="W356" s="9" t="str">
        <f ca="1">IFERROR(__xludf.DUMMYFUNCTION("""COMPUTED_VALUE"""),"")</f>
        <v/>
      </c>
    </row>
    <row r="357" spans="18:23" ht="12.5" x14ac:dyDescent="0.25">
      <c r="R357" s="9" t="str">
        <v/>
      </c>
      <c r="S357" s="9" t="str">
        <f ca="1">IFERROR(__xludf.DUMMYFUNCTION("""COMPUTED_VALUE"""),"")</f>
        <v/>
      </c>
      <c r="T357" s="9" t="str">
        <f ca="1">IFERROR(__xludf.DUMMYFUNCTION("""COMPUTED_VALUE"""),"")</f>
        <v/>
      </c>
      <c r="U357" s="9" t="e">
        <f ca="1"/>
        <v>#NAME?</v>
      </c>
      <c r="V357" s="9" t="e">
        <f ca="1"/>
        <v>#NAME?</v>
      </c>
      <c r="W357" s="9" t="str">
        <f ca="1">IFERROR(__xludf.DUMMYFUNCTION("""COMPUTED_VALUE"""),"")</f>
        <v/>
      </c>
    </row>
    <row r="358" spans="18:23" ht="12.5" x14ac:dyDescent="0.25">
      <c r="R358" s="9" t="str">
        <v/>
      </c>
      <c r="S358" s="9" t="str">
        <f ca="1">IFERROR(__xludf.DUMMYFUNCTION("""COMPUTED_VALUE"""),"")</f>
        <v/>
      </c>
      <c r="T358" s="9" t="str">
        <f ca="1">IFERROR(__xludf.DUMMYFUNCTION("""COMPUTED_VALUE"""),"")</f>
        <v/>
      </c>
      <c r="U358" s="9" t="e">
        <f ca="1"/>
        <v>#NAME?</v>
      </c>
      <c r="V358" s="9" t="e">
        <f ca="1"/>
        <v>#NAME?</v>
      </c>
      <c r="W358" s="9" t="str">
        <f ca="1">IFERROR(__xludf.DUMMYFUNCTION("""COMPUTED_VALUE"""),"")</f>
        <v/>
      </c>
    </row>
    <row r="359" spans="18:23" ht="12.5" x14ac:dyDescent="0.25">
      <c r="R359" s="9" t="str">
        <v/>
      </c>
      <c r="S359" s="9" t="str">
        <f ca="1">IFERROR(__xludf.DUMMYFUNCTION("""COMPUTED_VALUE"""),"")</f>
        <v/>
      </c>
      <c r="T359" s="9" t="str">
        <f ca="1">IFERROR(__xludf.DUMMYFUNCTION("""COMPUTED_VALUE"""),"")</f>
        <v/>
      </c>
      <c r="U359" s="9" t="e">
        <f ca="1"/>
        <v>#NAME?</v>
      </c>
      <c r="V359" s="9" t="e">
        <f ca="1"/>
        <v>#NAME?</v>
      </c>
      <c r="W359" s="9" t="str">
        <f ca="1">IFERROR(__xludf.DUMMYFUNCTION("""COMPUTED_VALUE"""),"")</f>
        <v/>
      </c>
    </row>
    <row r="360" spans="18:23" ht="12.5" x14ac:dyDescent="0.25">
      <c r="R360" s="9" t="str">
        <v/>
      </c>
      <c r="S360" s="9" t="str">
        <f ca="1">IFERROR(__xludf.DUMMYFUNCTION("""COMPUTED_VALUE"""),"")</f>
        <v/>
      </c>
      <c r="T360" s="9" t="str">
        <f ca="1">IFERROR(__xludf.DUMMYFUNCTION("""COMPUTED_VALUE"""),"")</f>
        <v/>
      </c>
      <c r="U360" s="9" t="e">
        <f ca="1"/>
        <v>#NAME?</v>
      </c>
      <c r="V360" s="9" t="e">
        <f ca="1"/>
        <v>#NAME?</v>
      </c>
      <c r="W360" s="9" t="str">
        <f ca="1">IFERROR(__xludf.DUMMYFUNCTION("""COMPUTED_VALUE"""),"")</f>
        <v/>
      </c>
    </row>
    <row r="361" spans="18:23" ht="12.5" x14ac:dyDescent="0.25">
      <c r="R361" s="9" t="str">
        <v/>
      </c>
      <c r="S361" s="9" t="str">
        <f ca="1">IFERROR(__xludf.DUMMYFUNCTION("""COMPUTED_VALUE"""),"")</f>
        <v/>
      </c>
      <c r="T361" s="9" t="str">
        <f ca="1">IFERROR(__xludf.DUMMYFUNCTION("""COMPUTED_VALUE"""),"")</f>
        <v/>
      </c>
      <c r="U361" s="9" t="e">
        <f ca="1"/>
        <v>#NAME?</v>
      </c>
      <c r="V361" s="9" t="e">
        <f ca="1"/>
        <v>#NAME?</v>
      </c>
      <c r="W361" s="9" t="str">
        <f ca="1">IFERROR(__xludf.DUMMYFUNCTION("""COMPUTED_VALUE"""),"")</f>
        <v/>
      </c>
    </row>
    <row r="362" spans="18:23" ht="12.5" x14ac:dyDescent="0.25">
      <c r="R362" s="9" t="str">
        <v/>
      </c>
      <c r="S362" s="9" t="str">
        <f ca="1">IFERROR(__xludf.DUMMYFUNCTION("""COMPUTED_VALUE"""),"")</f>
        <v/>
      </c>
      <c r="T362" s="9" t="str">
        <f ca="1">IFERROR(__xludf.DUMMYFUNCTION("""COMPUTED_VALUE"""),"")</f>
        <v/>
      </c>
      <c r="U362" s="9" t="e">
        <f ca="1"/>
        <v>#NAME?</v>
      </c>
      <c r="V362" s="9" t="e">
        <f ca="1"/>
        <v>#NAME?</v>
      </c>
      <c r="W362" s="9" t="str">
        <f ca="1">IFERROR(__xludf.DUMMYFUNCTION("""COMPUTED_VALUE"""),"")</f>
        <v/>
      </c>
    </row>
    <row r="363" spans="18:23" ht="12.5" x14ac:dyDescent="0.25">
      <c r="R363" s="9" t="str">
        <v/>
      </c>
      <c r="S363" s="9" t="str">
        <f ca="1">IFERROR(__xludf.DUMMYFUNCTION("""COMPUTED_VALUE"""),"")</f>
        <v/>
      </c>
      <c r="T363" s="9" t="str">
        <f ca="1">IFERROR(__xludf.DUMMYFUNCTION("""COMPUTED_VALUE"""),"")</f>
        <v/>
      </c>
      <c r="U363" s="9" t="e">
        <f ca="1"/>
        <v>#NAME?</v>
      </c>
      <c r="V363" s="9" t="e">
        <f ca="1"/>
        <v>#NAME?</v>
      </c>
      <c r="W363" s="9" t="str">
        <f ca="1">IFERROR(__xludf.DUMMYFUNCTION("""COMPUTED_VALUE"""),"")</f>
        <v/>
      </c>
    </row>
    <row r="364" spans="18:23" ht="12.5" x14ac:dyDescent="0.25">
      <c r="R364" s="9" t="str">
        <v/>
      </c>
      <c r="S364" s="9" t="str">
        <f ca="1">IFERROR(__xludf.DUMMYFUNCTION("""COMPUTED_VALUE"""),"")</f>
        <v/>
      </c>
      <c r="T364" s="9" t="str">
        <f ca="1">IFERROR(__xludf.DUMMYFUNCTION("""COMPUTED_VALUE"""),"")</f>
        <v/>
      </c>
      <c r="U364" s="9" t="e">
        <f ca="1"/>
        <v>#NAME?</v>
      </c>
      <c r="V364" s="9" t="e">
        <f ca="1"/>
        <v>#NAME?</v>
      </c>
      <c r="W364" s="9" t="str">
        <f ca="1">IFERROR(__xludf.DUMMYFUNCTION("""COMPUTED_VALUE"""),"")</f>
        <v/>
      </c>
    </row>
    <row r="365" spans="18:23" ht="12.5" x14ac:dyDescent="0.25">
      <c r="R365" s="9" t="str">
        <v/>
      </c>
      <c r="S365" s="9" t="str">
        <f ca="1">IFERROR(__xludf.DUMMYFUNCTION("""COMPUTED_VALUE"""),"")</f>
        <v/>
      </c>
      <c r="T365" s="9" t="str">
        <f ca="1">IFERROR(__xludf.DUMMYFUNCTION("""COMPUTED_VALUE"""),"")</f>
        <v/>
      </c>
      <c r="U365" s="9" t="e">
        <f ca="1"/>
        <v>#NAME?</v>
      </c>
      <c r="V365" s="9" t="e">
        <f ca="1"/>
        <v>#NAME?</v>
      </c>
      <c r="W365" s="9" t="str">
        <f ca="1">IFERROR(__xludf.DUMMYFUNCTION("""COMPUTED_VALUE"""),"")</f>
        <v/>
      </c>
    </row>
    <row r="366" spans="18:23" ht="12.5" x14ac:dyDescent="0.25">
      <c r="R366" s="9" t="str">
        <v/>
      </c>
      <c r="S366" s="9" t="str">
        <f ca="1">IFERROR(__xludf.DUMMYFUNCTION("""COMPUTED_VALUE"""),"")</f>
        <v/>
      </c>
      <c r="T366" s="9" t="str">
        <f ca="1">IFERROR(__xludf.DUMMYFUNCTION("""COMPUTED_VALUE"""),"")</f>
        <v/>
      </c>
      <c r="U366" s="9" t="e">
        <f ca="1"/>
        <v>#NAME?</v>
      </c>
      <c r="V366" s="9" t="e">
        <f ca="1"/>
        <v>#NAME?</v>
      </c>
      <c r="W366" s="9" t="str">
        <f ca="1">IFERROR(__xludf.DUMMYFUNCTION("""COMPUTED_VALUE"""),"")</f>
        <v/>
      </c>
    </row>
    <row r="367" spans="18:23" ht="12.5" x14ac:dyDescent="0.25">
      <c r="R367" s="9" t="str">
        <v/>
      </c>
      <c r="S367" s="9" t="str">
        <f ca="1">IFERROR(__xludf.DUMMYFUNCTION("""COMPUTED_VALUE"""),"")</f>
        <v/>
      </c>
      <c r="T367" s="9" t="str">
        <f ca="1">IFERROR(__xludf.DUMMYFUNCTION("""COMPUTED_VALUE"""),"")</f>
        <v/>
      </c>
      <c r="U367" s="9" t="e">
        <f ca="1"/>
        <v>#NAME?</v>
      </c>
      <c r="V367" s="9" t="e">
        <f ca="1"/>
        <v>#NAME?</v>
      </c>
      <c r="W367" s="9" t="str">
        <f ca="1">IFERROR(__xludf.DUMMYFUNCTION("""COMPUTED_VALUE"""),"")</f>
        <v/>
      </c>
    </row>
    <row r="368" spans="18:23" ht="12.5" x14ac:dyDescent="0.25">
      <c r="R368" s="9" t="str">
        <v/>
      </c>
      <c r="S368" s="9" t="str">
        <f ca="1">IFERROR(__xludf.DUMMYFUNCTION("""COMPUTED_VALUE"""),"")</f>
        <v/>
      </c>
      <c r="T368" s="9" t="str">
        <f ca="1">IFERROR(__xludf.DUMMYFUNCTION("""COMPUTED_VALUE"""),"")</f>
        <v/>
      </c>
      <c r="U368" s="9" t="e">
        <f ca="1"/>
        <v>#NAME?</v>
      </c>
      <c r="V368" s="9" t="e">
        <f ca="1"/>
        <v>#NAME?</v>
      </c>
      <c r="W368" s="9" t="str">
        <f ca="1">IFERROR(__xludf.DUMMYFUNCTION("""COMPUTED_VALUE"""),"")</f>
        <v/>
      </c>
    </row>
    <row r="369" spans="18:23" ht="12.5" x14ac:dyDescent="0.25">
      <c r="R369" s="9" t="str">
        <v/>
      </c>
      <c r="S369" s="9" t="str">
        <f ca="1">IFERROR(__xludf.DUMMYFUNCTION("""COMPUTED_VALUE"""),"")</f>
        <v/>
      </c>
      <c r="T369" s="9" t="str">
        <f ca="1">IFERROR(__xludf.DUMMYFUNCTION("""COMPUTED_VALUE"""),"")</f>
        <v/>
      </c>
      <c r="U369" s="9" t="e">
        <f ca="1"/>
        <v>#NAME?</v>
      </c>
      <c r="V369" s="9" t="e">
        <f ca="1"/>
        <v>#NAME?</v>
      </c>
      <c r="W369" s="9" t="str">
        <f ca="1">IFERROR(__xludf.DUMMYFUNCTION("""COMPUTED_VALUE"""),"")</f>
        <v/>
      </c>
    </row>
    <row r="370" spans="18:23" ht="12.5" x14ac:dyDescent="0.25">
      <c r="R370" s="9" t="str">
        <v/>
      </c>
      <c r="S370" s="9" t="str">
        <f ca="1">IFERROR(__xludf.DUMMYFUNCTION("""COMPUTED_VALUE"""),"")</f>
        <v/>
      </c>
      <c r="T370" s="9" t="str">
        <f ca="1">IFERROR(__xludf.DUMMYFUNCTION("""COMPUTED_VALUE"""),"")</f>
        <v/>
      </c>
      <c r="U370" s="9" t="e">
        <f ca="1"/>
        <v>#NAME?</v>
      </c>
      <c r="V370" s="9" t="e">
        <f ca="1"/>
        <v>#NAME?</v>
      </c>
      <c r="W370" s="9" t="str">
        <f ca="1">IFERROR(__xludf.DUMMYFUNCTION("""COMPUTED_VALUE"""),"")</f>
        <v/>
      </c>
    </row>
    <row r="371" spans="18:23" ht="12.5" x14ac:dyDescent="0.25">
      <c r="R371" s="9" t="str">
        <v/>
      </c>
      <c r="S371" s="9" t="str">
        <f ca="1">IFERROR(__xludf.DUMMYFUNCTION("""COMPUTED_VALUE"""),"")</f>
        <v/>
      </c>
      <c r="T371" s="9" t="str">
        <f ca="1">IFERROR(__xludf.DUMMYFUNCTION("""COMPUTED_VALUE"""),"")</f>
        <v/>
      </c>
      <c r="U371" s="9" t="e">
        <f ca="1"/>
        <v>#NAME?</v>
      </c>
      <c r="V371" s="9" t="e">
        <f ca="1"/>
        <v>#NAME?</v>
      </c>
      <c r="W371" s="9" t="str">
        <f ca="1">IFERROR(__xludf.DUMMYFUNCTION("""COMPUTED_VALUE"""),"")</f>
        <v/>
      </c>
    </row>
    <row r="372" spans="18:23" ht="12.5" x14ac:dyDescent="0.25">
      <c r="R372" s="9" t="str">
        <v/>
      </c>
      <c r="S372" s="9" t="str">
        <f ca="1">IFERROR(__xludf.DUMMYFUNCTION("""COMPUTED_VALUE"""),"")</f>
        <v/>
      </c>
      <c r="T372" s="9" t="str">
        <f ca="1">IFERROR(__xludf.DUMMYFUNCTION("""COMPUTED_VALUE"""),"")</f>
        <v/>
      </c>
      <c r="U372" s="9" t="e">
        <f ca="1"/>
        <v>#NAME?</v>
      </c>
      <c r="V372" s="9" t="e">
        <f ca="1"/>
        <v>#NAME?</v>
      </c>
      <c r="W372" s="9" t="str">
        <f ca="1">IFERROR(__xludf.DUMMYFUNCTION("""COMPUTED_VALUE"""),"")</f>
        <v/>
      </c>
    </row>
    <row r="373" spans="18:23" ht="12.5" x14ac:dyDescent="0.25">
      <c r="R373" s="9" t="str">
        <v/>
      </c>
      <c r="S373" s="9" t="str">
        <f ca="1">IFERROR(__xludf.DUMMYFUNCTION("""COMPUTED_VALUE"""),"")</f>
        <v/>
      </c>
      <c r="T373" s="9" t="str">
        <f ca="1">IFERROR(__xludf.DUMMYFUNCTION("""COMPUTED_VALUE"""),"")</f>
        <v/>
      </c>
      <c r="U373" s="9" t="e">
        <f ca="1"/>
        <v>#NAME?</v>
      </c>
      <c r="V373" s="9" t="e">
        <f ca="1"/>
        <v>#NAME?</v>
      </c>
      <c r="W373" s="9" t="str">
        <f ca="1">IFERROR(__xludf.DUMMYFUNCTION("""COMPUTED_VALUE"""),"")</f>
        <v/>
      </c>
    </row>
    <row r="374" spans="18:23" ht="12.5" x14ac:dyDescent="0.25">
      <c r="R374" s="9" t="str">
        <v/>
      </c>
      <c r="S374" s="9" t="str">
        <f ca="1">IFERROR(__xludf.DUMMYFUNCTION("""COMPUTED_VALUE"""),"")</f>
        <v/>
      </c>
      <c r="T374" s="9" t="str">
        <f ca="1">IFERROR(__xludf.DUMMYFUNCTION("""COMPUTED_VALUE"""),"")</f>
        <v/>
      </c>
      <c r="U374" s="9" t="e">
        <f ca="1"/>
        <v>#NAME?</v>
      </c>
      <c r="V374" s="9" t="e">
        <f ca="1"/>
        <v>#NAME?</v>
      </c>
      <c r="W374" s="9" t="str">
        <f ca="1">IFERROR(__xludf.DUMMYFUNCTION("""COMPUTED_VALUE"""),"")</f>
        <v/>
      </c>
    </row>
    <row r="375" spans="18:23" ht="12.5" x14ac:dyDescent="0.25">
      <c r="R375" s="9" t="str">
        <v/>
      </c>
      <c r="S375" s="9" t="str">
        <f ca="1">IFERROR(__xludf.DUMMYFUNCTION("""COMPUTED_VALUE"""),"")</f>
        <v/>
      </c>
      <c r="T375" s="9" t="str">
        <f ca="1">IFERROR(__xludf.DUMMYFUNCTION("""COMPUTED_VALUE"""),"")</f>
        <v/>
      </c>
      <c r="U375" s="9" t="e">
        <f ca="1"/>
        <v>#NAME?</v>
      </c>
      <c r="V375" s="9" t="e">
        <f ca="1"/>
        <v>#NAME?</v>
      </c>
      <c r="W375" s="9" t="str">
        <f ca="1">IFERROR(__xludf.DUMMYFUNCTION("""COMPUTED_VALUE"""),"")</f>
        <v/>
      </c>
    </row>
    <row r="376" spans="18:23" ht="12.5" x14ac:dyDescent="0.25">
      <c r="R376" s="9" t="str">
        <v/>
      </c>
      <c r="S376" s="9" t="str">
        <f ca="1">IFERROR(__xludf.DUMMYFUNCTION("""COMPUTED_VALUE"""),"")</f>
        <v/>
      </c>
      <c r="T376" s="9" t="str">
        <f ca="1">IFERROR(__xludf.DUMMYFUNCTION("""COMPUTED_VALUE"""),"")</f>
        <v/>
      </c>
      <c r="U376" s="9" t="e">
        <f ca="1"/>
        <v>#NAME?</v>
      </c>
      <c r="V376" s="9" t="e">
        <f ca="1"/>
        <v>#NAME?</v>
      </c>
      <c r="W376" s="9" t="str">
        <f ca="1">IFERROR(__xludf.DUMMYFUNCTION("""COMPUTED_VALUE"""),"")</f>
        <v/>
      </c>
    </row>
    <row r="377" spans="18:23" ht="12.5" x14ac:dyDescent="0.25">
      <c r="R377" s="9" t="str">
        <v/>
      </c>
      <c r="S377" s="9" t="str">
        <f ca="1">IFERROR(__xludf.DUMMYFUNCTION("""COMPUTED_VALUE"""),"")</f>
        <v/>
      </c>
      <c r="T377" s="9" t="str">
        <f ca="1">IFERROR(__xludf.DUMMYFUNCTION("""COMPUTED_VALUE"""),"")</f>
        <v/>
      </c>
      <c r="U377" s="9" t="e">
        <f ca="1"/>
        <v>#NAME?</v>
      </c>
      <c r="V377" s="9" t="e">
        <f ca="1"/>
        <v>#NAME?</v>
      </c>
      <c r="W377" s="9" t="str">
        <f ca="1">IFERROR(__xludf.DUMMYFUNCTION("""COMPUTED_VALUE"""),"")</f>
        <v/>
      </c>
    </row>
    <row r="378" spans="18:23" ht="12.5" x14ac:dyDescent="0.25">
      <c r="R378" s="9" t="str">
        <v/>
      </c>
      <c r="S378" s="9" t="str">
        <f ca="1">IFERROR(__xludf.DUMMYFUNCTION("""COMPUTED_VALUE"""),"")</f>
        <v/>
      </c>
      <c r="T378" s="9" t="str">
        <f ca="1">IFERROR(__xludf.DUMMYFUNCTION("""COMPUTED_VALUE"""),"")</f>
        <v/>
      </c>
      <c r="U378" s="9" t="e">
        <f ca="1"/>
        <v>#NAME?</v>
      </c>
      <c r="V378" s="9" t="e">
        <f ca="1"/>
        <v>#NAME?</v>
      </c>
      <c r="W378" s="9" t="str">
        <f ca="1">IFERROR(__xludf.DUMMYFUNCTION("""COMPUTED_VALUE"""),"")</f>
        <v/>
      </c>
    </row>
    <row r="379" spans="18:23" ht="12.5" x14ac:dyDescent="0.25">
      <c r="R379" s="9" t="str">
        <v/>
      </c>
      <c r="S379" s="9" t="str">
        <f ca="1">IFERROR(__xludf.DUMMYFUNCTION("""COMPUTED_VALUE"""),"")</f>
        <v/>
      </c>
      <c r="T379" s="9" t="str">
        <f ca="1">IFERROR(__xludf.DUMMYFUNCTION("""COMPUTED_VALUE"""),"")</f>
        <v/>
      </c>
      <c r="U379" s="9" t="e">
        <f ca="1"/>
        <v>#NAME?</v>
      </c>
      <c r="V379" s="9" t="e">
        <f ca="1"/>
        <v>#NAME?</v>
      </c>
      <c r="W379" s="9" t="str">
        <f ca="1">IFERROR(__xludf.DUMMYFUNCTION("""COMPUTED_VALUE"""),"")</f>
        <v/>
      </c>
    </row>
    <row r="380" spans="18:23" ht="12.5" x14ac:dyDescent="0.25">
      <c r="R380" s="9" t="str">
        <v/>
      </c>
      <c r="S380" s="9" t="str">
        <f ca="1">IFERROR(__xludf.DUMMYFUNCTION("""COMPUTED_VALUE"""),"")</f>
        <v/>
      </c>
      <c r="T380" s="9" t="str">
        <f ca="1">IFERROR(__xludf.DUMMYFUNCTION("""COMPUTED_VALUE"""),"")</f>
        <v/>
      </c>
      <c r="U380" s="9" t="e">
        <f ca="1"/>
        <v>#NAME?</v>
      </c>
      <c r="V380" s="9" t="e">
        <f ca="1"/>
        <v>#NAME?</v>
      </c>
      <c r="W380" s="9" t="str">
        <f ca="1">IFERROR(__xludf.DUMMYFUNCTION("""COMPUTED_VALUE"""),"")</f>
        <v/>
      </c>
    </row>
    <row r="381" spans="18:23" ht="12.5" x14ac:dyDescent="0.25">
      <c r="R381" s="9" t="str">
        <v/>
      </c>
      <c r="S381" s="9" t="str">
        <f ca="1">IFERROR(__xludf.DUMMYFUNCTION("""COMPUTED_VALUE"""),"")</f>
        <v/>
      </c>
      <c r="T381" s="9" t="str">
        <f ca="1">IFERROR(__xludf.DUMMYFUNCTION("""COMPUTED_VALUE"""),"")</f>
        <v/>
      </c>
      <c r="U381" s="9" t="e">
        <f ca="1"/>
        <v>#NAME?</v>
      </c>
      <c r="V381" s="9" t="e">
        <f ca="1"/>
        <v>#NAME?</v>
      </c>
      <c r="W381" s="9" t="str">
        <f ca="1">IFERROR(__xludf.DUMMYFUNCTION("""COMPUTED_VALUE"""),"")</f>
        <v/>
      </c>
    </row>
    <row r="382" spans="18:23" ht="12.5" x14ac:dyDescent="0.25">
      <c r="R382" s="9" t="str">
        <v/>
      </c>
      <c r="S382" s="9" t="str">
        <f ca="1">IFERROR(__xludf.DUMMYFUNCTION("""COMPUTED_VALUE"""),"")</f>
        <v/>
      </c>
      <c r="T382" s="9" t="str">
        <f ca="1">IFERROR(__xludf.DUMMYFUNCTION("""COMPUTED_VALUE"""),"")</f>
        <v/>
      </c>
      <c r="U382" s="9" t="e">
        <f ca="1"/>
        <v>#NAME?</v>
      </c>
      <c r="V382" s="9" t="e">
        <f ca="1"/>
        <v>#NAME?</v>
      </c>
      <c r="W382" s="9" t="str">
        <f ca="1">IFERROR(__xludf.DUMMYFUNCTION("""COMPUTED_VALUE"""),"")</f>
        <v/>
      </c>
    </row>
    <row r="383" spans="18:23" ht="12.5" x14ac:dyDescent="0.25">
      <c r="R383" s="9" t="str">
        <v/>
      </c>
      <c r="S383" s="9" t="str">
        <f ca="1">IFERROR(__xludf.DUMMYFUNCTION("""COMPUTED_VALUE"""),"")</f>
        <v/>
      </c>
      <c r="T383" s="9" t="str">
        <f ca="1">IFERROR(__xludf.DUMMYFUNCTION("""COMPUTED_VALUE"""),"")</f>
        <v/>
      </c>
      <c r="U383" s="9" t="e">
        <f ca="1"/>
        <v>#NAME?</v>
      </c>
      <c r="V383" s="9" t="e">
        <f ca="1"/>
        <v>#NAME?</v>
      </c>
      <c r="W383" s="9" t="str">
        <f ca="1">IFERROR(__xludf.DUMMYFUNCTION("""COMPUTED_VALUE"""),"")</f>
        <v/>
      </c>
    </row>
    <row r="384" spans="18:23" ht="12.5" x14ac:dyDescent="0.25">
      <c r="R384" s="9" t="str">
        <v/>
      </c>
      <c r="S384" s="9" t="str">
        <f ca="1">IFERROR(__xludf.DUMMYFUNCTION("""COMPUTED_VALUE"""),"")</f>
        <v/>
      </c>
      <c r="T384" s="9" t="str">
        <f ca="1">IFERROR(__xludf.DUMMYFUNCTION("""COMPUTED_VALUE"""),"")</f>
        <v/>
      </c>
      <c r="U384" s="9" t="e">
        <f ca="1"/>
        <v>#NAME?</v>
      </c>
      <c r="V384" s="9" t="e">
        <f ca="1"/>
        <v>#NAME?</v>
      </c>
      <c r="W384" s="9" t="str">
        <f ca="1">IFERROR(__xludf.DUMMYFUNCTION("""COMPUTED_VALUE"""),"")</f>
        <v/>
      </c>
    </row>
    <row r="385" spans="18:23" ht="12.5" x14ac:dyDescent="0.25">
      <c r="R385" s="9" t="str">
        <v/>
      </c>
      <c r="S385" s="9" t="str">
        <f ca="1">IFERROR(__xludf.DUMMYFUNCTION("""COMPUTED_VALUE"""),"")</f>
        <v/>
      </c>
      <c r="T385" s="9" t="str">
        <f ca="1">IFERROR(__xludf.DUMMYFUNCTION("""COMPUTED_VALUE"""),"")</f>
        <v/>
      </c>
      <c r="U385" s="9" t="e">
        <f ca="1"/>
        <v>#NAME?</v>
      </c>
      <c r="V385" s="9" t="e">
        <f ca="1"/>
        <v>#NAME?</v>
      </c>
      <c r="W385" s="9" t="str">
        <f ca="1">IFERROR(__xludf.DUMMYFUNCTION("""COMPUTED_VALUE"""),"")</f>
        <v/>
      </c>
    </row>
    <row r="386" spans="18:23" ht="12.5" x14ac:dyDescent="0.25">
      <c r="R386" s="9" t="str">
        <v/>
      </c>
      <c r="S386" s="9" t="str">
        <f ca="1">IFERROR(__xludf.DUMMYFUNCTION("""COMPUTED_VALUE"""),"")</f>
        <v/>
      </c>
      <c r="T386" s="9" t="str">
        <f ca="1">IFERROR(__xludf.DUMMYFUNCTION("""COMPUTED_VALUE"""),"")</f>
        <v/>
      </c>
      <c r="U386" s="9" t="e">
        <f ca="1"/>
        <v>#NAME?</v>
      </c>
      <c r="V386" s="9" t="e">
        <f ca="1"/>
        <v>#NAME?</v>
      </c>
      <c r="W386" s="9" t="str">
        <f ca="1">IFERROR(__xludf.DUMMYFUNCTION("""COMPUTED_VALUE"""),"")</f>
        <v/>
      </c>
    </row>
    <row r="387" spans="18:23" ht="12.5" x14ac:dyDescent="0.25">
      <c r="R387" s="9" t="str">
        <v/>
      </c>
      <c r="S387" s="9" t="str">
        <f ca="1">IFERROR(__xludf.DUMMYFUNCTION("""COMPUTED_VALUE"""),"")</f>
        <v/>
      </c>
      <c r="T387" s="9" t="str">
        <f ca="1">IFERROR(__xludf.DUMMYFUNCTION("""COMPUTED_VALUE"""),"")</f>
        <v/>
      </c>
      <c r="U387" s="9" t="e">
        <f ca="1"/>
        <v>#NAME?</v>
      </c>
      <c r="V387" s="9" t="e">
        <f ca="1"/>
        <v>#NAME?</v>
      </c>
      <c r="W387" s="9" t="str">
        <f ca="1">IFERROR(__xludf.DUMMYFUNCTION("""COMPUTED_VALUE"""),"")</f>
        <v/>
      </c>
    </row>
    <row r="388" spans="18:23" ht="12.5" x14ac:dyDescent="0.25">
      <c r="R388" s="9" t="str">
        <v/>
      </c>
      <c r="S388" s="9" t="str">
        <f ca="1">IFERROR(__xludf.DUMMYFUNCTION("""COMPUTED_VALUE"""),"")</f>
        <v/>
      </c>
      <c r="T388" s="9" t="str">
        <f ca="1">IFERROR(__xludf.DUMMYFUNCTION("""COMPUTED_VALUE"""),"")</f>
        <v/>
      </c>
      <c r="U388" s="9" t="e">
        <f ca="1"/>
        <v>#NAME?</v>
      </c>
      <c r="V388" s="9" t="e">
        <f ca="1"/>
        <v>#NAME?</v>
      </c>
      <c r="W388" s="9" t="str">
        <f ca="1">IFERROR(__xludf.DUMMYFUNCTION("""COMPUTED_VALUE"""),"")</f>
        <v/>
      </c>
    </row>
    <row r="389" spans="18:23" ht="12.5" x14ac:dyDescent="0.25">
      <c r="R389" s="9" t="str">
        <v/>
      </c>
      <c r="S389" s="9" t="str">
        <f ca="1">IFERROR(__xludf.DUMMYFUNCTION("""COMPUTED_VALUE"""),"")</f>
        <v/>
      </c>
      <c r="T389" s="9" t="str">
        <f ca="1">IFERROR(__xludf.DUMMYFUNCTION("""COMPUTED_VALUE"""),"")</f>
        <v/>
      </c>
      <c r="U389" s="9" t="e">
        <f ca="1"/>
        <v>#NAME?</v>
      </c>
      <c r="V389" s="9" t="e">
        <f ca="1"/>
        <v>#NAME?</v>
      </c>
      <c r="W389" s="9" t="str">
        <f ca="1">IFERROR(__xludf.DUMMYFUNCTION("""COMPUTED_VALUE"""),"")</f>
        <v/>
      </c>
    </row>
    <row r="390" spans="18:23" ht="12.5" x14ac:dyDescent="0.25">
      <c r="R390" s="9" t="str">
        <v/>
      </c>
      <c r="S390" s="9" t="str">
        <f ca="1">IFERROR(__xludf.DUMMYFUNCTION("""COMPUTED_VALUE"""),"")</f>
        <v/>
      </c>
      <c r="T390" s="9" t="str">
        <f ca="1">IFERROR(__xludf.DUMMYFUNCTION("""COMPUTED_VALUE"""),"")</f>
        <v/>
      </c>
      <c r="U390" s="9" t="e">
        <f ca="1"/>
        <v>#NAME?</v>
      </c>
      <c r="V390" s="9" t="e">
        <f ca="1"/>
        <v>#NAME?</v>
      </c>
      <c r="W390" s="9" t="str">
        <f ca="1">IFERROR(__xludf.DUMMYFUNCTION("""COMPUTED_VALUE"""),"")</f>
        <v/>
      </c>
    </row>
    <row r="391" spans="18:23" ht="12.5" x14ac:dyDescent="0.25">
      <c r="R391" s="9" t="str">
        <v/>
      </c>
      <c r="S391" s="9" t="str">
        <f ca="1">IFERROR(__xludf.DUMMYFUNCTION("""COMPUTED_VALUE"""),"")</f>
        <v/>
      </c>
      <c r="T391" s="9" t="str">
        <f ca="1">IFERROR(__xludf.DUMMYFUNCTION("""COMPUTED_VALUE"""),"")</f>
        <v/>
      </c>
      <c r="U391" s="9" t="e">
        <f ca="1"/>
        <v>#NAME?</v>
      </c>
      <c r="V391" s="9" t="e">
        <f ca="1"/>
        <v>#NAME?</v>
      </c>
      <c r="W391" s="9" t="str">
        <f ca="1">IFERROR(__xludf.DUMMYFUNCTION("""COMPUTED_VALUE"""),"")</f>
        <v/>
      </c>
    </row>
    <row r="392" spans="18:23" ht="12.5" x14ac:dyDescent="0.25">
      <c r="R392" s="9" t="str">
        <v/>
      </c>
      <c r="S392" s="9" t="str">
        <f ca="1">IFERROR(__xludf.DUMMYFUNCTION("""COMPUTED_VALUE"""),"")</f>
        <v/>
      </c>
      <c r="T392" s="9" t="str">
        <f ca="1">IFERROR(__xludf.DUMMYFUNCTION("""COMPUTED_VALUE"""),"")</f>
        <v/>
      </c>
      <c r="U392" s="9" t="e">
        <f ca="1"/>
        <v>#NAME?</v>
      </c>
      <c r="V392" s="9" t="e">
        <f ca="1"/>
        <v>#NAME?</v>
      </c>
      <c r="W392" s="9" t="str">
        <f ca="1">IFERROR(__xludf.DUMMYFUNCTION("""COMPUTED_VALUE"""),"")</f>
        <v/>
      </c>
    </row>
    <row r="393" spans="18:23" ht="12.5" x14ac:dyDescent="0.25">
      <c r="R393" s="9" t="str">
        <v/>
      </c>
      <c r="S393" s="9" t="str">
        <f ca="1">IFERROR(__xludf.DUMMYFUNCTION("""COMPUTED_VALUE"""),"")</f>
        <v/>
      </c>
      <c r="T393" s="9" t="str">
        <f ca="1">IFERROR(__xludf.DUMMYFUNCTION("""COMPUTED_VALUE"""),"")</f>
        <v/>
      </c>
      <c r="U393" s="9" t="e">
        <f ca="1"/>
        <v>#NAME?</v>
      </c>
      <c r="V393" s="9" t="e">
        <f ca="1"/>
        <v>#NAME?</v>
      </c>
      <c r="W393" s="9" t="str">
        <f ca="1">IFERROR(__xludf.DUMMYFUNCTION("""COMPUTED_VALUE"""),"")</f>
        <v/>
      </c>
    </row>
    <row r="394" spans="18:23" ht="12.5" x14ac:dyDescent="0.25">
      <c r="R394" s="9" t="str">
        <v/>
      </c>
      <c r="S394" s="9" t="str">
        <f ca="1">IFERROR(__xludf.DUMMYFUNCTION("""COMPUTED_VALUE"""),"")</f>
        <v/>
      </c>
      <c r="T394" s="9" t="str">
        <f ca="1">IFERROR(__xludf.DUMMYFUNCTION("""COMPUTED_VALUE"""),"")</f>
        <v/>
      </c>
      <c r="U394" s="9" t="e">
        <f ca="1"/>
        <v>#NAME?</v>
      </c>
      <c r="V394" s="9" t="e">
        <f ca="1"/>
        <v>#NAME?</v>
      </c>
      <c r="W394" s="9" t="str">
        <f ca="1">IFERROR(__xludf.DUMMYFUNCTION("""COMPUTED_VALUE"""),"")</f>
        <v/>
      </c>
    </row>
    <row r="395" spans="18:23" ht="12.5" x14ac:dyDescent="0.25">
      <c r="R395" s="9" t="str">
        <v/>
      </c>
      <c r="S395" s="9" t="str">
        <f ca="1">IFERROR(__xludf.DUMMYFUNCTION("""COMPUTED_VALUE"""),"")</f>
        <v/>
      </c>
      <c r="T395" s="9" t="str">
        <f ca="1">IFERROR(__xludf.DUMMYFUNCTION("""COMPUTED_VALUE"""),"")</f>
        <v/>
      </c>
      <c r="U395" s="9" t="e">
        <f ca="1"/>
        <v>#NAME?</v>
      </c>
      <c r="V395" s="9" t="e">
        <f ca="1"/>
        <v>#NAME?</v>
      </c>
      <c r="W395" s="9" t="str">
        <f ca="1">IFERROR(__xludf.DUMMYFUNCTION("""COMPUTED_VALUE"""),"")</f>
        <v/>
      </c>
    </row>
    <row r="396" spans="18:23" ht="12.5" x14ac:dyDescent="0.25">
      <c r="R396" s="9" t="str">
        <v/>
      </c>
      <c r="S396" s="9" t="str">
        <f ca="1">IFERROR(__xludf.DUMMYFUNCTION("""COMPUTED_VALUE"""),"")</f>
        <v/>
      </c>
      <c r="T396" s="9" t="str">
        <f ca="1">IFERROR(__xludf.DUMMYFUNCTION("""COMPUTED_VALUE"""),"")</f>
        <v/>
      </c>
      <c r="U396" s="9" t="e">
        <f ca="1"/>
        <v>#NAME?</v>
      </c>
      <c r="V396" s="9" t="e">
        <f ca="1"/>
        <v>#NAME?</v>
      </c>
      <c r="W396" s="9" t="str">
        <f ca="1">IFERROR(__xludf.DUMMYFUNCTION("""COMPUTED_VALUE"""),"")</f>
        <v/>
      </c>
    </row>
    <row r="397" spans="18:23" ht="12.5" x14ac:dyDescent="0.25">
      <c r="R397" s="9" t="str">
        <v/>
      </c>
      <c r="S397" s="9" t="str">
        <f ca="1">IFERROR(__xludf.DUMMYFUNCTION("""COMPUTED_VALUE"""),"")</f>
        <v/>
      </c>
      <c r="T397" s="9" t="str">
        <f ca="1">IFERROR(__xludf.DUMMYFUNCTION("""COMPUTED_VALUE"""),"")</f>
        <v/>
      </c>
      <c r="U397" s="9" t="e">
        <f ca="1"/>
        <v>#NAME?</v>
      </c>
      <c r="V397" s="9" t="e">
        <f ca="1"/>
        <v>#NAME?</v>
      </c>
      <c r="W397" s="9" t="str">
        <f ca="1">IFERROR(__xludf.DUMMYFUNCTION("""COMPUTED_VALUE"""),"")</f>
        <v/>
      </c>
    </row>
    <row r="398" spans="18:23" ht="12.5" x14ac:dyDescent="0.25">
      <c r="R398" s="9" t="str">
        <v/>
      </c>
      <c r="S398" s="9" t="str">
        <f ca="1">IFERROR(__xludf.DUMMYFUNCTION("""COMPUTED_VALUE"""),"")</f>
        <v/>
      </c>
      <c r="T398" s="9" t="str">
        <f ca="1">IFERROR(__xludf.DUMMYFUNCTION("""COMPUTED_VALUE"""),"")</f>
        <v/>
      </c>
      <c r="U398" s="9" t="e">
        <f ca="1"/>
        <v>#NAME?</v>
      </c>
      <c r="V398" s="9" t="e">
        <f ca="1"/>
        <v>#NAME?</v>
      </c>
      <c r="W398" s="9" t="str">
        <f ca="1">IFERROR(__xludf.DUMMYFUNCTION("""COMPUTED_VALUE"""),"")</f>
        <v/>
      </c>
    </row>
    <row r="399" spans="18:23" ht="12.5" x14ac:dyDescent="0.25">
      <c r="R399" s="9" t="str">
        <v/>
      </c>
      <c r="S399" s="9" t="str">
        <f ca="1">IFERROR(__xludf.DUMMYFUNCTION("""COMPUTED_VALUE"""),"")</f>
        <v/>
      </c>
      <c r="T399" s="9" t="str">
        <f ca="1">IFERROR(__xludf.DUMMYFUNCTION("""COMPUTED_VALUE"""),"")</f>
        <v/>
      </c>
      <c r="U399" s="9" t="e">
        <f ca="1"/>
        <v>#NAME?</v>
      </c>
      <c r="V399" s="9" t="e">
        <f ca="1"/>
        <v>#NAME?</v>
      </c>
      <c r="W399" s="9" t="str">
        <f ca="1">IFERROR(__xludf.DUMMYFUNCTION("""COMPUTED_VALUE"""),"")</f>
        <v/>
      </c>
    </row>
    <row r="400" spans="18:23" ht="12.5" x14ac:dyDescent="0.25">
      <c r="R400" s="9" t="str">
        <v/>
      </c>
      <c r="S400" s="9" t="str">
        <f ca="1">IFERROR(__xludf.DUMMYFUNCTION("""COMPUTED_VALUE"""),"")</f>
        <v/>
      </c>
      <c r="T400" s="9" t="str">
        <f ca="1">IFERROR(__xludf.DUMMYFUNCTION("""COMPUTED_VALUE"""),"")</f>
        <v/>
      </c>
      <c r="U400" s="9" t="e">
        <f ca="1"/>
        <v>#NAME?</v>
      </c>
      <c r="V400" s="9" t="e">
        <f ca="1"/>
        <v>#NAME?</v>
      </c>
      <c r="W400" s="9" t="str">
        <f ca="1">IFERROR(__xludf.DUMMYFUNCTION("""COMPUTED_VALUE"""),"")</f>
        <v/>
      </c>
    </row>
    <row r="401" spans="18:23" ht="12.5" x14ac:dyDescent="0.25">
      <c r="R401" s="9" t="str">
        <v/>
      </c>
      <c r="S401" s="9" t="str">
        <f ca="1">IFERROR(__xludf.DUMMYFUNCTION("""COMPUTED_VALUE"""),"")</f>
        <v/>
      </c>
      <c r="T401" s="9" t="str">
        <f ca="1">IFERROR(__xludf.DUMMYFUNCTION("""COMPUTED_VALUE"""),"")</f>
        <v/>
      </c>
      <c r="U401" s="9" t="e">
        <f ca="1"/>
        <v>#NAME?</v>
      </c>
      <c r="V401" s="9" t="e">
        <f ca="1"/>
        <v>#NAME?</v>
      </c>
      <c r="W401" s="9" t="str">
        <f ca="1">IFERROR(__xludf.DUMMYFUNCTION("""COMPUTED_VALUE"""),"")</f>
        <v/>
      </c>
    </row>
    <row r="402" spans="18:23" ht="12.5" x14ac:dyDescent="0.25">
      <c r="R402" s="9" t="str">
        <v/>
      </c>
      <c r="S402" s="9" t="str">
        <f ca="1">IFERROR(__xludf.DUMMYFUNCTION("""COMPUTED_VALUE"""),"")</f>
        <v/>
      </c>
      <c r="T402" s="9" t="str">
        <f ca="1">IFERROR(__xludf.DUMMYFUNCTION("""COMPUTED_VALUE"""),"")</f>
        <v/>
      </c>
      <c r="U402" s="9" t="e">
        <f ca="1"/>
        <v>#NAME?</v>
      </c>
      <c r="V402" s="9" t="e">
        <f ca="1"/>
        <v>#NAME?</v>
      </c>
      <c r="W402" s="9" t="str">
        <f ca="1">IFERROR(__xludf.DUMMYFUNCTION("""COMPUTED_VALUE"""),"")</f>
        <v/>
      </c>
    </row>
    <row r="403" spans="18:23" ht="12.5" x14ac:dyDescent="0.25">
      <c r="R403" s="9" t="str">
        <v/>
      </c>
      <c r="S403" s="9" t="str">
        <f ca="1">IFERROR(__xludf.DUMMYFUNCTION("""COMPUTED_VALUE"""),"")</f>
        <v/>
      </c>
      <c r="T403" s="9" t="str">
        <f ca="1">IFERROR(__xludf.DUMMYFUNCTION("""COMPUTED_VALUE"""),"")</f>
        <v/>
      </c>
      <c r="U403" s="9" t="e">
        <f ca="1"/>
        <v>#NAME?</v>
      </c>
      <c r="V403" s="9" t="e">
        <f ca="1"/>
        <v>#NAME?</v>
      </c>
      <c r="W403" s="9" t="str">
        <f ca="1">IFERROR(__xludf.DUMMYFUNCTION("""COMPUTED_VALUE"""),"")</f>
        <v/>
      </c>
    </row>
    <row r="404" spans="18:23" ht="12.5" x14ac:dyDescent="0.25">
      <c r="R404" s="9" t="str">
        <v/>
      </c>
      <c r="S404" s="9" t="str">
        <f ca="1">IFERROR(__xludf.DUMMYFUNCTION("""COMPUTED_VALUE"""),"")</f>
        <v/>
      </c>
      <c r="T404" s="9" t="str">
        <f ca="1">IFERROR(__xludf.DUMMYFUNCTION("""COMPUTED_VALUE"""),"")</f>
        <v/>
      </c>
      <c r="U404" s="9" t="e">
        <f ca="1"/>
        <v>#NAME?</v>
      </c>
      <c r="V404" s="9" t="e">
        <f ca="1"/>
        <v>#NAME?</v>
      </c>
      <c r="W404" s="9" t="str">
        <f ca="1">IFERROR(__xludf.DUMMYFUNCTION("""COMPUTED_VALUE"""),"")</f>
        <v/>
      </c>
    </row>
    <row r="405" spans="18:23" ht="12.5" x14ac:dyDescent="0.25">
      <c r="R405" s="9" t="str">
        <v/>
      </c>
      <c r="S405" s="9" t="str">
        <f ca="1">IFERROR(__xludf.DUMMYFUNCTION("""COMPUTED_VALUE"""),"")</f>
        <v/>
      </c>
      <c r="T405" s="9" t="str">
        <f ca="1">IFERROR(__xludf.DUMMYFUNCTION("""COMPUTED_VALUE"""),"")</f>
        <v/>
      </c>
      <c r="U405" s="9" t="e">
        <f ca="1"/>
        <v>#NAME?</v>
      </c>
      <c r="V405" s="9" t="e">
        <f ca="1"/>
        <v>#NAME?</v>
      </c>
      <c r="W405" s="9" t="str">
        <f ca="1">IFERROR(__xludf.DUMMYFUNCTION("""COMPUTED_VALUE"""),"")</f>
        <v/>
      </c>
    </row>
    <row r="406" spans="18:23" ht="12.5" x14ac:dyDescent="0.25">
      <c r="R406" s="9" t="str">
        <v/>
      </c>
      <c r="S406" s="9" t="str">
        <f ca="1">IFERROR(__xludf.DUMMYFUNCTION("""COMPUTED_VALUE"""),"")</f>
        <v/>
      </c>
      <c r="T406" s="9" t="str">
        <f ca="1">IFERROR(__xludf.DUMMYFUNCTION("""COMPUTED_VALUE"""),"")</f>
        <v/>
      </c>
      <c r="U406" s="9" t="e">
        <f ca="1"/>
        <v>#NAME?</v>
      </c>
      <c r="V406" s="9" t="e">
        <f ca="1"/>
        <v>#NAME?</v>
      </c>
      <c r="W406" s="9" t="str">
        <f ca="1">IFERROR(__xludf.DUMMYFUNCTION("""COMPUTED_VALUE"""),"")</f>
        <v/>
      </c>
    </row>
    <row r="407" spans="18:23" ht="12.5" x14ac:dyDescent="0.25">
      <c r="R407" s="9" t="str">
        <v/>
      </c>
      <c r="S407" s="9" t="str">
        <f ca="1">IFERROR(__xludf.DUMMYFUNCTION("""COMPUTED_VALUE"""),"")</f>
        <v/>
      </c>
      <c r="T407" s="9" t="str">
        <f ca="1">IFERROR(__xludf.DUMMYFUNCTION("""COMPUTED_VALUE"""),"")</f>
        <v/>
      </c>
      <c r="U407" s="9" t="e">
        <f ca="1"/>
        <v>#NAME?</v>
      </c>
      <c r="V407" s="9" t="e">
        <f ca="1"/>
        <v>#NAME?</v>
      </c>
      <c r="W407" s="9" t="str">
        <f ca="1">IFERROR(__xludf.DUMMYFUNCTION("""COMPUTED_VALUE"""),"")</f>
        <v/>
      </c>
    </row>
    <row r="408" spans="18:23" ht="12.5" x14ac:dyDescent="0.25">
      <c r="R408" s="9" t="str">
        <v/>
      </c>
      <c r="S408" s="9" t="str">
        <f ca="1">IFERROR(__xludf.DUMMYFUNCTION("""COMPUTED_VALUE"""),"")</f>
        <v/>
      </c>
      <c r="T408" s="9" t="str">
        <f ca="1">IFERROR(__xludf.DUMMYFUNCTION("""COMPUTED_VALUE"""),"")</f>
        <v/>
      </c>
      <c r="U408" s="9" t="e">
        <f ca="1"/>
        <v>#NAME?</v>
      </c>
      <c r="V408" s="9" t="e">
        <f ca="1"/>
        <v>#NAME?</v>
      </c>
      <c r="W408" s="9" t="str">
        <f ca="1">IFERROR(__xludf.DUMMYFUNCTION("""COMPUTED_VALUE"""),"")</f>
        <v/>
      </c>
    </row>
    <row r="409" spans="18:23" ht="12.5" x14ac:dyDescent="0.25">
      <c r="R409" s="9" t="str">
        <v/>
      </c>
      <c r="S409" s="9" t="str">
        <f ca="1">IFERROR(__xludf.DUMMYFUNCTION("""COMPUTED_VALUE"""),"")</f>
        <v/>
      </c>
      <c r="T409" s="9" t="str">
        <f ca="1">IFERROR(__xludf.DUMMYFUNCTION("""COMPUTED_VALUE"""),"")</f>
        <v/>
      </c>
      <c r="U409" s="9" t="e">
        <f ca="1"/>
        <v>#NAME?</v>
      </c>
      <c r="V409" s="9" t="e">
        <f ca="1"/>
        <v>#NAME?</v>
      </c>
      <c r="W409" s="9" t="str">
        <f ca="1">IFERROR(__xludf.DUMMYFUNCTION("""COMPUTED_VALUE"""),"")</f>
        <v/>
      </c>
    </row>
    <row r="410" spans="18:23" ht="12.5" x14ac:dyDescent="0.25">
      <c r="R410" s="9" t="str">
        <v/>
      </c>
      <c r="S410" s="9" t="str">
        <f ca="1">IFERROR(__xludf.DUMMYFUNCTION("""COMPUTED_VALUE"""),"")</f>
        <v/>
      </c>
      <c r="T410" s="9" t="str">
        <f ca="1">IFERROR(__xludf.DUMMYFUNCTION("""COMPUTED_VALUE"""),"")</f>
        <v/>
      </c>
      <c r="U410" s="9" t="e">
        <f ca="1"/>
        <v>#NAME?</v>
      </c>
      <c r="V410" s="9" t="e">
        <f ca="1"/>
        <v>#NAME?</v>
      </c>
      <c r="W410" s="9" t="str">
        <f ca="1">IFERROR(__xludf.DUMMYFUNCTION("""COMPUTED_VALUE"""),"")</f>
        <v/>
      </c>
    </row>
    <row r="411" spans="18:23" ht="12.5" x14ac:dyDescent="0.25">
      <c r="R411" s="9" t="str">
        <v/>
      </c>
      <c r="S411" s="9" t="str">
        <f ca="1">IFERROR(__xludf.DUMMYFUNCTION("""COMPUTED_VALUE"""),"")</f>
        <v/>
      </c>
      <c r="T411" s="9" t="str">
        <f ca="1">IFERROR(__xludf.DUMMYFUNCTION("""COMPUTED_VALUE"""),"")</f>
        <v/>
      </c>
      <c r="U411" s="9" t="e">
        <f ca="1"/>
        <v>#NAME?</v>
      </c>
      <c r="V411" s="9" t="e">
        <f ca="1"/>
        <v>#NAME?</v>
      </c>
      <c r="W411" s="9" t="str">
        <f ca="1">IFERROR(__xludf.DUMMYFUNCTION("""COMPUTED_VALUE"""),"")</f>
        <v/>
      </c>
    </row>
    <row r="412" spans="18:23" ht="12.5" x14ac:dyDescent="0.25">
      <c r="R412" s="9" t="str">
        <v/>
      </c>
      <c r="S412" s="9" t="str">
        <f ca="1">IFERROR(__xludf.DUMMYFUNCTION("""COMPUTED_VALUE"""),"")</f>
        <v/>
      </c>
      <c r="T412" s="9" t="str">
        <f ca="1">IFERROR(__xludf.DUMMYFUNCTION("""COMPUTED_VALUE"""),"")</f>
        <v/>
      </c>
      <c r="U412" s="9" t="e">
        <f ca="1"/>
        <v>#NAME?</v>
      </c>
      <c r="V412" s="9" t="e">
        <f ca="1"/>
        <v>#NAME?</v>
      </c>
      <c r="W412" s="9" t="str">
        <f ca="1">IFERROR(__xludf.DUMMYFUNCTION("""COMPUTED_VALUE"""),"")</f>
        <v/>
      </c>
    </row>
    <row r="413" spans="18:23" ht="12.5" x14ac:dyDescent="0.25">
      <c r="R413" s="9" t="str">
        <v/>
      </c>
      <c r="S413" s="9" t="str">
        <f ca="1">IFERROR(__xludf.DUMMYFUNCTION("""COMPUTED_VALUE"""),"")</f>
        <v/>
      </c>
      <c r="T413" s="9" t="str">
        <f ca="1">IFERROR(__xludf.DUMMYFUNCTION("""COMPUTED_VALUE"""),"")</f>
        <v/>
      </c>
      <c r="U413" s="9" t="e">
        <f ca="1"/>
        <v>#NAME?</v>
      </c>
      <c r="V413" s="9" t="e">
        <f ca="1"/>
        <v>#NAME?</v>
      </c>
      <c r="W413" s="9" t="str">
        <f ca="1">IFERROR(__xludf.DUMMYFUNCTION("""COMPUTED_VALUE"""),"")</f>
        <v/>
      </c>
    </row>
    <row r="414" spans="18:23" ht="12.5" x14ac:dyDescent="0.25">
      <c r="R414" s="9" t="str">
        <v/>
      </c>
      <c r="S414" s="9" t="str">
        <f ca="1">IFERROR(__xludf.DUMMYFUNCTION("""COMPUTED_VALUE"""),"")</f>
        <v/>
      </c>
      <c r="T414" s="9" t="str">
        <f ca="1">IFERROR(__xludf.DUMMYFUNCTION("""COMPUTED_VALUE"""),"")</f>
        <v/>
      </c>
      <c r="U414" s="9" t="e">
        <f ca="1"/>
        <v>#NAME?</v>
      </c>
      <c r="V414" s="9" t="e">
        <f ca="1"/>
        <v>#NAME?</v>
      </c>
      <c r="W414" s="9" t="str">
        <f ca="1">IFERROR(__xludf.DUMMYFUNCTION("""COMPUTED_VALUE"""),"")</f>
        <v/>
      </c>
    </row>
    <row r="415" spans="18:23" ht="12.5" x14ac:dyDescent="0.25">
      <c r="R415" s="9" t="str">
        <v/>
      </c>
      <c r="S415" s="9" t="str">
        <f ca="1">IFERROR(__xludf.DUMMYFUNCTION("""COMPUTED_VALUE"""),"")</f>
        <v/>
      </c>
      <c r="T415" s="9" t="str">
        <f ca="1">IFERROR(__xludf.DUMMYFUNCTION("""COMPUTED_VALUE"""),"")</f>
        <v/>
      </c>
      <c r="U415" s="9" t="e">
        <f ca="1"/>
        <v>#NAME?</v>
      </c>
      <c r="V415" s="9" t="e">
        <f ca="1"/>
        <v>#NAME?</v>
      </c>
      <c r="W415" s="9" t="str">
        <f ca="1">IFERROR(__xludf.DUMMYFUNCTION("""COMPUTED_VALUE"""),"")</f>
        <v/>
      </c>
    </row>
    <row r="416" spans="18:23" ht="12.5" x14ac:dyDescent="0.25">
      <c r="R416" s="9" t="str">
        <v/>
      </c>
      <c r="S416" s="9" t="str">
        <f ca="1">IFERROR(__xludf.DUMMYFUNCTION("""COMPUTED_VALUE"""),"")</f>
        <v/>
      </c>
      <c r="T416" s="9" t="str">
        <f ca="1">IFERROR(__xludf.DUMMYFUNCTION("""COMPUTED_VALUE"""),"")</f>
        <v/>
      </c>
      <c r="U416" s="9" t="e">
        <f ca="1"/>
        <v>#NAME?</v>
      </c>
      <c r="V416" s="9" t="e">
        <f ca="1"/>
        <v>#NAME?</v>
      </c>
      <c r="W416" s="9" t="str">
        <f ca="1">IFERROR(__xludf.DUMMYFUNCTION("""COMPUTED_VALUE"""),"")</f>
        <v/>
      </c>
    </row>
    <row r="417" spans="18:23" ht="12.5" x14ac:dyDescent="0.25">
      <c r="R417" s="9" t="str">
        <v/>
      </c>
      <c r="S417" s="9" t="str">
        <f ca="1">IFERROR(__xludf.DUMMYFUNCTION("""COMPUTED_VALUE"""),"")</f>
        <v/>
      </c>
      <c r="T417" s="9" t="str">
        <f ca="1">IFERROR(__xludf.DUMMYFUNCTION("""COMPUTED_VALUE"""),"")</f>
        <v/>
      </c>
      <c r="U417" s="9" t="e">
        <f ca="1"/>
        <v>#NAME?</v>
      </c>
      <c r="V417" s="9" t="e">
        <f ca="1"/>
        <v>#NAME?</v>
      </c>
      <c r="W417" s="9" t="str">
        <f ca="1">IFERROR(__xludf.DUMMYFUNCTION("""COMPUTED_VALUE"""),"")</f>
        <v/>
      </c>
    </row>
    <row r="418" spans="18:23" ht="12.5" x14ac:dyDescent="0.25">
      <c r="R418" s="9" t="str">
        <v/>
      </c>
      <c r="S418" s="9" t="str">
        <f ca="1">IFERROR(__xludf.DUMMYFUNCTION("""COMPUTED_VALUE"""),"")</f>
        <v/>
      </c>
      <c r="T418" s="9" t="str">
        <f ca="1">IFERROR(__xludf.DUMMYFUNCTION("""COMPUTED_VALUE"""),"")</f>
        <v/>
      </c>
      <c r="U418" s="9" t="e">
        <f ca="1"/>
        <v>#NAME?</v>
      </c>
      <c r="V418" s="9" t="e">
        <f ca="1"/>
        <v>#NAME?</v>
      </c>
      <c r="W418" s="9" t="str">
        <f ca="1">IFERROR(__xludf.DUMMYFUNCTION("""COMPUTED_VALUE"""),"")</f>
        <v/>
      </c>
    </row>
    <row r="419" spans="18:23" ht="12.5" x14ac:dyDescent="0.25">
      <c r="R419" s="9" t="str">
        <v/>
      </c>
      <c r="S419" s="9" t="str">
        <f ca="1">IFERROR(__xludf.DUMMYFUNCTION("""COMPUTED_VALUE"""),"")</f>
        <v/>
      </c>
      <c r="T419" s="9" t="str">
        <f ca="1">IFERROR(__xludf.DUMMYFUNCTION("""COMPUTED_VALUE"""),"")</f>
        <v/>
      </c>
      <c r="U419" s="9" t="e">
        <f ca="1"/>
        <v>#NAME?</v>
      </c>
      <c r="V419" s="9" t="e">
        <f ca="1"/>
        <v>#NAME?</v>
      </c>
      <c r="W419" s="9" t="str">
        <f ca="1">IFERROR(__xludf.DUMMYFUNCTION("""COMPUTED_VALUE"""),"")</f>
        <v/>
      </c>
    </row>
    <row r="420" spans="18:23" ht="12.5" x14ac:dyDescent="0.25">
      <c r="R420" s="9" t="str">
        <v/>
      </c>
      <c r="S420" s="9" t="str">
        <f ca="1">IFERROR(__xludf.DUMMYFUNCTION("""COMPUTED_VALUE"""),"")</f>
        <v/>
      </c>
      <c r="T420" s="9" t="str">
        <f ca="1">IFERROR(__xludf.DUMMYFUNCTION("""COMPUTED_VALUE"""),"")</f>
        <v/>
      </c>
      <c r="U420" s="9" t="e">
        <f ca="1"/>
        <v>#NAME?</v>
      </c>
      <c r="V420" s="9" t="e">
        <f ca="1"/>
        <v>#NAME?</v>
      </c>
      <c r="W420" s="9" t="str">
        <f ca="1">IFERROR(__xludf.DUMMYFUNCTION("""COMPUTED_VALUE"""),"")</f>
        <v/>
      </c>
    </row>
    <row r="421" spans="18:23" ht="12.5" x14ac:dyDescent="0.25">
      <c r="R421" s="9" t="str">
        <v/>
      </c>
      <c r="S421" s="9" t="str">
        <f ca="1">IFERROR(__xludf.DUMMYFUNCTION("""COMPUTED_VALUE"""),"")</f>
        <v/>
      </c>
      <c r="T421" s="9" t="str">
        <f ca="1">IFERROR(__xludf.DUMMYFUNCTION("""COMPUTED_VALUE"""),"")</f>
        <v/>
      </c>
      <c r="U421" s="9" t="e">
        <f ca="1"/>
        <v>#NAME?</v>
      </c>
      <c r="V421" s="9" t="e">
        <f ca="1"/>
        <v>#NAME?</v>
      </c>
      <c r="W421" s="9" t="str">
        <f ca="1">IFERROR(__xludf.DUMMYFUNCTION("""COMPUTED_VALUE"""),"")</f>
        <v/>
      </c>
    </row>
    <row r="422" spans="18:23" ht="12.5" x14ac:dyDescent="0.25">
      <c r="R422" s="9" t="str">
        <v/>
      </c>
      <c r="S422" s="9" t="str">
        <f ca="1">IFERROR(__xludf.DUMMYFUNCTION("""COMPUTED_VALUE"""),"")</f>
        <v/>
      </c>
      <c r="T422" s="9" t="str">
        <f ca="1">IFERROR(__xludf.DUMMYFUNCTION("""COMPUTED_VALUE"""),"")</f>
        <v/>
      </c>
      <c r="U422" s="9" t="e">
        <f ca="1"/>
        <v>#NAME?</v>
      </c>
      <c r="V422" s="9" t="e">
        <f ca="1"/>
        <v>#NAME?</v>
      </c>
      <c r="W422" s="9" t="str">
        <f ca="1">IFERROR(__xludf.DUMMYFUNCTION("""COMPUTED_VALUE"""),"")</f>
        <v/>
      </c>
    </row>
    <row r="423" spans="18:23" ht="12.5" x14ac:dyDescent="0.25">
      <c r="R423" s="9" t="str">
        <v/>
      </c>
      <c r="S423" s="9" t="str">
        <f ca="1">IFERROR(__xludf.DUMMYFUNCTION("""COMPUTED_VALUE"""),"")</f>
        <v/>
      </c>
      <c r="T423" s="9" t="str">
        <f ca="1">IFERROR(__xludf.DUMMYFUNCTION("""COMPUTED_VALUE"""),"")</f>
        <v/>
      </c>
      <c r="U423" s="9" t="e">
        <f ca="1"/>
        <v>#NAME?</v>
      </c>
      <c r="V423" s="9" t="e">
        <f ca="1"/>
        <v>#NAME?</v>
      </c>
      <c r="W423" s="9" t="str">
        <f ca="1">IFERROR(__xludf.DUMMYFUNCTION("""COMPUTED_VALUE"""),"")</f>
        <v/>
      </c>
    </row>
    <row r="424" spans="18:23" ht="12.5" x14ac:dyDescent="0.25">
      <c r="R424" s="9" t="str">
        <v/>
      </c>
      <c r="S424" s="9" t="str">
        <f ca="1">IFERROR(__xludf.DUMMYFUNCTION("""COMPUTED_VALUE"""),"")</f>
        <v/>
      </c>
      <c r="T424" s="9" t="str">
        <f ca="1">IFERROR(__xludf.DUMMYFUNCTION("""COMPUTED_VALUE"""),"")</f>
        <v/>
      </c>
      <c r="U424" s="9" t="e">
        <f ca="1"/>
        <v>#NAME?</v>
      </c>
      <c r="V424" s="9" t="e">
        <f ca="1"/>
        <v>#NAME?</v>
      </c>
      <c r="W424" s="9" t="str">
        <f ca="1">IFERROR(__xludf.DUMMYFUNCTION("""COMPUTED_VALUE"""),"")</f>
        <v/>
      </c>
    </row>
    <row r="425" spans="18:23" ht="12.5" x14ac:dyDescent="0.25">
      <c r="R425" s="9" t="str">
        <v/>
      </c>
      <c r="S425" s="9" t="str">
        <f ca="1">IFERROR(__xludf.DUMMYFUNCTION("""COMPUTED_VALUE"""),"")</f>
        <v/>
      </c>
      <c r="T425" s="9" t="str">
        <f ca="1">IFERROR(__xludf.DUMMYFUNCTION("""COMPUTED_VALUE"""),"")</f>
        <v/>
      </c>
      <c r="U425" s="9" t="e">
        <f ca="1"/>
        <v>#NAME?</v>
      </c>
      <c r="V425" s="9" t="e">
        <f ca="1"/>
        <v>#NAME?</v>
      </c>
      <c r="W425" s="9" t="str">
        <f ca="1">IFERROR(__xludf.DUMMYFUNCTION("""COMPUTED_VALUE"""),"")</f>
        <v/>
      </c>
    </row>
    <row r="426" spans="18:23" ht="12.5" x14ac:dyDescent="0.25">
      <c r="R426" s="9" t="str">
        <v/>
      </c>
      <c r="S426" s="9" t="str">
        <f ca="1">IFERROR(__xludf.DUMMYFUNCTION("""COMPUTED_VALUE"""),"")</f>
        <v/>
      </c>
      <c r="T426" s="9" t="str">
        <f ca="1">IFERROR(__xludf.DUMMYFUNCTION("""COMPUTED_VALUE"""),"")</f>
        <v/>
      </c>
      <c r="U426" s="9" t="e">
        <f ca="1"/>
        <v>#NAME?</v>
      </c>
      <c r="V426" s="9" t="e">
        <f ca="1"/>
        <v>#NAME?</v>
      </c>
      <c r="W426" s="9" t="str">
        <f ca="1">IFERROR(__xludf.DUMMYFUNCTION("""COMPUTED_VALUE"""),"")</f>
        <v/>
      </c>
    </row>
    <row r="427" spans="18:23" ht="12.5" x14ac:dyDescent="0.25">
      <c r="R427" s="9" t="str">
        <v/>
      </c>
      <c r="S427" s="9" t="str">
        <f ca="1">IFERROR(__xludf.DUMMYFUNCTION("""COMPUTED_VALUE"""),"")</f>
        <v/>
      </c>
      <c r="T427" s="9" t="str">
        <f ca="1">IFERROR(__xludf.DUMMYFUNCTION("""COMPUTED_VALUE"""),"")</f>
        <v/>
      </c>
      <c r="U427" s="9" t="e">
        <f ca="1"/>
        <v>#NAME?</v>
      </c>
      <c r="V427" s="9" t="e">
        <f ca="1"/>
        <v>#NAME?</v>
      </c>
      <c r="W427" s="9" t="str">
        <f ca="1">IFERROR(__xludf.DUMMYFUNCTION("""COMPUTED_VALUE"""),"")</f>
        <v/>
      </c>
    </row>
    <row r="428" spans="18:23" ht="12.5" x14ac:dyDescent="0.25">
      <c r="R428" s="9" t="str">
        <v/>
      </c>
      <c r="S428" s="9" t="str">
        <f ca="1">IFERROR(__xludf.DUMMYFUNCTION("""COMPUTED_VALUE"""),"")</f>
        <v/>
      </c>
      <c r="T428" s="9" t="str">
        <f ca="1">IFERROR(__xludf.DUMMYFUNCTION("""COMPUTED_VALUE"""),"")</f>
        <v/>
      </c>
      <c r="U428" s="9" t="e">
        <f ca="1"/>
        <v>#NAME?</v>
      </c>
      <c r="V428" s="9" t="e">
        <f ca="1"/>
        <v>#NAME?</v>
      </c>
      <c r="W428" s="9" t="str">
        <f ca="1">IFERROR(__xludf.DUMMYFUNCTION("""COMPUTED_VALUE"""),"")</f>
        <v/>
      </c>
    </row>
    <row r="429" spans="18:23" ht="12.5" x14ac:dyDescent="0.25">
      <c r="R429" s="9" t="str">
        <v/>
      </c>
      <c r="S429" s="9" t="str">
        <f ca="1">IFERROR(__xludf.DUMMYFUNCTION("""COMPUTED_VALUE"""),"")</f>
        <v/>
      </c>
      <c r="T429" s="9" t="str">
        <f ca="1">IFERROR(__xludf.DUMMYFUNCTION("""COMPUTED_VALUE"""),"")</f>
        <v/>
      </c>
      <c r="U429" s="9" t="e">
        <f ca="1"/>
        <v>#NAME?</v>
      </c>
      <c r="V429" s="9" t="e">
        <f ca="1"/>
        <v>#NAME?</v>
      </c>
      <c r="W429" s="9" t="str">
        <f ca="1">IFERROR(__xludf.DUMMYFUNCTION("""COMPUTED_VALUE"""),"")</f>
        <v/>
      </c>
    </row>
    <row r="430" spans="18:23" ht="12.5" x14ac:dyDescent="0.25">
      <c r="R430" s="9" t="str">
        <v/>
      </c>
      <c r="S430" s="9" t="str">
        <f ca="1">IFERROR(__xludf.DUMMYFUNCTION("""COMPUTED_VALUE"""),"")</f>
        <v/>
      </c>
      <c r="T430" s="9" t="str">
        <f ca="1">IFERROR(__xludf.DUMMYFUNCTION("""COMPUTED_VALUE"""),"")</f>
        <v/>
      </c>
      <c r="U430" s="9" t="e">
        <f ca="1"/>
        <v>#NAME?</v>
      </c>
      <c r="V430" s="9" t="e">
        <f ca="1"/>
        <v>#NAME?</v>
      </c>
      <c r="W430" s="9" t="str">
        <f ca="1">IFERROR(__xludf.DUMMYFUNCTION("""COMPUTED_VALUE"""),"")</f>
        <v/>
      </c>
    </row>
    <row r="431" spans="18:23" ht="12.5" x14ac:dyDescent="0.25">
      <c r="R431" s="9" t="str">
        <v/>
      </c>
      <c r="S431" s="9" t="str">
        <f ca="1">IFERROR(__xludf.DUMMYFUNCTION("""COMPUTED_VALUE"""),"")</f>
        <v/>
      </c>
      <c r="T431" s="9" t="str">
        <f ca="1">IFERROR(__xludf.DUMMYFUNCTION("""COMPUTED_VALUE"""),"")</f>
        <v/>
      </c>
      <c r="U431" s="9" t="e">
        <f ca="1"/>
        <v>#NAME?</v>
      </c>
      <c r="V431" s="9" t="e">
        <f ca="1"/>
        <v>#NAME?</v>
      </c>
      <c r="W431" s="9" t="str">
        <f ca="1">IFERROR(__xludf.DUMMYFUNCTION("""COMPUTED_VALUE"""),"")</f>
        <v/>
      </c>
    </row>
    <row r="432" spans="18:23" ht="12.5" x14ac:dyDescent="0.25">
      <c r="R432" s="9" t="str">
        <v/>
      </c>
      <c r="S432" s="9" t="str">
        <f ca="1">IFERROR(__xludf.DUMMYFUNCTION("""COMPUTED_VALUE"""),"")</f>
        <v/>
      </c>
      <c r="T432" s="9" t="str">
        <f ca="1">IFERROR(__xludf.DUMMYFUNCTION("""COMPUTED_VALUE"""),"")</f>
        <v/>
      </c>
      <c r="U432" s="9" t="e">
        <f ca="1"/>
        <v>#NAME?</v>
      </c>
      <c r="V432" s="9" t="e">
        <f ca="1"/>
        <v>#NAME?</v>
      </c>
      <c r="W432" s="9" t="str">
        <f ca="1">IFERROR(__xludf.DUMMYFUNCTION("""COMPUTED_VALUE"""),"")</f>
        <v/>
      </c>
    </row>
    <row r="433" spans="18:23" ht="12.5" x14ac:dyDescent="0.25">
      <c r="R433" s="9" t="str">
        <v/>
      </c>
      <c r="S433" s="9" t="str">
        <f ca="1">IFERROR(__xludf.DUMMYFUNCTION("""COMPUTED_VALUE"""),"")</f>
        <v/>
      </c>
      <c r="T433" s="9" t="str">
        <f ca="1">IFERROR(__xludf.DUMMYFUNCTION("""COMPUTED_VALUE"""),"")</f>
        <v/>
      </c>
      <c r="U433" s="9" t="e">
        <f ca="1"/>
        <v>#NAME?</v>
      </c>
      <c r="V433" s="9" t="e">
        <f ca="1"/>
        <v>#NAME?</v>
      </c>
      <c r="W433" s="9" t="str">
        <f ca="1">IFERROR(__xludf.DUMMYFUNCTION("""COMPUTED_VALUE"""),"")</f>
        <v/>
      </c>
    </row>
    <row r="434" spans="18:23" ht="12.5" x14ac:dyDescent="0.25">
      <c r="R434" s="9" t="str">
        <v/>
      </c>
      <c r="S434" s="9" t="str">
        <f ca="1">IFERROR(__xludf.DUMMYFUNCTION("""COMPUTED_VALUE"""),"")</f>
        <v/>
      </c>
      <c r="T434" s="9" t="str">
        <f ca="1">IFERROR(__xludf.DUMMYFUNCTION("""COMPUTED_VALUE"""),"")</f>
        <v/>
      </c>
      <c r="U434" s="9" t="e">
        <f ca="1"/>
        <v>#NAME?</v>
      </c>
      <c r="V434" s="9" t="e">
        <f ca="1"/>
        <v>#NAME?</v>
      </c>
      <c r="W434" s="9" t="str">
        <f ca="1">IFERROR(__xludf.DUMMYFUNCTION("""COMPUTED_VALUE"""),"")</f>
        <v/>
      </c>
    </row>
    <row r="435" spans="18:23" ht="12.5" x14ac:dyDescent="0.25">
      <c r="R435" s="9" t="str">
        <v/>
      </c>
      <c r="S435" s="9" t="str">
        <f ca="1">IFERROR(__xludf.DUMMYFUNCTION("""COMPUTED_VALUE"""),"")</f>
        <v/>
      </c>
      <c r="T435" s="9" t="str">
        <f ca="1">IFERROR(__xludf.DUMMYFUNCTION("""COMPUTED_VALUE"""),"")</f>
        <v/>
      </c>
      <c r="U435" s="9" t="e">
        <f ca="1"/>
        <v>#NAME?</v>
      </c>
      <c r="V435" s="9" t="e">
        <f ca="1"/>
        <v>#NAME?</v>
      </c>
      <c r="W435" s="9" t="str">
        <f ca="1">IFERROR(__xludf.DUMMYFUNCTION("""COMPUTED_VALUE"""),"")</f>
        <v/>
      </c>
    </row>
    <row r="436" spans="18:23" ht="12.5" x14ac:dyDescent="0.25">
      <c r="R436" s="9" t="str">
        <v/>
      </c>
      <c r="S436" s="9" t="str">
        <f ca="1">IFERROR(__xludf.DUMMYFUNCTION("""COMPUTED_VALUE"""),"")</f>
        <v/>
      </c>
      <c r="T436" s="9" t="str">
        <f ca="1">IFERROR(__xludf.DUMMYFUNCTION("""COMPUTED_VALUE"""),"")</f>
        <v/>
      </c>
      <c r="U436" s="9" t="e">
        <f ca="1"/>
        <v>#NAME?</v>
      </c>
      <c r="V436" s="9" t="e">
        <f ca="1"/>
        <v>#NAME?</v>
      </c>
      <c r="W436" s="9" t="str">
        <f ca="1">IFERROR(__xludf.DUMMYFUNCTION("""COMPUTED_VALUE"""),"")</f>
        <v/>
      </c>
    </row>
    <row r="437" spans="18:23" ht="12.5" x14ac:dyDescent="0.25">
      <c r="R437" s="9" t="str">
        <v/>
      </c>
      <c r="S437" s="9" t="str">
        <f ca="1">IFERROR(__xludf.DUMMYFUNCTION("""COMPUTED_VALUE"""),"")</f>
        <v/>
      </c>
      <c r="T437" s="9" t="str">
        <f ca="1">IFERROR(__xludf.DUMMYFUNCTION("""COMPUTED_VALUE"""),"")</f>
        <v/>
      </c>
      <c r="U437" s="9" t="e">
        <f ca="1"/>
        <v>#NAME?</v>
      </c>
      <c r="V437" s="9" t="e">
        <f ca="1"/>
        <v>#NAME?</v>
      </c>
      <c r="W437" s="9" t="str">
        <f ca="1">IFERROR(__xludf.DUMMYFUNCTION("""COMPUTED_VALUE"""),"")</f>
        <v/>
      </c>
    </row>
    <row r="438" spans="18:23" ht="12.5" x14ac:dyDescent="0.25">
      <c r="R438" s="9" t="str">
        <v/>
      </c>
      <c r="S438" s="9" t="str">
        <f ca="1">IFERROR(__xludf.DUMMYFUNCTION("""COMPUTED_VALUE"""),"")</f>
        <v/>
      </c>
      <c r="T438" s="9" t="str">
        <f ca="1">IFERROR(__xludf.DUMMYFUNCTION("""COMPUTED_VALUE"""),"")</f>
        <v/>
      </c>
      <c r="U438" s="9" t="e">
        <f ca="1"/>
        <v>#NAME?</v>
      </c>
      <c r="V438" s="9" t="e">
        <f ca="1"/>
        <v>#NAME?</v>
      </c>
      <c r="W438" s="9" t="str">
        <f ca="1">IFERROR(__xludf.DUMMYFUNCTION("""COMPUTED_VALUE"""),"")</f>
        <v/>
      </c>
    </row>
    <row r="439" spans="18:23" ht="12.5" x14ac:dyDescent="0.25">
      <c r="R439" s="9" t="str">
        <v/>
      </c>
      <c r="S439" s="9" t="str">
        <f ca="1">IFERROR(__xludf.DUMMYFUNCTION("""COMPUTED_VALUE"""),"")</f>
        <v/>
      </c>
      <c r="T439" s="9" t="str">
        <f ca="1">IFERROR(__xludf.DUMMYFUNCTION("""COMPUTED_VALUE"""),"")</f>
        <v/>
      </c>
      <c r="U439" s="9" t="e">
        <f ca="1"/>
        <v>#NAME?</v>
      </c>
      <c r="V439" s="9" t="e">
        <f ca="1"/>
        <v>#NAME?</v>
      </c>
      <c r="W439" s="9" t="str">
        <f ca="1">IFERROR(__xludf.DUMMYFUNCTION("""COMPUTED_VALUE"""),"")</f>
        <v/>
      </c>
    </row>
    <row r="440" spans="18:23" ht="12.5" x14ac:dyDescent="0.25">
      <c r="R440" s="9" t="str">
        <v/>
      </c>
      <c r="S440" s="9" t="str">
        <f ca="1">IFERROR(__xludf.DUMMYFUNCTION("""COMPUTED_VALUE"""),"")</f>
        <v/>
      </c>
      <c r="T440" s="9" t="str">
        <f ca="1">IFERROR(__xludf.DUMMYFUNCTION("""COMPUTED_VALUE"""),"")</f>
        <v/>
      </c>
      <c r="U440" s="9" t="e">
        <f ca="1"/>
        <v>#NAME?</v>
      </c>
      <c r="V440" s="9" t="e">
        <f ca="1"/>
        <v>#NAME?</v>
      </c>
      <c r="W440" s="9" t="str">
        <f ca="1">IFERROR(__xludf.DUMMYFUNCTION("""COMPUTED_VALUE"""),"")</f>
        <v/>
      </c>
    </row>
    <row r="441" spans="18:23" ht="12.5" x14ac:dyDescent="0.25">
      <c r="R441" s="9" t="str">
        <v/>
      </c>
      <c r="S441" s="9" t="str">
        <f ca="1">IFERROR(__xludf.DUMMYFUNCTION("""COMPUTED_VALUE"""),"")</f>
        <v/>
      </c>
      <c r="T441" s="9" t="str">
        <f ca="1">IFERROR(__xludf.DUMMYFUNCTION("""COMPUTED_VALUE"""),"")</f>
        <v/>
      </c>
      <c r="U441" s="9" t="e">
        <f ca="1"/>
        <v>#NAME?</v>
      </c>
      <c r="V441" s="9" t="e">
        <f ca="1"/>
        <v>#NAME?</v>
      </c>
      <c r="W441" s="9" t="str">
        <f ca="1">IFERROR(__xludf.DUMMYFUNCTION("""COMPUTED_VALUE"""),"")</f>
        <v/>
      </c>
    </row>
    <row r="442" spans="18:23" ht="12.5" x14ac:dyDescent="0.25">
      <c r="R442" s="9" t="str">
        <v/>
      </c>
      <c r="S442" s="9" t="str">
        <f ca="1">IFERROR(__xludf.DUMMYFUNCTION("""COMPUTED_VALUE"""),"")</f>
        <v/>
      </c>
      <c r="T442" s="9" t="str">
        <f ca="1">IFERROR(__xludf.DUMMYFUNCTION("""COMPUTED_VALUE"""),"")</f>
        <v/>
      </c>
      <c r="U442" s="9" t="e">
        <f ca="1"/>
        <v>#NAME?</v>
      </c>
      <c r="V442" s="9" t="e">
        <f ca="1"/>
        <v>#NAME?</v>
      </c>
      <c r="W442" s="9" t="str">
        <f ca="1">IFERROR(__xludf.DUMMYFUNCTION("""COMPUTED_VALUE"""),"")</f>
        <v/>
      </c>
    </row>
    <row r="443" spans="18:23" ht="12.5" x14ac:dyDescent="0.25">
      <c r="R443" s="9" t="str">
        <v/>
      </c>
      <c r="S443" s="9" t="str">
        <f ca="1">IFERROR(__xludf.DUMMYFUNCTION("""COMPUTED_VALUE"""),"")</f>
        <v/>
      </c>
      <c r="T443" s="9" t="str">
        <f ca="1">IFERROR(__xludf.DUMMYFUNCTION("""COMPUTED_VALUE"""),"")</f>
        <v/>
      </c>
      <c r="U443" s="9" t="e">
        <f ca="1"/>
        <v>#NAME?</v>
      </c>
      <c r="V443" s="9" t="e">
        <f ca="1"/>
        <v>#NAME?</v>
      </c>
      <c r="W443" s="9" t="str">
        <f ca="1">IFERROR(__xludf.DUMMYFUNCTION("""COMPUTED_VALUE"""),"")</f>
        <v/>
      </c>
    </row>
    <row r="444" spans="18:23" ht="12.5" x14ac:dyDescent="0.25">
      <c r="R444" s="9" t="str">
        <v/>
      </c>
      <c r="S444" s="9" t="str">
        <f ca="1">IFERROR(__xludf.DUMMYFUNCTION("""COMPUTED_VALUE"""),"")</f>
        <v/>
      </c>
      <c r="T444" s="9" t="str">
        <f ca="1">IFERROR(__xludf.DUMMYFUNCTION("""COMPUTED_VALUE"""),"")</f>
        <v/>
      </c>
      <c r="U444" s="9" t="e">
        <f ca="1"/>
        <v>#NAME?</v>
      </c>
      <c r="V444" s="9" t="e">
        <f ca="1"/>
        <v>#NAME?</v>
      </c>
      <c r="W444" s="9" t="str">
        <f ca="1">IFERROR(__xludf.DUMMYFUNCTION("""COMPUTED_VALUE"""),"")</f>
        <v/>
      </c>
    </row>
    <row r="445" spans="18:23" ht="12.5" x14ac:dyDescent="0.25">
      <c r="R445" s="9" t="str">
        <v/>
      </c>
      <c r="S445" s="9" t="str">
        <f ca="1">IFERROR(__xludf.DUMMYFUNCTION("""COMPUTED_VALUE"""),"")</f>
        <v/>
      </c>
      <c r="T445" s="9" t="str">
        <f ca="1">IFERROR(__xludf.DUMMYFUNCTION("""COMPUTED_VALUE"""),"")</f>
        <v/>
      </c>
      <c r="U445" s="9" t="e">
        <f ca="1"/>
        <v>#NAME?</v>
      </c>
      <c r="V445" s="9" t="e">
        <f ca="1"/>
        <v>#NAME?</v>
      </c>
      <c r="W445" s="9" t="str">
        <f ca="1">IFERROR(__xludf.DUMMYFUNCTION("""COMPUTED_VALUE"""),"")</f>
        <v/>
      </c>
    </row>
    <row r="446" spans="18:23" ht="12.5" x14ac:dyDescent="0.25">
      <c r="R446" s="9" t="str">
        <v/>
      </c>
      <c r="S446" s="9" t="str">
        <f ca="1">IFERROR(__xludf.DUMMYFUNCTION("""COMPUTED_VALUE"""),"")</f>
        <v/>
      </c>
      <c r="T446" s="9" t="str">
        <f ca="1">IFERROR(__xludf.DUMMYFUNCTION("""COMPUTED_VALUE"""),"")</f>
        <v/>
      </c>
      <c r="U446" s="9" t="e">
        <f ca="1"/>
        <v>#NAME?</v>
      </c>
      <c r="V446" s="9" t="e">
        <f ca="1"/>
        <v>#NAME?</v>
      </c>
      <c r="W446" s="9" t="str">
        <f ca="1">IFERROR(__xludf.DUMMYFUNCTION("""COMPUTED_VALUE"""),"")</f>
        <v/>
      </c>
    </row>
    <row r="447" spans="18:23" ht="12.5" x14ac:dyDescent="0.25">
      <c r="R447" s="9" t="str">
        <v/>
      </c>
      <c r="S447" s="9" t="str">
        <f ca="1">IFERROR(__xludf.DUMMYFUNCTION("""COMPUTED_VALUE"""),"")</f>
        <v/>
      </c>
      <c r="T447" s="9" t="str">
        <f ca="1">IFERROR(__xludf.DUMMYFUNCTION("""COMPUTED_VALUE"""),"")</f>
        <v/>
      </c>
      <c r="U447" s="9" t="e">
        <f ca="1"/>
        <v>#NAME?</v>
      </c>
      <c r="V447" s="9" t="e">
        <f ca="1"/>
        <v>#NAME?</v>
      </c>
      <c r="W447" s="9" t="str">
        <f ca="1">IFERROR(__xludf.DUMMYFUNCTION("""COMPUTED_VALUE"""),"")</f>
        <v/>
      </c>
    </row>
    <row r="448" spans="18:23" ht="12.5" x14ac:dyDescent="0.25">
      <c r="R448" s="9" t="str">
        <v/>
      </c>
      <c r="S448" s="9" t="str">
        <f ca="1">IFERROR(__xludf.DUMMYFUNCTION("""COMPUTED_VALUE"""),"")</f>
        <v/>
      </c>
      <c r="T448" s="9" t="str">
        <f ca="1">IFERROR(__xludf.DUMMYFUNCTION("""COMPUTED_VALUE"""),"")</f>
        <v/>
      </c>
      <c r="U448" s="9" t="e">
        <f ca="1"/>
        <v>#NAME?</v>
      </c>
      <c r="V448" s="9" t="e">
        <f ca="1"/>
        <v>#NAME?</v>
      </c>
      <c r="W448" s="9" t="str">
        <f ca="1">IFERROR(__xludf.DUMMYFUNCTION("""COMPUTED_VALUE"""),"")</f>
        <v/>
      </c>
    </row>
    <row r="449" spans="18:23" ht="12.5" x14ac:dyDescent="0.25">
      <c r="R449" s="9" t="str">
        <v/>
      </c>
      <c r="S449" s="9" t="str">
        <f ca="1">IFERROR(__xludf.DUMMYFUNCTION("""COMPUTED_VALUE"""),"")</f>
        <v/>
      </c>
      <c r="T449" s="9" t="str">
        <f ca="1">IFERROR(__xludf.DUMMYFUNCTION("""COMPUTED_VALUE"""),"")</f>
        <v/>
      </c>
      <c r="U449" s="9" t="e">
        <f ca="1"/>
        <v>#NAME?</v>
      </c>
      <c r="V449" s="9" t="e">
        <f ca="1"/>
        <v>#NAME?</v>
      </c>
      <c r="W449" s="9" t="str">
        <f ca="1">IFERROR(__xludf.DUMMYFUNCTION("""COMPUTED_VALUE"""),"")</f>
        <v/>
      </c>
    </row>
    <row r="450" spans="18:23" ht="12.5" x14ac:dyDescent="0.25">
      <c r="R450" s="9" t="str">
        <v/>
      </c>
      <c r="S450" s="9" t="str">
        <f ca="1">IFERROR(__xludf.DUMMYFUNCTION("""COMPUTED_VALUE"""),"")</f>
        <v/>
      </c>
      <c r="T450" s="9" t="str">
        <f ca="1">IFERROR(__xludf.DUMMYFUNCTION("""COMPUTED_VALUE"""),"")</f>
        <v/>
      </c>
      <c r="U450" s="9" t="e">
        <f ca="1"/>
        <v>#NAME?</v>
      </c>
      <c r="V450" s="9" t="e">
        <f ca="1"/>
        <v>#NAME?</v>
      </c>
      <c r="W450" s="9" t="str">
        <f ca="1">IFERROR(__xludf.DUMMYFUNCTION("""COMPUTED_VALUE"""),"")</f>
        <v/>
      </c>
    </row>
    <row r="451" spans="18:23" ht="12.5" x14ac:dyDescent="0.25">
      <c r="R451" s="9" t="str">
        <v/>
      </c>
      <c r="S451" s="9" t="str">
        <f ca="1">IFERROR(__xludf.DUMMYFUNCTION("""COMPUTED_VALUE"""),"")</f>
        <v/>
      </c>
      <c r="T451" s="9" t="str">
        <f ca="1">IFERROR(__xludf.DUMMYFUNCTION("""COMPUTED_VALUE"""),"")</f>
        <v/>
      </c>
      <c r="U451" s="9" t="e">
        <f ca="1"/>
        <v>#NAME?</v>
      </c>
      <c r="V451" s="9" t="e">
        <f ca="1"/>
        <v>#NAME?</v>
      </c>
      <c r="W451" s="9" t="str">
        <f ca="1">IFERROR(__xludf.DUMMYFUNCTION("""COMPUTED_VALUE"""),"")</f>
        <v/>
      </c>
    </row>
    <row r="452" spans="18:23" ht="12.5" x14ac:dyDescent="0.25">
      <c r="R452" s="9" t="str">
        <v/>
      </c>
      <c r="S452" s="9" t="str">
        <f ca="1">IFERROR(__xludf.DUMMYFUNCTION("""COMPUTED_VALUE"""),"")</f>
        <v/>
      </c>
      <c r="T452" s="9" t="str">
        <f ca="1">IFERROR(__xludf.DUMMYFUNCTION("""COMPUTED_VALUE"""),"")</f>
        <v/>
      </c>
      <c r="U452" s="9" t="e">
        <f ca="1"/>
        <v>#NAME?</v>
      </c>
      <c r="V452" s="9" t="e">
        <f ca="1"/>
        <v>#NAME?</v>
      </c>
      <c r="W452" s="9" t="str">
        <f ca="1">IFERROR(__xludf.DUMMYFUNCTION("""COMPUTED_VALUE"""),"")</f>
        <v/>
      </c>
    </row>
    <row r="453" spans="18:23" ht="12.5" x14ac:dyDescent="0.25">
      <c r="R453" s="9" t="str">
        <v/>
      </c>
      <c r="S453" s="9" t="str">
        <f ca="1">IFERROR(__xludf.DUMMYFUNCTION("""COMPUTED_VALUE"""),"")</f>
        <v/>
      </c>
      <c r="T453" s="9" t="str">
        <f ca="1">IFERROR(__xludf.DUMMYFUNCTION("""COMPUTED_VALUE"""),"")</f>
        <v/>
      </c>
      <c r="U453" s="9" t="e">
        <f ca="1"/>
        <v>#NAME?</v>
      </c>
      <c r="V453" s="9" t="e">
        <f ca="1"/>
        <v>#NAME?</v>
      </c>
      <c r="W453" s="9" t="str">
        <f ca="1">IFERROR(__xludf.DUMMYFUNCTION("""COMPUTED_VALUE"""),"")</f>
        <v/>
      </c>
    </row>
    <row r="454" spans="18:23" ht="12.5" x14ac:dyDescent="0.25">
      <c r="R454" s="9" t="str">
        <v/>
      </c>
      <c r="S454" s="9" t="str">
        <f ca="1">IFERROR(__xludf.DUMMYFUNCTION("""COMPUTED_VALUE"""),"")</f>
        <v/>
      </c>
      <c r="T454" s="9" t="str">
        <f ca="1">IFERROR(__xludf.DUMMYFUNCTION("""COMPUTED_VALUE"""),"")</f>
        <v/>
      </c>
      <c r="U454" s="9" t="e">
        <f ca="1"/>
        <v>#NAME?</v>
      </c>
      <c r="V454" s="9" t="e">
        <f ca="1"/>
        <v>#NAME?</v>
      </c>
      <c r="W454" s="9" t="str">
        <f ca="1">IFERROR(__xludf.DUMMYFUNCTION("""COMPUTED_VALUE"""),"")</f>
        <v/>
      </c>
    </row>
    <row r="455" spans="18:23" ht="12.5" x14ac:dyDescent="0.25">
      <c r="R455" s="9" t="str">
        <v/>
      </c>
      <c r="S455" s="9" t="str">
        <f ca="1">IFERROR(__xludf.DUMMYFUNCTION("""COMPUTED_VALUE"""),"")</f>
        <v/>
      </c>
      <c r="T455" s="9" t="str">
        <f ca="1">IFERROR(__xludf.DUMMYFUNCTION("""COMPUTED_VALUE"""),"")</f>
        <v/>
      </c>
      <c r="U455" s="9" t="e">
        <f ca="1"/>
        <v>#NAME?</v>
      </c>
      <c r="V455" s="9" t="e">
        <f ca="1"/>
        <v>#NAME?</v>
      </c>
      <c r="W455" s="9" t="str">
        <f ca="1">IFERROR(__xludf.DUMMYFUNCTION("""COMPUTED_VALUE"""),"")</f>
        <v/>
      </c>
    </row>
    <row r="456" spans="18:23" ht="12.5" x14ac:dyDescent="0.25">
      <c r="R456" s="9" t="str">
        <v/>
      </c>
      <c r="S456" s="9" t="str">
        <f ca="1">IFERROR(__xludf.DUMMYFUNCTION("""COMPUTED_VALUE"""),"")</f>
        <v/>
      </c>
      <c r="T456" s="9" t="str">
        <f ca="1">IFERROR(__xludf.DUMMYFUNCTION("""COMPUTED_VALUE"""),"")</f>
        <v/>
      </c>
      <c r="U456" s="9" t="e">
        <f ca="1"/>
        <v>#NAME?</v>
      </c>
      <c r="V456" s="9" t="e">
        <f ca="1"/>
        <v>#NAME?</v>
      </c>
      <c r="W456" s="9" t="str">
        <f ca="1">IFERROR(__xludf.DUMMYFUNCTION("""COMPUTED_VALUE"""),"")</f>
        <v/>
      </c>
    </row>
    <row r="457" spans="18:23" ht="12.5" x14ac:dyDescent="0.25">
      <c r="R457" s="9" t="str">
        <v/>
      </c>
      <c r="S457" s="9" t="str">
        <f ca="1">IFERROR(__xludf.DUMMYFUNCTION("""COMPUTED_VALUE"""),"")</f>
        <v/>
      </c>
      <c r="T457" s="9" t="str">
        <f ca="1">IFERROR(__xludf.DUMMYFUNCTION("""COMPUTED_VALUE"""),"")</f>
        <v/>
      </c>
      <c r="U457" s="9" t="e">
        <f ca="1"/>
        <v>#NAME?</v>
      </c>
      <c r="V457" s="9" t="e">
        <f ca="1"/>
        <v>#NAME?</v>
      </c>
      <c r="W457" s="9" t="str">
        <f ca="1">IFERROR(__xludf.DUMMYFUNCTION("""COMPUTED_VALUE"""),"")</f>
        <v/>
      </c>
    </row>
    <row r="458" spans="18:23" ht="12.5" x14ac:dyDescent="0.25">
      <c r="R458" s="9" t="str">
        <v/>
      </c>
      <c r="S458" s="9" t="str">
        <f ca="1">IFERROR(__xludf.DUMMYFUNCTION("""COMPUTED_VALUE"""),"")</f>
        <v/>
      </c>
      <c r="T458" s="9" t="str">
        <f ca="1">IFERROR(__xludf.DUMMYFUNCTION("""COMPUTED_VALUE"""),"")</f>
        <v/>
      </c>
      <c r="U458" s="9" t="e">
        <f ca="1"/>
        <v>#NAME?</v>
      </c>
      <c r="V458" s="9" t="e">
        <f ca="1"/>
        <v>#NAME?</v>
      </c>
      <c r="W458" s="9" t="str">
        <f ca="1">IFERROR(__xludf.DUMMYFUNCTION("""COMPUTED_VALUE"""),"")</f>
        <v/>
      </c>
    </row>
    <row r="459" spans="18:23" ht="12.5" x14ac:dyDescent="0.25">
      <c r="R459" s="9" t="str">
        <v/>
      </c>
      <c r="S459" s="9" t="str">
        <f ca="1">IFERROR(__xludf.DUMMYFUNCTION("""COMPUTED_VALUE"""),"")</f>
        <v/>
      </c>
      <c r="T459" s="9" t="str">
        <f ca="1">IFERROR(__xludf.DUMMYFUNCTION("""COMPUTED_VALUE"""),"")</f>
        <v/>
      </c>
      <c r="U459" s="9" t="e">
        <f ca="1"/>
        <v>#NAME?</v>
      </c>
      <c r="V459" s="9" t="e">
        <f ca="1"/>
        <v>#NAME?</v>
      </c>
      <c r="W459" s="9" t="str">
        <f ca="1">IFERROR(__xludf.DUMMYFUNCTION("""COMPUTED_VALUE"""),"")</f>
        <v/>
      </c>
    </row>
    <row r="460" spans="18:23" ht="12.5" x14ac:dyDescent="0.25">
      <c r="R460" s="9" t="str">
        <v/>
      </c>
      <c r="S460" s="9" t="str">
        <f ca="1">IFERROR(__xludf.DUMMYFUNCTION("""COMPUTED_VALUE"""),"")</f>
        <v/>
      </c>
      <c r="T460" s="9" t="str">
        <f ca="1">IFERROR(__xludf.DUMMYFUNCTION("""COMPUTED_VALUE"""),"")</f>
        <v/>
      </c>
      <c r="U460" s="9" t="e">
        <f ca="1"/>
        <v>#NAME?</v>
      </c>
      <c r="V460" s="9" t="e">
        <f ca="1"/>
        <v>#NAME?</v>
      </c>
      <c r="W460" s="9" t="str">
        <f ca="1">IFERROR(__xludf.DUMMYFUNCTION("""COMPUTED_VALUE"""),"")</f>
        <v/>
      </c>
    </row>
    <row r="461" spans="18:23" ht="12.5" x14ac:dyDescent="0.25">
      <c r="R461" s="9" t="str">
        <v/>
      </c>
      <c r="S461" s="9" t="str">
        <f ca="1">IFERROR(__xludf.DUMMYFUNCTION("""COMPUTED_VALUE"""),"")</f>
        <v/>
      </c>
      <c r="T461" s="9" t="str">
        <f ca="1">IFERROR(__xludf.DUMMYFUNCTION("""COMPUTED_VALUE"""),"")</f>
        <v/>
      </c>
      <c r="U461" s="9" t="e">
        <f ca="1"/>
        <v>#NAME?</v>
      </c>
      <c r="V461" s="9" t="e">
        <f ca="1"/>
        <v>#NAME?</v>
      </c>
      <c r="W461" s="9" t="str">
        <f ca="1">IFERROR(__xludf.DUMMYFUNCTION("""COMPUTED_VALUE"""),"")</f>
        <v/>
      </c>
    </row>
    <row r="462" spans="18:23" ht="12.5" x14ac:dyDescent="0.25">
      <c r="R462" s="9" t="str">
        <v/>
      </c>
      <c r="S462" s="9" t="str">
        <f ca="1">IFERROR(__xludf.DUMMYFUNCTION("""COMPUTED_VALUE"""),"")</f>
        <v/>
      </c>
      <c r="T462" s="9" t="str">
        <f ca="1">IFERROR(__xludf.DUMMYFUNCTION("""COMPUTED_VALUE"""),"")</f>
        <v/>
      </c>
      <c r="U462" s="9" t="e">
        <f ca="1"/>
        <v>#NAME?</v>
      </c>
      <c r="V462" s="9" t="e">
        <f ca="1"/>
        <v>#NAME?</v>
      </c>
      <c r="W462" s="9" t="str">
        <f ca="1">IFERROR(__xludf.DUMMYFUNCTION("""COMPUTED_VALUE"""),"")</f>
        <v/>
      </c>
    </row>
    <row r="463" spans="18:23" ht="12.5" x14ac:dyDescent="0.25">
      <c r="R463" s="9" t="str">
        <v/>
      </c>
      <c r="S463" s="9" t="str">
        <f ca="1">IFERROR(__xludf.DUMMYFUNCTION("""COMPUTED_VALUE"""),"")</f>
        <v/>
      </c>
      <c r="T463" s="9" t="str">
        <f ca="1">IFERROR(__xludf.DUMMYFUNCTION("""COMPUTED_VALUE"""),"")</f>
        <v/>
      </c>
      <c r="U463" s="9" t="e">
        <f ca="1"/>
        <v>#NAME?</v>
      </c>
      <c r="V463" s="9" t="e">
        <f ca="1"/>
        <v>#NAME?</v>
      </c>
      <c r="W463" s="9" t="str">
        <f ca="1">IFERROR(__xludf.DUMMYFUNCTION("""COMPUTED_VALUE"""),"")</f>
        <v/>
      </c>
    </row>
    <row r="464" spans="18:23" ht="12.5" x14ac:dyDescent="0.25">
      <c r="R464" s="9" t="str">
        <v/>
      </c>
      <c r="S464" s="9" t="str">
        <f ca="1">IFERROR(__xludf.DUMMYFUNCTION("""COMPUTED_VALUE"""),"")</f>
        <v/>
      </c>
      <c r="T464" s="9" t="str">
        <f ca="1">IFERROR(__xludf.DUMMYFUNCTION("""COMPUTED_VALUE"""),"")</f>
        <v/>
      </c>
      <c r="U464" s="9" t="e">
        <f ca="1"/>
        <v>#NAME?</v>
      </c>
      <c r="V464" s="9" t="e">
        <f ca="1"/>
        <v>#NAME?</v>
      </c>
      <c r="W464" s="9" t="str">
        <f ca="1">IFERROR(__xludf.DUMMYFUNCTION("""COMPUTED_VALUE"""),"")</f>
        <v/>
      </c>
    </row>
    <row r="465" spans="18:23" ht="12.5" x14ac:dyDescent="0.25">
      <c r="R465" s="9" t="str">
        <v/>
      </c>
      <c r="S465" s="9" t="str">
        <f ca="1">IFERROR(__xludf.DUMMYFUNCTION("""COMPUTED_VALUE"""),"")</f>
        <v/>
      </c>
      <c r="T465" s="9" t="str">
        <f ca="1">IFERROR(__xludf.DUMMYFUNCTION("""COMPUTED_VALUE"""),"")</f>
        <v/>
      </c>
      <c r="U465" s="9" t="e">
        <f ca="1"/>
        <v>#NAME?</v>
      </c>
      <c r="V465" s="9" t="e">
        <f ca="1"/>
        <v>#NAME?</v>
      </c>
      <c r="W465" s="9" t="str">
        <f ca="1">IFERROR(__xludf.DUMMYFUNCTION("""COMPUTED_VALUE"""),"")</f>
        <v/>
      </c>
    </row>
    <row r="466" spans="18:23" ht="12.5" x14ac:dyDescent="0.25">
      <c r="R466" s="9" t="str">
        <v/>
      </c>
      <c r="S466" s="9" t="str">
        <f ca="1">IFERROR(__xludf.DUMMYFUNCTION("""COMPUTED_VALUE"""),"")</f>
        <v/>
      </c>
      <c r="T466" s="9" t="str">
        <f ca="1">IFERROR(__xludf.DUMMYFUNCTION("""COMPUTED_VALUE"""),"")</f>
        <v/>
      </c>
      <c r="U466" s="9" t="e">
        <f ca="1"/>
        <v>#NAME?</v>
      </c>
      <c r="V466" s="9" t="e">
        <f ca="1"/>
        <v>#NAME?</v>
      </c>
      <c r="W466" s="9" t="str">
        <f ca="1">IFERROR(__xludf.DUMMYFUNCTION("""COMPUTED_VALUE"""),"")</f>
        <v/>
      </c>
    </row>
    <row r="467" spans="18:23" ht="12.5" x14ac:dyDescent="0.25">
      <c r="R467" s="9" t="str">
        <v/>
      </c>
      <c r="S467" s="9" t="str">
        <f ca="1">IFERROR(__xludf.DUMMYFUNCTION("""COMPUTED_VALUE"""),"")</f>
        <v/>
      </c>
      <c r="T467" s="9" t="str">
        <f ca="1">IFERROR(__xludf.DUMMYFUNCTION("""COMPUTED_VALUE"""),"")</f>
        <v/>
      </c>
      <c r="U467" s="9" t="e">
        <f ca="1"/>
        <v>#NAME?</v>
      </c>
      <c r="V467" s="9" t="e">
        <f ca="1"/>
        <v>#NAME?</v>
      </c>
      <c r="W467" s="9" t="str">
        <f ca="1">IFERROR(__xludf.DUMMYFUNCTION("""COMPUTED_VALUE"""),"")</f>
        <v/>
      </c>
    </row>
    <row r="468" spans="18:23" ht="12.5" x14ac:dyDescent="0.25">
      <c r="R468" s="9" t="str">
        <v/>
      </c>
      <c r="S468" s="9" t="str">
        <f ca="1">IFERROR(__xludf.DUMMYFUNCTION("""COMPUTED_VALUE"""),"")</f>
        <v/>
      </c>
      <c r="T468" s="9" t="str">
        <f ca="1">IFERROR(__xludf.DUMMYFUNCTION("""COMPUTED_VALUE"""),"")</f>
        <v/>
      </c>
      <c r="U468" s="9" t="e">
        <f ca="1"/>
        <v>#NAME?</v>
      </c>
      <c r="V468" s="9" t="e">
        <f ca="1"/>
        <v>#NAME?</v>
      </c>
      <c r="W468" s="9" t="str">
        <f ca="1">IFERROR(__xludf.DUMMYFUNCTION("""COMPUTED_VALUE"""),"")</f>
        <v/>
      </c>
    </row>
    <row r="469" spans="18:23" ht="12.5" x14ac:dyDescent="0.25">
      <c r="R469" s="9" t="str">
        <v/>
      </c>
      <c r="S469" s="9" t="str">
        <f ca="1">IFERROR(__xludf.DUMMYFUNCTION("""COMPUTED_VALUE"""),"")</f>
        <v/>
      </c>
      <c r="T469" s="9" t="str">
        <f ca="1">IFERROR(__xludf.DUMMYFUNCTION("""COMPUTED_VALUE"""),"")</f>
        <v/>
      </c>
      <c r="U469" s="9" t="e">
        <f ca="1"/>
        <v>#NAME?</v>
      </c>
      <c r="V469" s="9" t="e">
        <f ca="1"/>
        <v>#NAME?</v>
      </c>
      <c r="W469" s="9" t="str">
        <f ca="1">IFERROR(__xludf.DUMMYFUNCTION("""COMPUTED_VALUE"""),"")</f>
        <v/>
      </c>
    </row>
    <row r="470" spans="18:23" ht="12.5" x14ac:dyDescent="0.25">
      <c r="R470" s="9" t="str">
        <v/>
      </c>
      <c r="S470" s="9" t="str">
        <f ca="1">IFERROR(__xludf.DUMMYFUNCTION("""COMPUTED_VALUE"""),"")</f>
        <v/>
      </c>
      <c r="T470" s="9" t="str">
        <f ca="1">IFERROR(__xludf.DUMMYFUNCTION("""COMPUTED_VALUE"""),"")</f>
        <v/>
      </c>
      <c r="U470" s="9" t="e">
        <f ca="1"/>
        <v>#NAME?</v>
      </c>
      <c r="V470" s="9" t="e">
        <f ca="1"/>
        <v>#NAME?</v>
      </c>
      <c r="W470" s="9" t="str">
        <f ca="1">IFERROR(__xludf.DUMMYFUNCTION("""COMPUTED_VALUE"""),"")</f>
        <v/>
      </c>
    </row>
    <row r="471" spans="18:23" ht="12.5" x14ac:dyDescent="0.25">
      <c r="R471" s="9" t="str">
        <v/>
      </c>
      <c r="S471" s="9" t="str">
        <f ca="1">IFERROR(__xludf.DUMMYFUNCTION("""COMPUTED_VALUE"""),"")</f>
        <v/>
      </c>
      <c r="T471" s="9" t="str">
        <f ca="1">IFERROR(__xludf.DUMMYFUNCTION("""COMPUTED_VALUE"""),"")</f>
        <v/>
      </c>
      <c r="U471" s="9" t="e">
        <f ca="1"/>
        <v>#NAME?</v>
      </c>
      <c r="V471" s="9" t="e">
        <f ca="1"/>
        <v>#NAME?</v>
      </c>
      <c r="W471" s="9" t="str">
        <f ca="1">IFERROR(__xludf.DUMMYFUNCTION("""COMPUTED_VALUE"""),"")</f>
        <v/>
      </c>
    </row>
    <row r="472" spans="18:23" ht="12.5" x14ac:dyDescent="0.25">
      <c r="R472" s="9" t="str">
        <v/>
      </c>
      <c r="S472" s="9" t="str">
        <f ca="1">IFERROR(__xludf.DUMMYFUNCTION("""COMPUTED_VALUE"""),"")</f>
        <v/>
      </c>
      <c r="T472" s="9" t="str">
        <f ca="1">IFERROR(__xludf.DUMMYFUNCTION("""COMPUTED_VALUE"""),"")</f>
        <v/>
      </c>
      <c r="U472" s="9" t="e">
        <f ca="1"/>
        <v>#NAME?</v>
      </c>
      <c r="V472" s="9" t="e">
        <f ca="1"/>
        <v>#NAME?</v>
      </c>
      <c r="W472" s="9" t="str">
        <f ca="1">IFERROR(__xludf.DUMMYFUNCTION("""COMPUTED_VALUE"""),"")</f>
        <v/>
      </c>
    </row>
    <row r="473" spans="18:23" ht="12.5" x14ac:dyDescent="0.25">
      <c r="R473" s="9" t="str">
        <v/>
      </c>
      <c r="S473" s="9" t="str">
        <f ca="1">IFERROR(__xludf.DUMMYFUNCTION("""COMPUTED_VALUE"""),"")</f>
        <v/>
      </c>
      <c r="T473" s="9" t="str">
        <f ca="1">IFERROR(__xludf.DUMMYFUNCTION("""COMPUTED_VALUE"""),"")</f>
        <v/>
      </c>
      <c r="U473" s="9" t="e">
        <f ca="1"/>
        <v>#NAME?</v>
      </c>
      <c r="V473" s="9" t="e">
        <f ca="1"/>
        <v>#NAME?</v>
      </c>
      <c r="W473" s="9" t="str">
        <f ca="1">IFERROR(__xludf.DUMMYFUNCTION("""COMPUTED_VALUE"""),"")</f>
        <v/>
      </c>
    </row>
    <row r="474" spans="18:23" ht="12.5" x14ac:dyDescent="0.25">
      <c r="R474" s="9" t="str">
        <v/>
      </c>
      <c r="S474" s="9" t="str">
        <f ca="1">IFERROR(__xludf.DUMMYFUNCTION("""COMPUTED_VALUE"""),"")</f>
        <v/>
      </c>
      <c r="T474" s="9" t="str">
        <f ca="1">IFERROR(__xludf.DUMMYFUNCTION("""COMPUTED_VALUE"""),"")</f>
        <v/>
      </c>
      <c r="U474" s="9" t="e">
        <f ca="1"/>
        <v>#NAME?</v>
      </c>
      <c r="V474" s="9" t="e">
        <f ca="1"/>
        <v>#NAME?</v>
      </c>
      <c r="W474" s="9" t="str">
        <f ca="1">IFERROR(__xludf.DUMMYFUNCTION("""COMPUTED_VALUE"""),"")</f>
        <v/>
      </c>
    </row>
    <row r="475" spans="18:23" ht="12.5" x14ac:dyDescent="0.25">
      <c r="R475" s="9" t="str">
        <v/>
      </c>
      <c r="S475" s="9" t="str">
        <f ca="1">IFERROR(__xludf.DUMMYFUNCTION("""COMPUTED_VALUE"""),"")</f>
        <v/>
      </c>
      <c r="T475" s="9" t="str">
        <f ca="1">IFERROR(__xludf.DUMMYFUNCTION("""COMPUTED_VALUE"""),"")</f>
        <v/>
      </c>
      <c r="U475" s="9" t="e">
        <f ca="1"/>
        <v>#NAME?</v>
      </c>
      <c r="V475" s="9" t="e">
        <f ca="1"/>
        <v>#NAME?</v>
      </c>
      <c r="W475" s="9" t="str">
        <f ca="1">IFERROR(__xludf.DUMMYFUNCTION("""COMPUTED_VALUE"""),"")</f>
        <v/>
      </c>
    </row>
    <row r="476" spans="18:23" ht="12.5" x14ac:dyDescent="0.25">
      <c r="R476" s="9" t="str">
        <v/>
      </c>
      <c r="S476" s="9" t="str">
        <f ca="1">IFERROR(__xludf.DUMMYFUNCTION("""COMPUTED_VALUE"""),"")</f>
        <v/>
      </c>
      <c r="T476" s="9" t="str">
        <f ca="1">IFERROR(__xludf.DUMMYFUNCTION("""COMPUTED_VALUE"""),"")</f>
        <v/>
      </c>
      <c r="U476" s="9" t="e">
        <f ca="1"/>
        <v>#NAME?</v>
      </c>
      <c r="V476" s="9" t="e">
        <f ca="1"/>
        <v>#NAME?</v>
      </c>
      <c r="W476" s="9" t="str">
        <f ca="1">IFERROR(__xludf.DUMMYFUNCTION("""COMPUTED_VALUE"""),"")</f>
        <v/>
      </c>
    </row>
    <row r="477" spans="18:23" ht="12.5" x14ac:dyDescent="0.25">
      <c r="R477" s="9" t="str">
        <v/>
      </c>
      <c r="S477" s="9" t="str">
        <f ca="1">IFERROR(__xludf.DUMMYFUNCTION("""COMPUTED_VALUE"""),"")</f>
        <v/>
      </c>
      <c r="T477" s="9" t="str">
        <f ca="1">IFERROR(__xludf.DUMMYFUNCTION("""COMPUTED_VALUE"""),"")</f>
        <v/>
      </c>
      <c r="U477" s="9" t="e">
        <f ca="1"/>
        <v>#NAME?</v>
      </c>
      <c r="V477" s="9" t="e">
        <f ca="1"/>
        <v>#NAME?</v>
      </c>
      <c r="W477" s="9" t="str">
        <f ca="1">IFERROR(__xludf.DUMMYFUNCTION("""COMPUTED_VALUE"""),"")</f>
        <v/>
      </c>
    </row>
    <row r="478" spans="18:23" ht="12.5" x14ac:dyDescent="0.25">
      <c r="R478" s="9" t="str">
        <v/>
      </c>
      <c r="S478" s="9" t="str">
        <f ca="1">IFERROR(__xludf.DUMMYFUNCTION("""COMPUTED_VALUE"""),"")</f>
        <v/>
      </c>
      <c r="T478" s="9" t="str">
        <f ca="1">IFERROR(__xludf.DUMMYFUNCTION("""COMPUTED_VALUE"""),"")</f>
        <v/>
      </c>
      <c r="U478" s="9" t="e">
        <f ca="1"/>
        <v>#NAME?</v>
      </c>
      <c r="V478" s="9" t="e">
        <f ca="1"/>
        <v>#NAME?</v>
      </c>
      <c r="W478" s="9" t="str">
        <f ca="1">IFERROR(__xludf.DUMMYFUNCTION("""COMPUTED_VALUE"""),"")</f>
        <v/>
      </c>
    </row>
    <row r="479" spans="18:23" ht="12.5" x14ac:dyDescent="0.25">
      <c r="R479" s="9" t="str">
        <v/>
      </c>
      <c r="S479" s="9" t="str">
        <f ca="1">IFERROR(__xludf.DUMMYFUNCTION("""COMPUTED_VALUE"""),"")</f>
        <v/>
      </c>
      <c r="T479" s="9" t="str">
        <f ca="1">IFERROR(__xludf.DUMMYFUNCTION("""COMPUTED_VALUE"""),"")</f>
        <v/>
      </c>
      <c r="U479" s="9" t="e">
        <f ca="1"/>
        <v>#NAME?</v>
      </c>
      <c r="V479" s="9" t="e">
        <f ca="1"/>
        <v>#NAME?</v>
      </c>
      <c r="W479" s="9" t="str">
        <f ca="1">IFERROR(__xludf.DUMMYFUNCTION("""COMPUTED_VALUE"""),"")</f>
        <v/>
      </c>
    </row>
    <row r="480" spans="18:23" ht="12.5" x14ac:dyDescent="0.25">
      <c r="R480" s="9" t="str">
        <v/>
      </c>
      <c r="S480" s="9" t="str">
        <f ca="1">IFERROR(__xludf.DUMMYFUNCTION("""COMPUTED_VALUE"""),"")</f>
        <v/>
      </c>
      <c r="T480" s="9" t="str">
        <f ca="1">IFERROR(__xludf.DUMMYFUNCTION("""COMPUTED_VALUE"""),"")</f>
        <v/>
      </c>
      <c r="U480" s="9" t="e">
        <f ca="1"/>
        <v>#NAME?</v>
      </c>
      <c r="V480" s="9" t="e">
        <f ca="1"/>
        <v>#NAME?</v>
      </c>
      <c r="W480" s="9" t="str">
        <f ca="1">IFERROR(__xludf.DUMMYFUNCTION("""COMPUTED_VALUE"""),"")</f>
        <v/>
      </c>
    </row>
    <row r="481" spans="18:23" ht="12.5" x14ac:dyDescent="0.25">
      <c r="R481" s="9" t="str">
        <v/>
      </c>
      <c r="S481" s="9" t="str">
        <f ca="1">IFERROR(__xludf.DUMMYFUNCTION("""COMPUTED_VALUE"""),"")</f>
        <v/>
      </c>
      <c r="T481" s="9" t="str">
        <f ca="1">IFERROR(__xludf.DUMMYFUNCTION("""COMPUTED_VALUE"""),"")</f>
        <v/>
      </c>
      <c r="U481" s="9" t="e">
        <f ca="1"/>
        <v>#NAME?</v>
      </c>
      <c r="V481" s="9" t="e">
        <f ca="1"/>
        <v>#NAME?</v>
      </c>
      <c r="W481" s="9" t="str">
        <f ca="1">IFERROR(__xludf.DUMMYFUNCTION("""COMPUTED_VALUE"""),"")</f>
        <v/>
      </c>
    </row>
    <row r="482" spans="18:23" ht="12.5" x14ac:dyDescent="0.25">
      <c r="R482" s="9" t="str">
        <v/>
      </c>
      <c r="S482" s="9" t="str">
        <f ca="1">IFERROR(__xludf.DUMMYFUNCTION("""COMPUTED_VALUE"""),"")</f>
        <v/>
      </c>
      <c r="T482" s="9" t="str">
        <f ca="1">IFERROR(__xludf.DUMMYFUNCTION("""COMPUTED_VALUE"""),"")</f>
        <v/>
      </c>
      <c r="U482" s="9" t="e">
        <f ca="1"/>
        <v>#NAME?</v>
      </c>
      <c r="V482" s="9" t="e">
        <f ca="1"/>
        <v>#NAME?</v>
      </c>
      <c r="W482" s="9" t="str">
        <f ca="1">IFERROR(__xludf.DUMMYFUNCTION("""COMPUTED_VALUE"""),"")</f>
        <v/>
      </c>
    </row>
    <row r="483" spans="18:23" ht="12.5" x14ac:dyDescent="0.25">
      <c r="R483" s="9" t="str">
        <v/>
      </c>
      <c r="S483" s="9" t="str">
        <f ca="1">IFERROR(__xludf.DUMMYFUNCTION("""COMPUTED_VALUE"""),"")</f>
        <v/>
      </c>
      <c r="T483" s="9" t="str">
        <f ca="1">IFERROR(__xludf.DUMMYFUNCTION("""COMPUTED_VALUE"""),"")</f>
        <v/>
      </c>
      <c r="U483" s="9" t="e">
        <f ca="1"/>
        <v>#NAME?</v>
      </c>
      <c r="V483" s="9" t="e">
        <f ca="1"/>
        <v>#NAME?</v>
      </c>
      <c r="W483" s="9" t="str">
        <f ca="1">IFERROR(__xludf.DUMMYFUNCTION("""COMPUTED_VALUE"""),"")</f>
        <v/>
      </c>
    </row>
    <row r="484" spans="18:23" ht="12.5" x14ac:dyDescent="0.25">
      <c r="R484" s="9" t="str">
        <v/>
      </c>
      <c r="S484" s="9" t="str">
        <f ca="1">IFERROR(__xludf.DUMMYFUNCTION("""COMPUTED_VALUE"""),"")</f>
        <v/>
      </c>
      <c r="T484" s="9" t="str">
        <f ca="1">IFERROR(__xludf.DUMMYFUNCTION("""COMPUTED_VALUE"""),"")</f>
        <v/>
      </c>
      <c r="U484" s="9" t="e">
        <f ca="1"/>
        <v>#NAME?</v>
      </c>
      <c r="V484" s="9" t="e">
        <f ca="1"/>
        <v>#NAME?</v>
      </c>
      <c r="W484" s="9" t="str">
        <f ca="1">IFERROR(__xludf.DUMMYFUNCTION("""COMPUTED_VALUE"""),"")</f>
        <v/>
      </c>
    </row>
    <row r="485" spans="18:23" ht="12.5" x14ac:dyDescent="0.25">
      <c r="R485" s="9" t="str">
        <v/>
      </c>
      <c r="S485" s="9" t="str">
        <f ca="1">IFERROR(__xludf.DUMMYFUNCTION("""COMPUTED_VALUE"""),"")</f>
        <v/>
      </c>
      <c r="T485" s="9" t="str">
        <f ca="1">IFERROR(__xludf.DUMMYFUNCTION("""COMPUTED_VALUE"""),"")</f>
        <v/>
      </c>
      <c r="U485" s="9" t="e">
        <f ca="1"/>
        <v>#NAME?</v>
      </c>
      <c r="V485" s="9" t="e">
        <f ca="1"/>
        <v>#NAME?</v>
      </c>
      <c r="W485" s="9" t="str">
        <f ca="1">IFERROR(__xludf.DUMMYFUNCTION("""COMPUTED_VALUE"""),"")</f>
        <v/>
      </c>
    </row>
    <row r="486" spans="18:23" ht="12.5" x14ac:dyDescent="0.25">
      <c r="R486" s="9" t="str">
        <v/>
      </c>
      <c r="S486" s="9" t="str">
        <f ca="1">IFERROR(__xludf.DUMMYFUNCTION("""COMPUTED_VALUE"""),"")</f>
        <v/>
      </c>
      <c r="T486" s="9" t="str">
        <f ca="1">IFERROR(__xludf.DUMMYFUNCTION("""COMPUTED_VALUE"""),"")</f>
        <v/>
      </c>
      <c r="U486" s="9" t="e">
        <f ca="1"/>
        <v>#NAME?</v>
      </c>
      <c r="V486" s="9" t="e">
        <f ca="1"/>
        <v>#NAME?</v>
      </c>
      <c r="W486" s="9" t="str">
        <f ca="1">IFERROR(__xludf.DUMMYFUNCTION("""COMPUTED_VALUE"""),"")</f>
        <v/>
      </c>
    </row>
    <row r="487" spans="18:23" ht="12.5" x14ac:dyDescent="0.25">
      <c r="R487" s="9" t="str">
        <v/>
      </c>
      <c r="S487" s="9" t="str">
        <f ca="1">IFERROR(__xludf.DUMMYFUNCTION("""COMPUTED_VALUE"""),"")</f>
        <v/>
      </c>
      <c r="T487" s="9" t="str">
        <f ca="1">IFERROR(__xludf.DUMMYFUNCTION("""COMPUTED_VALUE"""),"")</f>
        <v/>
      </c>
      <c r="U487" s="9" t="e">
        <f ca="1"/>
        <v>#NAME?</v>
      </c>
      <c r="V487" s="9" t="e">
        <f ca="1"/>
        <v>#NAME?</v>
      </c>
      <c r="W487" s="9" t="str">
        <f ca="1">IFERROR(__xludf.DUMMYFUNCTION("""COMPUTED_VALUE"""),"")</f>
        <v/>
      </c>
    </row>
    <row r="488" spans="18:23" ht="12.5" x14ac:dyDescent="0.25">
      <c r="R488" s="9" t="str">
        <v/>
      </c>
      <c r="S488" s="9" t="str">
        <f ca="1">IFERROR(__xludf.DUMMYFUNCTION("""COMPUTED_VALUE"""),"")</f>
        <v/>
      </c>
      <c r="T488" s="9" t="str">
        <f ca="1">IFERROR(__xludf.DUMMYFUNCTION("""COMPUTED_VALUE"""),"")</f>
        <v/>
      </c>
      <c r="U488" s="9" t="e">
        <f ca="1"/>
        <v>#NAME?</v>
      </c>
      <c r="V488" s="9" t="e">
        <f ca="1"/>
        <v>#NAME?</v>
      </c>
      <c r="W488" s="9" t="str">
        <f ca="1">IFERROR(__xludf.DUMMYFUNCTION("""COMPUTED_VALUE"""),"")</f>
        <v/>
      </c>
    </row>
    <row r="489" spans="18:23" ht="12.5" x14ac:dyDescent="0.25">
      <c r="R489" s="9" t="str">
        <v/>
      </c>
      <c r="S489" s="9" t="str">
        <f ca="1">IFERROR(__xludf.DUMMYFUNCTION("""COMPUTED_VALUE"""),"")</f>
        <v/>
      </c>
      <c r="T489" s="9" t="str">
        <f ca="1">IFERROR(__xludf.DUMMYFUNCTION("""COMPUTED_VALUE"""),"")</f>
        <v/>
      </c>
      <c r="U489" s="9" t="e">
        <f ca="1"/>
        <v>#NAME?</v>
      </c>
      <c r="V489" s="9" t="e">
        <f ca="1"/>
        <v>#NAME?</v>
      </c>
      <c r="W489" s="9" t="str">
        <f ca="1">IFERROR(__xludf.DUMMYFUNCTION("""COMPUTED_VALUE"""),"")</f>
        <v/>
      </c>
    </row>
    <row r="490" spans="18:23" ht="12.5" x14ac:dyDescent="0.25">
      <c r="R490" s="9" t="str">
        <v/>
      </c>
      <c r="S490" s="9" t="str">
        <f ca="1">IFERROR(__xludf.DUMMYFUNCTION("""COMPUTED_VALUE"""),"")</f>
        <v/>
      </c>
      <c r="T490" s="9" t="str">
        <f ca="1">IFERROR(__xludf.DUMMYFUNCTION("""COMPUTED_VALUE"""),"")</f>
        <v/>
      </c>
      <c r="U490" s="9" t="e">
        <f ca="1"/>
        <v>#NAME?</v>
      </c>
      <c r="V490" s="9" t="e">
        <f ca="1"/>
        <v>#NAME?</v>
      </c>
      <c r="W490" s="9" t="str">
        <f ca="1">IFERROR(__xludf.DUMMYFUNCTION("""COMPUTED_VALUE"""),"")</f>
        <v/>
      </c>
    </row>
    <row r="491" spans="18:23" ht="12.5" x14ac:dyDescent="0.25">
      <c r="R491" s="9" t="str">
        <v/>
      </c>
      <c r="S491" s="9" t="str">
        <f ca="1">IFERROR(__xludf.DUMMYFUNCTION("""COMPUTED_VALUE"""),"")</f>
        <v/>
      </c>
      <c r="T491" s="9" t="str">
        <f ca="1">IFERROR(__xludf.DUMMYFUNCTION("""COMPUTED_VALUE"""),"")</f>
        <v/>
      </c>
      <c r="U491" s="9" t="e">
        <f ca="1"/>
        <v>#NAME?</v>
      </c>
      <c r="V491" s="9" t="e">
        <f ca="1"/>
        <v>#NAME?</v>
      </c>
      <c r="W491" s="9" t="str">
        <f ca="1">IFERROR(__xludf.DUMMYFUNCTION("""COMPUTED_VALUE"""),"")</f>
        <v/>
      </c>
    </row>
    <row r="492" spans="18:23" ht="12.5" x14ac:dyDescent="0.25">
      <c r="R492" s="9" t="str">
        <v/>
      </c>
      <c r="S492" s="9" t="str">
        <f ca="1">IFERROR(__xludf.DUMMYFUNCTION("""COMPUTED_VALUE"""),"")</f>
        <v/>
      </c>
      <c r="T492" s="9" t="str">
        <f ca="1">IFERROR(__xludf.DUMMYFUNCTION("""COMPUTED_VALUE"""),"")</f>
        <v/>
      </c>
      <c r="U492" s="9" t="e">
        <f ca="1"/>
        <v>#NAME?</v>
      </c>
      <c r="V492" s="9" t="e">
        <f ca="1"/>
        <v>#NAME?</v>
      </c>
      <c r="W492" s="9" t="str">
        <f ca="1">IFERROR(__xludf.DUMMYFUNCTION("""COMPUTED_VALUE"""),"")</f>
        <v/>
      </c>
    </row>
    <row r="493" spans="18:23" ht="12.5" x14ac:dyDescent="0.25">
      <c r="R493" s="9" t="str">
        <v/>
      </c>
      <c r="S493" s="9" t="str">
        <f ca="1">IFERROR(__xludf.DUMMYFUNCTION("""COMPUTED_VALUE"""),"")</f>
        <v/>
      </c>
      <c r="T493" s="9" t="str">
        <f ca="1">IFERROR(__xludf.DUMMYFUNCTION("""COMPUTED_VALUE"""),"")</f>
        <v/>
      </c>
      <c r="U493" s="9" t="e">
        <f ca="1"/>
        <v>#NAME?</v>
      </c>
      <c r="V493" s="9" t="e">
        <f ca="1"/>
        <v>#NAME?</v>
      </c>
      <c r="W493" s="9" t="str">
        <f ca="1">IFERROR(__xludf.DUMMYFUNCTION("""COMPUTED_VALUE"""),"")</f>
        <v/>
      </c>
    </row>
    <row r="494" spans="18:23" ht="12.5" x14ac:dyDescent="0.25">
      <c r="R494" s="9" t="str">
        <v/>
      </c>
      <c r="S494" s="9" t="str">
        <f ca="1">IFERROR(__xludf.DUMMYFUNCTION("""COMPUTED_VALUE"""),"")</f>
        <v/>
      </c>
      <c r="T494" s="9" t="str">
        <f ca="1">IFERROR(__xludf.DUMMYFUNCTION("""COMPUTED_VALUE"""),"")</f>
        <v/>
      </c>
      <c r="U494" s="9" t="e">
        <f ca="1"/>
        <v>#NAME?</v>
      </c>
      <c r="V494" s="9" t="e">
        <f ca="1"/>
        <v>#NAME?</v>
      </c>
      <c r="W494" s="9" t="str">
        <f ca="1">IFERROR(__xludf.DUMMYFUNCTION("""COMPUTED_VALUE"""),"")</f>
        <v/>
      </c>
    </row>
    <row r="495" spans="18:23" ht="12.5" x14ac:dyDescent="0.25">
      <c r="R495" s="9" t="str">
        <v/>
      </c>
      <c r="S495" s="9" t="str">
        <f ca="1">IFERROR(__xludf.DUMMYFUNCTION("""COMPUTED_VALUE"""),"")</f>
        <v/>
      </c>
      <c r="T495" s="9" t="str">
        <f ca="1">IFERROR(__xludf.DUMMYFUNCTION("""COMPUTED_VALUE"""),"")</f>
        <v/>
      </c>
      <c r="U495" s="9" t="e">
        <f ca="1"/>
        <v>#NAME?</v>
      </c>
      <c r="V495" s="9" t="e">
        <f ca="1"/>
        <v>#NAME?</v>
      </c>
      <c r="W495" s="9" t="str">
        <f ca="1">IFERROR(__xludf.DUMMYFUNCTION("""COMPUTED_VALUE"""),"")</f>
        <v/>
      </c>
    </row>
    <row r="496" spans="18:23" ht="12.5" x14ac:dyDescent="0.25">
      <c r="R496" s="9" t="str">
        <v/>
      </c>
      <c r="S496" s="9" t="str">
        <f ca="1">IFERROR(__xludf.DUMMYFUNCTION("""COMPUTED_VALUE"""),"")</f>
        <v/>
      </c>
      <c r="T496" s="9" t="str">
        <f ca="1">IFERROR(__xludf.DUMMYFUNCTION("""COMPUTED_VALUE"""),"")</f>
        <v/>
      </c>
      <c r="U496" s="9" t="e">
        <f ca="1"/>
        <v>#NAME?</v>
      </c>
      <c r="V496" s="9" t="e">
        <f ca="1"/>
        <v>#NAME?</v>
      </c>
      <c r="W496" s="9" t="str">
        <f ca="1">IFERROR(__xludf.DUMMYFUNCTION("""COMPUTED_VALUE"""),"")</f>
        <v/>
      </c>
    </row>
    <row r="497" spans="18:23" ht="12.5" x14ac:dyDescent="0.25">
      <c r="R497" s="9" t="str">
        <v/>
      </c>
      <c r="S497" s="9" t="str">
        <f ca="1">IFERROR(__xludf.DUMMYFUNCTION("""COMPUTED_VALUE"""),"")</f>
        <v/>
      </c>
      <c r="T497" s="9" t="str">
        <f ca="1">IFERROR(__xludf.DUMMYFUNCTION("""COMPUTED_VALUE"""),"")</f>
        <v/>
      </c>
      <c r="U497" s="9" t="e">
        <f ca="1"/>
        <v>#NAME?</v>
      </c>
      <c r="V497" s="9" t="e">
        <f ca="1"/>
        <v>#NAME?</v>
      </c>
      <c r="W497" s="9" t="str">
        <f ca="1">IFERROR(__xludf.DUMMYFUNCTION("""COMPUTED_VALUE"""),"")</f>
        <v/>
      </c>
    </row>
    <row r="498" spans="18:23" ht="12.5" x14ac:dyDescent="0.25">
      <c r="R498" s="9" t="str">
        <v/>
      </c>
      <c r="S498" s="9" t="str">
        <f ca="1">IFERROR(__xludf.DUMMYFUNCTION("""COMPUTED_VALUE"""),"")</f>
        <v/>
      </c>
      <c r="T498" s="9" t="str">
        <f ca="1">IFERROR(__xludf.DUMMYFUNCTION("""COMPUTED_VALUE"""),"")</f>
        <v/>
      </c>
      <c r="U498" s="9" t="e">
        <f ca="1"/>
        <v>#NAME?</v>
      </c>
      <c r="V498" s="9" t="e">
        <f ca="1"/>
        <v>#NAME?</v>
      </c>
      <c r="W498" s="9" t="str">
        <f ca="1">IFERROR(__xludf.DUMMYFUNCTION("""COMPUTED_VALUE"""),"")</f>
        <v/>
      </c>
    </row>
    <row r="499" spans="18:23" ht="12.5" x14ac:dyDescent="0.25">
      <c r="R499" s="9" t="str">
        <v/>
      </c>
      <c r="S499" s="9" t="str">
        <f ca="1">IFERROR(__xludf.DUMMYFUNCTION("""COMPUTED_VALUE"""),"")</f>
        <v/>
      </c>
      <c r="T499" s="9" t="str">
        <f ca="1">IFERROR(__xludf.DUMMYFUNCTION("""COMPUTED_VALUE"""),"")</f>
        <v/>
      </c>
      <c r="U499" s="9" t="e">
        <f ca="1"/>
        <v>#NAME?</v>
      </c>
      <c r="V499" s="9" t="e">
        <f ca="1"/>
        <v>#NAME?</v>
      </c>
      <c r="W499" s="9" t="str">
        <f ca="1">IFERROR(__xludf.DUMMYFUNCTION("""COMPUTED_VALUE"""),"")</f>
        <v/>
      </c>
    </row>
    <row r="500" spans="18:23" ht="12.5" x14ac:dyDescent="0.25">
      <c r="R500" s="9" t="str">
        <v/>
      </c>
      <c r="S500" s="9" t="str">
        <f ca="1">IFERROR(__xludf.DUMMYFUNCTION("""COMPUTED_VALUE"""),"")</f>
        <v/>
      </c>
      <c r="T500" s="9" t="str">
        <f ca="1">IFERROR(__xludf.DUMMYFUNCTION("""COMPUTED_VALUE"""),"")</f>
        <v/>
      </c>
      <c r="U500" s="9" t="e">
        <f ca="1"/>
        <v>#NAME?</v>
      </c>
      <c r="V500" s="9" t="e">
        <f ca="1"/>
        <v>#NAME?</v>
      </c>
      <c r="W500" s="9" t="str">
        <f ca="1">IFERROR(__xludf.DUMMYFUNCTION("""COMPUTED_VALUE"""),"")</f>
        <v/>
      </c>
    </row>
    <row r="501" spans="18:23" ht="12.5" x14ac:dyDescent="0.25">
      <c r="R501" s="9" t="str">
        <v/>
      </c>
      <c r="S501" s="9" t="str">
        <f ca="1">IFERROR(__xludf.DUMMYFUNCTION("""COMPUTED_VALUE"""),"")</f>
        <v/>
      </c>
      <c r="T501" s="9" t="str">
        <f ca="1">IFERROR(__xludf.DUMMYFUNCTION("""COMPUTED_VALUE"""),"")</f>
        <v/>
      </c>
      <c r="U501" s="9" t="e">
        <f ca="1"/>
        <v>#NAME?</v>
      </c>
      <c r="V501" s="9" t="e">
        <f ca="1"/>
        <v>#NAME?</v>
      </c>
      <c r="W501" s="9" t="str">
        <f ca="1">IFERROR(__xludf.DUMMYFUNCTION("""COMPUTED_VALUE"""),"")</f>
        <v/>
      </c>
    </row>
    <row r="502" spans="18:23" ht="12.5" x14ac:dyDescent="0.25">
      <c r="R502" s="9" t="str">
        <v/>
      </c>
      <c r="S502" s="9" t="str">
        <f ca="1">IFERROR(__xludf.DUMMYFUNCTION("""COMPUTED_VALUE"""),"")</f>
        <v/>
      </c>
      <c r="T502" s="9" t="str">
        <f ca="1">IFERROR(__xludf.DUMMYFUNCTION("""COMPUTED_VALUE"""),"")</f>
        <v/>
      </c>
      <c r="U502" s="9" t="e">
        <f ca="1"/>
        <v>#NAME?</v>
      </c>
      <c r="V502" s="9" t="e">
        <f ca="1"/>
        <v>#NAME?</v>
      </c>
      <c r="W502" s="9" t="str">
        <f ca="1">IFERROR(__xludf.DUMMYFUNCTION("""COMPUTED_VALUE"""),"")</f>
        <v/>
      </c>
    </row>
    <row r="503" spans="18:23" ht="12.5" x14ac:dyDescent="0.25">
      <c r="R503" s="9" t="str">
        <v/>
      </c>
      <c r="S503" s="9" t="str">
        <f ca="1">IFERROR(__xludf.DUMMYFUNCTION("""COMPUTED_VALUE"""),"")</f>
        <v/>
      </c>
      <c r="T503" s="9" t="str">
        <f ca="1">IFERROR(__xludf.DUMMYFUNCTION("""COMPUTED_VALUE"""),"")</f>
        <v/>
      </c>
      <c r="U503" s="9" t="e">
        <f ca="1"/>
        <v>#NAME?</v>
      </c>
      <c r="V503" s="9" t="e">
        <f ca="1"/>
        <v>#NAME?</v>
      </c>
      <c r="W503" s="9" t="str">
        <f ca="1">IFERROR(__xludf.DUMMYFUNCTION("""COMPUTED_VALUE"""),"")</f>
        <v/>
      </c>
    </row>
    <row r="504" spans="18:23" ht="12.5" x14ac:dyDescent="0.25">
      <c r="R504" s="9" t="str">
        <v/>
      </c>
      <c r="S504" s="9" t="str">
        <f ca="1">IFERROR(__xludf.DUMMYFUNCTION("""COMPUTED_VALUE"""),"")</f>
        <v/>
      </c>
      <c r="T504" s="9" t="str">
        <f ca="1">IFERROR(__xludf.DUMMYFUNCTION("""COMPUTED_VALUE"""),"")</f>
        <v/>
      </c>
      <c r="U504" s="9" t="e">
        <f ca="1"/>
        <v>#NAME?</v>
      </c>
      <c r="V504" s="9" t="e">
        <f ca="1"/>
        <v>#NAME?</v>
      </c>
      <c r="W504" s="9" t="str">
        <f ca="1">IFERROR(__xludf.DUMMYFUNCTION("""COMPUTED_VALUE"""),"")</f>
        <v/>
      </c>
    </row>
    <row r="505" spans="18:23" ht="12.5" x14ac:dyDescent="0.25">
      <c r="R505" s="9" t="str">
        <v/>
      </c>
      <c r="S505" s="9" t="str">
        <f ca="1">IFERROR(__xludf.DUMMYFUNCTION("""COMPUTED_VALUE"""),"")</f>
        <v/>
      </c>
      <c r="T505" s="9" t="str">
        <f ca="1">IFERROR(__xludf.DUMMYFUNCTION("""COMPUTED_VALUE"""),"")</f>
        <v/>
      </c>
      <c r="U505" s="9" t="e">
        <f ca="1"/>
        <v>#NAME?</v>
      </c>
      <c r="V505" s="9" t="e">
        <f ca="1"/>
        <v>#NAME?</v>
      </c>
      <c r="W505" s="9" t="str">
        <f ca="1">IFERROR(__xludf.DUMMYFUNCTION("""COMPUTED_VALUE"""),"")</f>
        <v/>
      </c>
    </row>
    <row r="506" spans="18:23" ht="12.5" x14ac:dyDescent="0.25">
      <c r="R506" s="9" t="str">
        <v/>
      </c>
      <c r="S506" s="9" t="str">
        <f ca="1">IFERROR(__xludf.DUMMYFUNCTION("""COMPUTED_VALUE"""),"")</f>
        <v/>
      </c>
      <c r="T506" s="9" t="str">
        <f ca="1">IFERROR(__xludf.DUMMYFUNCTION("""COMPUTED_VALUE"""),"")</f>
        <v/>
      </c>
      <c r="U506" s="9" t="e">
        <f ca="1"/>
        <v>#NAME?</v>
      </c>
      <c r="V506" s="9" t="e">
        <f ca="1"/>
        <v>#NAME?</v>
      </c>
      <c r="W506" s="9" t="str">
        <f ca="1">IFERROR(__xludf.DUMMYFUNCTION("""COMPUTED_VALUE"""),"")</f>
        <v/>
      </c>
    </row>
    <row r="507" spans="18:23" ht="12.5" x14ac:dyDescent="0.25">
      <c r="R507" s="9" t="str">
        <v/>
      </c>
      <c r="S507" s="9" t="str">
        <f ca="1">IFERROR(__xludf.DUMMYFUNCTION("""COMPUTED_VALUE"""),"")</f>
        <v/>
      </c>
      <c r="T507" s="9" t="str">
        <f ca="1">IFERROR(__xludf.DUMMYFUNCTION("""COMPUTED_VALUE"""),"")</f>
        <v/>
      </c>
      <c r="U507" s="9" t="e">
        <f ca="1"/>
        <v>#NAME?</v>
      </c>
      <c r="V507" s="9" t="e">
        <f ca="1"/>
        <v>#NAME?</v>
      </c>
      <c r="W507" s="9" t="str">
        <f ca="1">IFERROR(__xludf.DUMMYFUNCTION("""COMPUTED_VALUE"""),"")</f>
        <v/>
      </c>
    </row>
    <row r="508" spans="18:23" ht="12.5" x14ac:dyDescent="0.25">
      <c r="R508" s="9" t="str">
        <v/>
      </c>
      <c r="S508" s="9" t="str">
        <f ca="1">IFERROR(__xludf.DUMMYFUNCTION("""COMPUTED_VALUE"""),"")</f>
        <v/>
      </c>
      <c r="T508" s="9" t="str">
        <f ca="1">IFERROR(__xludf.DUMMYFUNCTION("""COMPUTED_VALUE"""),"")</f>
        <v/>
      </c>
      <c r="U508" s="9" t="e">
        <f ca="1"/>
        <v>#NAME?</v>
      </c>
      <c r="V508" s="9" t="e">
        <f ca="1"/>
        <v>#NAME?</v>
      </c>
      <c r="W508" s="9" t="str">
        <f ca="1">IFERROR(__xludf.DUMMYFUNCTION("""COMPUTED_VALUE"""),"")</f>
        <v/>
      </c>
    </row>
    <row r="509" spans="18:23" ht="12.5" x14ac:dyDescent="0.25">
      <c r="R509" s="9" t="str">
        <v/>
      </c>
      <c r="S509" s="9" t="str">
        <f ca="1">IFERROR(__xludf.DUMMYFUNCTION("""COMPUTED_VALUE"""),"")</f>
        <v/>
      </c>
      <c r="T509" s="9" t="str">
        <f ca="1">IFERROR(__xludf.DUMMYFUNCTION("""COMPUTED_VALUE"""),"")</f>
        <v/>
      </c>
      <c r="U509" s="9" t="e">
        <f ca="1"/>
        <v>#NAME?</v>
      </c>
      <c r="V509" s="9" t="e">
        <f ca="1"/>
        <v>#NAME?</v>
      </c>
      <c r="W509" s="9" t="str">
        <f ca="1">IFERROR(__xludf.DUMMYFUNCTION("""COMPUTED_VALUE"""),"")</f>
        <v/>
      </c>
    </row>
    <row r="510" spans="18:23" ht="12.5" x14ac:dyDescent="0.25">
      <c r="R510" s="9" t="str">
        <v/>
      </c>
      <c r="S510" s="9" t="str">
        <f ca="1">IFERROR(__xludf.DUMMYFUNCTION("""COMPUTED_VALUE"""),"")</f>
        <v/>
      </c>
      <c r="T510" s="9" t="str">
        <f ca="1">IFERROR(__xludf.DUMMYFUNCTION("""COMPUTED_VALUE"""),"")</f>
        <v/>
      </c>
      <c r="U510" s="9" t="e">
        <f ca="1"/>
        <v>#NAME?</v>
      </c>
      <c r="V510" s="9" t="e">
        <f ca="1"/>
        <v>#NAME?</v>
      </c>
      <c r="W510" s="9" t="str">
        <f ca="1">IFERROR(__xludf.DUMMYFUNCTION("""COMPUTED_VALUE"""),"")</f>
        <v/>
      </c>
    </row>
    <row r="511" spans="18:23" ht="12.5" x14ac:dyDescent="0.25">
      <c r="R511" s="9" t="str">
        <v/>
      </c>
      <c r="S511" s="9" t="str">
        <f ca="1">IFERROR(__xludf.DUMMYFUNCTION("""COMPUTED_VALUE"""),"")</f>
        <v/>
      </c>
      <c r="T511" s="9" t="str">
        <f ca="1">IFERROR(__xludf.DUMMYFUNCTION("""COMPUTED_VALUE"""),"")</f>
        <v/>
      </c>
      <c r="U511" s="9" t="e">
        <f ca="1"/>
        <v>#NAME?</v>
      </c>
      <c r="V511" s="9" t="e">
        <f ca="1"/>
        <v>#NAME?</v>
      </c>
      <c r="W511" s="9" t="str">
        <f ca="1">IFERROR(__xludf.DUMMYFUNCTION("""COMPUTED_VALUE"""),"")</f>
        <v/>
      </c>
    </row>
    <row r="512" spans="18:23" ht="12.5" x14ac:dyDescent="0.25">
      <c r="R512" s="9" t="str">
        <v/>
      </c>
      <c r="S512" s="9" t="str">
        <f ca="1">IFERROR(__xludf.DUMMYFUNCTION("""COMPUTED_VALUE"""),"")</f>
        <v/>
      </c>
      <c r="T512" s="9" t="str">
        <f ca="1">IFERROR(__xludf.DUMMYFUNCTION("""COMPUTED_VALUE"""),"")</f>
        <v/>
      </c>
      <c r="U512" s="9" t="e">
        <f ca="1"/>
        <v>#NAME?</v>
      </c>
      <c r="V512" s="9" t="e">
        <f ca="1"/>
        <v>#NAME?</v>
      </c>
      <c r="W512" s="9" t="str">
        <f ca="1">IFERROR(__xludf.DUMMYFUNCTION("""COMPUTED_VALUE"""),"")</f>
        <v/>
      </c>
    </row>
    <row r="513" spans="18:23" ht="12.5" x14ac:dyDescent="0.25">
      <c r="R513" s="9" t="str">
        <v/>
      </c>
      <c r="S513" s="9" t="str">
        <f ca="1">IFERROR(__xludf.DUMMYFUNCTION("""COMPUTED_VALUE"""),"")</f>
        <v/>
      </c>
      <c r="T513" s="9" t="str">
        <f ca="1">IFERROR(__xludf.DUMMYFUNCTION("""COMPUTED_VALUE"""),"")</f>
        <v/>
      </c>
      <c r="U513" s="9" t="e">
        <f ca="1"/>
        <v>#NAME?</v>
      </c>
      <c r="V513" s="9" t="e">
        <f ca="1"/>
        <v>#NAME?</v>
      </c>
      <c r="W513" s="9" t="str">
        <f ca="1">IFERROR(__xludf.DUMMYFUNCTION("""COMPUTED_VALUE"""),"")</f>
        <v/>
      </c>
    </row>
    <row r="514" spans="18:23" ht="12.5" x14ac:dyDescent="0.25">
      <c r="R514" s="9" t="str">
        <v/>
      </c>
      <c r="S514" s="9" t="str">
        <f ca="1">IFERROR(__xludf.DUMMYFUNCTION("""COMPUTED_VALUE"""),"")</f>
        <v/>
      </c>
      <c r="T514" s="9" t="str">
        <f ca="1">IFERROR(__xludf.DUMMYFUNCTION("""COMPUTED_VALUE"""),"")</f>
        <v/>
      </c>
      <c r="U514" s="9" t="e">
        <f ca="1"/>
        <v>#NAME?</v>
      </c>
      <c r="V514" s="9" t="e">
        <f ca="1"/>
        <v>#NAME?</v>
      </c>
      <c r="W514" s="9" t="str">
        <f ca="1">IFERROR(__xludf.DUMMYFUNCTION("""COMPUTED_VALUE"""),"")</f>
        <v/>
      </c>
    </row>
    <row r="515" spans="18:23" ht="12.5" x14ac:dyDescent="0.25">
      <c r="R515" s="9" t="str">
        <v/>
      </c>
      <c r="S515" s="9" t="str">
        <f ca="1">IFERROR(__xludf.DUMMYFUNCTION("""COMPUTED_VALUE"""),"")</f>
        <v/>
      </c>
      <c r="T515" s="9" t="str">
        <f ca="1">IFERROR(__xludf.DUMMYFUNCTION("""COMPUTED_VALUE"""),"")</f>
        <v/>
      </c>
      <c r="U515" s="9" t="e">
        <f ca="1"/>
        <v>#NAME?</v>
      </c>
      <c r="V515" s="9" t="e">
        <f ca="1"/>
        <v>#NAME?</v>
      </c>
      <c r="W515" s="9" t="str">
        <f ca="1">IFERROR(__xludf.DUMMYFUNCTION("""COMPUTED_VALUE"""),"")</f>
        <v/>
      </c>
    </row>
    <row r="516" spans="18:23" ht="12.5" x14ac:dyDescent="0.25">
      <c r="R516" s="9" t="str">
        <v/>
      </c>
      <c r="S516" s="9" t="str">
        <f ca="1">IFERROR(__xludf.DUMMYFUNCTION("""COMPUTED_VALUE"""),"")</f>
        <v/>
      </c>
      <c r="T516" s="9" t="str">
        <f ca="1">IFERROR(__xludf.DUMMYFUNCTION("""COMPUTED_VALUE"""),"")</f>
        <v/>
      </c>
      <c r="U516" s="9" t="e">
        <f ca="1"/>
        <v>#NAME?</v>
      </c>
      <c r="V516" s="9" t="e">
        <f ca="1"/>
        <v>#NAME?</v>
      </c>
      <c r="W516" s="9" t="str">
        <f ca="1">IFERROR(__xludf.DUMMYFUNCTION("""COMPUTED_VALUE"""),"")</f>
        <v/>
      </c>
    </row>
    <row r="517" spans="18:23" ht="12.5" x14ac:dyDescent="0.25">
      <c r="R517" s="9" t="str">
        <v/>
      </c>
      <c r="S517" s="9" t="str">
        <f ca="1">IFERROR(__xludf.DUMMYFUNCTION("""COMPUTED_VALUE"""),"")</f>
        <v/>
      </c>
      <c r="T517" s="9" t="str">
        <f ca="1">IFERROR(__xludf.DUMMYFUNCTION("""COMPUTED_VALUE"""),"")</f>
        <v/>
      </c>
      <c r="U517" s="9" t="e">
        <f ca="1"/>
        <v>#NAME?</v>
      </c>
      <c r="V517" s="9" t="e">
        <f ca="1"/>
        <v>#NAME?</v>
      </c>
      <c r="W517" s="9" t="str">
        <f ca="1">IFERROR(__xludf.DUMMYFUNCTION("""COMPUTED_VALUE"""),"")</f>
        <v/>
      </c>
    </row>
    <row r="518" spans="18:23" ht="12.5" x14ac:dyDescent="0.25">
      <c r="R518" s="9" t="str">
        <v/>
      </c>
      <c r="S518" s="9" t="str">
        <f ca="1">IFERROR(__xludf.DUMMYFUNCTION("""COMPUTED_VALUE"""),"")</f>
        <v/>
      </c>
      <c r="T518" s="9" t="str">
        <f ca="1">IFERROR(__xludf.DUMMYFUNCTION("""COMPUTED_VALUE"""),"")</f>
        <v/>
      </c>
      <c r="U518" s="9" t="e">
        <f ca="1"/>
        <v>#NAME?</v>
      </c>
      <c r="V518" s="9" t="e">
        <f ca="1"/>
        <v>#NAME?</v>
      </c>
      <c r="W518" s="9" t="str">
        <f ca="1">IFERROR(__xludf.DUMMYFUNCTION("""COMPUTED_VALUE"""),"")</f>
        <v/>
      </c>
    </row>
    <row r="519" spans="18:23" ht="12.5" x14ac:dyDescent="0.25">
      <c r="R519" s="9" t="str">
        <v/>
      </c>
      <c r="S519" s="9" t="str">
        <f ca="1">IFERROR(__xludf.DUMMYFUNCTION("""COMPUTED_VALUE"""),"")</f>
        <v/>
      </c>
      <c r="T519" s="9" t="str">
        <f ca="1">IFERROR(__xludf.DUMMYFUNCTION("""COMPUTED_VALUE"""),"")</f>
        <v/>
      </c>
      <c r="U519" s="9" t="e">
        <f ca="1"/>
        <v>#NAME?</v>
      </c>
      <c r="V519" s="9" t="e">
        <f ca="1"/>
        <v>#NAME?</v>
      </c>
      <c r="W519" s="9" t="str">
        <f ca="1">IFERROR(__xludf.DUMMYFUNCTION("""COMPUTED_VALUE"""),"")</f>
        <v/>
      </c>
    </row>
    <row r="520" spans="18:23" ht="12.5" x14ac:dyDescent="0.25">
      <c r="R520" s="9" t="str">
        <v/>
      </c>
      <c r="S520" s="9" t="str">
        <f ca="1">IFERROR(__xludf.DUMMYFUNCTION("""COMPUTED_VALUE"""),"")</f>
        <v/>
      </c>
      <c r="T520" s="9" t="str">
        <f ca="1">IFERROR(__xludf.DUMMYFUNCTION("""COMPUTED_VALUE"""),"")</f>
        <v/>
      </c>
      <c r="U520" s="9" t="e">
        <f ca="1"/>
        <v>#NAME?</v>
      </c>
      <c r="V520" s="9" t="e">
        <f ca="1"/>
        <v>#NAME?</v>
      </c>
      <c r="W520" s="9" t="str">
        <f ca="1">IFERROR(__xludf.DUMMYFUNCTION("""COMPUTED_VALUE"""),"")</f>
        <v/>
      </c>
    </row>
    <row r="521" spans="18:23" ht="12.5" x14ac:dyDescent="0.25">
      <c r="R521" s="9" t="str">
        <v/>
      </c>
      <c r="S521" s="9" t="str">
        <f ca="1">IFERROR(__xludf.DUMMYFUNCTION("""COMPUTED_VALUE"""),"")</f>
        <v/>
      </c>
      <c r="T521" s="9" t="str">
        <f ca="1">IFERROR(__xludf.DUMMYFUNCTION("""COMPUTED_VALUE"""),"")</f>
        <v/>
      </c>
      <c r="U521" s="9" t="e">
        <f ca="1"/>
        <v>#NAME?</v>
      </c>
      <c r="V521" s="9" t="e">
        <f ca="1"/>
        <v>#NAME?</v>
      </c>
      <c r="W521" s="9" t="str">
        <f ca="1">IFERROR(__xludf.DUMMYFUNCTION("""COMPUTED_VALUE"""),"")</f>
        <v/>
      </c>
    </row>
    <row r="522" spans="18:23" ht="12.5" x14ac:dyDescent="0.25">
      <c r="R522" s="9" t="str">
        <v/>
      </c>
      <c r="S522" s="9" t="str">
        <f ca="1">IFERROR(__xludf.DUMMYFUNCTION("""COMPUTED_VALUE"""),"")</f>
        <v/>
      </c>
      <c r="T522" s="9" t="str">
        <f ca="1">IFERROR(__xludf.DUMMYFUNCTION("""COMPUTED_VALUE"""),"")</f>
        <v/>
      </c>
      <c r="U522" s="9" t="e">
        <f ca="1"/>
        <v>#NAME?</v>
      </c>
      <c r="V522" s="9" t="e">
        <f ca="1"/>
        <v>#NAME?</v>
      </c>
      <c r="W522" s="9" t="str">
        <f ca="1">IFERROR(__xludf.DUMMYFUNCTION("""COMPUTED_VALUE"""),"")</f>
        <v/>
      </c>
    </row>
    <row r="523" spans="18:23" ht="12.5" x14ac:dyDescent="0.25">
      <c r="R523" s="9" t="str">
        <v/>
      </c>
      <c r="S523" s="9" t="str">
        <f ca="1">IFERROR(__xludf.DUMMYFUNCTION("""COMPUTED_VALUE"""),"")</f>
        <v/>
      </c>
      <c r="T523" s="9" t="str">
        <f ca="1">IFERROR(__xludf.DUMMYFUNCTION("""COMPUTED_VALUE"""),"")</f>
        <v/>
      </c>
      <c r="U523" s="9" t="e">
        <f ca="1"/>
        <v>#NAME?</v>
      </c>
      <c r="V523" s="9" t="e">
        <f ca="1"/>
        <v>#NAME?</v>
      </c>
      <c r="W523" s="9" t="str">
        <f ca="1">IFERROR(__xludf.DUMMYFUNCTION("""COMPUTED_VALUE"""),"")</f>
        <v/>
      </c>
    </row>
    <row r="524" spans="18:23" ht="12.5" x14ac:dyDescent="0.25">
      <c r="R524" s="9" t="str">
        <v/>
      </c>
      <c r="S524" s="9" t="str">
        <f ca="1">IFERROR(__xludf.DUMMYFUNCTION("""COMPUTED_VALUE"""),"")</f>
        <v/>
      </c>
      <c r="T524" s="9" t="str">
        <f ca="1">IFERROR(__xludf.DUMMYFUNCTION("""COMPUTED_VALUE"""),"")</f>
        <v/>
      </c>
      <c r="U524" s="9" t="e">
        <f ca="1"/>
        <v>#NAME?</v>
      </c>
      <c r="V524" s="9" t="e">
        <f ca="1"/>
        <v>#NAME?</v>
      </c>
      <c r="W524" s="9" t="str">
        <f ca="1">IFERROR(__xludf.DUMMYFUNCTION("""COMPUTED_VALUE"""),"")</f>
        <v/>
      </c>
    </row>
    <row r="525" spans="18:23" ht="12.5" x14ac:dyDescent="0.25">
      <c r="R525" s="9" t="str">
        <v/>
      </c>
      <c r="S525" s="9" t="str">
        <f ca="1">IFERROR(__xludf.DUMMYFUNCTION("""COMPUTED_VALUE"""),"")</f>
        <v/>
      </c>
      <c r="T525" s="9" t="str">
        <f ca="1">IFERROR(__xludf.DUMMYFUNCTION("""COMPUTED_VALUE"""),"")</f>
        <v/>
      </c>
      <c r="U525" s="9" t="e">
        <f ca="1"/>
        <v>#NAME?</v>
      </c>
      <c r="V525" s="9" t="e">
        <f ca="1"/>
        <v>#NAME?</v>
      </c>
      <c r="W525" s="9" t="str">
        <f ca="1">IFERROR(__xludf.DUMMYFUNCTION("""COMPUTED_VALUE"""),"")</f>
        <v/>
      </c>
    </row>
    <row r="526" spans="18:23" ht="12.5" x14ac:dyDescent="0.25">
      <c r="R526" s="9" t="str">
        <v/>
      </c>
      <c r="S526" s="9" t="str">
        <f ca="1">IFERROR(__xludf.DUMMYFUNCTION("""COMPUTED_VALUE"""),"")</f>
        <v/>
      </c>
      <c r="T526" s="9" t="str">
        <f ca="1">IFERROR(__xludf.DUMMYFUNCTION("""COMPUTED_VALUE"""),"")</f>
        <v/>
      </c>
      <c r="U526" s="9" t="e">
        <f ca="1"/>
        <v>#NAME?</v>
      </c>
      <c r="V526" s="9" t="e">
        <f ca="1"/>
        <v>#NAME?</v>
      </c>
      <c r="W526" s="9" t="str">
        <f ca="1">IFERROR(__xludf.DUMMYFUNCTION("""COMPUTED_VALUE"""),"")</f>
        <v/>
      </c>
    </row>
    <row r="527" spans="18:23" ht="12.5" x14ac:dyDescent="0.25">
      <c r="R527" s="9" t="str">
        <v/>
      </c>
      <c r="S527" s="9" t="str">
        <f ca="1">IFERROR(__xludf.DUMMYFUNCTION("""COMPUTED_VALUE"""),"")</f>
        <v/>
      </c>
      <c r="T527" s="9" t="str">
        <f ca="1">IFERROR(__xludf.DUMMYFUNCTION("""COMPUTED_VALUE"""),"")</f>
        <v/>
      </c>
      <c r="U527" s="9" t="e">
        <f ca="1"/>
        <v>#NAME?</v>
      </c>
      <c r="V527" s="9" t="e">
        <f ca="1"/>
        <v>#NAME?</v>
      </c>
      <c r="W527" s="9" t="str">
        <f ca="1">IFERROR(__xludf.DUMMYFUNCTION("""COMPUTED_VALUE"""),"")</f>
        <v/>
      </c>
    </row>
    <row r="528" spans="18:23" ht="12.5" x14ac:dyDescent="0.25">
      <c r="R528" s="9" t="str">
        <v/>
      </c>
      <c r="S528" s="9" t="str">
        <f ca="1">IFERROR(__xludf.DUMMYFUNCTION("""COMPUTED_VALUE"""),"")</f>
        <v/>
      </c>
      <c r="T528" s="9" t="str">
        <f ca="1">IFERROR(__xludf.DUMMYFUNCTION("""COMPUTED_VALUE"""),"")</f>
        <v/>
      </c>
      <c r="U528" s="9" t="e">
        <f ca="1"/>
        <v>#NAME?</v>
      </c>
      <c r="V528" s="9" t="e">
        <f ca="1"/>
        <v>#NAME?</v>
      </c>
      <c r="W528" s="9" t="str">
        <f ca="1">IFERROR(__xludf.DUMMYFUNCTION("""COMPUTED_VALUE"""),"")</f>
        <v/>
      </c>
    </row>
    <row r="529" spans="18:23" ht="12.5" x14ac:dyDescent="0.25">
      <c r="R529" s="9" t="str">
        <v/>
      </c>
      <c r="S529" s="9" t="str">
        <f ca="1">IFERROR(__xludf.DUMMYFUNCTION("""COMPUTED_VALUE"""),"")</f>
        <v/>
      </c>
      <c r="T529" s="9" t="str">
        <f ca="1">IFERROR(__xludf.DUMMYFUNCTION("""COMPUTED_VALUE"""),"")</f>
        <v/>
      </c>
      <c r="U529" s="9" t="e">
        <f ca="1"/>
        <v>#NAME?</v>
      </c>
      <c r="V529" s="9" t="e">
        <f ca="1"/>
        <v>#NAME?</v>
      </c>
      <c r="W529" s="9" t="str">
        <f ca="1">IFERROR(__xludf.DUMMYFUNCTION("""COMPUTED_VALUE"""),"")</f>
        <v/>
      </c>
    </row>
    <row r="530" spans="18:23" ht="12.5" x14ac:dyDescent="0.25">
      <c r="R530" s="9" t="str">
        <v/>
      </c>
      <c r="S530" s="9" t="str">
        <f ca="1">IFERROR(__xludf.DUMMYFUNCTION("""COMPUTED_VALUE"""),"")</f>
        <v/>
      </c>
      <c r="T530" s="9" t="str">
        <f ca="1">IFERROR(__xludf.DUMMYFUNCTION("""COMPUTED_VALUE"""),"")</f>
        <v/>
      </c>
      <c r="U530" s="9" t="e">
        <f ca="1"/>
        <v>#NAME?</v>
      </c>
      <c r="V530" s="9" t="e">
        <f ca="1"/>
        <v>#NAME?</v>
      </c>
      <c r="W530" s="9" t="str">
        <f ca="1">IFERROR(__xludf.DUMMYFUNCTION("""COMPUTED_VALUE"""),"")</f>
        <v/>
      </c>
    </row>
    <row r="531" spans="18:23" ht="12.5" x14ac:dyDescent="0.25">
      <c r="R531" s="9" t="str">
        <v/>
      </c>
      <c r="S531" s="9" t="str">
        <f ca="1">IFERROR(__xludf.DUMMYFUNCTION("""COMPUTED_VALUE"""),"")</f>
        <v/>
      </c>
      <c r="T531" s="9" t="str">
        <f ca="1">IFERROR(__xludf.DUMMYFUNCTION("""COMPUTED_VALUE"""),"")</f>
        <v/>
      </c>
      <c r="U531" s="9" t="e">
        <f ca="1"/>
        <v>#NAME?</v>
      </c>
      <c r="V531" s="9" t="e">
        <f ca="1"/>
        <v>#NAME?</v>
      </c>
      <c r="W531" s="9" t="str">
        <f ca="1">IFERROR(__xludf.DUMMYFUNCTION("""COMPUTED_VALUE"""),"")</f>
        <v/>
      </c>
    </row>
    <row r="532" spans="18:23" ht="12.5" x14ac:dyDescent="0.25">
      <c r="R532" s="9" t="str">
        <v/>
      </c>
      <c r="S532" s="9" t="str">
        <f ca="1">IFERROR(__xludf.DUMMYFUNCTION("""COMPUTED_VALUE"""),"")</f>
        <v/>
      </c>
      <c r="T532" s="9" t="str">
        <f ca="1">IFERROR(__xludf.DUMMYFUNCTION("""COMPUTED_VALUE"""),"")</f>
        <v/>
      </c>
      <c r="U532" s="9" t="e">
        <f ca="1"/>
        <v>#NAME?</v>
      </c>
      <c r="V532" s="9" t="e">
        <f ca="1"/>
        <v>#NAME?</v>
      </c>
      <c r="W532" s="9" t="str">
        <f ca="1">IFERROR(__xludf.DUMMYFUNCTION("""COMPUTED_VALUE"""),"")</f>
        <v/>
      </c>
    </row>
    <row r="533" spans="18:23" ht="12.5" x14ac:dyDescent="0.25">
      <c r="R533" s="9" t="str">
        <v/>
      </c>
      <c r="S533" s="9" t="str">
        <f ca="1">IFERROR(__xludf.DUMMYFUNCTION("""COMPUTED_VALUE"""),"")</f>
        <v/>
      </c>
      <c r="T533" s="9" t="str">
        <f ca="1">IFERROR(__xludf.DUMMYFUNCTION("""COMPUTED_VALUE"""),"")</f>
        <v/>
      </c>
      <c r="U533" s="9" t="e">
        <f ca="1"/>
        <v>#NAME?</v>
      </c>
      <c r="V533" s="9" t="e">
        <f ca="1"/>
        <v>#NAME?</v>
      </c>
      <c r="W533" s="9" t="str">
        <f ca="1">IFERROR(__xludf.DUMMYFUNCTION("""COMPUTED_VALUE"""),"")</f>
        <v/>
      </c>
    </row>
    <row r="534" spans="18:23" ht="12.5" x14ac:dyDescent="0.25">
      <c r="R534" s="9" t="str">
        <v/>
      </c>
      <c r="S534" s="9" t="str">
        <f ca="1">IFERROR(__xludf.DUMMYFUNCTION("""COMPUTED_VALUE"""),"")</f>
        <v/>
      </c>
      <c r="T534" s="9" t="str">
        <f ca="1">IFERROR(__xludf.DUMMYFUNCTION("""COMPUTED_VALUE"""),"")</f>
        <v/>
      </c>
      <c r="U534" s="9" t="e">
        <f ca="1"/>
        <v>#NAME?</v>
      </c>
      <c r="V534" s="9" t="e">
        <f ca="1"/>
        <v>#NAME?</v>
      </c>
      <c r="W534" s="9" t="str">
        <f ca="1">IFERROR(__xludf.DUMMYFUNCTION("""COMPUTED_VALUE"""),"")</f>
        <v/>
      </c>
    </row>
    <row r="535" spans="18:23" ht="12.5" x14ac:dyDescent="0.25">
      <c r="R535" s="9" t="str">
        <v/>
      </c>
      <c r="S535" s="9" t="str">
        <f ca="1">IFERROR(__xludf.DUMMYFUNCTION("""COMPUTED_VALUE"""),"")</f>
        <v/>
      </c>
      <c r="T535" s="9" t="str">
        <f ca="1">IFERROR(__xludf.DUMMYFUNCTION("""COMPUTED_VALUE"""),"")</f>
        <v/>
      </c>
      <c r="U535" s="9" t="e">
        <f ca="1"/>
        <v>#NAME?</v>
      </c>
      <c r="V535" s="9" t="e">
        <f ca="1"/>
        <v>#NAME?</v>
      </c>
      <c r="W535" s="9" t="str">
        <f ca="1">IFERROR(__xludf.DUMMYFUNCTION("""COMPUTED_VALUE"""),"")</f>
        <v/>
      </c>
    </row>
    <row r="536" spans="18:23" ht="12.5" x14ac:dyDescent="0.25">
      <c r="R536" s="9" t="str">
        <v/>
      </c>
      <c r="S536" s="9" t="str">
        <f ca="1">IFERROR(__xludf.DUMMYFUNCTION("""COMPUTED_VALUE"""),"")</f>
        <v/>
      </c>
      <c r="T536" s="9" t="str">
        <f ca="1">IFERROR(__xludf.DUMMYFUNCTION("""COMPUTED_VALUE"""),"")</f>
        <v/>
      </c>
      <c r="U536" s="9" t="e">
        <f ca="1"/>
        <v>#NAME?</v>
      </c>
      <c r="V536" s="9" t="e">
        <f ca="1"/>
        <v>#NAME?</v>
      </c>
      <c r="W536" s="9" t="str">
        <f ca="1">IFERROR(__xludf.DUMMYFUNCTION("""COMPUTED_VALUE"""),"")</f>
        <v/>
      </c>
    </row>
    <row r="537" spans="18:23" ht="12.5" x14ac:dyDescent="0.25">
      <c r="R537" s="9" t="str">
        <v/>
      </c>
      <c r="S537" s="9" t="str">
        <f ca="1">IFERROR(__xludf.DUMMYFUNCTION("""COMPUTED_VALUE"""),"")</f>
        <v/>
      </c>
      <c r="T537" s="9" t="str">
        <f ca="1">IFERROR(__xludf.DUMMYFUNCTION("""COMPUTED_VALUE"""),"")</f>
        <v/>
      </c>
      <c r="U537" s="9" t="e">
        <f ca="1"/>
        <v>#NAME?</v>
      </c>
      <c r="V537" s="9" t="e">
        <f ca="1"/>
        <v>#NAME?</v>
      </c>
      <c r="W537" s="9" t="str">
        <f ca="1">IFERROR(__xludf.DUMMYFUNCTION("""COMPUTED_VALUE"""),"")</f>
        <v/>
      </c>
    </row>
    <row r="538" spans="18:23" ht="12.5" x14ac:dyDescent="0.25">
      <c r="R538" s="9" t="str">
        <v/>
      </c>
      <c r="S538" s="9" t="str">
        <f ca="1">IFERROR(__xludf.DUMMYFUNCTION("""COMPUTED_VALUE"""),"")</f>
        <v/>
      </c>
      <c r="T538" s="9" t="str">
        <f ca="1">IFERROR(__xludf.DUMMYFUNCTION("""COMPUTED_VALUE"""),"")</f>
        <v/>
      </c>
      <c r="U538" s="9" t="e">
        <f ca="1"/>
        <v>#NAME?</v>
      </c>
      <c r="V538" s="9" t="e">
        <f ca="1"/>
        <v>#NAME?</v>
      </c>
      <c r="W538" s="9" t="str">
        <f ca="1">IFERROR(__xludf.DUMMYFUNCTION("""COMPUTED_VALUE"""),"")</f>
        <v/>
      </c>
    </row>
    <row r="539" spans="18:23" ht="12.5" x14ac:dyDescent="0.25">
      <c r="R539" s="9" t="str">
        <v/>
      </c>
      <c r="S539" s="9" t="str">
        <f ca="1">IFERROR(__xludf.DUMMYFUNCTION("""COMPUTED_VALUE"""),"")</f>
        <v/>
      </c>
      <c r="T539" s="9" t="str">
        <f ca="1">IFERROR(__xludf.DUMMYFUNCTION("""COMPUTED_VALUE"""),"")</f>
        <v/>
      </c>
      <c r="U539" s="9" t="e">
        <f ca="1"/>
        <v>#NAME?</v>
      </c>
      <c r="V539" s="9" t="e">
        <f ca="1"/>
        <v>#NAME?</v>
      </c>
      <c r="W539" s="9" t="str">
        <f ca="1">IFERROR(__xludf.DUMMYFUNCTION("""COMPUTED_VALUE"""),"")</f>
        <v/>
      </c>
    </row>
    <row r="540" spans="18:23" ht="12.5" x14ac:dyDescent="0.25">
      <c r="R540" s="9" t="str">
        <v/>
      </c>
      <c r="S540" s="9" t="str">
        <f ca="1">IFERROR(__xludf.DUMMYFUNCTION("""COMPUTED_VALUE"""),"")</f>
        <v/>
      </c>
      <c r="T540" s="9" t="str">
        <f ca="1">IFERROR(__xludf.DUMMYFUNCTION("""COMPUTED_VALUE"""),"")</f>
        <v/>
      </c>
      <c r="U540" s="9" t="e">
        <f ca="1"/>
        <v>#NAME?</v>
      </c>
      <c r="V540" s="9" t="e">
        <f ca="1"/>
        <v>#NAME?</v>
      </c>
      <c r="W540" s="9" t="str">
        <f ca="1">IFERROR(__xludf.DUMMYFUNCTION("""COMPUTED_VALUE"""),"")</f>
        <v/>
      </c>
    </row>
    <row r="541" spans="18:23" ht="12.5" x14ac:dyDescent="0.25">
      <c r="R541" s="9" t="str">
        <v/>
      </c>
      <c r="S541" s="9" t="str">
        <f ca="1">IFERROR(__xludf.DUMMYFUNCTION("""COMPUTED_VALUE"""),"")</f>
        <v/>
      </c>
      <c r="T541" s="9" t="str">
        <f ca="1">IFERROR(__xludf.DUMMYFUNCTION("""COMPUTED_VALUE"""),"")</f>
        <v/>
      </c>
      <c r="U541" s="9" t="e">
        <f ca="1"/>
        <v>#NAME?</v>
      </c>
      <c r="V541" s="9" t="e">
        <f ca="1"/>
        <v>#NAME?</v>
      </c>
      <c r="W541" s="9" t="str">
        <f ca="1">IFERROR(__xludf.DUMMYFUNCTION("""COMPUTED_VALUE"""),"")</f>
        <v/>
      </c>
    </row>
    <row r="542" spans="18:23" ht="12.5" x14ac:dyDescent="0.25">
      <c r="R542" s="9" t="str">
        <v/>
      </c>
      <c r="S542" s="9" t="str">
        <f ca="1">IFERROR(__xludf.DUMMYFUNCTION("""COMPUTED_VALUE"""),"")</f>
        <v/>
      </c>
      <c r="T542" s="9" t="str">
        <f ca="1">IFERROR(__xludf.DUMMYFUNCTION("""COMPUTED_VALUE"""),"")</f>
        <v/>
      </c>
      <c r="U542" s="9" t="e">
        <f ca="1"/>
        <v>#NAME?</v>
      </c>
      <c r="V542" s="9" t="e">
        <f ca="1"/>
        <v>#NAME?</v>
      </c>
      <c r="W542" s="9" t="str">
        <f ca="1">IFERROR(__xludf.DUMMYFUNCTION("""COMPUTED_VALUE"""),"")</f>
        <v/>
      </c>
    </row>
    <row r="543" spans="18:23" ht="12.5" x14ac:dyDescent="0.25">
      <c r="R543" s="9" t="str">
        <v/>
      </c>
      <c r="S543" s="9" t="str">
        <f ca="1">IFERROR(__xludf.DUMMYFUNCTION("""COMPUTED_VALUE"""),"")</f>
        <v/>
      </c>
      <c r="T543" s="9" t="str">
        <f ca="1">IFERROR(__xludf.DUMMYFUNCTION("""COMPUTED_VALUE"""),"")</f>
        <v/>
      </c>
      <c r="U543" s="9" t="e">
        <f ca="1"/>
        <v>#NAME?</v>
      </c>
      <c r="V543" s="9" t="e">
        <f ca="1"/>
        <v>#NAME?</v>
      </c>
      <c r="W543" s="9" t="str">
        <f ca="1">IFERROR(__xludf.DUMMYFUNCTION("""COMPUTED_VALUE"""),"")</f>
        <v/>
      </c>
    </row>
    <row r="544" spans="18:23" ht="12.5" x14ac:dyDescent="0.25">
      <c r="R544" s="9" t="str">
        <v/>
      </c>
      <c r="S544" s="9" t="str">
        <f ca="1">IFERROR(__xludf.DUMMYFUNCTION("""COMPUTED_VALUE"""),"")</f>
        <v/>
      </c>
      <c r="T544" s="9" t="str">
        <f ca="1">IFERROR(__xludf.DUMMYFUNCTION("""COMPUTED_VALUE"""),"")</f>
        <v/>
      </c>
      <c r="U544" s="9" t="e">
        <f ca="1"/>
        <v>#NAME?</v>
      </c>
      <c r="V544" s="9" t="e">
        <f ca="1"/>
        <v>#NAME?</v>
      </c>
      <c r="W544" s="9" t="str">
        <f ca="1">IFERROR(__xludf.DUMMYFUNCTION("""COMPUTED_VALUE"""),"")</f>
        <v/>
      </c>
    </row>
    <row r="545" spans="18:23" ht="12.5" x14ac:dyDescent="0.25">
      <c r="R545" s="9" t="str">
        <v/>
      </c>
      <c r="S545" s="9" t="str">
        <f ca="1">IFERROR(__xludf.DUMMYFUNCTION("""COMPUTED_VALUE"""),"")</f>
        <v/>
      </c>
      <c r="T545" s="9" t="str">
        <f ca="1">IFERROR(__xludf.DUMMYFUNCTION("""COMPUTED_VALUE"""),"")</f>
        <v/>
      </c>
      <c r="U545" s="9" t="e">
        <f ca="1"/>
        <v>#NAME?</v>
      </c>
      <c r="V545" s="9" t="e">
        <f ca="1"/>
        <v>#NAME?</v>
      </c>
      <c r="W545" s="9" t="str">
        <f ca="1">IFERROR(__xludf.DUMMYFUNCTION("""COMPUTED_VALUE"""),"")</f>
        <v/>
      </c>
    </row>
    <row r="546" spans="18:23" ht="12.5" x14ac:dyDescent="0.25">
      <c r="R546" s="9" t="str">
        <v/>
      </c>
      <c r="S546" s="9" t="str">
        <f ca="1">IFERROR(__xludf.DUMMYFUNCTION("""COMPUTED_VALUE"""),"")</f>
        <v/>
      </c>
      <c r="T546" s="9" t="str">
        <f ca="1">IFERROR(__xludf.DUMMYFUNCTION("""COMPUTED_VALUE"""),"")</f>
        <v/>
      </c>
      <c r="U546" s="9" t="e">
        <f ca="1"/>
        <v>#NAME?</v>
      </c>
      <c r="V546" s="9" t="e">
        <f ca="1"/>
        <v>#NAME?</v>
      </c>
      <c r="W546" s="9" t="str">
        <f ca="1">IFERROR(__xludf.DUMMYFUNCTION("""COMPUTED_VALUE"""),"")</f>
        <v/>
      </c>
    </row>
    <row r="547" spans="18:23" ht="12.5" x14ac:dyDescent="0.25">
      <c r="R547" s="9" t="str">
        <v/>
      </c>
      <c r="S547" s="9" t="str">
        <f ca="1">IFERROR(__xludf.DUMMYFUNCTION("""COMPUTED_VALUE"""),"")</f>
        <v/>
      </c>
      <c r="T547" s="9" t="str">
        <f ca="1">IFERROR(__xludf.DUMMYFUNCTION("""COMPUTED_VALUE"""),"")</f>
        <v/>
      </c>
      <c r="U547" s="9" t="e">
        <f ca="1"/>
        <v>#NAME?</v>
      </c>
      <c r="V547" s="9" t="e">
        <f ca="1"/>
        <v>#NAME?</v>
      </c>
      <c r="W547" s="9" t="str">
        <f ca="1">IFERROR(__xludf.DUMMYFUNCTION("""COMPUTED_VALUE"""),"")</f>
        <v/>
      </c>
    </row>
    <row r="548" spans="18:23" ht="12.5" x14ac:dyDescent="0.25">
      <c r="R548" s="9" t="str">
        <v/>
      </c>
      <c r="S548" s="9" t="str">
        <f ca="1">IFERROR(__xludf.DUMMYFUNCTION("""COMPUTED_VALUE"""),"")</f>
        <v/>
      </c>
      <c r="T548" s="9" t="str">
        <f ca="1">IFERROR(__xludf.DUMMYFUNCTION("""COMPUTED_VALUE"""),"")</f>
        <v/>
      </c>
      <c r="U548" s="9" t="e">
        <f ca="1"/>
        <v>#NAME?</v>
      </c>
      <c r="V548" s="9" t="e">
        <f ca="1"/>
        <v>#NAME?</v>
      </c>
      <c r="W548" s="9" t="str">
        <f ca="1">IFERROR(__xludf.DUMMYFUNCTION("""COMPUTED_VALUE"""),"")</f>
        <v/>
      </c>
    </row>
    <row r="549" spans="18:23" ht="12.5" x14ac:dyDescent="0.25">
      <c r="R549" s="9" t="str">
        <v/>
      </c>
      <c r="S549" s="9" t="str">
        <f ca="1">IFERROR(__xludf.DUMMYFUNCTION("""COMPUTED_VALUE"""),"")</f>
        <v/>
      </c>
      <c r="T549" s="9" t="str">
        <f ca="1">IFERROR(__xludf.DUMMYFUNCTION("""COMPUTED_VALUE"""),"")</f>
        <v/>
      </c>
      <c r="U549" s="9" t="e">
        <f ca="1"/>
        <v>#NAME?</v>
      </c>
      <c r="V549" s="9" t="e">
        <f ca="1"/>
        <v>#NAME?</v>
      </c>
      <c r="W549" s="9" t="str">
        <f ca="1">IFERROR(__xludf.DUMMYFUNCTION("""COMPUTED_VALUE"""),"")</f>
        <v/>
      </c>
    </row>
    <row r="550" spans="18:23" ht="12.5" x14ac:dyDescent="0.25">
      <c r="R550" s="9" t="str">
        <v/>
      </c>
      <c r="S550" s="9" t="str">
        <f ca="1">IFERROR(__xludf.DUMMYFUNCTION("""COMPUTED_VALUE"""),"")</f>
        <v/>
      </c>
      <c r="T550" s="9" t="str">
        <f ca="1">IFERROR(__xludf.DUMMYFUNCTION("""COMPUTED_VALUE"""),"")</f>
        <v/>
      </c>
      <c r="U550" s="9" t="e">
        <f ca="1"/>
        <v>#NAME?</v>
      </c>
      <c r="V550" s="9" t="e">
        <f ca="1"/>
        <v>#NAME?</v>
      </c>
      <c r="W550" s="9" t="str">
        <f ca="1">IFERROR(__xludf.DUMMYFUNCTION("""COMPUTED_VALUE"""),"")</f>
        <v/>
      </c>
    </row>
    <row r="551" spans="18:23" ht="12.5" x14ac:dyDescent="0.25">
      <c r="R551" s="9" t="str">
        <v/>
      </c>
      <c r="S551" s="9" t="str">
        <f ca="1">IFERROR(__xludf.DUMMYFUNCTION("""COMPUTED_VALUE"""),"")</f>
        <v/>
      </c>
      <c r="T551" s="9" t="str">
        <f ca="1">IFERROR(__xludf.DUMMYFUNCTION("""COMPUTED_VALUE"""),"")</f>
        <v/>
      </c>
      <c r="U551" s="9" t="e">
        <f ca="1"/>
        <v>#NAME?</v>
      </c>
      <c r="V551" s="9" t="e">
        <f ca="1"/>
        <v>#NAME?</v>
      </c>
      <c r="W551" s="9" t="str">
        <f ca="1">IFERROR(__xludf.DUMMYFUNCTION("""COMPUTED_VALUE"""),"")</f>
        <v/>
      </c>
    </row>
    <row r="552" spans="18:23" ht="12.5" x14ac:dyDescent="0.25">
      <c r="R552" s="9" t="str">
        <v/>
      </c>
      <c r="S552" s="9" t="str">
        <f ca="1">IFERROR(__xludf.DUMMYFUNCTION("""COMPUTED_VALUE"""),"")</f>
        <v/>
      </c>
      <c r="T552" s="9" t="str">
        <f ca="1">IFERROR(__xludf.DUMMYFUNCTION("""COMPUTED_VALUE"""),"")</f>
        <v/>
      </c>
      <c r="U552" s="9" t="e">
        <f ca="1"/>
        <v>#NAME?</v>
      </c>
      <c r="V552" s="9" t="e">
        <f ca="1"/>
        <v>#NAME?</v>
      </c>
      <c r="W552" s="9" t="str">
        <f ca="1">IFERROR(__xludf.DUMMYFUNCTION("""COMPUTED_VALUE"""),"")</f>
        <v/>
      </c>
    </row>
    <row r="553" spans="18:23" ht="12.5" x14ac:dyDescent="0.25">
      <c r="R553" s="9" t="str">
        <v/>
      </c>
      <c r="S553" s="9" t="str">
        <f ca="1">IFERROR(__xludf.DUMMYFUNCTION("""COMPUTED_VALUE"""),"")</f>
        <v/>
      </c>
      <c r="T553" s="9" t="str">
        <f ca="1">IFERROR(__xludf.DUMMYFUNCTION("""COMPUTED_VALUE"""),"")</f>
        <v/>
      </c>
      <c r="U553" s="9" t="e">
        <f ca="1"/>
        <v>#NAME?</v>
      </c>
      <c r="V553" s="9" t="e">
        <f ca="1"/>
        <v>#NAME?</v>
      </c>
      <c r="W553" s="9" t="str">
        <f ca="1">IFERROR(__xludf.DUMMYFUNCTION("""COMPUTED_VALUE"""),"")</f>
        <v/>
      </c>
    </row>
    <row r="554" spans="18:23" ht="12.5" x14ac:dyDescent="0.25">
      <c r="R554" s="9" t="str">
        <v/>
      </c>
      <c r="S554" s="9" t="str">
        <f ca="1">IFERROR(__xludf.DUMMYFUNCTION("""COMPUTED_VALUE"""),"")</f>
        <v/>
      </c>
      <c r="T554" s="9" t="str">
        <f ca="1">IFERROR(__xludf.DUMMYFUNCTION("""COMPUTED_VALUE"""),"")</f>
        <v/>
      </c>
      <c r="U554" s="9" t="e">
        <f ca="1"/>
        <v>#NAME?</v>
      </c>
      <c r="V554" s="9" t="e">
        <f ca="1"/>
        <v>#NAME?</v>
      </c>
      <c r="W554" s="9" t="str">
        <f ca="1">IFERROR(__xludf.DUMMYFUNCTION("""COMPUTED_VALUE"""),"")</f>
        <v/>
      </c>
    </row>
    <row r="555" spans="18:23" ht="12.5" x14ac:dyDescent="0.25">
      <c r="R555" s="9" t="str">
        <v/>
      </c>
      <c r="S555" s="9" t="str">
        <f ca="1">IFERROR(__xludf.DUMMYFUNCTION("""COMPUTED_VALUE"""),"")</f>
        <v/>
      </c>
      <c r="T555" s="9" t="str">
        <f ca="1">IFERROR(__xludf.DUMMYFUNCTION("""COMPUTED_VALUE"""),"")</f>
        <v/>
      </c>
      <c r="U555" s="9" t="e">
        <f ca="1"/>
        <v>#NAME?</v>
      </c>
      <c r="V555" s="9" t="e">
        <f ca="1"/>
        <v>#NAME?</v>
      </c>
      <c r="W555" s="9" t="str">
        <f ca="1">IFERROR(__xludf.DUMMYFUNCTION("""COMPUTED_VALUE"""),"")</f>
        <v/>
      </c>
    </row>
    <row r="556" spans="18:23" ht="12.5" x14ac:dyDescent="0.25">
      <c r="R556" s="9" t="str">
        <v/>
      </c>
      <c r="S556" s="9" t="str">
        <f ca="1">IFERROR(__xludf.DUMMYFUNCTION("""COMPUTED_VALUE"""),"")</f>
        <v/>
      </c>
      <c r="T556" s="9" t="str">
        <f ca="1">IFERROR(__xludf.DUMMYFUNCTION("""COMPUTED_VALUE"""),"")</f>
        <v/>
      </c>
      <c r="U556" s="9" t="e">
        <f ca="1"/>
        <v>#NAME?</v>
      </c>
      <c r="V556" s="9" t="e">
        <f ca="1"/>
        <v>#NAME?</v>
      </c>
      <c r="W556" s="9" t="str">
        <f ca="1">IFERROR(__xludf.DUMMYFUNCTION("""COMPUTED_VALUE"""),"")</f>
        <v/>
      </c>
    </row>
    <row r="557" spans="18:23" ht="12.5" x14ac:dyDescent="0.25">
      <c r="R557" s="9" t="str">
        <v/>
      </c>
      <c r="S557" s="9" t="str">
        <f ca="1">IFERROR(__xludf.DUMMYFUNCTION("""COMPUTED_VALUE"""),"")</f>
        <v/>
      </c>
      <c r="T557" s="9" t="str">
        <f ca="1">IFERROR(__xludf.DUMMYFUNCTION("""COMPUTED_VALUE"""),"")</f>
        <v/>
      </c>
      <c r="U557" s="9" t="e">
        <f ca="1"/>
        <v>#NAME?</v>
      </c>
      <c r="V557" s="9" t="e">
        <f ca="1"/>
        <v>#NAME?</v>
      </c>
      <c r="W557" s="9" t="str">
        <f ca="1">IFERROR(__xludf.DUMMYFUNCTION("""COMPUTED_VALUE"""),"")</f>
        <v/>
      </c>
    </row>
    <row r="558" spans="18:23" ht="12.5" x14ac:dyDescent="0.25">
      <c r="R558" s="9" t="str">
        <v/>
      </c>
      <c r="S558" s="9" t="str">
        <f ca="1">IFERROR(__xludf.DUMMYFUNCTION("""COMPUTED_VALUE"""),"")</f>
        <v/>
      </c>
      <c r="T558" s="9" t="str">
        <f ca="1">IFERROR(__xludf.DUMMYFUNCTION("""COMPUTED_VALUE"""),"")</f>
        <v/>
      </c>
      <c r="U558" s="9" t="e">
        <f ca="1"/>
        <v>#NAME?</v>
      </c>
      <c r="V558" s="9" t="e">
        <f ca="1"/>
        <v>#NAME?</v>
      </c>
      <c r="W558" s="9" t="str">
        <f ca="1">IFERROR(__xludf.DUMMYFUNCTION("""COMPUTED_VALUE"""),"")</f>
        <v/>
      </c>
    </row>
    <row r="559" spans="18:23" ht="12.5" x14ac:dyDescent="0.25">
      <c r="R559" s="9" t="str">
        <v/>
      </c>
      <c r="S559" s="9" t="str">
        <f ca="1">IFERROR(__xludf.DUMMYFUNCTION("""COMPUTED_VALUE"""),"")</f>
        <v/>
      </c>
      <c r="T559" s="9" t="str">
        <f ca="1">IFERROR(__xludf.DUMMYFUNCTION("""COMPUTED_VALUE"""),"")</f>
        <v/>
      </c>
      <c r="U559" s="9" t="e">
        <f ca="1"/>
        <v>#NAME?</v>
      </c>
      <c r="V559" s="9" t="e">
        <f ca="1"/>
        <v>#NAME?</v>
      </c>
      <c r="W559" s="9" t="str">
        <f ca="1">IFERROR(__xludf.DUMMYFUNCTION("""COMPUTED_VALUE"""),"")</f>
        <v/>
      </c>
    </row>
    <row r="560" spans="18:23" ht="12.5" x14ac:dyDescent="0.25">
      <c r="R560" s="9" t="str">
        <v/>
      </c>
      <c r="S560" s="9" t="str">
        <f ca="1">IFERROR(__xludf.DUMMYFUNCTION("""COMPUTED_VALUE"""),"")</f>
        <v/>
      </c>
      <c r="T560" s="9" t="str">
        <f ca="1">IFERROR(__xludf.DUMMYFUNCTION("""COMPUTED_VALUE"""),"")</f>
        <v/>
      </c>
      <c r="U560" s="9" t="e">
        <f ca="1"/>
        <v>#NAME?</v>
      </c>
      <c r="V560" s="9" t="e">
        <f ca="1"/>
        <v>#NAME?</v>
      </c>
      <c r="W560" s="9" t="str">
        <f ca="1">IFERROR(__xludf.DUMMYFUNCTION("""COMPUTED_VALUE"""),"")</f>
        <v/>
      </c>
    </row>
    <row r="561" spans="18:23" ht="12.5" x14ac:dyDescent="0.25">
      <c r="R561" s="9" t="str">
        <v/>
      </c>
      <c r="S561" s="9" t="str">
        <f ca="1">IFERROR(__xludf.DUMMYFUNCTION("""COMPUTED_VALUE"""),"")</f>
        <v/>
      </c>
      <c r="T561" s="9" t="str">
        <f ca="1">IFERROR(__xludf.DUMMYFUNCTION("""COMPUTED_VALUE"""),"")</f>
        <v/>
      </c>
      <c r="U561" s="9" t="e">
        <f ca="1"/>
        <v>#NAME?</v>
      </c>
      <c r="V561" s="9" t="e">
        <f ca="1"/>
        <v>#NAME?</v>
      </c>
      <c r="W561" s="9" t="str">
        <f ca="1">IFERROR(__xludf.DUMMYFUNCTION("""COMPUTED_VALUE"""),"")</f>
        <v/>
      </c>
    </row>
    <row r="562" spans="18:23" ht="12.5" x14ac:dyDescent="0.25">
      <c r="R562" s="9" t="str">
        <v/>
      </c>
      <c r="S562" s="9" t="str">
        <f ca="1">IFERROR(__xludf.DUMMYFUNCTION("""COMPUTED_VALUE"""),"")</f>
        <v/>
      </c>
      <c r="T562" s="9" t="str">
        <f ca="1">IFERROR(__xludf.DUMMYFUNCTION("""COMPUTED_VALUE"""),"")</f>
        <v/>
      </c>
      <c r="U562" s="9" t="e">
        <f ca="1"/>
        <v>#NAME?</v>
      </c>
      <c r="V562" s="9" t="e">
        <f ca="1"/>
        <v>#NAME?</v>
      </c>
      <c r="W562" s="9" t="str">
        <f ca="1">IFERROR(__xludf.DUMMYFUNCTION("""COMPUTED_VALUE"""),"")</f>
        <v/>
      </c>
    </row>
    <row r="563" spans="18:23" ht="12.5" x14ac:dyDescent="0.25">
      <c r="R563" s="9" t="str">
        <v/>
      </c>
      <c r="S563" s="9" t="str">
        <f ca="1">IFERROR(__xludf.DUMMYFUNCTION("""COMPUTED_VALUE"""),"")</f>
        <v/>
      </c>
      <c r="T563" s="9" t="str">
        <f ca="1">IFERROR(__xludf.DUMMYFUNCTION("""COMPUTED_VALUE"""),"")</f>
        <v/>
      </c>
      <c r="U563" s="9" t="e">
        <f ca="1"/>
        <v>#NAME?</v>
      </c>
      <c r="V563" s="9" t="e">
        <f ca="1"/>
        <v>#NAME?</v>
      </c>
      <c r="W563" s="9" t="str">
        <f ca="1">IFERROR(__xludf.DUMMYFUNCTION("""COMPUTED_VALUE"""),"")</f>
        <v/>
      </c>
    </row>
    <row r="564" spans="18:23" ht="12.5" x14ac:dyDescent="0.25">
      <c r="R564" s="9" t="str">
        <v/>
      </c>
      <c r="S564" s="9" t="str">
        <f ca="1">IFERROR(__xludf.DUMMYFUNCTION("""COMPUTED_VALUE"""),"")</f>
        <v/>
      </c>
      <c r="T564" s="9" t="str">
        <f ca="1">IFERROR(__xludf.DUMMYFUNCTION("""COMPUTED_VALUE"""),"")</f>
        <v/>
      </c>
      <c r="U564" s="9" t="e">
        <f ca="1"/>
        <v>#NAME?</v>
      </c>
      <c r="V564" s="9" t="e">
        <f ca="1"/>
        <v>#NAME?</v>
      </c>
      <c r="W564" s="9" t="str">
        <f ca="1">IFERROR(__xludf.DUMMYFUNCTION("""COMPUTED_VALUE"""),"")</f>
        <v/>
      </c>
    </row>
    <row r="565" spans="18:23" ht="12.5" x14ac:dyDescent="0.25">
      <c r="R565" s="9" t="str">
        <v/>
      </c>
      <c r="S565" s="9" t="str">
        <f ca="1">IFERROR(__xludf.DUMMYFUNCTION("""COMPUTED_VALUE"""),"")</f>
        <v/>
      </c>
      <c r="T565" s="9" t="str">
        <f ca="1">IFERROR(__xludf.DUMMYFUNCTION("""COMPUTED_VALUE"""),"")</f>
        <v/>
      </c>
      <c r="U565" s="9" t="e">
        <f ca="1"/>
        <v>#NAME?</v>
      </c>
      <c r="V565" s="9" t="e">
        <f ca="1"/>
        <v>#NAME?</v>
      </c>
      <c r="W565" s="9" t="str">
        <f ca="1">IFERROR(__xludf.DUMMYFUNCTION("""COMPUTED_VALUE"""),"")</f>
        <v/>
      </c>
    </row>
    <row r="566" spans="18:23" ht="12.5" x14ac:dyDescent="0.25">
      <c r="R566" s="9" t="str">
        <v/>
      </c>
      <c r="S566" s="9" t="str">
        <f ca="1">IFERROR(__xludf.DUMMYFUNCTION("""COMPUTED_VALUE"""),"")</f>
        <v/>
      </c>
      <c r="T566" s="9" t="str">
        <f ca="1">IFERROR(__xludf.DUMMYFUNCTION("""COMPUTED_VALUE"""),"")</f>
        <v/>
      </c>
      <c r="U566" s="9" t="e">
        <f ca="1"/>
        <v>#NAME?</v>
      </c>
      <c r="V566" s="9" t="e">
        <f ca="1"/>
        <v>#NAME?</v>
      </c>
      <c r="W566" s="9" t="str">
        <f ca="1">IFERROR(__xludf.DUMMYFUNCTION("""COMPUTED_VALUE"""),"")</f>
        <v/>
      </c>
    </row>
    <row r="567" spans="18:23" ht="12.5" x14ac:dyDescent="0.25">
      <c r="R567" s="9" t="str">
        <v/>
      </c>
      <c r="S567" s="9" t="str">
        <f ca="1">IFERROR(__xludf.DUMMYFUNCTION("""COMPUTED_VALUE"""),"")</f>
        <v/>
      </c>
      <c r="T567" s="9" t="str">
        <f ca="1">IFERROR(__xludf.DUMMYFUNCTION("""COMPUTED_VALUE"""),"")</f>
        <v/>
      </c>
      <c r="U567" s="9" t="e">
        <f ca="1"/>
        <v>#NAME?</v>
      </c>
      <c r="V567" s="9" t="e">
        <f ca="1"/>
        <v>#NAME?</v>
      </c>
      <c r="W567" s="9" t="str">
        <f ca="1">IFERROR(__xludf.DUMMYFUNCTION("""COMPUTED_VALUE"""),"")</f>
        <v/>
      </c>
    </row>
    <row r="568" spans="18:23" ht="12.5" x14ac:dyDescent="0.25">
      <c r="R568" s="9" t="str">
        <v/>
      </c>
      <c r="S568" s="9" t="str">
        <f ca="1">IFERROR(__xludf.DUMMYFUNCTION("""COMPUTED_VALUE"""),"")</f>
        <v/>
      </c>
      <c r="T568" s="9" t="str">
        <f ca="1">IFERROR(__xludf.DUMMYFUNCTION("""COMPUTED_VALUE"""),"")</f>
        <v/>
      </c>
      <c r="U568" s="9" t="e">
        <f ca="1"/>
        <v>#NAME?</v>
      </c>
      <c r="V568" s="9" t="e">
        <f ca="1"/>
        <v>#NAME?</v>
      </c>
      <c r="W568" s="9" t="str">
        <f ca="1">IFERROR(__xludf.DUMMYFUNCTION("""COMPUTED_VALUE"""),"")</f>
        <v/>
      </c>
    </row>
    <row r="569" spans="18:23" ht="12.5" x14ac:dyDescent="0.25">
      <c r="R569" s="9" t="str">
        <v/>
      </c>
      <c r="S569" s="9" t="str">
        <f ca="1">IFERROR(__xludf.DUMMYFUNCTION("""COMPUTED_VALUE"""),"")</f>
        <v/>
      </c>
      <c r="T569" s="9" t="str">
        <f ca="1">IFERROR(__xludf.DUMMYFUNCTION("""COMPUTED_VALUE"""),"")</f>
        <v/>
      </c>
      <c r="U569" s="9" t="e">
        <f ca="1"/>
        <v>#NAME?</v>
      </c>
      <c r="V569" s="9" t="e">
        <f ca="1"/>
        <v>#NAME?</v>
      </c>
      <c r="W569" s="9" t="str">
        <f ca="1">IFERROR(__xludf.DUMMYFUNCTION("""COMPUTED_VALUE"""),"")</f>
        <v/>
      </c>
    </row>
    <row r="570" spans="18:23" ht="12.5" x14ac:dyDescent="0.25">
      <c r="R570" s="9" t="str">
        <v/>
      </c>
      <c r="S570" s="9" t="str">
        <f ca="1">IFERROR(__xludf.DUMMYFUNCTION("""COMPUTED_VALUE"""),"")</f>
        <v/>
      </c>
      <c r="T570" s="9" t="str">
        <f ca="1">IFERROR(__xludf.DUMMYFUNCTION("""COMPUTED_VALUE"""),"")</f>
        <v/>
      </c>
      <c r="U570" s="9" t="e">
        <f ca="1"/>
        <v>#NAME?</v>
      </c>
      <c r="V570" s="9" t="e">
        <f ca="1"/>
        <v>#NAME?</v>
      </c>
      <c r="W570" s="9" t="str">
        <f ca="1">IFERROR(__xludf.DUMMYFUNCTION("""COMPUTED_VALUE"""),"")</f>
        <v/>
      </c>
    </row>
    <row r="571" spans="18:23" ht="12.5" x14ac:dyDescent="0.25">
      <c r="R571" s="9" t="str">
        <v/>
      </c>
      <c r="S571" s="9" t="str">
        <f ca="1">IFERROR(__xludf.DUMMYFUNCTION("""COMPUTED_VALUE"""),"")</f>
        <v/>
      </c>
      <c r="T571" s="9" t="str">
        <f ca="1">IFERROR(__xludf.DUMMYFUNCTION("""COMPUTED_VALUE"""),"")</f>
        <v/>
      </c>
      <c r="U571" s="9" t="e">
        <f ca="1"/>
        <v>#NAME?</v>
      </c>
      <c r="V571" s="9" t="e">
        <f ca="1"/>
        <v>#NAME?</v>
      </c>
      <c r="W571" s="9" t="str">
        <f ca="1">IFERROR(__xludf.DUMMYFUNCTION("""COMPUTED_VALUE"""),"")</f>
        <v/>
      </c>
    </row>
    <row r="572" spans="18:23" ht="12.5" x14ac:dyDescent="0.25">
      <c r="R572" s="9" t="str">
        <v/>
      </c>
      <c r="S572" s="9" t="str">
        <f ca="1">IFERROR(__xludf.DUMMYFUNCTION("""COMPUTED_VALUE"""),"")</f>
        <v/>
      </c>
      <c r="T572" s="9" t="str">
        <f ca="1">IFERROR(__xludf.DUMMYFUNCTION("""COMPUTED_VALUE"""),"")</f>
        <v/>
      </c>
      <c r="U572" s="9" t="e">
        <f ca="1"/>
        <v>#NAME?</v>
      </c>
      <c r="V572" s="9" t="e">
        <f ca="1"/>
        <v>#NAME?</v>
      </c>
      <c r="W572" s="9" t="str">
        <f ca="1">IFERROR(__xludf.DUMMYFUNCTION("""COMPUTED_VALUE"""),"")</f>
        <v/>
      </c>
    </row>
    <row r="573" spans="18:23" ht="12.5" x14ac:dyDescent="0.25">
      <c r="R573" s="9" t="str">
        <v/>
      </c>
      <c r="S573" s="9" t="str">
        <f ca="1">IFERROR(__xludf.DUMMYFUNCTION("""COMPUTED_VALUE"""),"")</f>
        <v/>
      </c>
      <c r="T573" s="9" t="str">
        <f ca="1">IFERROR(__xludf.DUMMYFUNCTION("""COMPUTED_VALUE"""),"")</f>
        <v/>
      </c>
      <c r="U573" s="9" t="e">
        <f ca="1"/>
        <v>#NAME?</v>
      </c>
      <c r="V573" s="9" t="e">
        <f ca="1"/>
        <v>#NAME?</v>
      </c>
      <c r="W573" s="9" t="str">
        <f ca="1">IFERROR(__xludf.DUMMYFUNCTION("""COMPUTED_VALUE"""),"")</f>
        <v/>
      </c>
    </row>
    <row r="574" spans="18:23" ht="12.5" x14ac:dyDescent="0.25">
      <c r="R574" s="9" t="str">
        <v/>
      </c>
      <c r="S574" s="9" t="str">
        <f ca="1">IFERROR(__xludf.DUMMYFUNCTION("""COMPUTED_VALUE"""),"")</f>
        <v/>
      </c>
      <c r="T574" s="9" t="str">
        <f ca="1">IFERROR(__xludf.DUMMYFUNCTION("""COMPUTED_VALUE"""),"")</f>
        <v/>
      </c>
      <c r="U574" s="9" t="e">
        <f ca="1"/>
        <v>#NAME?</v>
      </c>
      <c r="V574" s="9" t="e">
        <f ca="1"/>
        <v>#NAME?</v>
      </c>
      <c r="W574" s="9" t="str">
        <f ca="1">IFERROR(__xludf.DUMMYFUNCTION("""COMPUTED_VALUE"""),"")</f>
        <v/>
      </c>
    </row>
    <row r="575" spans="18:23" ht="12.5" x14ac:dyDescent="0.25">
      <c r="R575" s="9" t="str">
        <v/>
      </c>
      <c r="S575" s="9" t="str">
        <f ca="1">IFERROR(__xludf.DUMMYFUNCTION("""COMPUTED_VALUE"""),"")</f>
        <v/>
      </c>
      <c r="T575" s="9" t="str">
        <f ca="1">IFERROR(__xludf.DUMMYFUNCTION("""COMPUTED_VALUE"""),"")</f>
        <v/>
      </c>
      <c r="U575" s="9" t="e">
        <f ca="1"/>
        <v>#NAME?</v>
      </c>
      <c r="V575" s="9" t="e">
        <f ca="1"/>
        <v>#NAME?</v>
      </c>
      <c r="W575" s="9" t="str">
        <f ca="1">IFERROR(__xludf.DUMMYFUNCTION("""COMPUTED_VALUE"""),"")</f>
        <v/>
      </c>
    </row>
    <row r="576" spans="18:23" ht="12.5" x14ac:dyDescent="0.25">
      <c r="R576" s="9" t="str">
        <v/>
      </c>
      <c r="S576" s="9" t="str">
        <f ca="1">IFERROR(__xludf.DUMMYFUNCTION("""COMPUTED_VALUE"""),"")</f>
        <v/>
      </c>
      <c r="T576" s="9" t="str">
        <f ca="1">IFERROR(__xludf.DUMMYFUNCTION("""COMPUTED_VALUE"""),"")</f>
        <v/>
      </c>
      <c r="U576" s="9" t="e">
        <f ca="1"/>
        <v>#NAME?</v>
      </c>
      <c r="V576" s="9" t="e">
        <f ca="1"/>
        <v>#NAME?</v>
      </c>
      <c r="W576" s="9" t="str">
        <f ca="1">IFERROR(__xludf.DUMMYFUNCTION("""COMPUTED_VALUE"""),"")</f>
        <v/>
      </c>
    </row>
    <row r="577" spans="18:23" ht="12.5" x14ac:dyDescent="0.25">
      <c r="R577" s="9" t="str">
        <v/>
      </c>
      <c r="S577" s="9" t="str">
        <f ca="1">IFERROR(__xludf.DUMMYFUNCTION("""COMPUTED_VALUE"""),"")</f>
        <v/>
      </c>
      <c r="T577" s="9" t="str">
        <f ca="1">IFERROR(__xludf.DUMMYFUNCTION("""COMPUTED_VALUE"""),"")</f>
        <v/>
      </c>
      <c r="U577" s="9" t="e">
        <f ca="1"/>
        <v>#NAME?</v>
      </c>
      <c r="V577" s="9" t="e">
        <f ca="1"/>
        <v>#NAME?</v>
      </c>
      <c r="W577" s="9" t="str">
        <f ca="1">IFERROR(__xludf.DUMMYFUNCTION("""COMPUTED_VALUE"""),"")</f>
        <v/>
      </c>
    </row>
    <row r="578" spans="18:23" ht="12.5" x14ac:dyDescent="0.25">
      <c r="R578" s="9" t="str">
        <v/>
      </c>
      <c r="S578" s="9" t="str">
        <f ca="1">IFERROR(__xludf.DUMMYFUNCTION("""COMPUTED_VALUE"""),"")</f>
        <v/>
      </c>
      <c r="T578" s="9" t="str">
        <f ca="1">IFERROR(__xludf.DUMMYFUNCTION("""COMPUTED_VALUE"""),"")</f>
        <v/>
      </c>
      <c r="U578" s="9" t="e">
        <f ca="1"/>
        <v>#NAME?</v>
      </c>
      <c r="V578" s="9" t="e">
        <f ca="1"/>
        <v>#NAME?</v>
      </c>
      <c r="W578" s="9" t="str">
        <f ca="1">IFERROR(__xludf.DUMMYFUNCTION("""COMPUTED_VALUE"""),"")</f>
        <v/>
      </c>
    </row>
    <row r="579" spans="18:23" ht="12.5" x14ac:dyDescent="0.25">
      <c r="R579" s="9" t="str">
        <v/>
      </c>
      <c r="S579" s="9" t="str">
        <f ca="1">IFERROR(__xludf.DUMMYFUNCTION("""COMPUTED_VALUE"""),"")</f>
        <v/>
      </c>
      <c r="T579" s="9" t="str">
        <f ca="1">IFERROR(__xludf.DUMMYFUNCTION("""COMPUTED_VALUE"""),"")</f>
        <v/>
      </c>
      <c r="U579" s="9" t="e">
        <f ca="1"/>
        <v>#NAME?</v>
      </c>
      <c r="V579" s="9" t="e">
        <f ca="1"/>
        <v>#NAME?</v>
      </c>
      <c r="W579" s="9" t="str">
        <f ca="1">IFERROR(__xludf.DUMMYFUNCTION("""COMPUTED_VALUE"""),"")</f>
        <v/>
      </c>
    </row>
    <row r="580" spans="18:23" ht="12.5" x14ac:dyDescent="0.25">
      <c r="R580" s="9" t="str">
        <v/>
      </c>
      <c r="S580" s="9" t="str">
        <f ca="1">IFERROR(__xludf.DUMMYFUNCTION("""COMPUTED_VALUE"""),"")</f>
        <v/>
      </c>
      <c r="T580" s="9" t="str">
        <f ca="1">IFERROR(__xludf.DUMMYFUNCTION("""COMPUTED_VALUE"""),"")</f>
        <v/>
      </c>
      <c r="U580" s="9" t="e">
        <f ca="1"/>
        <v>#NAME?</v>
      </c>
      <c r="V580" s="9" t="e">
        <f ca="1"/>
        <v>#NAME?</v>
      </c>
      <c r="W580" s="9" t="str">
        <f ca="1">IFERROR(__xludf.DUMMYFUNCTION("""COMPUTED_VALUE"""),"")</f>
        <v/>
      </c>
    </row>
    <row r="581" spans="18:23" ht="12.5" x14ac:dyDescent="0.25">
      <c r="R581" s="9" t="str">
        <v/>
      </c>
      <c r="S581" s="9" t="str">
        <f ca="1">IFERROR(__xludf.DUMMYFUNCTION("""COMPUTED_VALUE"""),"")</f>
        <v/>
      </c>
      <c r="T581" s="9" t="str">
        <f ca="1">IFERROR(__xludf.DUMMYFUNCTION("""COMPUTED_VALUE"""),"")</f>
        <v/>
      </c>
      <c r="U581" s="9" t="e">
        <f ca="1"/>
        <v>#NAME?</v>
      </c>
      <c r="V581" s="9" t="e">
        <f ca="1"/>
        <v>#NAME?</v>
      </c>
      <c r="W581" s="9" t="str">
        <f ca="1">IFERROR(__xludf.DUMMYFUNCTION("""COMPUTED_VALUE"""),"")</f>
        <v/>
      </c>
    </row>
    <row r="582" spans="18:23" ht="12.5" x14ac:dyDescent="0.25">
      <c r="R582" s="9" t="str">
        <v/>
      </c>
      <c r="S582" s="9" t="str">
        <f ca="1">IFERROR(__xludf.DUMMYFUNCTION("""COMPUTED_VALUE"""),"")</f>
        <v/>
      </c>
      <c r="T582" s="9" t="str">
        <f ca="1">IFERROR(__xludf.DUMMYFUNCTION("""COMPUTED_VALUE"""),"")</f>
        <v/>
      </c>
      <c r="U582" s="9" t="e">
        <f ca="1"/>
        <v>#NAME?</v>
      </c>
      <c r="V582" s="9" t="e">
        <f ca="1"/>
        <v>#NAME?</v>
      </c>
      <c r="W582" s="9" t="str">
        <f ca="1">IFERROR(__xludf.DUMMYFUNCTION("""COMPUTED_VALUE"""),"")</f>
        <v/>
      </c>
    </row>
    <row r="583" spans="18:23" ht="12.5" x14ac:dyDescent="0.25">
      <c r="R583" s="9" t="str">
        <v/>
      </c>
      <c r="S583" s="9" t="str">
        <f ca="1">IFERROR(__xludf.DUMMYFUNCTION("""COMPUTED_VALUE"""),"")</f>
        <v/>
      </c>
      <c r="T583" s="9" t="str">
        <f ca="1">IFERROR(__xludf.DUMMYFUNCTION("""COMPUTED_VALUE"""),"")</f>
        <v/>
      </c>
      <c r="U583" s="9" t="e">
        <f ca="1"/>
        <v>#NAME?</v>
      </c>
      <c r="V583" s="9" t="e">
        <f ca="1"/>
        <v>#NAME?</v>
      </c>
      <c r="W583" s="9" t="str">
        <f ca="1">IFERROR(__xludf.DUMMYFUNCTION("""COMPUTED_VALUE"""),"")</f>
        <v/>
      </c>
    </row>
    <row r="584" spans="18:23" ht="12.5" x14ac:dyDescent="0.25">
      <c r="R584" s="9" t="str">
        <v/>
      </c>
      <c r="S584" s="9" t="str">
        <f ca="1">IFERROR(__xludf.DUMMYFUNCTION("""COMPUTED_VALUE"""),"")</f>
        <v/>
      </c>
      <c r="T584" s="9" t="str">
        <f ca="1">IFERROR(__xludf.DUMMYFUNCTION("""COMPUTED_VALUE"""),"")</f>
        <v/>
      </c>
      <c r="U584" s="9" t="e">
        <f ca="1"/>
        <v>#NAME?</v>
      </c>
      <c r="V584" s="9" t="e">
        <f ca="1"/>
        <v>#NAME?</v>
      </c>
      <c r="W584" s="9" t="str">
        <f ca="1">IFERROR(__xludf.DUMMYFUNCTION("""COMPUTED_VALUE"""),"")</f>
        <v/>
      </c>
    </row>
    <row r="585" spans="18:23" ht="12.5" x14ac:dyDescent="0.25">
      <c r="R585" s="9" t="str">
        <v/>
      </c>
      <c r="S585" s="9" t="str">
        <f ca="1">IFERROR(__xludf.DUMMYFUNCTION("""COMPUTED_VALUE"""),"")</f>
        <v/>
      </c>
      <c r="T585" s="9" t="str">
        <f ca="1">IFERROR(__xludf.DUMMYFUNCTION("""COMPUTED_VALUE"""),"")</f>
        <v/>
      </c>
      <c r="U585" s="9" t="e">
        <f ca="1"/>
        <v>#NAME?</v>
      </c>
      <c r="V585" s="9" t="e">
        <f ca="1"/>
        <v>#NAME?</v>
      </c>
      <c r="W585" s="9" t="str">
        <f ca="1">IFERROR(__xludf.DUMMYFUNCTION("""COMPUTED_VALUE"""),"")</f>
        <v/>
      </c>
    </row>
    <row r="586" spans="18:23" ht="12.5" x14ac:dyDescent="0.25">
      <c r="R586" s="9" t="str">
        <v/>
      </c>
      <c r="S586" s="9" t="str">
        <f ca="1">IFERROR(__xludf.DUMMYFUNCTION("""COMPUTED_VALUE"""),"")</f>
        <v/>
      </c>
      <c r="T586" s="9" t="str">
        <f ca="1">IFERROR(__xludf.DUMMYFUNCTION("""COMPUTED_VALUE"""),"")</f>
        <v/>
      </c>
      <c r="U586" s="9" t="e">
        <f ca="1"/>
        <v>#NAME?</v>
      </c>
      <c r="V586" s="9" t="e">
        <f ca="1"/>
        <v>#NAME?</v>
      </c>
      <c r="W586" s="9" t="str">
        <f ca="1">IFERROR(__xludf.DUMMYFUNCTION("""COMPUTED_VALUE"""),"")</f>
        <v/>
      </c>
    </row>
    <row r="587" spans="18:23" ht="12.5" x14ac:dyDescent="0.25">
      <c r="R587" s="9" t="str">
        <v/>
      </c>
      <c r="S587" s="9" t="str">
        <f ca="1">IFERROR(__xludf.DUMMYFUNCTION("""COMPUTED_VALUE"""),"")</f>
        <v/>
      </c>
      <c r="T587" s="9" t="str">
        <f ca="1">IFERROR(__xludf.DUMMYFUNCTION("""COMPUTED_VALUE"""),"")</f>
        <v/>
      </c>
      <c r="U587" s="9" t="e">
        <f ca="1"/>
        <v>#NAME?</v>
      </c>
      <c r="V587" s="9" t="e">
        <f ca="1"/>
        <v>#NAME?</v>
      </c>
      <c r="W587" s="9" t="str">
        <f ca="1">IFERROR(__xludf.DUMMYFUNCTION("""COMPUTED_VALUE"""),"")</f>
        <v/>
      </c>
    </row>
    <row r="588" spans="18:23" ht="12.5" x14ac:dyDescent="0.25">
      <c r="R588" s="9" t="str">
        <v/>
      </c>
      <c r="S588" s="9" t="str">
        <f ca="1">IFERROR(__xludf.DUMMYFUNCTION("""COMPUTED_VALUE"""),"")</f>
        <v/>
      </c>
      <c r="T588" s="9" t="str">
        <f ca="1">IFERROR(__xludf.DUMMYFUNCTION("""COMPUTED_VALUE"""),"")</f>
        <v/>
      </c>
      <c r="U588" s="9" t="e">
        <f ca="1"/>
        <v>#NAME?</v>
      </c>
      <c r="V588" s="9" t="e">
        <f ca="1"/>
        <v>#NAME?</v>
      </c>
      <c r="W588" s="9" t="str">
        <f ca="1">IFERROR(__xludf.DUMMYFUNCTION("""COMPUTED_VALUE"""),"")</f>
        <v/>
      </c>
    </row>
    <row r="589" spans="18:23" ht="12.5" x14ac:dyDescent="0.25">
      <c r="R589" s="9" t="str">
        <v/>
      </c>
      <c r="S589" s="9" t="str">
        <f ca="1">IFERROR(__xludf.DUMMYFUNCTION("""COMPUTED_VALUE"""),"")</f>
        <v/>
      </c>
      <c r="T589" s="9" t="str">
        <f ca="1">IFERROR(__xludf.DUMMYFUNCTION("""COMPUTED_VALUE"""),"")</f>
        <v/>
      </c>
      <c r="U589" s="9" t="e">
        <f ca="1"/>
        <v>#NAME?</v>
      </c>
      <c r="V589" s="9" t="e">
        <f ca="1"/>
        <v>#NAME?</v>
      </c>
      <c r="W589" s="9" t="str">
        <f ca="1">IFERROR(__xludf.DUMMYFUNCTION("""COMPUTED_VALUE"""),"")</f>
        <v/>
      </c>
    </row>
    <row r="590" spans="18:23" ht="12.5" x14ac:dyDescent="0.25">
      <c r="R590" s="9" t="str">
        <v/>
      </c>
      <c r="S590" s="9" t="str">
        <f ca="1">IFERROR(__xludf.DUMMYFUNCTION("""COMPUTED_VALUE"""),"")</f>
        <v/>
      </c>
      <c r="T590" s="9" t="str">
        <f ca="1">IFERROR(__xludf.DUMMYFUNCTION("""COMPUTED_VALUE"""),"")</f>
        <v/>
      </c>
      <c r="U590" s="9" t="e">
        <f ca="1"/>
        <v>#NAME?</v>
      </c>
      <c r="V590" s="9" t="e">
        <f ca="1"/>
        <v>#NAME?</v>
      </c>
      <c r="W590" s="9" t="str">
        <f ca="1">IFERROR(__xludf.DUMMYFUNCTION("""COMPUTED_VALUE"""),"")</f>
        <v/>
      </c>
    </row>
    <row r="591" spans="18:23" ht="12.5" x14ac:dyDescent="0.25">
      <c r="R591" s="9" t="str">
        <v/>
      </c>
      <c r="S591" s="9" t="str">
        <f ca="1">IFERROR(__xludf.DUMMYFUNCTION("""COMPUTED_VALUE"""),"")</f>
        <v/>
      </c>
      <c r="T591" s="9" t="str">
        <f ca="1">IFERROR(__xludf.DUMMYFUNCTION("""COMPUTED_VALUE"""),"")</f>
        <v/>
      </c>
      <c r="U591" s="9" t="e">
        <f ca="1"/>
        <v>#NAME?</v>
      </c>
      <c r="V591" s="9" t="e">
        <f ca="1"/>
        <v>#NAME?</v>
      </c>
      <c r="W591" s="9" t="str">
        <f ca="1">IFERROR(__xludf.DUMMYFUNCTION("""COMPUTED_VALUE"""),"")</f>
        <v/>
      </c>
    </row>
    <row r="592" spans="18:23" ht="12.5" x14ac:dyDescent="0.25">
      <c r="R592" s="9" t="str">
        <v/>
      </c>
      <c r="S592" s="9" t="str">
        <f ca="1">IFERROR(__xludf.DUMMYFUNCTION("""COMPUTED_VALUE"""),"")</f>
        <v/>
      </c>
      <c r="T592" s="9" t="str">
        <f ca="1">IFERROR(__xludf.DUMMYFUNCTION("""COMPUTED_VALUE"""),"")</f>
        <v/>
      </c>
      <c r="U592" s="9" t="e">
        <f ca="1"/>
        <v>#NAME?</v>
      </c>
      <c r="V592" s="9" t="e">
        <f ca="1"/>
        <v>#NAME?</v>
      </c>
      <c r="W592" s="9" t="str">
        <f ca="1">IFERROR(__xludf.DUMMYFUNCTION("""COMPUTED_VALUE"""),"")</f>
        <v/>
      </c>
    </row>
    <row r="593" spans="18:23" ht="12.5" x14ac:dyDescent="0.25">
      <c r="R593" s="9" t="str">
        <v/>
      </c>
      <c r="S593" s="9" t="str">
        <f ca="1">IFERROR(__xludf.DUMMYFUNCTION("""COMPUTED_VALUE"""),"")</f>
        <v/>
      </c>
      <c r="T593" s="9" t="str">
        <f ca="1">IFERROR(__xludf.DUMMYFUNCTION("""COMPUTED_VALUE"""),"")</f>
        <v/>
      </c>
      <c r="U593" s="9" t="e">
        <f ca="1"/>
        <v>#NAME?</v>
      </c>
      <c r="V593" s="9" t="e">
        <f ca="1"/>
        <v>#NAME?</v>
      </c>
      <c r="W593" s="9" t="str">
        <f ca="1">IFERROR(__xludf.DUMMYFUNCTION("""COMPUTED_VALUE"""),"")</f>
        <v/>
      </c>
    </row>
    <row r="594" spans="18:23" ht="12.5" x14ac:dyDescent="0.25">
      <c r="R594" s="9" t="str">
        <v/>
      </c>
      <c r="S594" s="9" t="str">
        <f ca="1">IFERROR(__xludf.DUMMYFUNCTION("""COMPUTED_VALUE"""),"")</f>
        <v/>
      </c>
      <c r="T594" s="9" t="str">
        <f ca="1">IFERROR(__xludf.DUMMYFUNCTION("""COMPUTED_VALUE"""),"")</f>
        <v/>
      </c>
      <c r="U594" s="9" t="e">
        <f ca="1"/>
        <v>#NAME?</v>
      </c>
      <c r="V594" s="9" t="e">
        <f ca="1"/>
        <v>#NAME?</v>
      </c>
      <c r="W594" s="9" t="str">
        <f ca="1">IFERROR(__xludf.DUMMYFUNCTION("""COMPUTED_VALUE"""),"")</f>
        <v/>
      </c>
    </row>
    <row r="595" spans="18:23" ht="12.5" x14ac:dyDescent="0.25">
      <c r="R595" s="9" t="str">
        <v/>
      </c>
      <c r="S595" s="9" t="str">
        <f ca="1">IFERROR(__xludf.DUMMYFUNCTION("""COMPUTED_VALUE"""),"")</f>
        <v/>
      </c>
      <c r="T595" s="9" t="str">
        <f ca="1">IFERROR(__xludf.DUMMYFUNCTION("""COMPUTED_VALUE"""),"")</f>
        <v/>
      </c>
      <c r="U595" s="9" t="e">
        <f ca="1"/>
        <v>#NAME?</v>
      </c>
      <c r="V595" s="9" t="e">
        <f ca="1"/>
        <v>#NAME?</v>
      </c>
      <c r="W595" s="9" t="str">
        <f ca="1">IFERROR(__xludf.DUMMYFUNCTION("""COMPUTED_VALUE"""),"")</f>
        <v/>
      </c>
    </row>
    <row r="596" spans="18:23" ht="12.5" x14ac:dyDescent="0.25">
      <c r="R596" s="9" t="str">
        <v/>
      </c>
      <c r="S596" s="9" t="str">
        <f ca="1">IFERROR(__xludf.DUMMYFUNCTION("""COMPUTED_VALUE"""),"")</f>
        <v/>
      </c>
      <c r="T596" s="9" t="str">
        <f ca="1">IFERROR(__xludf.DUMMYFUNCTION("""COMPUTED_VALUE"""),"")</f>
        <v/>
      </c>
      <c r="U596" s="9" t="e">
        <f ca="1"/>
        <v>#NAME?</v>
      </c>
      <c r="V596" s="9" t="e">
        <f ca="1"/>
        <v>#NAME?</v>
      </c>
      <c r="W596" s="9" t="str">
        <f ca="1">IFERROR(__xludf.DUMMYFUNCTION("""COMPUTED_VALUE"""),"")</f>
        <v/>
      </c>
    </row>
    <row r="597" spans="18:23" ht="12.5" x14ac:dyDescent="0.25">
      <c r="R597" s="9" t="str">
        <v/>
      </c>
      <c r="S597" s="9" t="str">
        <f ca="1">IFERROR(__xludf.DUMMYFUNCTION("""COMPUTED_VALUE"""),"")</f>
        <v/>
      </c>
      <c r="T597" s="9" t="str">
        <f ca="1">IFERROR(__xludf.DUMMYFUNCTION("""COMPUTED_VALUE"""),"")</f>
        <v/>
      </c>
      <c r="U597" s="9" t="e">
        <f ca="1"/>
        <v>#NAME?</v>
      </c>
      <c r="V597" s="9" t="e">
        <f ca="1"/>
        <v>#NAME?</v>
      </c>
      <c r="W597" s="9" t="str">
        <f ca="1">IFERROR(__xludf.DUMMYFUNCTION("""COMPUTED_VALUE"""),"")</f>
        <v/>
      </c>
    </row>
    <row r="598" spans="18:23" ht="12.5" x14ac:dyDescent="0.25">
      <c r="R598" s="9" t="str">
        <v/>
      </c>
      <c r="S598" s="9" t="str">
        <f ca="1">IFERROR(__xludf.DUMMYFUNCTION("""COMPUTED_VALUE"""),"")</f>
        <v/>
      </c>
      <c r="T598" s="9" t="str">
        <f ca="1">IFERROR(__xludf.DUMMYFUNCTION("""COMPUTED_VALUE"""),"")</f>
        <v/>
      </c>
      <c r="U598" s="9" t="e">
        <f ca="1"/>
        <v>#NAME?</v>
      </c>
      <c r="V598" s="9" t="e">
        <f ca="1"/>
        <v>#NAME?</v>
      </c>
      <c r="W598" s="9" t="str">
        <f ca="1">IFERROR(__xludf.DUMMYFUNCTION("""COMPUTED_VALUE"""),"")</f>
        <v/>
      </c>
    </row>
    <row r="599" spans="18:23" ht="12.5" x14ac:dyDescent="0.25">
      <c r="R599" s="9" t="str">
        <v/>
      </c>
      <c r="S599" s="9" t="str">
        <f ca="1">IFERROR(__xludf.DUMMYFUNCTION("""COMPUTED_VALUE"""),"")</f>
        <v/>
      </c>
      <c r="T599" s="9" t="str">
        <f ca="1">IFERROR(__xludf.DUMMYFUNCTION("""COMPUTED_VALUE"""),"")</f>
        <v/>
      </c>
      <c r="U599" s="9" t="e">
        <f ca="1"/>
        <v>#NAME?</v>
      </c>
      <c r="V599" s="9" t="e">
        <f ca="1"/>
        <v>#NAME?</v>
      </c>
      <c r="W599" s="9" t="str">
        <f ca="1">IFERROR(__xludf.DUMMYFUNCTION("""COMPUTED_VALUE"""),"")</f>
        <v/>
      </c>
    </row>
    <row r="600" spans="18:23" ht="12.5" x14ac:dyDescent="0.25">
      <c r="R600" s="9" t="str">
        <v/>
      </c>
      <c r="S600" s="9" t="str">
        <f ca="1">IFERROR(__xludf.DUMMYFUNCTION("""COMPUTED_VALUE"""),"")</f>
        <v/>
      </c>
      <c r="T600" s="9" t="str">
        <f ca="1">IFERROR(__xludf.DUMMYFUNCTION("""COMPUTED_VALUE"""),"")</f>
        <v/>
      </c>
      <c r="U600" s="9" t="e">
        <f ca="1"/>
        <v>#NAME?</v>
      </c>
      <c r="V600" s="9" t="e">
        <f ca="1"/>
        <v>#NAME?</v>
      </c>
      <c r="W600" s="9" t="str">
        <f ca="1">IFERROR(__xludf.DUMMYFUNCTION("""COMPUTED_VALUE"""),"")</f>
        <v/>
      </c>
    </row>
    <row r="601" spans="18:23" ht="12.5" x14ac:dyDescent="0.25">
      <c r="R601" s="9" t="str">
        <v/>
      </c>
      <c r="S601" s="9" t="str">
        <f ca="1">IFERROR(__xludf.DUMMYFUNCTION("""COMPUTED_VALUE"""),"")</f>
        <v/>
      </c>
      <c r="T601" s="9" t="str">
        <f ca="1">IFERROR(__xludf.DUMMYFUNCTION("""COMPUTED_VALUE"""),"")</f>
        <v/>
      </c>
      <c r="U601" s="9" t="e">
        <f ca="1"/>
        <v>#NAME?</v>
      </c>
      <c r="V601" s="9" t="e">
        <f ca="1"/>
        <v>#NAME?</v>
      </c>
      <c r="W601" s="9" t="str">
        <f ca="1">IFERROR(__xludf.DUMMYFUNCTION("""COMPUTED_VALUE"""),"")</f>
        <v/>
      </c>
    </row>
    <row r="602" spans="18:23" ht="12.5" x14ac:dyDescent="0.25">
      <c r="R602" s="9" t="str">
        <v/>
      </c>
      <c r="S602" s="9" t="str">
        <f ca="1">IFERROR(__xludf.DUMMYFUNCTION("""COMPUTED_VALUE"""),"")</f>
        <v/>
      </c>
      <c r="T602" s="9" t="str">
        <f ca="1">IFERROR(__xludf.DUMMYFUNCTION("""COMPUTED_VALUE"""),"")</f>
        <v/>
      </c>
      <c r="U602" s="9" t="e">
        <f ca="1"/>
        <v>#NAME?</v>
      </c>
      <c r="V602" s="9" t="e">
        <f ca="1"/>
        <v>#NAME?</v>
      </c>
      <c r="W602" s="9" t="str">
        <f ca="1">IFERROR(__xludf.DUMMYFUNCTION("""COMPUTED_VALUE"""),"")</f>
        <v/>
      </c>
    </row>
    <row r="603" spans="18:23" ht="12.5" x14ac:dyDescent="0.25">
      <c r="R603" s="9" t="str">
        <v/>
      </c>
      <c r="S603" s="9" t="str">
        <f ca="1">IFERROR(__xludf.DUMMYFUNCTION("""COMPUTED_VALUE"""),"")</f>
        <v/>
      </c>
      <c r="T603" s="9" t="str">
        <f ca="1">IFERROR(__xludf.DUMMYFUNCTION("""COMPUTED_VALUE"""),"")</f>
        <v/>
      </c>
      <c r="U603" s="9" t="e">
        <f ca="1"/>
        <v>#NAME?</v>
      </c>
      <c r="V603" s="9" t="e">
        <f ca="1"/>
        <v>#NAME?</v>
      </c>
      <c r="W603" s="9" t="str">
        <f ca="1">IFERROR(__xludf.DUMMYFUNCTION("""COMPUTED_VALUE"""),"")</f>
        <v/>
      </c>
    </row>
    <row r="604" spans="18:23" ht="12.5" x14ac:dyDescent="0.25">
      <c r="R604" s="9" t="str">
        <v/>
      </c>
      <c r="S604" s="9" t="str">
        <f ca="1">IFERROR(__xludf.DUMMYFUNCTION("""COMPUTED_VALUE"""),"")</f>
        <v/>
      </c>
      <c r="T604" s="9" t="str">
        <f ca="1">IFERROR(__xludf.DUMMYFUNCTION("""COMPUTED_VALUE"""),"")</f>
        <v/>
      </c>
      <c r="U604" s="9" t="e">
        <f ca="1"/>
        <v>#NAME?</v>
      </c>
      <c r="V604" s="9" t="e">
        <f ca="1"/>
        <v>#NAME?</v>
      </c>
      <c r="W604" s="9" t="str">
        <f ca="1">IFERROR(__xludf.DUMMYFUNCTION("""COMPUTED_VALUE"""),"")</f>
        <v/>
      </c>
    </row>
    <row r="605" spans="18:23" ht="12.5" x14ac:dyDescent="0.25">
      <c r="R605" s="9" t="str">
        <v/>
      </c>
      <c r="S605" s="9" t="str">
        <f ca="1">IFERROR(__xludf.DUMMYFUNCTION("""COMPUTED_VALUE"""),"")</f>
        <v/>
      </c>
      <c r="T605" s="9" t="str">
        <f ca="1">IFERROR(__xludf.DUMMYFUNCTION("""COMPUTED_VALUE"""),"")</f>
        <v/>
      </c>
      <c r="U605" s="9" t="e">
        <f ca="1"/>
        <v>#NAME?</v>
      </c>
      <c r="V605" s="9" t="e">
        <f ca="1"/>
        <v>#NAME?</v>
      </c>
      <c r="W605" s="9" t="str">
        <f ca="1">IFERROR(__xludf.DUMMYFUNCTION("""COMPUTED_VALUE"""),"")</f>
        <v/>
      </c>
    </row>
    <row r="606" spans="18:23" ht="12.5" x14ac:dyDescent="0.25">
      <c r="R606" s="9" t="str">
        <v/>
      </c>
      <c r="S606" s="9" t="str">
        <f ca="1">IFERROR(__xludf.DUMMYFUNCTION("""COMPUTED_VALUE"""),"")</f>
        <v/>
      </c>
      <c r="T606" s="9" t="str">
        <f ca="1">IFERROR(__xludf.DUMMYFUNCTION("""COMPUTED_VALUE"""),"")</f>
        <v/>
      </c>
      <c r="U606" s="9" t="e">
        <f ca="1"/>
        <v>#NAME?</v>
      </c>
      <c r="V606" s="9" t="e">
        <f ca="1"/>
        <v>#NAME?</v>
      </c>
      <c r="W606" s="9" t="str">
        <f ca="1">IFERROR(__xludf.DUMMYFUNCTION("""COMPUTED_VALUE"""),"")</f>
        <v/>
      </c>
    </row>
    <row r="607" spans="18:23" ht="12.5" x14ac:dyDescent="0.25">
      <c r="R607" s="9" t="str">
        <v/>
      </c>
      <c r="S607" s="9" t="str">
        <f ca="1">IFERROR(__xludf.DUMMYFUNCTION("""COMPUTED_VALUE"""),"")</f>
        <v/>
      </c>
      <c r="T607" s="9" t="str">
        <f ca="1">IFERROR(__xludf.DUMMYFUNCTION("""COMPUTED_VALUE"""),"")</f>
        <v/>
      </c>
      <c r="U607" s="9" t="e">
        <f ca="1"/>
        <v>#NAME?</v>
      </c>
      <c r="V607" s="9" t="e">
        <f ca="1"/>
        <v>#NAME?</v>
      </c>
      <c r="W607" s="9" t="str">
        <f ca="1">IFERROR(__xludf.DUMMYFUNCTION("""COMPUTED_VALUE"""),"")</f>
        <v/>
      </c>
    </row>
    <row r="608" spans="18:23" ht="12.5" x14ac:dyDescent="0.25">
      <c r="R608" s="9" t="str">
        <v/>
      </c>
      <c r="S608" s="9" t="str">
        <f ca="1">IFERROR(__xludf.DUMMYFUNCTION("""COMPUTED_VALUE"""),"")</f>
        <v/>
      </c>
      <c r="T608" s="9" t="str">
        <f ca="1">IFERROR(__xludf.DUMMYFUNCTION("""COMPUTED_VALUE"""),"")</f>
        <v/>
      </c>
      <c r="U608" s="9" t="e">
        <f ca="1"/>
        <v>#NAME?</v>
      </c>
      <c r="V608" s="9" t="e">
        <f ca="1"/>
        <v>#NAME?</v>
      </c>
      <c r="W608" s="9" t="str">
        <f ca="1">IFERROR(__xludf.DUMMYFUNCTION("""COMPUTED_VALUE"""),"")</f>
        <v/>
      </c>
    </row>
    <row r="609" spans="18:23" ht="12.5" x14ac:dyDescent="0.25">
      <c r="R609" s="9" t="str">
        <v/>
      </c>
      <c r="S609" s="9" t="str">
        <f ca="1">IFERROR(__xludf.DUMMYFUNCTION("""COMPUTED_VALUE"""),"")</f>
        <v/>
      </c>
      <c r="T609" s="9" t="str">
        <f ca="1">IFERROR(__xludf.DUMMYFUNCTION("""COMPUTED_VALUE"""),"")</f>
        <v/>
      </c>
      <c r="U609" s="9" t="e">
        <f ca="1"/>
        <v>#NAME?</v>
      </c>
      <c r="V609" s="9" t="e">
        <f ca="1"/>
        <v>#NAME?</v>
      </c>
      <c r="W609" s="9" t="str">
        <f ca="1">IFERROR(__xludf.DUMMYFUNCTION("""COMPUTED_VALUE"""),"")</f>
        <v/>
      </c>
    </row>
    <row r="610" spans="18:23" ht="12.5" x14ac:dyDescent="0.25">
      <c r="R610" s="9" t="str">
        <v/>
      </c>
      <c r="S610" s="9" t="str">
        <f ca="1">IFERROR(__xludf.DUMMYFUNCTION("""COMPUTED_VALUE"""),"")</f>
        <v/>
      </c>
      <c r="T610" s="9" t="str">
        <f ca="1">IFERROR(__xludf.DUMMYFUNCTION("""COMPUTED_VALUE"""),"")</f>
        <v/>
      </c>
      <c r="U610" s="9" t="e">
        <f ca="1"/>
        <v>#NAME?</v>
      </c>
      <c r="V610" s="9" t="e">
        <f ca="1"/>
        <v>#NAME?</v>
      </c>
      <c r="W610" s="9" t="str">
        <f ca="1">IFERROR(__xludf.DUMMYFUNCTION("""COMPUTED_VALUE"""),"")</f>
        <v/>
      </c>
    </row>
    <row r="611" spans="18:23" ht="12.5" x14ac:dyDescent="0.25">
      <c r="R611" s="9" t="str">
        <v/>
      </c>
      <c r="S611" s="9" t="str">
        <f ca="1">IFERROR(__xludf.DUMMYFUNCTION("""COMPUTED_VALUE"""),"")</f>
        <v/>
      </c>
      <c r="T611" s="9" t="str">
        <f ca="1">IFERROR(__xludf.DUMMYFUNCTION("""COMPUTED_VALUE"""),"")</f>
        <v/>
      </c>
      <c r="U611" s="9" t="e">
        <f ca="1"/>
        <v>#NAME?</v>
      </c>
      <c r="V611" s="9" t="e">
        <f ca="1"/>
        <v>#NAME?</v>
      </c>
      <c r="W611" s="9" t="str">
        <f ca="1">IFERROR(__xludf.DUMMYFUNCTION("""COMPUTED_VALUE"""),"")</f>
        <v/>
      </c>
    </row>
    <row r="612" spans="18:23" ht="12.5" x14ac:dyDescent="0.25">
      <c r="R612" s="9" t="str">
        <v/>
      </c>
      <c r="S612" s="9" t="str">
        <f ca="1">IFERROR(__xludf.DUMMYFUNCTION("""COMPUTED_VALUE"""),"")</f>
        <v/>
      </c>
      <c r="T612" s="9" t="str">
        <f ca="1">IFERROR(__xludf.DUMMYFUNCTION("""COMPUTED_VALUE"""),"")</f>
        <v/>
      </c>
      <c r="U612" s="9" t="e">
        <f ca="1"/>
        <v>#NAME?</v>
      </c>
      <c r="V612" s="9" t="e">
        <f ca="1"/>
        <v>#NAME?</v>
      </c>
      <c r="W612" s="9" t="str">
        <f ca="1">IFERROR(__xludf.DUMMYFUNCTION("""COMPUTED_VALUE"""),"")</f>
        <v/>
      </c>
    </row>
    <row r="613" spans="18:23" ht="12.5" x14ac:dyDescent="0.25">
      <c r="R613" s="9" t="str">
        <v/>
      </c>
      <c r="S613" s="9" t="str">
        <f ca="1">IFERROR(__xludf.DUMMYFUNCTION("""COMPUTED_VALUE"""),"")</f>
        <v/>
      </c>
      <c r="T613" s="9" t="str">
        <f ca="1">IFERROR(__xludf.DUMMYFUNCTION("""COMPUTED_VALUE"""),"")</f>
        <v/>
      </c>
      <c r="U613" s="9" t="e">
        <f ca="1"/>
        <v>#NAME?</v>
      </c>
      <c r="V613" s="9" t="e">
        <f ca="1"/>
        <v>#NAME?</v>
      </c>
      <c r="W613" s="9" t="str">
        <f ca="1">IFERROR(__xludf.DUMMYFUNCTION("""COMPUTED_VALUE"""),"")</f>
        <v/>
      </c>
    </row>
    <row r="614" spans="18:23" ht="12.5" x14ac:dyDescent="0.25">
      <c r="R614" s="9" t="str">
        <v/>
      </c>
      <c r="S614" s="9" t="str">
        <f ca="1">IFERROR(__xludf.DUMMYFUNCTION("""COMPUTED_VALUE"""),"")</f>
        <v/>
      </c>
      <c r="T614" s="9" t="str">
        <f ca="1">IFERROR(__xludf.DUMMYFUNCTION("""COMPUTED_VALUE"""),"")</f>
        <v/>
      </c>
      <c r="U614" s="9" t="e">
        <f ca="1"/>
        <v>#NAME?</v>
      </c>
      <c r="V614" s="9" t="e">
        <f ca="1"/>
        <v>#NAME?</v>
      </c>
      <c r="W614" s="9" t="str">
        <f ca="1">IFERROR(__xludf.DUMMYFUNCTION("""COMPUTED_VALUE"""),"")</f>
        <v/>
      </c>
    </row>
    <row r="615" spans="18:23" ht="12.5" x14ac:dyDescent="0.25">
      <c r="R615" s="9" t="str">
        <v/>
      </c>
      <c r="S615" s="9" t="str">
        <f ca="1">IFERROR(__xludf.DUMMYFUNCTION("""COMPUTED_VALUE"""),"")</f>
        <v/>
      </c>
      <c r="T615" s="9" t="str">
        <f ca="1">IFERROR(__xludf.DUMMYFUNCTION("""COMPUTED_VALUE"""),"")</f>
        <v/>
      </c>
      <c r="U615" s="9" t="e">
        <f ca="1"/>
        <v>#NAME?</v>
      </c>
      <c r="V615" s="9" t="e">
        <f ca="1"/>
        <v>#NAME?</v>
      </c>
      <c r="W615" s="9" t="str">
        <f ca="1">IFERROR(__xludf.DUMMYFUNCTION("""COMPUTED_VALUE"""),"")</f>
        <v/>
      </c>
    </row>
    <row r="616" spans="18:23" ht="12.5" x14ac:dyDescent="0.25">
      <c r="R616" s="9" t="str">
        <v/>
      </c>
      <c r="S616" s="9" t="str">
        <f ca="1">IFERROR(__xludf.DUMMYFUNCTION("""COMPUTED_VALUE"""),"")</f>
        <v/>
      </c>
      <c r="T616" s="9" t="str">
        <f ca="1">IFERROR(__xludf.DUMMYFUNCTION("""COMPUTED_VALUE"""),"")</f>
        <v/>
      </c>
      <c r="U616" s="9" t="e">
        <f ca="1"/>
        <v>#NAME?</v>
      </c>
      <c r="V616" s="9" t="e">
        <f ca="1"/>
        <v>#NAME?</v>
      </c>
      <c r="W616" s="9" t="str">
        <f ca="1">IFERROR(__xludf.DUMMYFUNCTION("""COMPUTED_VALUE"""),"")</f>
        <v/>
      </c>
    </row>
    <row r="617" spans="18:23" ht="12.5" x14ac:dyDescent="0.25">
      <c r="R617" s="9" t="str">
        <v/>
      </c>
      <c r="S617" s="9" t="str">
        <f ca="1">IFERROR(__xludf.DUMMYFUNCTION("""COMPUTED_VALUE"""),"")</f>
        <v/>
      </c>
      <c r="T617" s="9" t="str">
        <f ca="1">IFERROR(__xludf.DUMMYFUNCTION("""COMPUTED_VALUE"""),"")</f>
        <v/>
      </c>
      <c r="U617" s="9" t="e">
        <f ca="1"/>
        <v>#NAME?</v>
      </c>
      <c r="V617" s="9" t="e">
        <f ca="1"/>
        <v>#NAME?</v>
      </c>
      <c r="W617" s="9" t="str">
        <f ca="1">IFERROR(__xludf.DUMMYFUNCTION("""COMPUTED_VALUE"""),"")</f>
        <v/>
      </c>
    </row>
    <row r="618" spans="18:23" ht="12.5" x14ac:dyDescent="0.25">
      <c r="R618" s="9" t="str">
        <v/>
      </c>
      <c r="S618" s="9" t="str">
        <f ca="1">IFERROR(__xludf.DUMMYFUNCTION("""COMPUTED_VALUE"""),"")</f>
        <v/>
      </c>
      <c r="T618" s="9" t="str">
        <f ca="1">IFERROR(__xludf.DUMMYFUNCTION("""COMPUTED_VALUE"""),"")</f>
        <v/>
      </c>
      <c r="U618" s="9" t="e">
        <f ca="1"/>
        <v>#NAME?</v>
      </c>
      <c r="V618" s="9" t="e">
        <f ca="1"/>
        <v>#NAME?</v>
      </c>
      <c r="W618" s="9" t="str">
        <f ca="1">IFERROR(__xludf.DUMMYFUNCTION("""COMPUTED_VALUE"""),"")</f>
        <v/>
      </c>
    </row>
    <row r="619" spans="18:23" ht="12.5" x14ac:dyDescent="0.25">
      <c r="R619" s="9" t="str">
        <v/>
      </c>
      <c r="S619" s="9" t="str">
        <f ca="1">IFERROR(__xludf.DUMMYFUNCTION("""COMPUTED_VALUE"""),"")</f>
        <v/>
      </c>
      <c r="T619" s="9" t="str">
        <f ca="1">IFERROR(__xludf.DUMMYFUNCTION("""COMPUTED_VALUE"""),"")</f>
        <v/>
      </c>
      <c r="U619" s="9" t="e">
        <f ca="1"/>
        <v>#NAME?</v>
      </c>
      <c r="V619" s="9" t="e">
        <f ca="1"/>
        <v>#NAME?</v>
      </c>
      <c r="W619" s="9" t="str">
        <f ca="1">IFERROR(__xludf.DUMMYFUNCTION("""COMPUTED_VALUE"""),"")</f>
        <v/>
      </c>
    </row>
    <row r="620" spans="18:23" ht="12.5" x14ac:dyDescent="0.25">
      <c r="R620" s="9" t="str">
        <v/>
      </c>
      <c r="S620" s="9" t="str">
        <f ca="1">IFERROR(__xludf.DUMMYFUNCTION("""COMPUTED_VALUE"""),"")</f>
        <v/>
      </c>
      <c r="T620" s="9" t="str">
        <f ca="1">IFERROR(__xludf.DUMMYFUNCTION("""COMPUTED_VALUE"""),"")</f>
        <v/>
      </c>
      <c r="U620" s="9" t="e">
        <f ca="1"/>
        <v>#NAME?</v>
      </c>
      <c r="V620" s="9" t="e">
        <f ca="1"/>
        <v>#NAME?</v>
      </c>
      <c r="W620" s="9" t="str">
        <f ca="1">IFERROR(__xludf.DUMMYFUNCTION("""COMPUTED_VALUE"""),"")</f>
        <v/>
      </c>
    </row>
    <row r="621" spans="18:23" ht="12.5" x14ac:dyDescent="0.25">
      <c r="R621" s="9" t="str">
        <v/>
      </c>
      <c r="S621" s="9" t="str">
        <f ca="1">IFERROR(__xludf.DUMMYFUNCTION("""COMPUTED_VALUE"""),"")</f>
        <v/>
      </c>
      <c r="T621" s="9" t="str">
        <f ca="1">IFERROR(__xludf.DUMMYFUNCTION("""COMPUTED_VALUE"""),"")</f>
        <v/>
      </c>
      <c r="U621" s="9" t="e">
        <f ca="1"/>
        <v>#NAME?</v>
      </c>
      <c r="V621" s="9" t="e">
        <f ca="1"/>
        <v>#NAME?</v>
      </c>
      <c r="W621" s="9" t="str">
        <f ca="1">IFERROR(__xludf.DUMMYFUNCTION("""COMPUTED_VALUE"""),"")</f>
        <v/>
      </c>
    </row>
    <row r="622" spans="18:23" ht="12.5" x14ac:dyDescent="0.25">
      <c r="R622" s="9" t="str">
        <v/>
      </c>
      <c r="S622" s="9" t="str">
        <f ca="1">IFERROR(__xludf.DUMMYFUNCTION("""COMPUTED_VALUE"""),"")</f>
        <v/>
      </c>
      <c r="T622" s="9" t="str">
        <f ca="1">IFERROR(__xludf.DUMMYFUNCTION("""COMPUTED_VALUE"""),"")</f>
        <v/>
      </c>
      <c r="U622" s="9" t="e">
        <f ca="1"/>
        <v>#NAME?</v>
      </c>
      <c r="V622" s="9" t="e">
        <f ca="1"/>
        <v>#NAME?</v>
      </c>
      <c r="W622" s="9" t="str">
        <f ca="1">IFERROR(__xludf.DUMMYFUNCTION("""COMPUTED_VALUE"""),"")</f>
        <v/>
      </c>
    </row>
    <row r="623" spans="18:23" ht="12.5" x14ac:dyDescent="0.25">
      <c r="R623" s="9" t="str">
        <v/>
      </c>
      <c r="S623" s="9" t="str">
        <f ca="1">IFERROR(__xludf.DUMMYFUNCTION("""COMPUTED_VALUE"""),"")</f>
        <v/>
      </c>
      <c r="T623" s="9" t="str">
        <f ca="1">IFERROR(__xludf.DUMMYFUNCTION("""COMPUTED_VALUE"""),"")</f>
        <v/>
      </c>
      <c r="U623" s="9" t="e">
        <f ca="1"/>
        <v>#NAME?</v>
      </c>
      <c r="V623" s="9" t="e">
        <f ca="1"/>
        <v>#NAME?</v>
      </c>
      <c r="W623" s="9" t="str">
        <f ca="1">IFERROR(__xludf.DUMMYFUNCTION("""COMPUTED_VALUE"""),"")</f>
        <v/>
      </c>
    </row>
    <row r="624" spans="18:23" ht="12.5" x14ac:dyDescent="0.25">
      <c r="R624" s="9" t="str">
        <v/>
      </c>
      <c r="S624" s="9" t="str">
        <f ca="1">IFERROR(__xludf.DUMMYFUNCTION("""COMPUTED_VALUE"""),"")</f>
        <v/>
      </c>
      <c r="T624" s="9" t="str">
        <f ca="1">IFERROR(__xludf.DUMMYFUNCTION("""COMPUTED_VALUE"""),"")</f>
        <v/>
      </c>
      <c r="U624" s="9" t="e">
        <f ca="1"/>
        <v>#NAME?</v>
      </c>
      <c r="V624" s="9" t="e">
        <f ca="1"/>
        <v>#NAME?</v>
      </c>
      <c r="W624" s="9" t="str">
        <f ca="1">IFERROR(__xludf.DUMMYFUNCTION("""COMPUTED_VALUE"""),"")</f>
        <v/>
      </c>
    </row>
    <row r="625" spans="18:23" ht="12.5" x14ac:dyDescent="0.25">
      <c r="R625" s="9" t="str">
        <v/>
      </c>
      <c r="S625" s="9" t="str">
        <f ca="1">IFERROR(__xludf.DUMMYFUNCTION("""COMPUTED_VALUE"""),"")</f>
        <v/>
      </c>
      <c r="T625" s="9" t="str">
        <f ca="1">IFERROR(__xludf.DUMMYFUNCTION("""COMPUTED_VALUE"""),"")</f>
        <v/>
      </c>
      <c r="U625" s="9" t="e">
        <f ca="1"/>
        <v>#NAME?</v>
      </c>
      <c r="V625" s="9" t="e">
        <f ca="1"/>
        <v>#NAME?</v>
      </c>
      <c r="W625" s="9" t="str">
        <f ca="1">IFERROR(__xludf.DUMMYFUNCTION("""COMPUTED_VALUE"""),"")</f>
        <v/>
      </c>
    </row>
    <row r="626" spans="18:23" ht="12.5" x14ac:dyDescent="0.25">
      <c r="R626" s="9" t="str">
        <v/>
      </c>
      <c r="S626" s="9" t="str">
        <f ca="1">IFERROR(__xludf.DUMMYFUNCTION("""COMPUTED_VALUE"""),"")</f>
        <v/>
      </c>
      <c r="T626" s="9" t="str">
        <f ca="1">IFERROR(__xludf.DUMMYFUNCTION("""COMPUTED_VALUE"""),"")</f>
        <v/>
      </c>
      <c r="U626" s="9" t="e">
        <f ca="1"/>
        <v>#NAME?</v>
      </c>
      <c r="V626" s="9" t="e">
        <f ca="1"/>
        <v>#NAME?</v>
      </c>
      <c r="W626" s="9" t="str">
        <f ca="1">IFERROR(__xludf.DUMMYFUNCTION("""COMPUTED_VALUE"""),"")</f>
        <v/>
      </c>
    </row>
    <row r="627" spans="18:23" ht="12.5" x14ac:dyDescent="0.25">
      <c r="R627" s="9" t="str">
        <v/>
      </c>
      <c r="S627" s="9" t="str">
        <f ca="1">IFERROR(__xludf.DUMMYFUNCTION("""COMPUTED_VALUE"""),"")</f>
        <v/>
      </c>
      <c r="T627" s="9" t="str">
        <f ca="1">IFERROR(__xludf.DUMMYFUNCTION("""COMPUTED_VALUE"""),"")</f>
        <v/>
      </c>
      <c r="U627" s="9" t="e">
        <f ca="1"/>
        <v>#NAME?</v>
      </c>
      <c r="V627" s="9" t="e">
        <f ca="1"/>
        <v>#NAME?</v>
      </c>
      <c r="W627" s="9" t="str">
        <f ca="1">IFERROR(__xludf.DUMMYFUNCTION("""COMPUTED_VALUE"""),"")</f>
        <v/>
      </c>
    </row>
    <row r="628" spans="18:23" ht="12.5" x14ac:dyDescent="0.25">
      <c r="R628" s="9" t="str">
        <v/>
      </c>
      <c r="S628" s="9" t="str">
        <f ca="1">IFERROR(__xludf.DUMMYFUNCTION("""COMPUTED_VALUE"""),"")</f>
        <v/>
      </c>
      <c r="T628" s="9" t="str">
        <f ca="1">IFERROR(__xludf.DUMMYFUNCTION("""COMPUTED_VALUE"""),"")</f>
        <v/>
      </c>
      <c r="U628" s="9" t="e">
        <f ca="1"/>
        <v>#NAME?</v>
      </c>
      <c r="V628" s="9" t="e">
        <f ca="1"/>
        <v>#NAME?</v>
      </c>
      <c r="W628" s="9" t="str">
        <f ca="1">IFERROR(__xludf.DUMMYFUNCTION("""COMPUTED_VALUE"""),"")</f>
        <v/>
      </c>
    </row>
    <row r="629" spans="18:23" ht="12.5" x14ac:dyDescent="0.25">
      <c r="R629" s="9" t="str">
        <v/>
      </c>
      <c r="S629" s="9" t="str">
        <f ca="1">IFERROR(__xludf.DUMMYFUNCTION("""COMPUTED_VALUE"""),"")</f>
        <v/>
      </c>
      <c r="T629" s="9" t="str">
        <f ca="1">IFERROR(__xludf.DUMMYFUNCTION("""COMPUTED_VALUE"""),"")</f>
        <v/>
      </c>
      <c r="U629" s="9" t="e">
        <f ca="1"/>
        <v>#NAME?</v>
      </c>
      <c r="V629" s="9" t="e">
        <f ca="1"/>
        <v>#NAME?</v>
      </c>
      <c r="W629" s="9" t="str">
        <f ca="1">IFERROR(__xludf.DUMMYFUNCTION("""COMPUTED_VALUE"""),"")</f>
        <v/>
      </c>
    </row>
    <row r="630" spans="18:23" ht="12.5" x14ac:dyDescent="0.25">
      <c r="R630" s="9" t="str">
        <v/>
      </c>
      <c r="S630" s="9" t="str">
        <f ca="1">IFERROR(__xludf.DUMMYFUNCTION("""COMPUTED_VALUE"""),"")</f>
        <v/>
      </c>
      <c r="T630" s="9" t="str">
        <f ca="1">IFERROR(__xludf.DUMMYFUNCTION("""COMPUTED_VALUE"""),"")</f>
        <v/>
      </c>
      <c r="U630" s="9" t="e">
        <f ca="1"/>
        <v>#NAME?</v>
      </c>
      <c r="V630" s="9" t="e">
        <f ca="1"/>
        <v>#NAME?</v>
      </c>
      <c r="W630" s="9" t="str">
        <f ca="1">IFERROR(__xludf.DUMMYFUNCTION("""COMPUTED_VALUE"""),"")</f>
        <v/>
      </c>
    </row>
    <row r="631" spans="18:23" ht="12.5" x14ac:dyDescent="0.25">
      <c r="R631" s="9" t="str">
        <v/>
      </c>
      <c r="S631" s="9" t="str">
        <f ca="1">IFERROR(__xludf.DUMMYFUNCTION("""COMPUTED_VALUE"""),"")</f>
        <v/>
      </c>
      <c r="T631" s="9" t="str">
        <f ca="1">IFERROR(__xludf.DUMMYFUNCTION("""COMPUTED_VALUE"""),"")</f>
        <v/>
      </c>
      <c r="U631" s="9" t="e">
        <f ca="1"/>
        <v>#NAME?</v>
      </c>
      <c r="V631" s="9" t="e">
        <f ca="1"/>
        <v>#NAME?</v>
      </c>
      <c r="W631" s="9" t="str">
        <f ca="1">IFERROR(__xludf.DUMMYFUNCTION("""COMPUTED_VALUE"""),"")</f>
        <v/>
      </c>
    </row>
    <row r="632" spans="18:23" ht="12.5" x14ac:dyDescent="0.25">
      <c r="R632" s="9" t="str">
        <v/>
      </c>
      <c r="S632" s="9" t="str">
        <f ca="1">IFERROR(__xludf.DUMMYFUNCTION("""COMPUTED_VALUE"""),"")</f>
        <v/>
      </c>
      <c r="T632" s="9" t="str">
        <f ca="1">IFERROR(__xludf.DUMMYFUNCTION("""COMPUTED_VALUE"""),"")</f>
        <v/>
      </c>
      <c r="U632" s="9" t="e">
        <f ca="1"/>
        <v>#NAME?</v>
      </c>
      <c r="V632" s="9" t="e">
        <f ca="1"/>
        <v>#NAME?</v>
      </c>
      <c r="W632" s="9" t="str">
        <f ca="1">IFERROR(__xludf.DUMMYFUNCTION("""COMPUTED_VALUE"""),"")</f>
        <v/>
      </c>
    </row>
    <row r="633" spans="18:23" ht="12.5" x14ac:dyDescent="0.25">
      <c r="R633" s="9" t="str">
        <v/>
      </c>
      <c r="S633" s="9" t="str">
        <f ca="1">IFERROR(__xludf.DUMMYFUNCTION("""COMPUTED_VALUE"""),"")</f>
        <v/>
      </c>
      <c r="T633" s="9" t="str">
        <f ca="1">IFERROR(__xludf.DUMMYFUNCTION("""COMPUTED_VALUE"""),"")</f>
        <v/>
      </c>
      <c r="U633" s="9" t="e">
        <f ca="1"/>
        <v>#NAME?</v>
      </c>
      <c r="V633" s="9" t="e">
        <f ca="1"/>
        <v>#NAME?</v>
      </c>
      <c r="W633" s="9" t="str">
        <f ca="1">IFERROR(__xludf.DUMMYFUNCTION("""COMPUTED_VALUE"""),"")</f>
        <v/>
      </c>
    </row>
    <row r="634" spans="18:23" ht="12.5" x14ac:dyDescent="0.25">
      <c r="R634" s="9" t="str">
        <v/>
      </c>
      <c r="S634" s="9" t="str">
        <f ca="1">IFERROR(__xludf.DUMMYFUNCTION("""COMPUTED_VALUE"""),"")</f>
        <v/>
      </c>
      <c r="T634" s="9" t="str">
        <f ca="1">IFERROR(__xludf.DUMMYFUNCTION("""COMPUTED_VALUE"""),"")</f>
        <v/>
      </c>
      <c r="U634" s="9" t="e">
        <f ca="1"/>
        <v>#NAME?</v>
      </c>
      <c r="V634" s="9" t="e">
        <f ca="1"/>
        <v>#NAME?</v>
      </c>
      <c r="W634" s="9" t="str">
        <f ca="1">IFERROR(__xludf.DUMMYFUNCTION("""COMPUTED_VALUE"""),"")</f>
        <v/>
      </c>
    </row>
    <row r="635" spans="18:23" ht="12.5" x14ac:dyDescent="0.25">
      <c r="R635" s="9" t="str">
        <v/>
      </c>
      <c r="S635" s="9" t="str">
        <f ca="1">IFERROR(__xludf.DUMMYFUNCTION("""COMPUTED_VALUE"""),"")</f>
        <v/>
      </c>
      <c r="T635" s="9" t="str">
        <f ca="1">IFERROR(__xludf.DUMMYFUNCTION("""COMPUTED_VALUE"""),"")</f>
        <v/>
      </c>
      <c r="U635" s="9" t="e">
        <f ca="1"/>
        <v>#NAME?</v>
      </c>
      <c r="V635" s="9" t="e">
        <f ca="1"/>
        <v>#NAME?</v>
      </c>
      <c r="W635" s="9" t="str">
        <f ca="1">IFERROR(__xludf.DUMMYFUNCTION("""COMPUTED_VALUE"""),"")</f>
        <v/>
      </c>
    </row>
    <row r="636" spans="18:23" ht="12.5" x14ac:dyDescent="0.25">
      <c r="R636" s="9" t="str">
        <v/>
      </c>
      <c r="S636" s="9" t="str">
        <f ca="1">IFERROR(__xludf.DUMMYFUNCTION("""COMPUTED_VALUE"""),"")</f>
        <v/>
      </c>
      <c r="T636" s="9" t="str">
        <f ca="1">IFERROR(__xludf.DUMMYFUNCTION("""COMPUTED_VALUE"""),"")</f>
        <v/>
      </c>
      <c r="U636" s="9" t="e">
        <f ca="1"/>
        <v>#NAME?</v>
      </c>
      <c r="V636" s="9" t="e">
        <f ca="1"/>
        <v>#NAME?</v>
      </c>
      <c r="W636" s="9" t="str">
        <f ca="1">IFERROR(__xludf.DUMMYFUNCTION("""COMPUTED_VALUE"""),"")</f>
        <v/>
      </c>
    </row>
    <row r="637" spans="18:23" ht="12.5" x14ac:dyDescent="0.25">
      <c r="R637" s="9" t="str">
        <v/>
      </c>
      <c r="S637" s="9" t="str">
        <f ca="1">IFERROR(__xludf.DUMMYFUNCTION("""COMPUTED_VALUE"""),"")</f>
        <v/>
      </c>
      <c r="T637" s="9" t="str">
        <f ca="1">IFERROR(__xludf.DUMMYFUNCTION("""COMPUTED_VALUE"""),"")</f>
        <v/>
      </c>
      <c r="U637" s="9" t="e">
        <f ca="1"/>
        <v>#NAME?</v>
      </c>
      <c r="V637" s="9" t="e">
        <f ca="1"/>
        <v>#NAME?</v>
      </c>
      <c r="W637" s="9" t="str">
        <f ca="1">IFERROR(__xludf.DUMMYFUNCTION("""COMPUTED_VALUE"""),"")</f>
        <v/>
      </c>
    </row>
    <row r="638" spans="18:23" ht="12.5" x14ac:dyDescent="0.25">
      <c r="R638" s="9" t="str">
        <v/>
      </c>
      <c r="S638" s="9" t="str">
        <f ca="1">IFERROR(__xludf.DUMMYFUNCTION("""COMPUTED_VALUE"""),"")</f>
        <v/>
      </c>
      <c r="T638" s="9" t="str">
        <f ca="1">IFERROR(__xludf.DUMMYFUNCTION("""COMPUTED_VALUE"""),"")</f>
        <v/>
      </c>
      <c r="U638" s="9" t="e">
        <f ca="1"/>
        <v>#NAME?</v>
      </c>
      <c r="V638" s="9" t="e">
        <f ca="1"/>
        <v>#NAME?</v>
      </c>
      <c r="W638" s="9" t="str">
        <f ca="1">IFERROR(__xludf.DUMMYFUNCTION("""COMPUTED_VALUE"""),"")</f>
        <v/>
      </c>
    </row>
    <row r="639" spans="18:23" ht="12.5" x14ac:dyDescent="0.25">
      <c r="R639" s="9" t="str">
        <v/>
      </c>
      <c r="S639" s="9" t="str">
        <f ca="1">IFERROR(__xludf.DUMMYFUNCTION("""COMPUTED_VALUE"""),"")</f>
        <v/>
      </c>
      <c r="T639" s="9" t="str">
        <f ca="1">IFERROR(__xludf.DUMMYFUNCTION("""COMPUTED_VALUE"""),"")</f>
        <v/>
      </c>
      <c r="U639" s="9" t="e">
        <f ca="1"/>
        <v>#NAME?</v>
      </c>
      <c r="V639" s="9" t="e">
        <f ca="1"/>
        <v>#NAME?</v>
      </c>
      <c r="W639" s="9" t="str">
        <f ca="1">IFERROR(__xludf.DUMMYFUNCTION("""COMPUTED_VALUE"""),"")</f>
        <v/>
      </c>
    </row>
    <row r="640" spans="18:23" ht="12.5" x14ac:dyDescent="0.25">
      <c r="R640" s="9" t="str">
        <v/>
      </c>
      <c r="S640" s="9" t="str">
        <f ca="1">IFERROR(__xludf.DUMMYFUNCTION("""COMPUTED_VALUE"""),"")</f>
        <v/>
      </c>
      <c r="T640" s="9" t="str">
        <f ca="1">IFERROR(__xludf.DUMMYFUNCTION("""COMPUTED_VALUE"""),"")</f>
        <v/>
      </c>
      <c r="U640" s="9" t="e">
        <f ca="1"/>
        <v>#NAME?</v>
      </c>
      <c r="V640" s="9" t="e">
        <f ca="1"/>
        <v>#NAME?</v>
      </c>
      <c r="W640" s="9" t="str">
        <f ca="1">IFERROR(__xludf.DUMMYFUNCTION("""COMPUTED_VALUE"""),"")</f>
        <v/>
      </c>
    </row>
    <row r="641" spans="18:23" ht="12.5" x14ac:dyDescent="0.25">
      <c r="R641" s="9" t="str">
        <v/>
      </c>
      <c r="S641" s="9" t="str">
        <f ca="1">IFERROR(__xludf.DUMMYFUNCTION("""COMPUTED_VALUE"""),"")</f>
        <v/>
      </c>
      <c r="T641" s="9" t="str">
        <f ca="1">IFERROR(__xludf.DUMMYFUNCTION("""COMPUTED_VALUE"""),"")</f>
        <v/>
      </c>
      <c r="U641" s="9" t="e">
        <f ca="1"/>
        <v>#NAME?</v>
      </c>
      <c r="V641" s="9" t="e">
        <f ca="1"/>
        <v>#NAME?</v>
      </c>
      <c r="W641" s="9" t="str">
        <f ca="1">IFERROR(__xludf.DUMMYFUNCTION("""COMPUTED_VALUE"""),"")</f>
        <v/>
      </c>
    </row>
    <row r="642" spans="18:23" ht="12.5" x14ac:dyDescent="0.25">
      <c r="R642" s="9" t="str">
        <v/>
      </c>
      <c r="S642" s="9" t="str">
        <f ca="1">IFERROR(__xludf.DUMMYFUNCTION("""COMPUTED_VALUE"""),"")</f>
        <v/>
      </c>
      <c r="T642" s="9" t="str">
        <f ca="1">IFERROR(__xludf.DUMMYFUNCTION("""COMPUTED_VALUE"""),"")</f>
        <v/>
      </c>
      <c r="U642" s="9" t="e">
        <f ca="1"/>
        <v>#NAME?</v>
      </c>
      <c r="V642" s="9" t="e">
        <f ca="1"/>
        <v>#NAME?</v>
      </c>
      <c r="W642" s="9" t="str">
        <f ca="1">IFERROR(__xludf.DUMMYFUNCTION("""COMPUTED_VALUE"""),"")</f>
        <v/>
      </c>
    </row>
    <row r="643" spans="18:23" ht="12.5" x14ac:dyDescent="0.25">
      <c r="R643" s="9" t="str">
        <v/>
      </c>
      <c r="S643" s="9" t="str">
        <f ca="1">IFERROR(__xludf.DUMMYFUNCTION("""COMPUTED_VALUE"""),"")</f>
        <v/>
      </c>
      <c r="T643" s="9" t="str">
        <f ca="1">IFERROR(__xludf.DUMMYFUNCTION("""COMPUTED_VALUE"""),"")</f>
        <v/>
      </c>
      <c r="U643" s="9" t="e">
        <f ca="1"/>
        <v>#NAME?</v>
      </c>
      <c r="V643" s="9" t="e">
        <f ca="1"/>
        <v>#NAME?</v>
      </c>
      <c r="W643" s="9" t="str">
        <f ca="1">IFERROR(__xludf.DUMMYFUNCTION("""COMPUTED_VALUE"""),"")</f>
        <v/>
      </c>
    </row>
    <row r="644" spans="18:23" ht="12.5" x14ac:dyDescent="0.25">
      <c r="R644" s="9" t="str">
        <v/>
      </c>
      <c r="S644" s="9" t="str">
        <f ca="1">IFERROR(__xludf.DUMMYFUNCTION("""COMPUTED_VALUE"""),"")</f>
        <v/>
      </c>
      <c r="T644" s="9" t="str">
        <f ca="1">IFERROR(__xludf.DUMMYFUNCTION("""COMPUTED_VALUE"""),"")</f>
        <v/>
      </c>
      <c r="U644" s="9" t="e">
        <f ca="1"/>
        <v>#NAME?</v>
      </c>
      <c r="V644" s="9" t="e">
        <f ca="1"/>
        <v>#NAME?</v>
      </c>
      <c r="W644" s="9" t="str">
        <f ca="1">IFERROR(__xludf.DUMMYFUNCTION("""COMPUTED_VALUE"""),"")</f>
        <v/>
      </c>
    </row>
    <row r="645" spans="18:23" ht="12.5" x14ac:dyDescent="0.25">
      <c r="R645" s="9" t="str">
        <v/>
      </c>
      <c r="S645" s="9" t="str">
        <f ca="1">IFERROR(__xludf.DUMMYFUNCTION("""COMPUTED_VALUE"""),"")</f>
        <v/>
      </c>
      <c r="T645" s="9" t="str">
        <f ca="1">IFERROR(__xludf.DUMMYFUNCTION("""COMPUTED_VALUE"""),"")</f>
        <v/>
      </c>
      <c r="U645" s="9" t="e">
        <f ca="1"/>
        <v>#NAME?</v>
      </c>
      <c r="V645" s="9" t="e">
        <f ca="1"/>
        <v>#NAME?</v>
      </c>
      <c r="W645" s="9" t="str">
        <f ca="1">IFERROR(__xludf.DUMMYFUNCTION("""COMPUTED_VALUE"""),"")</f>
        <v/>
      </c>
    </row>
    <row r="646" spans="18:23" ht="12.5" x14ac:dyDescent="0.25">
      <c r="R646" s="9" t="str">
        <v/>
      </c>
      <c r="S646" s="9" t="str">
        <f ca="1">IFERROR(__xludf.DUMMYFUNCTION("""COMPUTED_VALUE"""),"")</f>
        <v/>
      </c>
      <c r="T646" s="9" t="str">
        <f ca="1">IFERROR(__xludf.DUMMYFUNCTION("""COMPUTED_VALUE"""),"")</f>
        <v/>
      </c>
      <c r="U646" s="9" t="e">
        <f ca="1"/>
        <v>#NAME?</v>
      </c>
      <c r="V646" s="9" t="e">
        <f ca="1"/>
        <v>#NAME?</v>
      </c>
      <c r="W646" s="9" t="str">
        <f ca="1">IFERROR(__xludf.DUMMYFUNCTION("""COMPUTED_VALUE"""),"")</f>
        <v/>
      </c>
    </row>
    <row r="647" spans="18:23" ht="12.5" x14ac:dyDescent="0.25">
      <c r="R647" s="9" t="str">
        <v/>
      </c>
      <c r="S647" s="9" t="str">
        <f ca="1">IFERROR(__xludf.DUMMYFUNCTION("""COMPUTED_VALUE"""),"")</f>
        <v/>
      </c>
      <c r="T647" s="9" t="str">
        <f ca="1">IFERROR(__xludf.DUMMYFUNCTION("""COMPUTED_VALUE"""),"")</f>
        <v/>
      </c>
      <c r="U647" s="9" t="e">
        <f ca="1"/>
        <v>#NAME?</v>
      </c>
      <c r="V647" s="9" t="e">
        <f ca="1"/>
        <v>#NAME?</v>
      </c>
      <c r="W647" s="9" t="str">
        <f ca="1">IFERROR(__xludf.DUMMYFUNCTION("""COMPUTED_VALUE"""),"")</f>
        <v/>
      </c>
    </row>
    <row r="648" spans="18:23" ht="12.5" x14ac:dyDescent="0.25">
      <c r="R648" s="9" t="str">
        <v/>
      </c>
      <c r="S648" s="9" t="str">
        <f ca="1">IFERROR(__xludf.DUMMYFUNCTION("""COMPUTED_VALUE"""),"")</f>
        <v/>
      </c>
      <c r="T648" s="9" t="str">
        <f ca="1">IFERROR(__xludf.DUMMYFUNCTION("""COMPUTED_VALUE"""),"")</f>
        <v/>
      </c>
      <c r="U648" s="9" t="e">
        <f ca="1"/>
        <v>#NAME?</v>
      </c>
      <c r="V648" s="9" t="e">
        <f ca="1"/>
        <v>#NAME?</v>
      </c>
      <c r="W648" s="9" t="str">
        <f ca="1">IFERROR(__xludf.DUMMYFUNCTION("""COMPUTED_VALUE"""),"")</f>
        <v/>
      </c>
    </row>
    <row r="649" spans="18:23" ht="12.5" x14ac:dyDescent="0.25">
      <c r="R649" s="9" t="str">
        <v/>
      </c>
      <c r="S649" s="9" t="str">
        <f ca="1">IFERROR(__xludf.DUMMYFUNCTION("""COMPUTED_VALUE"""),"")</f>
        <v/>
      </c>
      <c r="T649" s="9" t="str">
        <f ca="1">IFERROR(__xludf.DUMMYFUNCTION("""COMPUTED_VALUE"""),"")</f>
        <v/>
      </c>
      <c r="U649" s="9" t="e">
        <f ca="1"/>
        <v>#NAME?</v>
      </c>
      <c r="V649" s="9" t="e">
        <f ca="1"/>
        <v>#NAME?</v>
      </c>
      <c r="W649" s="9" t="str">
        <f ca="1">IFERROR(__xludf.DUMMYFUNCTION("""COMPUTED_VALUE"""),"")</f>
        <v/>
      </c>
    </row>
    <row r="650" spans="18:23" ht="12.5" x14ac:dyDescent="0.25">
      <c r="R650" s="9" t="str">
        <v/>
      </c>
      <c r="S650" s="9" t="str">
        <f ca="1">IFERROR(__xludf.DUMMYFUNCTION("""COMPUTED_VALUE"""),"")</f>
        <v/>
      </c>
      <c r="T650" s="9" t="str">
        <f ca="1">IFERROR(__xludf.DUMMYFUNCTION("""COMPUTED_VALUE"""),"")</f>
        <v/>
      </c>
      <c r="U650" s="9" t="e">
        <f ca="1"/>
        <v>#NAME?</v>
      </c>
      <c r="V650" s="9" t="e">
        <f ca="1"/>
        <v>#NAME?</v>
      </c>
      <c r="W650" s="9" t="str">
        <f ca="1">IFERROR(__xludf.DUMMYFUNCTION("""COMPUTED_VALUE"""),"")</f>
        <v/>
      </c>
    </row>
    <row r="651" spans="18:23" ht="12.5" x14ac:dyDescent="0.25">
      <c r="R651" s="9" t="str">
        <v/>
      </c>
      <c r="S651" s="9" t="str">
        <f ca="1">IFERROR(__xludf.DUMMYFUNCTION("""COMPUTED_VALUE"""),"")</f>
        <v/>
      </c>
      <c r="T651" s="9" t="str">
        <f ca="1">IFERROR(__xludf.DUMMYFUNCTION("""COMPUTED_VALUE"""),"")</f>
        <v/>
      </c>
      <c r="U651" s="9" t="e">
        <f ca="1"/>
        <v>#NAME?</v>
      </c>
      <c r="V651" s="9" t="e">
        <f ca="1"/>
        <v>#NAME?</v>
      </c>
      <c r="W651" s="9" t="str">
        <f ca="1">IFERROR(__xludf.DUMMYFUNCTION("""COMPUTED_VALUE"""),"")</f>
        <v/>
      </c>
    </row>
    <row r="652" spans="18:23" ht="12.5" x14ac:dyDescent="0.25">
      <c r="R652" s="9" t="str">
        <v/>
      </c>
      <c r="S652" s="9" t="str">
        <f ca="1">IFERROR(__xludf.DUMMYFUNCTION("""COMPUTED_VALUE"""),"")</f>
        <v/>
      </c>
      <c r="T652" s="9" t="str">
        <f ca="1">IFERROR(__xludf.DUMMYFUNCTION("""COMPUTED_VALUE"""),"")</f>
        <v/>
      </c>
      <c r="U652" s="9" t="e">
        <f ca="1"/>
        <v>#NAME?</v>
      </c>
      <c r="V652" s="9" t="e">
        <f ca="1"/>
        <v>#NAME?</v>
      </c>
      <c r="W652" s="9" t="str">
        <f ca="1">IFERROR(__xludf.DUMMYFUNCTION("""COMPUTED_VALUE"""),"")</f>
        <v/>
      </c>
    </row>
    <row r="653" spans="18:23" ht="12.5" x14ac:dyDescent="0.25">
      <c r="R653" s="9" t="str">
        <v/>
      </c>
      <c r="S653" s="9" t="str">
        <f ca="1">IFERROR(__xludf.DUMMYFUNCTION("""COMPUTED_VALUE"""),"")</f>
        <v/>
      </c>
      <c r="T653" s="9" t="str">
        <f ca="1">IFERROR(__xludf.DUMMYFUNCTION("""COMPUTED_VALUE"""),"")</f>
        <v/>
      </c>
      <c r="U653" s="9" t="e">
        <f ca="1"/>
        <v>#NAME?</v>
      </c>
      <c r="V653" s="9" t="e">
        <f ca="1"/>
        <v>#NAME?</v>
      </c>
      <c r="W653" s="9" t="str">
        <f ca="1">IFERROR(__xludf.DUMMYFUNCTION("""COMPUTED_VALUE"""),"")</f>
        <v/>
      </c>
    </row>
    <row r="654" spans="18:23" ht="12.5" x14ac:dyDescent="0.25">
      <c r="R654" s="9" t="str">
        <v/>
      </c>
      <c r="S654" s="9" t="str">
        <f ca="1">IFERROR(__xludf.DUMMYFUNCTION("""COMPUTED_VALUE"""),"")</f>
        <v/>
      </c>
      <c r="T654" s="9" t="str">
        <f ca="1">IFERROR(__xludf.DUMMYFUNCTION("""COMPUTED_VALUE"""),"")</f>
        <v/>
      </c>
      <c r="U654" s="9" t="e">
        <f ca="1"/>
        <v>#NAME?</v>
      </c>
      <c r="V654" s="9" t="e">
        <f ca="1"/>
        <v>#NAME?</v>
      </c>
      <c r="W654" s="9" t="str">
        <f ca="1">IFERROR(__xludf.DUMMYFUNCTION("""COMPUTED_VALUE"""),"")</f>
        <v/>
      </c>
    </row>
    <row r="655" spans="18:23" ht="12.5" x14ac:dyDescent="0.25">
      <c r="R655" s="9" t="str">
        <v/>
      </c>
      <c r="S655" s="9" t="str">
        <f ca="1">IFERROR(__xludf.DUMMYFUNCTION("""COMPUTED_VALUE"""),"")</f>
        <v/>
      </c>
      <c r="T655" s="9" t="str">
        <f ca="1">IFERROR(__xludf.DUMMYFUNCTION("""COMPUTED_VALUE"""),"")</f>
        <v/>
      </c>
      <c r="U655" s="9" t="e">
        <f ca="1"/>
        <v>#NAME?</v>
      </c>
      <c r="V655" s="9" t="e">
        <f ca="1"/>
        <v>#NAME?</v>
      </c>
      <c r="W655" s="9" t="str">
        <f ca="1">IFERROR(__xludf.DUMMYFUNCTION("""COMPUTED_VALUE"""),"")</f>
        <v/>
      </c>
    </row>
    <row r="656" spans="18:23" ht="12.5" x14ac:dyDescent="0.25">
      <c r="R656" s="9" t="str">
        <v/>
      </c>
      <c r="S656" s="9" t="str">
        <f ca="1">IFERROR(__xludf.DUMMYFUNCTION("""COMPUTED_VALUE"""),"")</f>
        <v/>
      </c>
      <c r="T656" s="9" t="str">
        <f ca="1">IFERROR(__xludf.DUMMYFUNCTION("""COMPUTED_VALUE"""),"")</f>
        <v/>
      </c>
      <c r="U656" s="9" t="e">
        <f ca="1"/>
        <v>#NAME?</v>
      </c>
      <c r="V656" s="9" t="e">
        <f ca="1"/>
        <v>#NAME?</v>
      </c>
      <c r="W656" s="9" t="str">
        <f ca="1">IFERROR(__xludf.DUMMYFUNCTION("""COMPUTED_VALUE"""),"")</f>
        <v/>
      </c>
    </row>
    <row r="657" spans="18:23" ht="12.5" x14ac:dyDescent="0.25">
      <c r="R657" s="9" t="str">
        <v/>
      </c>
      <c r="S657" s="9" t="str">
        <f ca="1">IFERROR(__xludf.DUMMYFUNCTION("""COMPUTED_VALUE"""),"")</f>
        <v/>
      </c>
      <c r="T657" s="9" t="str">
        <f ca="1">IFERROR(__xludf.DUMMYFUNCTION("""COMPUTED_VALUE"""),"")</f>
        <v/>
      </c>
      <c r="U657" s="9" t="e">
        <f ca="1"/>
        <v>#NAME?</v>
      </c>
      <c r="V657" s="9" t="e">
        <f ca="1"/>
        <v>#NAME?</v>
      </c>
      <c r="W657" s="9" t="str">
        <f ca="1">IFERROR(__xludf.DUMMYFUNCTION("""COMPUTED_VALUE"""),"")</f>
        <v/>
      </c>
    </row>
    <row r="658" spans="18:23" ht="12.5" x14ac:dyDescent="0.25">
      <c r="R658" s="9" t="str">
        <v/>
      </c>
      <c r="S658" s="9" t="str">
        <f ca="1">IFERROR(__xludf.DUMMYFUNCTION("""COMPUTED_VALUE"""),"")</f>
        <v/>
      </c>
      <c r="T658" s="9" t="str">
        <f ca="1">IFERROR(__xludf.DUMMYFUNCTION("""COMPUTED_VALUE"""),"")</f>
        <v/>
      </c>
      <c r="U658" s="9" t="e">
        <f ca="1"/>
        <v>#NAME?</v>
      </c>
      <c r="V658" s="9" t="e">
        <f ca="1"/>
        <v>#NAME?</v>
      </c>
      <c r="W658" s="9" t="str">
        <f ca="1">IFERROR(__xludf.DUMMYFUNCTION("""COMPUTED_VALUE"""),"")</f>
        <v/>
      </c>
    </row>
    <row r="659" spans="18:23" ht="12.5" x14ac:dyDescent="0.25">
      <c r="R659" s="9" t="str">
        <v/>
      </c>
      <c r="S659" s="9" t="str">
        <f ca="1">IFERROR(__xludf.DUMMYFUNCTION("""COMPUTED_VALUE"""),"")</f>
        <v/>
      </c>
      <c r="T659" s="9" t="str">
        <f ca="1">IFERROR(__xludf.DUMMYFUNCTION("""COMPUTED_VALUE"""),"")</f>
        <v/>
      </c>
      <c r="U659" s="9" t="e">
        <f ca="1"/>
        <v>#NAME?</v>
      </c>
      <c r="V659" s="9" t="e">
        <f ca="1"/>
        <v>#NAME?</v>
      </c>
      <c r="W659" s="9" t="str">
        <f ca="1">IFERROR(__xludf.DUMMYFUNCTION("""COMPUTED_VALUE"""),"")</f>
        <v/>
      </c>
    </row>
    <row r="660" spans="18:23" ht="12.5" x14ac:dyDescent="0.25">
      <c r="R660" s="9" t="str">
        <v/>
      </c>
      <c r="S660" s="9" t="str">
        <f ca="1">IFERROR(__xludf.DUMMYFUNCTION("""COMPUTED_VALUE"""),"")</f>
        <v/>
      </c>
      <c r="T660" s="9" t="str">
        <f ca="1">IFERROR(__xludf.DUMMYFUNCTION("""COMPUTED_VALUE"""),"")</f>
        <v/>
      </c>
      <c r="U660" s="9" t="e">
        <f ca="1"/>
        <v>#NAME?</v>
      </c>
      <c r="V660" s="9" t="e">
        <f ca="1"/>
        <v>#NAME?</v>
      </c>
      <c r="W660" s="9" t="str">
        <f ca="1">IFERROR(__xludf.DUMMYFUNCTION("""COMPUTED_VALUE"""),"")</f>
        <v/>
      </c>
    </row>
    <row r="661" spans="18:23" ht="12.5" x14ac:dyDescent="0.25">
      <c r="R661" s="9" t="str">
        <v/>
      </c>
      <c r="S661" s="9" t="str">
        <f ca="1">IFERROR(__xludf.DUMMYFUNCTION("""COMPUTED_VALUE"""),"")</f>
        <v/>
      </c>
      <c r="T661" s="9" t="str">
        <f ca="1">IFERROR(__xludf.DUMMYFUNCTION("""COMPUTED_VALUE"""),"")</f>
        <v/>
      </c>
      <c r="U661" s="9" t="e">
        <f ca="1"/>
        <v>#NAME?</v>
      </c>
      <c r="V661" s="9" t="e">
        <f ca="1"/>
        <v>#NAME?</v>
      </c>
      <c r="W661" s="9" t="str">
        <f ca="1">IFERROR(__xludf.DUMMYFUNCTION("""COMPUTED_VALUE"""),"")</f>
        <v/>
      </c>
    </row>
    <row r="662" spans="18:23" ht="12.5" x14ac:dyDescent="0.25">
      <c r="R662" s="9" t="str">
        <v/>
      </c>
      <c r="S662" s="9" t="str">
        <f ca="1">IFERROR(__xludf.DUMMYFUNCTION("""COMPUTED_VALUE"""),"")</f>
        <v/>
      </c>
      <c r="T662" s="9" t="str">
        <f ca="1">IFERROR(__xludf.DUMMYFUNCTION("""COMPUTED_VALUE"""),"")</f>
        <v/>
      </c>
      <c r="U662" s="9" t="e">
        <f ca="1"/>
        <v>#NAME?</v>
      </c>
      <c r="V662" s="9" t="e">
        <f ca="1"/>
        <v>#NAME?</v>
      </c>
      <c r="W662" s="9" t="str">
        <f ca="1">IFERROR(__xludf.DUMMYFUNCTION("""COMPUTED_VALUE"""),"")</f>
        <v/>
      </c>
    </row>
    <row r="663" spans="18:23" ht="12.5" x14ac:dyDescent="0.25">
      <c r="R663" s="9" t="str">
        <v/>
      </c>
      <c r="S663" s="9" t="str">
        <f ca="1">IFERROR(__xludf.DUMMYFUNCTION("""COMPUTED_VALUE"""),"")</f>
        <v/>
      </c>
      <c r="T663" s="9" t="str">
        <f ca="1">IFERROR(__xludf.DUMMYFUNCTION("""COMPUTED_VALUE"""),"")</f>
        <v/>
      </c>
      <c r="U663" s="9" t="e">
        <f ca="1"/>
        <v>#NAME?</v>
      </c>
      <c r="V663" s="9" t="e">
        <f ca="1"/>
        <v>#NAME?</v>
      </c>
      <c r="W663" s="9" t="str">
        <f ca="1">IFERROR(__xludf.DUMMYFUNCTION("""COMPUTED_VALUE"""),"")</f>
        <v/>
      </c>
    </row>
    <row r="664" spans="18:23" ht="12.5" x14ac:dyDescent="0.25">
      <c r="R664" s="9" t="str">
        <v/>
      </c>
      <c r="S664" s="9" t="str">
        <f ca="1">IFERROR(__xludf.DUMMYFUNCTION("""COMPUTED_VALUE"""),"")</f>
        <v/>
      </c>
      <c r="T664" s="9" t="str">
        <f ca="1">IFERROR(__xludf.DUMMYFUNCTION("""COMPUTED_VALUE"""),"")</f>
        <v/>
      </c>
      <c r="U664" s="9" t="e">
        <f ca="1"/>
        <v>#NAME?</v>
      </c>
      <c r="V664" s="9" t="e">
        <f ca="1"/>
        <v>#NAME?</v>
      </c>
      <c r="W664" s="9" t="str">
        <f ca="1">IFERROR(__xludf.DUMMYFUNCTION("""COMPUTED_VALUE"""),"")</f>
        <v/>
      </c>
    </row>
    <row r="665" spans="18:23" ht="12.5" x14ac:dyDescent="0.25">
      <c r="R665" s="9" t="str">
        <v/>
      </c>
      <c r="S665" s="9" t="str">
        <f ca="1">IFERROR(__xludf.DUMMYFUNCTION("""COMPUTED_VALUE"""),"")</f>
        <v/>
      </c>
      <c r="T665" s="9" t="str">
        <f ca="1">IFERROR(__xludf.DUMMYFUNCTION("""COMPUTED_VALUE"""),"")</f>
        <v/>
      </c>
      <c r="U665" s="9" t="e">
        <f ca="1"/>
        <v>#NAME?</v>
      </c>
      <c r="V665" s="9" t="e">
        <f ca="1"/>
        <v>#NAME?</v>
      </c>
      <c r="W665" s="9" t="str">
        <f ca="1">IFERROR(__xludf.DUMMYFUNCTION("""COMPUTED_VALUE"""),"")</f>
        <v/>
      </c>
    </row>
    <row r="666" spans="18:23" ht="12.5" x14ac:dyDescent="0.25">
      <c r="R666" s="9" t="str">
        <v/>
      </c>
      <c r="S666" s="9" t="str">
        <f ca="1">IFERROR(__xludf.DUMMYFUNCTION("""COMPUTED_VALUE"""),"")</f>
        <v/>
      </c>
      <c r="T666" s="9" t="str">
        <f ca="1">IFERROR(__xludf.DUMMYFUNCTION("""COMPUTED_VALUE"""),"")</f>
        <v/>
      </c>
      <c r="U666" s="9" t="e">
        <f ca="1"/>
        <v>#NAME?</v>
      </c>
      <c r="V666" s="9" t="e">
        <f ca="1"/>
        <v>#NAME?</v>
      </c>
      <c r="W666" s="9" t="str">
        <f ca="1">IFERROR(__xludf.DUMMYFUNCTION("""COMPUTED_VALUE"""),"")</f>
        <v/>
      </c>
    </row>
    <row r="667" spans="18:23" ht="12.5" x14ac:dyDescent="0.25">
      <c r="R667" s="9" t="str">
        <v/>
      </c>
      <c r="S667" s="9" t="str">
        <f ca="1">IFERROR(__xludf.DUMMYFUNCTION("""COMPUTED_VALUE"""),"")</f>
        <v/>
      </c>
      <c r="T667" s="9" t="str">
        <f ca="1">IFERROR(__xludf.DUMMYFUNCTION("""COMPUTED_VALUE"""),"")</f>
        <v/>
      </c>
      <c r="U667" s="9" t="e">
        <f ca="1"/>
        <v>#NAME?</v>
      </c>
      <c r="V667" s="9" t="e">
        <f ca="1"/>
        <v>#NAME?</v>
      </c>
      <c r="W667" s="9" t="str">
        <f ca="1">IFERROR(__xludf.DUMMYFUNCTION("""COMPUTED_VALUE"""),"")</f>
        <v/>
      </c>
    </row>
    <row r="668" spans="18:23" ht="12.5" x14ac:dyDescent="0.25">
      <c r="R668" s="9" t="str">
        <v/>
      </c>
      <c r="S668" s="9" t="str">
        <f ca="1">IFERROR(__xludf.DUMMYFUNCTION("""COMPUTED_VALUE"""),"")</f>
        <v/>
      </c>
      <c r="T668" s="9" t="str">
        <f ca="1">IFERROR(__xludf.DUMMYFUNCTION("""COMPUTED_VALUE"""),"")</f>
        <v/>
      </c>
      <c r="U668" s="9" t="e">
        <f ca="1"/>
        <v>#NAME?</v>
      </c>
      <c r="V668" s="9" t="e">
        <f ca="1"/>
        <v>#NAME?</v>
      </c>
      <c r="W668" s="9" t="str">
        <f ca="1">IFERROR(__xludf.DUMMYFUNCTION("""COMPUTED_VALUE"""),"")</f>
        <v/>
      </c>
    </row>
    <row r="669" spans="18:23" ht="12.5" x14ac:dyDescent="0.25">
      <c r="R669" s="9" t="str">
        <v/>
      </c>
      <c r="S669" s="9" t="str">
        <f ca="1">IFERROR(__xludf.DUMMYFUNCTION("""COMPUTED_VALUE"""),"")</f>
        <v/>
      </c>
      <c r="T669" s="9" t="str">
        <f ca="1">IFERROR(__xludf.DUMMYFUNCTION("""COMPUTED_VALUE"""),"")</f>
        <v/>
      </c>
      <c r="U669" s="9" t="e">
        <f ca="1"/>
        <v>#NAME?</v>
      </c>
      <c r="V669" s="9" t="e">
        <f ca="1"/>
        <v>#NAME?</v>
      </c>
      <c r="W669" s="9" t="str">
        <f ca="1">IFERROR(__xludf.DUMMYFUNCTION("""COMPUTED_VALUE"""),"")</f>
        <v/>
      </c>
    </row>
    <row r="670" spans="18:23" ht="12.5" x14ac:dyDescent="0.25">
      <c r="R670" s="9" t="str">
        <v/>
      </c>
      <c r="S670" s="9" t="str">
        <f ca="1">IFERROR(__xludf.DUMMYFUNCTION("""COMPUTED_VALUE"""),"")</f>
        <v/>
      </c>
      <c r="T670" s="9" t="str">
        <f ca="1">IFERROR(__xludf.DUMMYFUNCTION("""COMPUTED_VALUE"""),"")</f>
        <v/>
      </c>
      <c r="U670" s="9" t="e">
        <f ca="1"/>
        <v>#NAME?</v>
      </c>
      <c r="V670" s="9" t="e">
        <f ca="1"/>
        <v>#NAME?</v>
      </c>
      <c r="W670" s="9" t="str">
        <f ca="1">IFERROR(__xludf.DUMMYFUNCTION("""COMPUTED_VALUE"""),"")</f>
        <v/>
      </c>
    </row>
    <row r="671" spans="18:23" ht="12.5" x14ac:dyDescent="0.25">
      <c r="R671" s="9" t="str">
        <v/>
      </c>
      <c r="S671" s="9" t="str">
        <f ca="1">IFERROR(__xludf.DUMMYFUNCTION("""COMPUTED_VALUE"""),"")</f>
        <v/>
      </c>
      <c r="T671" s="9" t="str">
        <f ca="1">IFERROR(__xludf.DUMMYFUNCTION("""COMPUTED_VALUE"""),"")</f>
        <v/>
      </c>
      <c r="U671" s="9" t="e">
        <f ca="1"/>
        <v>#NAME?</v>
      </c>
      <c r="V671" s="9" t="e">
        <f ca="1"/>
        <v>#NAME?</v>
      </c>
      <c r="W671" s="9" t="str">
        <f ca="1">IFERROR(__xludf.DUMMYFUNCTION("""COMPUTED_VALUE"""),"")</f>
        <v/>
      </c>
    </row>
    <row r="672" spans="18:23" ht="12.5" x14ac:dyDescent="0.25">
      <c r="R672" s="9" t="str">
        <v/>
      </c>
      <c r="S672" s="9" t="str">
        <f ca="1">IFERROR(__xludf.DUMMYFUNCTION("""COMPUTED_VALUE"""),"")</f>
        <v/>
      </c>
      <c r="T672" s="9" t="str">
        <f ca="1">IFERROR(__xludf.DUMMYFUNCTION("""COMPUTED_VALUE"""),"")</f>
        <v/>
      </c>
      <c r="U672" s="9" t="e">
        <f ca="1"/>
        <v>#NAME?</v>
      </c>
      <c r="V672" s="9" t="e">
        <f ca="1"/>
        <v>#NAME?</v>
      </c>
      <c r="W672" s="9" t="str">
        <f ca="1">IFERROR(__xludf.DUMMYFUNCTION("""COMPUTED_VALUE"""),"")</f>
        <v/>
      </c>
    </row>
    <row r="673" spans="18:23" ht="12.5" x14ac:dyDescent="0.25">
      <c r="R673" s="9" t="str">
        <v/>
      </c>
      <c r="S673" s="9" t="str">
        <f ca="1">IFERROR(__xludf.DUMMYFUNCTION("""COMPUTED_VALUE"""),"")</f>
        <v/>
      </c>
      <c r="T673" s="9" t="str">
        <f ca="1">IFERROR(__xludf.DUMMYFUNCTION("""COMPUTED_VALUE"""),"")</f>
        <v/>
      </c>
      <c r="U673" s="9" t="e">
        <f ca="1"/>
        <v>#NAME?</v>
      </c>
      <c r="V673" s="9" t="e">
        <f ca="1"/>
        <v>#NAME?</v>
      </c>
      <c r="W673" s="9" t="str">
        <f ca="1">IFERROR(__xludf.DUMMYFUNCTION("""COMPUTED_VALUE"""),"")</f>
        <v/>
      </c>
    </row>
    <row r="674" spans="18:23" ht="12.5" x14ac:dyDescent="0.25">
      <c r="R674" s="9" t="str">
        <v/>
      </c>
      <c r="S674" s="9" t="str">
        <f ca="1">IFERROR(__xludf.DUMMYFUNCTION("""COMPUTED_VALUE"""),"")</f>
        <v/>
      </c>
      <c r="T674" s="9" t="str">
        <f ca="1">IFERROR(__xludf.DUMMYFUNCTION("""COMPUTED_VALUE"""),"")</f>
        <v/>
      </c>
      <c r="U674" s="9" t="e">
        <f ca="1"/>
        <v>#NAME?</v>
      </c>
      <c r="V674" s="9" t="e">
        <f ca="1"/>
        <v>#NAME?</v>
      </c>
      <c r="W674" s="9" t="str">
        <f ca="1">IFERROR(__xludf.DUMMYFUNCTION("""COMPUTED_VALUE"""),"")</f>
        <v/>
      </c>
    </row>
    <row r="675" spans="18:23" ht="12.5" x14ac:dyDescent="0.25">
      <c r="R675" s="9" t="str">
        <v/>
      </c>
      <c r="S675" s="9" t="str">
        <f ca="1">IFERROR(__xludf.DUMMYFUNCTION("""COMPUTED_VALUE"""),"")</f>
        <v/>
      </c>
      <c r="T675" s="9" t="str">
        <f ca="1">IFERROR(__xludf.DUMMYFUNCTION("""COMPUTED_VALUE"""),"")</f>
        <v/>
      </c>
      <c r="U675" s="9" t="e">
        <f ca="1"/>
        <v>#NAME?</v>
      </c>
      <c r="V675" s="9" t="e">
        <f ca="1"/>
        <v>#NAME?</v>
      </c>
      <c r="W675" s="9" t="str">
        <f ca="1">IFERROR(__xludf.DUMMYFUNCTION("""COMPUTED_VALUE"""),"")</f>
        <v/>
      </c>
    </row>
    <row r="676" spans="18:23" ht="12.5" x14ac:dyDescent="0.25">
      <c r="R676" s="9" t="str">
        <v/>
      </c>
      <c r="S676" s="9" t="str">
        <f ca="1">IFERROR(__xludf.DUMMYFUNCTION("""COMPUTED_VALUE"""),"")</f>
        <v/>
      </c>
      <c r="T676" s="9" t="str">
        <f ca="1">IFERROR(__xludf.DUMMYFUNCTION("""COMPUTED_VALUE"""),"")</f>
        <v/>
      </c>
      <c r="U676" s="9" t="e">
        <f ca="1"/>
        <v>#NAME?</v>
      </c>
      <c r="V676" s="9" t="e">
        <f ca="1"/>
        <v>#NAME?</v>
      </c>
      <c r="W676" s="9" t="str">
        <f ca="1">IFERROR(__xludf.DUMMYFUNCTION("""COMPUTED_VALUE"""),"")</f>
        <v/>
      </c>
    </row>
    <row r="677" spans="18:23" ht="12.5" x14ac:dyDescent="0.25">
      <c r="R677" s="9" t="str">
        <v/>
      </c>
      <c r="S677" s="9" t="str">
        <f ca="1">IFERROR(__xludf.DUMMYFUNCTION("""COMPUTED_VALUE"""),"")</f>
        <v/>
      </c>
      <c r="T677" s="9" t="str">
        <f ca="1">IFERROR(__xludf.DUMMYFUNCTION("""COMPUTED_VALUE"""),"")</f>
        <v/>
      </c>
      <c r="U677" s="9" t="e">
        <f ca="1"/>
        <v>#NAME?</v>
      </c>
      <c r="V677" s="9" t="e">
        <f ca="1"/>
        <v>#NAME?</v>
      </c>
      <c r="W677" s="9" t="str">
        <f ca="1">IFERROR(__xludf.DUMMYFUNCTION("""COMPUTED_VALUE"""),"")</f>
        <v/>
      </c>
    </row>
    <row r="678" spans="18:23" ht="12.5" x14ac:dyDescent="0.25">
      <c r="R678" s="9" t="str">
        <v/>
      </c>
      <c r="S678" s="9" t="str">
        <f ca="1">IFERROR(__xludf.DUMMYFUNCTION("""COMPUTED_VALUE"""),"")</f>
        <v/>
      </c>
      <c r="T678" s="9" t="str">
        <f ca="1">IFERROR(__xludf.DUMMYFUNCTION("""COMPUTED_VALUE"""),"")</f>
        <v/>
      </c>
      <c r="U678" s="9" t="e">
        <f ca="1"/>
        <v>#NAME?</v>
      </c>
      <c r="V678" s="9" t="e">
        <f ca="1"/>
        <v>#NAME?</v>
      </c>
      <c r="W678" s="9" t="str">
        <f ca="1">IFERROR(__xludf.DUMMYFUNCTION("""COMPUTED_VALUE"""),"")</f>
        <v/>
      </c>
    </row>
    <row r="679" spans="18:23" ht="12.5" x14ac:dyDescent="0.25">
      <c r="R679" s="9" t="str">
        <v/>
      </c>
      <c r="S679" s="9" t="str">
        <f ca="1">IFERROR(__xludf.DUMMYFUNCTION("""COMPUTED_VALUE"""),"")</f>
        <v/>
      </c>
      <c r="T679" s="9" t="str">
        <f ca="1">IFERROR(__xludf.DUMMYFUNCTION("""COMPUTED_VALUE"""),"")</f>
        <v/>
      </c>
      <c r="U679" s="9" t="e">
        <f ca="1"/>
        <v>#NAME?</v>
      </c>
      <c r="V679" s="9" t="e">
        <f ca="1"/>
        <v>#NAME?</v>
      </c>
      <c r="W679" s="9" t="str">
        <f ca="1">IFERROR(__xludf.DUMMYFUNCTION("""COMPUTED_VALUE"""),"")</f>
        <v/>
      </c>
    </row>
    <row r="680" spans="18:23" ht="12.5" x14ac:dyDescent="0.25">
      <c r="R680" s="9" t="str">
        <v/>
      </c>
      <c r="S680" s="9" t="str">
        <f ca="1">IFERROR(__xludf.DUMMYFUNCTION("""COMPUTED_VALUE"""),"")</f>
        <v/>
      </c>
      <c r="T680" s="9" t="str">
        <f ca="1">IFERROR(__xludf.DUMMYFUNCTION("""COMPUTED_VALUE"""),"")</f>
        <v/>
      </c>
      <c r="U680" s="9" t="e">
        <f ca="1"/>
        <v>#NAME?</v>
      </c>
      <c r="V680" s="9" t="e">
        <f ca="1"/>
        <v>#NAME?</v>
      </c>
      <c r="W680" s="9" t="str">
        <f ca="1">IFERROR(__xludf.DUMMYFUNCTION("""COMPUTED_VALUE"""),"")</f>
        <v/>
      </c>
    </row>
    <row r="681" spans="18:23" ht="12.5" x14ac:dyDescent="0.25">
      <c r="R681" s="9" t="str">
        <v/>
      </c>
      <c r="S681" s="9" t="str">
        <f ca="1">IFERROR(__xludf.DUMMYFUNCTION("""COMPUTED_VALUE"""),"")</f>
        <v/>
      </c>
      <c r="T681" s="9" t="str">
        <f ca="1">IFERROR(__xludf.DUMMYFUNCTION("""COMPUTED_VALUE"""),"")</f>
        <v/>
      </c>
      <c r="U681" s="9" t="e">
        <f ca="1"/>
        <v>#NAME?</v>
      </c>
      <c r="V681" s="9" t="e">
        <f ca="1"/>
        <v>#NAME?</v>
      </c>
      <c r="W681" s="9" t="str">
        <f ca="1">IFERROR(__xludf.DUMMYFUNCTION("""COMPUTED_VALUE"""),"")</f>
        <v/>
      </c>
    </row>
    <row r="682" spans="18:23" ht="12.5" x14ac:dyDescent="0.25">
      <c r="R682" s="9" t="str">
        <v/>
      </c>
      <c r="S682" s="9" t="str">
        <f ca="1">IFERROR(__xludf.DUMMYFUNCTION("""COMPUTED_VALUE"""),"")</f>
        <v/>
      </c>
      <c r="T682" s="9" t="str">
        <f ca="1">IFERROR(__xludf.DUMMYFUNCTION("""COMPUTED_VALUE"""),"")</f>
        <v/>
      </c>
      <c r="U682" s="9" t="e">
        <f ca="1"/>
        <v>#NAME?</v>
      </c>
      <c r="V682" s="9" t="e">
        <f ca="1"/>
        <v>#NAME?</v>
      </c>
      <c r="W682" s="9" t="str">
        <f ca="1">IFERROR(__xludf.DUMMYFUNCTION("""COMPUTED_VALUE"""),"")</f>
        <v/>
      </c>
    </row>
    <row r="683" spans="18:23" ht="12.5" x14ac:dyDescent="0.25">
      <c r="R683" s="9" t="str">
        <v/>
      </c>
      <c r="S683" s="9" t="str">
        <f ca="1">IFERROR(__xludf.DUMMYFUNCTION("""COMPUTED_VALUE"""),"")</f>
        <v/>
      </c>
      <c r="T683" s="9" t="str">
        <f ca="1">IFERROR(__xludf.DUMMYFUNCTION("""COMPUTED_VALUE"""),"")</f>
        <v/>
      </c>
      <c r="U683" s="9" t="e">
        <f ca="1"/>
        <v>#NAME?</v>
      </c>
      <c r="V683" s="9" t="e">
        <f ca="1"/>
        <v>#NAME?</v>
      </c>
      <c r="W683" s="9" t="str">
        <f ca="1">IFERROR(__xludf.DUMMYFUNCTION("""COMPUTED_VALUE"""),"")</f>
        <v/>
      </c>
    </row>
    <row r="684" spans="18:23" ht="12.5" x14ac:dyDescent="0.25">
      <c r="R684" s="9" t="str">
        <v/>
      </c>
      <c r="S684" s="9" t="str">
        <f ca="1">IFERROR(__xludf.DUMMYFUNCTION("""COMPUTED_VALUE"""),"")</f>
        <v/>
      </c>
      <c r="T684" s="9" t="str">
        <f ca="1">IFERROR(__xludf.DUMMYFUNCTION("""COMPUTED_VALUE"""),"")</f>
        <v/>
      </c>
      <c r="U684" s="9" t="e">
        <f ca="1"/>
        <v>#NAME?</v>
      </c>
      <c r="V684" s="9" t="e">
        <f ca="1"/>
        <v>#NAME?</v>
      </c>
      <c r="W684" s="9" t="str">
        <f ca="1">IFERROR(__xludf.DUMMYFUNCTION("""COMPUTED_VALUE"""),"")</f>
        <v/>
      </c>
    </row>
    <row r="685" spans="18:23" ht="12.5" x14ac:dyDescent="0.25">
      <c r="R685" s="9" t="str">
        <v/>
      </c>
      <c r="S685" s="9" t="str">
        <f ca="1">IFERROR(__xludf.DUMMYFUNCTION("""COMPUTED_VALUE"""),"")</f>
        <v/>
      </c>
      <c r="T685" s="9" t="str">
        <f ca="1">IFERROR(__xludf.DUMMYFUNCTION("""COMPUTED_VALUE"""),"")</f>
        <v/>
      </c>
      <c r="U685" s="9" t="e">
        <f ca="1"/>
        <v>#NAME?</v>
      </c>
      <c r="V685" s="9" t="e">
        <f ca="1"/>
        <v>#NAME?</v>
      </c>
      <c r="W685" s="9" t="str">
        <f ca="1">IFERROR(__xludf.DUMMYFUNCTION("""COMPUTED_VALUE"""),"")</f>
        <v/>
      </c>
    </row>
    <row r="686" spans="18:23" ht="12.5" x14ac:dyDescent="0.25">
      <c r="R686" s="9" t="str">
        <v/>
      </c>
      <c r="S686" s="9" t="str">
        <f ca="1">IFERROR(__xludf.DUMMYFUNCTION("""COMPUTED_VALUE"""),"")</f>
        <v/>
      </c>
      <c r="T686" s="9" t="str">
        <f ca="1">IFERROR(__xludf.DUMMYFUNCTION("""COMPUTED_VALUE"""),"")</f>
        <v/>
      </c>
      <c r="U686" s="9" t="e">
        <f ca="1"/>
        <v>#NAME?</v>
      </c>
      <c r="V686" s="9" t="e">
        <f ca="1"/>
        <v>#NAME?</v>
      </c>
      <c r="W686" s="9" t="str">
        <f ca="1">IFERROR(__xludf.DUMMYFUNCTION("""COMPUTED_VALUE"""),"")</f>
        <v/>
      </c>
    </row>
    <row r="687" spans="18:23" ht="12.5" x14ac:dyDescent="0.25">
      <c r="R687" s="9" t="str">
        <v/>
      </c>
      <c r="S687" s="9" t="str">
        <f ca="1">IFERROR(__xludf.DUMMYFUNCTION("""COMPUTED_VALUE"""),"")</f>
        <v/>
      </c>
      <c r="T687" s="9" t="str">
        <f ca="1">IFERROR(__xludf.DUMMYFUNCTION("""COMPUTED_VALUE"""),"")</f>
        <v/>
      </c>
      <c r="U687" s="9" t="e">
        <f ca="1"/>
        <v>#NAME?</v>
      </c>
      <c r="V687" s="9" t="e">
        <f ca="1"/>
        <v>#NAME?</v>
      </c>
      <c r="W687" s="9" t="str">
        <f ca="1">IFERROR(__xludf.DUMMYFUNCTION("""COMPUTED_VALUE"""),"")</f>
        <v/>
      </c>
    </row>
    <row r="688" spans="18:23" ht="12.5" x14ac:dyDescent="0.25">
      <c r="R688" s="9" t="str">
        <v/>
      </c>
      <c r="S688" s="9" t="str">
        <f ca="1">IFERROR(__xludf.DUMMYFUNCTION("""COMPUTED_VALUE"""),"")</f>
        <v/>
      </c>
      <c r="T688" s="9" t="str">
        <f ca="1">IFERROR(__xludf.DUMMYFUNCTION("""COMPUTED_VALUE"""),"")</f>
        <v/>
      </c>
      <c r="U688" s="9" t="e">
        <f ca="1"/>
        <v>#NAME?</v>
      </c>
      <c r="V688" s="9" t="e">
        <f ca="1"/>
        <v>#NAME?</v>
      </c>
      <c r="W688" s="9" t="str">
        <f ca="1">IFERROR(__xludf.DUMMYFUNCTION("""COMPUTED_VALUE"""),"")</f>
        <v/>
      </c>
    </row>
    <row r="689" spans="18:23" ht="12.5" x14ac:dyDescent="0.25">
      <c r="R689" s="9" t="str">
        <v/>
      </c>
      <c r="S689" s="9" t="str">
        <f ca="1">IFERROR(__xludf.DUMMYFUNCTION("""COMPUTED_VALUE"""),"")</f>
        <v/>
      </c>
      <c r="T689" s="9" t="str">
        <f ca="1">IFERROR(__xludf.DUMMYFUNCTION("""COMPUTED_VALUE"""),"")</f>
        <v/>
      </c>
      <c r="U689" s="9" t="e">
        <f ca="1"/>
        <v>#NAME?</v>
      </c>
      <c r="V689" s="9" t="e">
        <f ca="1"/>
        <v>#NAME?</v>
      </c>
      <c r="W689" s="9" t="str">
        <f ca="1">IFERROR(__xludf.DUMMYFUNCTION("""COMPUTED_VALUE"""),"")</f>
        <v/>
      </c>
    </row>
    <row r="690" spans="18:23" ht="12.5" x14ac:dyDescent="0.25">
      <c r="R690" s="9" t="str">
        <v/>
      </c>
      <c r="S690" s="9" t="str">
        <f ca="1">IFERROR(__xludf.DUMMYFUNCTION("""COMPUTED_VALUE"""),"")</f>
        <v/>
      </c>
      <c r="T690" s="9" t="str">
        <f ca="1">IFERROR(__xludf.DUMMYFUNCTION("""COMPUTED_VALUE"""),"")</f>
        <v/>
      </c>
      <c r="U690" s="9" t="e">
        <f ca="1"/>
        <v>#NAME?</v>
      </c>
      <c r="V690" s="9" t="e">
        <f ca="1"/>
        <v>#NAME?</v>
      </c>
      <c r="W690" s="9" t="str">
        <f ca="1">IFERROR(__xludf.DUMMYFUNCTION("""COMPUTED_VALUE"""),"")</f>
        <v/>
      </c>
    </row>
    <row r="691" spans="18:23" ht="12.5" x14ac:dyDescent="0.25">
      <c r="R691" s="9" t="str">
        <v/>
      </c>
      <c r="S691" s="9" t="str">
        <f ca="1">IFERROR(__xludf.DUMMYFUNCTION("""COMPUTED_VALUE"""),"")</f>
        <v/>
      </c>
      <c r="T691" s="9" t="str">
        <f ca="1">IFERROR(__xludf.DUMMYFUNCTION("""COMPUTED_VALUE"""),"")</f>
        <v/>
      </c>
      <c r="U691" s="9" t="e">
        <f ca="1"/>
        <v>#NAME?</v>
      </c>
      <c r="V691" s="9" t="e">
        <f ca="1"/>
        <v>#NAME?</v>
      </c>
      <c r="W691" s="9" t="str">
        <f ca="1">IFERROR(__xludf.DUMMYFUNCTION("""COMPUTED_VALUE"""),"")</f>
        <v/>
      </c>
    </row>
    <row r="692" spans="18:23" ht="12.5" x14ac:dyDescent="0.25">
      <c r="R692" s="9" t="str">
        <v/>
      </c>
      <c r="S692" s="9" t="str">
        <f ca="1">IFERROR(__xludf.DUMMYFUNCTION("""COMPUTED_VALUE"""),"")</f>
        <v/>
      </c>
      <c r="T692" s="9" t="str">
        <f ca="1">IFERROR(__xludf.DUMMYFUNCTION("""COMPUTED_VALUE"""),"")</f>
        <v/>
      </c>
      <c r="U692" s="9" t="e">
        <f ca="1"/>
        <v>#NAME?</v>
      </c>
      <c r="V692" s="9" t="e">
        <f ca="1"/>
        <v>#NAME?</v>
      </c>
      <c r="W692" s="9" t="str">
        <f ca="1">IFERROR(__xludf.DUMMYFUNCTION("""COMPUTED_VALUE"""),"")</f>
        <v/>
      </c>
    </row>
    <row r="693" spans="18:23" ht="12.5" x14ac:dyDescent="0.25">
      <c r="R693" s="9" t="str">
        <v/>
      </c>
      <c r="S693" s="9" t="str">
        <f ca="1">IFERROR(__xludf.DUMMYFUNCTION("""COMPUTED_VALUE"""),"")</f>
        <v/>
      </c>
      <c r="T693" s="9" t="str">
        <f ca="1">IFERROR(__xludf.DUMMYFUNCTION("""COMPUTED_VALUE"""),"")</f>
        <v/>
      </c>
      <c r="U693" s="9" t="e">
        <f ca="1"/>
        <v>#NAME?</v>
      </c>
      <c r="V693" s="9" t="e">
        <f ca="1"/>
        <v>#NAME?</v>
      </c>
      <c r="W693" s="9" t="str">
        <f ca="1">IFERROR(__xludf.DUMMYFUNCTION("""COMPUTED_VALUE"""),"")</f>
        <v/>
      </c>
    </row>
    <row r="694" spans="18:23" ht="12.5" x14ac:dyDescent="0.25">
      <c r="R694" s="9" t="str">
        <v/>
      </c>
      <c r="S694" s="9" t="str">
        <f ca="1">IFERROR(__xludf.DUMMYFUNCTION("""COMPUTED_VALUE"""),"")</f>
        <v/>
      </c>
      <c r="T694" s="9" t="str">
        <f ca="1">IFERROR(__xludf.DUMMYFUNCTION("""COMPUTED_VALUE"""),"")</f>
        <v/>
      </c>
      <c r="U694" s="9" t="e">
        <f ca="1"/>
        <v>#NAME?</v>
      </c>
      <c r="V694" s="9" t="e">
        <f ca="1"/>
        <v>#NAME?</v>
      </c>
      <c r="W694" s="9" t="str">
        <f ca="1">IFERROR(__xludf.DUMMYFUNCTION("""COMPUTED_VALUE"""),"")</f>
        <v/>
      </c>
    </row>
    <row r="695" spans="18:23" ht="12.5" x14ac:dyDescent="0.25">
      <c r="R695" s="9" t="str">
        <v/>
      </c>
      <c r="S695" s="9" t="str">
        <f ca="1">IFERROR(__xludf.DUMMYFUNCTION("""COMPUTED_VALUE"""),"")</f>
        <v/>
      </c>
      <c r="T695" s="9" t="str">
        <f ca="1">IFERROR(__xludf.DUMMYFUNCTION("""COMPUTED_VALUE"""),"")</f>
        <v/>
      </c>
      <c r="U695" s="9" t="e">
        <f ca="1"/>
        <v>#NAME?</v>
      </c>
      <c r="V695" s="9" t="e">
        <f ca="1"/>
        <v>#NAME?</v>
      </c>
      <c r="W695" s="9" t="str">
        <f ca="1">IFERROR(__xludf.DUMMYFUNCTION("""COMPUTED_VALUE"""),"")</f>
        <v/>
      </c>
    </row>
    <row r="696" spans="18:23" ht="12.5" x14ac:dyDescent="0.25">
      <c r="R696" s="9" t="str">
        <v/>
      </c>
      <c r="S696" s="9" t="str">
        <f ca="1">IFERROR(__xludf.DUMMYFUNCTION("""COMPUTED_VALUE"""),"")</f>
        <v/>
      </c>
      <c r="T696" s="9" t="str">
        <f ca="1">IFERROR(__xludf.DUMMYFUNCTION("""COMPUTED_VALUE"""),"")</f>
        <v/>
      </c>
      <c r="U696" s="9" t="e">
        <f ca="1"/>
        <v>#NAME?</v>
      </c>
      <c r="V696" s="9" t="e">
        <f ca="1"/>
        <v>#NAME?</v>
      </c>
      <c r="W696" s="9" t="str">
        <f ca="1">IFERROR(__xludf.DUMMYFUNCTION("""COMPUTED_VALUE"""),"")</f>
        <v/>
      </c>
    </row>
    <row r="697" spans="18:23" ht="12.5" x14ac:dyDescent="0.25">
      <c r="R697" s="9" t="str">
        <v/>
      </c>
      <c r="S697" s="9" t="str">
        <f ca="1">IFERROR(__xludf.DUMMYFUNCTION("""COMPUTED_VALUE"""),"")</f>
        <v/>
      </c>
      <c r="T697" s="9" t="str">
        <f ca="1">IFERROR(__xludf.DUMMYFUNCTION("""COMPUTED_VALUE"""),"")</f>
        <v/>
      </c>
      <c r="U697" s="9" t="e">
        <f ca="1"/>
        <v>#NAME?</v>
      </c>
      <c r="V697" s="9" t="e">
        <f ca="1"/>
        <v>#NAME?</v>
      </c>
      <c r="W697" s="9" t="str">
        <f ca="1">IFERROR(__xludf.DUMMYFUNCTION("""COMPUTED_VALUE"""),"")</f>
        <v/>
      </c>
    </row>
    <row r="698" spans="18:23" ht="12.5" x14ac:dyDescent="0.25">
      <c r="R698" s="9" t="str">
        <v/>
      </c>
      <c r="S698" s="9" t="str">
        <f ca="1">IFERROR(__xludf.DUMMYFUNCTION("""COMPUTED_VALUE"""),"")</f>
        <v/>
      </c>
      <c r="T698" s="9" t="str">
        <f ca="1">IFERROR(__xludf.DUMMYFUNCTION("""COMPUTED_VALUE"""),"")</f>
        <v/>
      </c>
      <c r="U698" s="9" t="e">
        <f ca="1"/>
        <v>#NAME?</v>
      </c>
      <c r="V698" s="9" t="e">
        <f ca="1"/>
        <v>#NAME?</v>
      </c>
      <c r="W698" s="9" t="str">
        <f ca="1">IFERROR(__xludf.DUMMYFUNCTION("""COMPUTED_VALUE"""),"")</f>
        <v/>
      </c>
    </row>
    <row r="699" spans="18:23" ht="12.5" x14ac:dyDescent="0.25">
      <c r="R699" s="9" t="str">
        <v/>
      </c>
      <c r="S699" s="9" t="str">
        <f ca="1">IFERROR(__xludf.DUMMYFUNCTION("""COMPUTED_VALUE"""),"")</f>
        <v/>
      </c>
      <c r="T699" s="9" t="str">
        <f ca="1">IFERROR(__xludf.DUMMYFUNCTION("""COMPUTED_VALUE"""),"")</f>
        <v/>
      </c>
      <c r="U699" s="9" t="e">
        <f ca="1"/>
        <v>#NAME?</v>
      </c>
      <c r="V699" s="9" t="e">
        <f ca="1"/>
        <v>#NAME?</v>
      </c>
      <c r="W699" s="9" t="str">
        <f ca="1">IFERROR(__xludf.DUMMYFUNCTION("""COMPUTED_VALUE"""),"")</f>
        <v/>
      </c>
    </row>
    <row r="700" spans="18:23" ht="12.5" x14ac:dyDescent="0.25">
      <c r="R700" s="9" t="str">
        <v/>
      </c>
      <c r="S700" s="9" t="str">
        <f ca="1">IFERROR(__xludf.DUMMYFUNCTION("""COMPUTED_VALUE"""),"")</f>
        <v/>
      </c>
      <c r="T700" s="9" t="str">
        <f ca="1">IFERROR(__xludf.DUMMYFUNCTION("""COMPUTED_VALUE"""),"")</f>
        <v/>
      </c>
      <c r="U700" s="9" t="e">
        <f ca="1"/>
        <v>#NAME?</v>
      </c>
      <c r="V700" s="9" t="e">
        <f ca="1"/>
        <v>#NAME?</v>
      </c>
      <c r="W700" s="9" t="str">
        <f ca="1">IFERROR(__xludf.DUMMYFUNCTION("""COMPUTED_VALUE"""),"")</f>
        <v/>
      </c>
    </row>
    <row r="701" spans="18:23" ht="12.5" x14ac:dyDescent="0.25">
      <c r="R701" s="9" t="str">
        <v/>
      </c>
      <c r="S701" s="9" t="str">
        <f ca="1">IFERROR(__xludf.DUMMYFUNCTION("""COMPUTED_VALUE"""),"")</f>
        <v/>
      </c>
      <c r="T701" s="9" t="str">
        <f ca="1">IFERROR(__xludf.DUMMYFUNCTION("""COMPUTED_VALUE"""),"")</f>
        <v/>
      </c>
      <c r="U701" s="9" t="e">
        <f ca="1"/>
        <v>#NAME?</v>
      </c>
      <c r="V701" s="9" t="e">
        <f ca="1"/>
        <v>#NAME?</v>
      </c>
      <c r="W701" s="9" t="str">
        <f ca="1">IFERROR(__xludf.DUMMYFUNCTION("""COMPUTED_VALUE"""),"")</f>
        <v/>
      </c>
    </row>
    <row r="702" spans="18:23" ht="12.5" x14ac:dyDescent="0.25">
      <c r="R702" s="9" t="str">
        <v/>
      </c>
      <c r="S702" s="9" t="str">
        <f ca="1">IFERROR(__xludf.DUMMYFUNCTION("""COMPUTED_VALUE"""),"")</f>
        <v/>
      </c>
      <c r="T702" s="9" t="str">
        <f ca="1">IFERROR(__xludf.DUMMYFUNCTION("""COMPUTED_VALUE"""),"")</f>
        <v/>
      </c>
      <c r="U702" s="9" t="e">
        <f ca="1"/>
        <v>#NAME?</v>
      </c>
      <c r="V702" s="9" t="e">
        <f ca="1"/>
        <v>#NAME?</v>
      </c>
      <c r="W702" s="9" t="str">
        <f ca="1">IFERROR(__xludf.DUMMYFUNCTION("""COMPUTED_VALUE"""),"")</f>
        <v/>
      </c>
    </row>
    <row r="703" spans="18:23" ht="12.5" x14ac:dyDescent="0.25">
      <c r="R703" s="9" t="str">
        <v/>
      </c>
      <c r="S703" s="9" t="str">
        <f ca="1">IFERROR(__xludf.DUMMYFUNCTION("""COMPUTED_VALUE"""),"")</f>
        <v/>
      </c>
      <c r="T703" s="9" t="str">
        <f ca="1">IFERROR(__xludf.DUMMYFUNCTION("""COMPUTED_VALUE"""),"")</f>
        <v/>
      </c>
      <c r="U703" s="9" t="e">
        <f ca="1"/>
        <v>#NAME?</v>
      </c>
      <c r="V703" s="9" t="e">
        <f ca="1"/>
        <v>#NAME?</v>
      </c>
      <c r="W703" s="9" t="str">
        <f ca="1">IFERROR(__xludf.DUMMYFUNCTION("""COMPUTED_VALUE"""),"")</f>
        <v/>
      </c>
    </row>
    <row r="704" spans="18:23" ht="12.5" x14ac:dyDescent="0.25">
      <c r="R704" s="9" t="str">
        <v/>
      </c>
      <c r="S704" s="9" t="str">
        <f ca="1">IFERROR(__xludf.DUMMYFUNCTION("""COMPUTED_VALUE"""),"")</f>
        <v/>
      </c>
      <c r="T704" s="9" t="str">
        <f ca="1">IFERROR(__xludf.DUMMYFUNCTION("""COMPUTED_VALUE"""),"")</f>
        <v/>
      </c>
      <c r="U704" s="9" t="e">
        <f ca="1"/>
        <v>#NAME?</v>
      </c>
      <c r="V704" s="9" t="e">
        <f ca="1"/>
        <v>#NAME?</v>
      </c>
      <c r="W704" s="9" t="str">
        <f ca="1">IFERROR(__xludf.DUMMYFUNCTION("""COMPUTED_VALUE"""),"")</f>
        <v/>
      </c>
    </row>
    <row r="705" spans="18:23" ht="12.5" x14ac:dyDescent="0.25">
      <c r="R705" s="9" t="str">
        <v/>
      </c>
      <c r="S705" s="9" t="str">
        <f ca="1">IFERROR(__xludf.DUMMYFUNCTION("""COMPUTED_VALUE"""),"")</f>
        <v/>
      </c>
      <c r="T705" s="9" t="str">
        <f ca="1">IFERROR(__xludf.DUMMYFUNCTION("""COMPUTED_VALUE"""),"")</f>
        <v/>
      </c>
      <c r="U705" s="9" t="e">
        <f ca="1"/>
        <v>#NAME?</v>
      </c>
      <c r="V705" s="9" t="e">
        <f ca="1"/>
        <v>#NAME?</v>
      </c>
      <c r="W705" s="9" t="str">
        <f ca="1">IFERROR(__xludf.DUMMYFUNCTION("""COMPUTED_VALUE"""),"")</f>
        <v/>
      </c>
    </row>
    <row r="706" spans="18:23" ht="12.5" x14ac:dyDescent="0.25">
      <c r="R706" s="9" t="str">
        <v/>
      </c>
      <c r="S706" s="9" t="str">
        <f ca="1">IFERROR(__xludf.DUMMYFUNCTION("""COMPUTED_VALUE"""),"")</f>
        <v/>
      </c>
      <c r="T706" s="9" t="str">
        <f ca="1">IFERROR(__xludf.DUMMYFUNCTION("""COMPUTED_VALUE"""),"")</f>
        <v/>
      </c>
      <c r="U706" s="9" t="e">
        <f ca="1"/>
        <v>#NAME?</v>
      </c>
      <c r="V706" s="9" t="e">
        <f ca="1"/>
        <v>#NAME?</v>
      </c>
      <c r="W706" s="9" t="str">
        <f ca="1">IFERROR(__xludf.DUMMYFUNCTION("""COMPUTED_VALUE"""),"")</f>
        <v/>
      </c>
    </row>
    <row r="707" spans="18:23" ht="12.5" x14ac:dyDescent="0.25">
      <c r="R707" s="9" t="str">
        <v/>
      </c>
      <c r="S707" s="9" t="str">
        <f ca="1">IFERROR(__xludf.DUMMYFUNCTION("""COMPUTED_VALUE"""),"")</f>
        <v/>
      </c>
      <c r="T707" s="9" t="str">
        <f ca="1">IFERROR(__xludf.DUMMYFUNCTION("""COMPUTED_VALUE"""),"")</f>
        <v/>
      </c>
      <c r="U707" s="9" t="e">
        <f ca="1"/>
        <v>#NAME?</v>
      </c>
      <c r="V707" s="9" t="e">
        <f ca="1"/>
        <v>#NAME?</v>
      </c>
      <c r="W707" s="9" t="str">
        <f ca="1">IFERROR(__xludf.DUMMYFUNCTION("""COMPUTED_VALUE"""),"")</f>
        <v/>
      </c>
    </row>
    <row r="708" spans="18:23" ht="12.5" x14ac:dyDescent="0.25">
      <c r="R708" s="9" t="str">
        <v/>
      </c>
      <c r="S708" s="9" t="str">
        <f ca="1">IFERROR(__xludf.DUMMYFUNCTION("""COMPUTED_VALUE"""),"")</f>
        <v/>
      </c>
      <c r="T708" s="9" t="str">
        <f ca="1">IFERROR(__xludf.DUMMYFUNCTION("""COMPUTED_VALUE"""),"")</f>
        <v/>
      </c>
      <c r="U708" s="9" t="e">
        <f ca="1"/>
        <v>#NAME?</v>
      </c>
      <c r="V708" s="9" t="e">
        <f ca="1"/>
        <v>#NAME?</v>
      </c>
      <c r="W708" s="9" t="str">
        <f ca="1">IFERROR(__xludf.DUMMYFUNCTION("""COMPUTED_VALUE"""),"")</f>
        <v/>
      </c>
    </row>
    <row r="709" spans="18:23" ht="12.5" x14ac:dyDescent="0.25">
      <c r="R709" s="9" t="str">
        <v/>
      </c>
      <c r="S709" s="9" t="str">
        <f ca="1">IFERROR(__xludf.DUMMYFUNCTION("""COMPUTED_VALUE"""),"")</f>
        <v/>
      </c>
      <c r="T709" s="9" t="str">
        <f ca="1">IFERROR(__xludf.DUMMYFUNCTION("""COMPUTED_VALUE"""),"")</f>
        <v/>
      </c>
      <c r="U709" s="9" t="e">
        <f ca="1"/>
        <v>#NAME?</v>
      </c>
      <c r="V709" s="9" t="e">
        <f ca="1"/>
        <v>#NAME?</v>
      </c>
      <c r="W709" s="9" t="str">
        <f ca="1">IFERROR(__xludf.DUMMYFUNCTION("""COMPUTED_VALUE"""),"")</f>
        <v/>
      </c>
    </row>
    <row r="710" spans="18:23" ht="12.5" x14ac:dyDescent="0.25">
      <c r="R710" s="9" t="str">
        <v/>
      </c>
      <c r="S710" s="9" t="str">
        <f ca="1">IFERROR(__xludf.DUMMYFUNCTION("""COMPUTED_VALUE"""),"")</f>
        <v/>
      </c>
      <c r="T710" s="9" t="str">
        <f ca="1">IFERROR(__xludf.DUMMYFUNCTION("""COMPUTED_VALUE"""),"")</f>
        <v/>
      </c>
      <c r="U710" s="9" t="e">
        <f ca="1"/>
        <v>#NAME?</v>
      </c>
      <c r="V710" s="9" t="e">
        <f ca="1"/>
        <v>#NAME?</v>
      </c>
      <c r="W710" s="9" t="str">
        <f ca="1">IFERROR(__xludf.DUMMYFUNCTION("""COMPUTED_VALUE"""),"")</f>
        <v/>
      </c>
    </row>
    <row r="711" spans="18:23" ht="12.5" x14ac:dyDescent="0.25">
      <c r="R711" s="9" t="str">
        <v/>
      </c>
      <c r="S711" s="9" t="str">
        <f ca="1">IFERROR(__xludf.DUMMYFUNCTION("""COMPUTED_VALUE"""),"")</f>
        <v/>
      </c>
      <c r="T711" s="9" t="str">
        <f ca="1">IFERROR(__xludf.DUMMYFUNCTION("""COMPUTED_VALUE"""),"")</f>
        <v/>
      </c>
      <c r="U711" s="9" t="e">
        <f ca="1"/>
        <v>#NAME?</v>
      </c>
      <c r="V711" s="9" t="e">
        <f ca="1"/>
        <v>#NAME?</v>
      </c>
      <c r="W711" s="9" t="str">
        <f ca="1">IFERROR(__xludf.DUMMYFUNCTION("""COMPUTED_VALUE"""),"")</f>
        <v/>
      </c>
    </row>
    <row r="712" spans="18:23" ht="12.5" x14ac:dyDescent="0.25">
      <c r="R712" s="9" t="str">
        <v/>
      </c>
      <c r="S712" s="9" t="str">
        <f ca="1">IFERROR(__xludf.DUMMYFUNCTION("""COMPUTED_VALUE"""),"")</f>
        <v/>
      </c>
      <c r="T712" s="9" t="str">
        <f ca="1">IFERROR(__xludf.DUMMYFUNCTION("""COMPUTED_VALUE"""),"")</f>
        <v/>
      </c>
      <c r="U712" s="9" t="e">
        <f ca="1"/>
        <v>#NAME?</v>
      </c>
      <c r="V712" s="9" t="e">
        <f ca="1"/>
        <v>#NAME?</v>
      </c>
      <c r="W712" s="9" t="str">
        <f ca="1">IFERROR(__xludf.DUMMYFUNCTION("""COMPUTED_VALUE"""),"")</f>
        <v/>
      </c>
    </row>
    <row r="713" spans="18:23" ht="12.5" x14ac:dyDescent="0.25">
      <c r="R713" s="9" t="str">
        <v/>
      </c>
      <c r="S713" s="9" t="str">
        <f ca="1">IFERROR(__xludf.DUMMYFUNCTION("""COMPUTED_VALUE"""),"")</f>
        <v/>
      </c>
      <c r="T713" s="9" t="str">
        <f ca="1">IFERROR(__xludf.DUMMYFUNCTION("""COMPUTED_VALUE"""),"")</f>
        <v/>
      </c>
      <c r="U713" s="9" t="e">
        <f ca="1"/>
        <v>#NAME?</v>
      </c>
      <c r="V713" s="9" t="e">
        <f ca="1"/>
        <v>#NAME?</v>
      </c>
      <c r="W713" s="9" t="str">
        <f ca="1">IFERROR(__xludf.DUMMYFUNCTION("""COMPUTED_VALUE"""),"")</f>
        <v/>
      </c>
    </row>
    <row r="714" spans="18:23" ht="12.5" x14ac:dyDescent="0.25">
      <c r="R714" s="9" t="str">
        <v/>
      </c>
      <c r="S714" s="9" t="str">
        <f ca="1">IFERROR(__xludf.DUMMYFUNCTION("""COMPUTED_VALUE"""),"")</f>
        <v/>
      </c>
      <c r="T714" s="9" t="str">
        <f ca="1">IFERROR(__xludf.DUMMYFUNCTION("""COMPUTED_VALUE"""),"")</f>
        <v/>
      </c>
      <c r="U714" s="9" t="e">
        <f ca="1"/>
        <v>#NAME?</v>
      </c>
      <c r="V714" s="9" t="e">
        <f ca="1"/>
        <v>#NAME?</v>
      </c>
      <c r="W714" s="9" t="str">
        <f ca="1">IFERROR(__xludf.DUMMYFUNCTION("""COMPUTED_VALUE"""),"")</f>
        <v/>
      </c>
    </row>
    <row r="715" spans="18:23" ht="12.5" x14ac:dyDescent="0.25">
      <c r="R715" s="9" t="str">
        <v/>
      </c>
      <c r="S715" s="9" t="str">
        <f ca="1">IFERROR(__xludf.DUMMYFUNCTION("""COMPUTED_VALUE"""),"")</f>
        <v/>
      </c>
      <c r="T715" s="9" t="str">
        <f ca="1">IFERROR(__xludf.DUMMYFUNCTION("""COMPUTED_VALUE"""),"")</f>
        <v/>
      </c>
      <c r="U715" s="9" t="e">
        <f ca="1"/>
        <v>#NAME?</v>
      </c>
      <c r="V715" s="9" t="e">
        <f ca="1"/>
        <v>#NAME?</v>
      </c>
      <c r="W715" s="9" t="str">
        <f ca="1">IFERROR(__xludf.DUMMYFUNCTION("""COMPUTED_VALUE"""),"")</f>
        <v/>
      </c>
    </row>
    <row r="716" spans="18:23" ht="12.5" x14ac:dyDescent="0.25">
      <c r="R716" s="9" t="str">
        <v/>
      </c>
      <c r="S716" s="9" t="str">
        <f ca="1">IFERROR(__xludf.DUMMYFUNCTION("""COMPUTED_VALUE"""),"")</f>
        <v/>
      </c>
      <c r="T716" s="9" t="str">
        <f ca="1">IFERROR(__xludf.DUMMYFUNCTION("""COMPUTED_VALUE"""),"")</f>
        <v/>
      </c>
      <c r="U716" s="9" t="e">
        <f ca="1"/>
        <v>#NAME?</v>
      </c>
      <c r="V716" s="9" t="e">
        <f ca="1"/>
        <v>#NAME?</v>
      </c>
      <c r="W716" s="9" t="str">
        <f ca="1">IFERROR(__xludf.DUMMYFUNCTION("""COMPUTED_VALUE"""),"")</f>
        <v/>
      </c>
    </row>
    <row r="717" spans="18:23" ht="12.5" x14ac:dyDescent="0.25">
      <c r="R717" s="9" t="str">
        <v/>
      </c>
      <c r="S717" s="9" t="str">
        <f ca="1">IFERROR(__xludf.DUMMYFUNCTION("""COMPUTED_VALUE"""),"")</f>
        <v/>
      </c>
      <c r="T717" s="9" t="str">
        <f ca="1">IFERROR(__xludf.DUMMYFUNCTION("""COMPUTED_VALUE"""),"")</f>
        <v/>
      </c>
      <c r="U717" s="9" t="e">
        <f ca="1"/>
        <v>#NAME?</v>
      </c>
      <c r="V717" s="9" t="e">
        <f ca="1"/>
        <v>#NAME?</v>
      </c>
      <c r="W717" s="9" t="str">
        <f ca="1">IFERROR(__xludf.DUMMYFUNCTION("""COMPUTED_VALUE"""),"")</f>
        <v/>
      </c>
    </row>
    <row r="718" spans="18:23" ht="12.5" x14ac:dyDescent="0.25">
      <c r="R718" s="9" t="str">
        <v/>
      </c>
      <c r="S718" s="9" t="str">
        <f ca="1">IFERROR(__xludf.DUMMYFUNCTION("""COMPUTED_VALUE"""),"")</f>
        <v/>
      </c>
      <c r="T718" s="9" t="str">
        <f ca="1">IFERROR(__xludf.DUMMYFUNCTION("""COMPUTED_VALUE"""),"")</f>
        <v/>
      </c>
      <c r="U718" s="9" t="e">
        <f ca="1"/>
        <v>#NAME?</v>
      </c>
      <c r="V718" s="9" t="e">
        <f ca="1"/>
        <v>#NAME?</v>
      </c>
      <c r="W718" s="9" t="str">
        <f ca="1">IFERROR(__xludf.DUMMYFUNCTION("""COMPUTED_VALUE"""),"")</f>
        <v/>
      </c>
    </row>
    <row r="719" spans="18:23" ht="12.5" x14ac:dyDescent="0.25">
      <c r="R719" s="9" t="str">
        <v/>
      </c>
      <c r="S719" s="9" t="str">
        <f ca="1">IFERROR(__xludf.DUMMYFUNCTION("""COMPUTED_VALUE"""),"")</f>
        <v/>
      </c>
      <c r="T719" s="9" t="str">
        <f ca="1">IFERROR(__xludf.DUMMYFUNCTION("""COMPUTED_VALUE"""),"")</f>
        <v/>
      </c>
      <c r="U719" s="9" t="e">
        <f ca="1"/>
        <v>#NAME?</v>
      </c>
      <c r="V719" s="9" t="e">
        <f ca="1"/>
        <v>#NAME?</v>
      </c>
      <c r="W719" s="9" t="str">
        <f ca="1">IFERROR(__xludf.DUMMYFUNCTION("""COMPUTED_VALUE"""),"")</f>
        <v/>
      </c>
    </row>
    <row r="720" spans="18:23" ht="12.5" x14ac:dyDescent="0.25">
      <c r="R720" s="9" t="str">
        <v/>
      </c>
      <c r="S720" s="9" t="str">
        <f ca="1">IFERROR(__xludf.DUMMYFUNCTION("""COMPUTED_VALUE"""),"")</f>
        <v/>
      </c>
      <c r="T720" s="9" t="str">
        <f ca="1">IFERROR(__xludf.DUMMYFUNCTION("""COMPUTED_VALUE"""),"")</f>
        <v/>
      </c>
      <c r="U720" s="9" t="e">
        <f ca="1"/>
        <v>#NAME?</v>
      </c>
      <c r="V720" s="9" t="e">
        <f ca="1"/>
        <v>#NAME?</v>
      </c>
      <c r="W720" s="9" t="str">
        <f ca="1">IFERROR(__xludf.DUMMYFUNCTION("""COMPUTED_VALUE"""),"")</f>
        <v/>
      </c>
    </row>
    <row r="721" spans="18:23" ht="12.5" x14ac:dyDescent="0.25">
      <c r="R721" s="9" t="str">
        <v/>
      </c>
      <c r="S721" s="9" t="str">
        <f ca="1">IFERROR(__xludf.DUMMYFUNCTION("""COMPUTED_VALUE"""),"")</f>
        <v/>
      </c>
      <c r="T721" s="9" t="str">
        <f ca="1">IFERROR(__xludf.DUMMYFUNCTION("""COMPUTED_VALUE"""),"")</f>
        <v/>
      </c>
      <c r="U721" s="9" t="e">
        <f ca="1"/>
        <v>#NAME?</v>
      </c>
      <c r="V721" s="9" t="e">
        <f ca="1"/>
        <v>#NAME?</v>
      </c>
      <c r="W721" s="9" t="str">
        <f ca="1">IFERROR(__xludf.DUMMYFUNCTION("""COMPUTED_VALUE"""),"")</f>
        <v/>
      </c>
    </row>
    <row r="722" spans="18:23" ht="12.5" x14ac:dyDescent="0.25">
      <c r="R722" s="9" t="str">
        <v/>
      </c>
      <c r="S722" s="9" t="str">
        <f ca="1">IFERROR(__xludf.DUMMYFUNCTION("""COMPUTED_VALUE"""),"")</f>
        <v/>
      </c>
      <c r="T722" s="9" t="str">
        <f ca="1">IFERROR(__xludf.DUMMYFUNCTION("""COMPUTED_VALUE"""),"")</f>
        <v/>
      </c>
      <c r="U722" s="9" t="e">
        <f ca="1"/>
        <v>#NAME?</v>
      </c>
      <c r="V722" s="9" t="e">
        <f ca="1"/>
        <v>#NAME?</v>
      </c>
      <c r="W722" s="9" t="str">
        <f ca="1">IFERROR(__xludf.DUMMYFUNCTION("""COMPUTED_VALUE"""),"")</f>
        <v/>
      </c>
    </row>
    <row r="723" spans="18:23" ht="12.5" x14ac:dyDescent="0.25">
      <c r="R723" s="9" t="str">
        <v/>
      </c>
      <c r="S723" s="9" t="str">
        <f ca="1">IFERROR(__xludf.DUMMYFUNCTION("""COMPUTED_VALUE"""),"")</f>
        <v/>
      </c>
      <c r="T723" s="9" t="str">
        <f ca="1">IFERROR(__xludf.DUMMYFUNCTION("""COMPUTED_VALUE"""),"")</f>
        <v/>
      </c>
      <c r="U723" s="9" t="e">
        <f ca="1"/>
        <v>#NAME?</v>
      </c>
      <c r="V723" s="9" t="e">
        <f ca="1"/>
        <v>#NAME?</v>
      </c>
      <c r="W723" s="9" t="str">
        <f ca="1">IFERROR(__xludf.DUMMYFUNCTION("""COMPUTED_VALUE"""),"")</f>
        <v/>
      </c>
    </row>
    <row r="724" spans="18:23" ht="12.5" x14ac:dyDescent="0.25">
      <c r="R724" s="9" t="str">
        <v/>
      </c>
      <c r="S724" s="9" t="str">
        <f ca="1">IFERROR(__xludf.DUMMYFUNCTION("""COMPUTED_VALUE"""),"")</f>
        <v/>
      </c>
      <c r="T724" s="9" t="str">
        <f ca="1">IFERROR(__xludf.DUMMYFUNCTION("""COMPUTED_VALUE"""),"")</f>
        <v/>
      </c>
      <c r="U724" s="9" t="e">
        <f ca="1"/>
        <v>#NAME?</v>
      </c>
      <c r="V724" s="9" t="e">
        <f ca="1"/>
        <v>#NAME?</v>
      </c>
      <c r="W724" s="9" t="str">
        <f ca="1">IFERROR(__xludf.DUMMYFUNCTION("""COMPUTED_VALUE"""),"")</f>
        <v/>
      </c>
    </row>
    <row r="725" spans="18:23" ht="12.5" x14ac:dyDescent="0.25">
      <c r="R725" s="9" t="str">
        <v/>
      </c>
      <c r="S725" s="9" t="str">
        <f ca="1">IFERROR(__xludf.DUMMYFUNCTION("""COMPUTED_VALUE"""),"")</f>
        <v/>
      </c>
      <c r="T725" s="9" t="str">
        <f ca="1">IFERROR(__xludf.DUMMYFUNCTION("""COMPUTED_VALUE"""),"")</f>
        <v/>
      </c>
      <c r="U725" s="9" t="e">
        <f ca="1"/>
        <v>#NAME?</v>
      </c>
      <c r="V725" s="9" t="e">
        <f ca="1"/>
        <v>#NAME?</v>
      </c>
      <c r="W725" s="9" t="str">
        <f ca="1">IFERROR(__xludf.DUMMYFUNCTION("""COMPUTED_VALUE"""),"")</f>
        <v/>
      </c>
    </row>
    <row r="726" spans="18:23" ht="12.5" x14ac:dyDescent="0.25">
      <c r="R726" s="9" t="str">
        <v/>
      </c>
      <c r="S726" s="9" t="str">
        <f ca="1">IFERROR(__xludf.DUMMYFUNCTION("""COMPUTED_VALUE"""),"")</f>
        <v/>
      </c>
      <c r="T726" s="9" t="str">
        <f ca="1">IFERROR(__xludf.DUMMYFUNCTION("""COMPUTED_VALUE"""),"")</f>
        <v/>
      </c>
      <c r="U726" s="9" t="e">
        <f ca="1"/>
        <v>#NAME?</v>
      </c>
      <c r="V726" s="9" t="e">
        <f ca="1"/>
        <v>#NAME?</v>
      </c>
      <c r="W726" s="9" t="str">
        <f ca="1">IFERROR(__xludf.DUMMYFUNCTION("""COMPUTED_VALUE"""),"")</f>
        <v/>
      </c>
    </row>
    <row r="727" spans="18:23" ht="12.5" x14ac:dyDescent="0.25">
      <c r="R727" s="9" t="str">
        <v/>
      </c>
      <c r="S727" s="9" t="str">
        <f ca="1">IFERROR(__xludf.DUMMYFUNCTION("""COMPUTED_VALUE"""),"")</f>
        <v/>
      </c>
      <c r="T727" s="9" t="str">
        <f ca="1">IFERROR(__xludf.DUMMYFUNCTION("""COMPUTED_VALUE"""),"")</f>
        <v/>
      </c>
      <c r="U727" s="9" t="e">
        <f ca="1"/>
        <v>#NAME?</v>
      </c>
      <c r="V727" s="9" t="e">
        <f ca="1"/>
        <v>#NAME?</v>
      </c>
      <c r="W727" s="9" t="str">
        <f ca="1">IFERROR(__xludf.DUMMYFUNCTION("""COMPUTED_VALUE"""),"")</f>
        <v/>
      </c>
    </row>
    <row r="728" spans="18:23" ht="12.5" x14ac:dyDescent="0.25">
      <c r="R728" s="9" t="str">
        <v/>
      </c>
      <c r="S728" s="9" t="str">
        <f ca="1">IFERROR(__xludf.DUMMYFUNCTION("""COMPUTED_VALUE"""),"")</f>
        <v/>
      </c>
      <c r="T728" s="9" t="str">
        <f ca="1">IFERROR(__xludf.DUMMYFUNCTION("""COMPUTED_VALUE"""),"")</f>
        <v/>
      </c>
      <c r="U728" s="9" t="e">
        <f ca="1"/>
        <v>#NAME?</v>
      </c>
      <c r="V728" s="9" t="e">
        <f ca="1"/>
        <v>#NAME?</v>
      </c>
      <c r="W728" s="9" t="str">
        <f ca="1">IFERROR(__xludf.DUMMYFUNCTION("""COMPUTED_VALUE"""),"")</f>
        <v/>
      </c>
    </row>
    <row r="729" spans="18:23" ht="12.5" x14ac:dyDescent="0.25">
      <c r="R729" s="9" t="str">
        <v/>
      </c>
      <c r="S729" s="9" t="str">
        <f ca="1">IFERROR(__xludf.DUMMYFUNCTION("""COMPUTED_VALUE"""),"")</f>
        <v/>
      </c>
      <c r="T729" s="9" t="str">
        <f ca="1">IFERROR(__xludf.DUMMYFUNCTION("""COMPUTED_VALUE"""),"")</f>
        <v/>
      </c>
      <c r="U729" s="9" t="e">
        <f ca="1"/>
        <v>#NAME?</v>
      </c>
      <c r="V729" s="9" t="e">
        <f ca="1"/>
        <v>#NAME?</v>
      </c>
      <c r="W729" s="9" t="str">
        <f ca="1">IFERROR(__xludf.DUMMYFUNCTION("""COMPUTED_VALUE"""),"")</f>
        <v/>
      </c>
    </row>
    <row r="730" spans="18:23" ht="12.5" x14ac:dyDescent="0.25">
      <c r="R730" s="9" t="str">
        <v/>
      </c>
      <c r="S730" s="9" t="str">
        <f ca="1">IFERROR(__xludf.DUMMYFUNCTION("""COMPUTED_VALUE"""),"")</f>
        <v/>
      </c>
      <c r="T730" s="9" t="str">
        <f ca="1">IFERROR(__xludf.DUMMYFUNCTION("""COMPUTED_VALUE"""),"")</f>
        <v/>
      </c>
      <c r="U730" s="9" t="e">
        <f ca="1"/>
        <v>#NAME?</v>
      </c>
      <c r="V730" s="9" t="e">
        <f ca="1"/>
        <v>#NAME?</v>
      </c>
      <c r="W730" s="9" t="str">
        <f ca="1">IFERROR(__xludf.DUMMYFUNCTION("""COMPUTED_VALUE"""),"")</f>
        <v/>
      </c>
    </row>
    <row r="731" spans="18:23" ht="12.5" x14ac:dyDescent="0.25">
      <c r="R731" s="9" t="str">
        <v/>
      </c>
      <c r="S731" s="9" t="str">
        <f ca="1">IFERROR(__xludf.DUMMYFUNCTION("""COMPUTED_VALUE"""),"")</f>
        <v/>
      </c>
      <c r="T731" s="9" t="str">
        <f ca="1">IFERROR(__xludf.DUMMYFUNCTION("""COMPUTED_VALUE"""),"")</f>
        <v/>
      </c>
      <c r="U731" s="9" t="e">
        <f ca="1"/>
        <v>#NAME?</v>
      </c>
      <c r="V731" s="9" t="e">
        <f ca="1"/>
        <v>#NAME?</v>
      </c>
      <c r="W731" s="9" t="str">
        <f ca="1">IFERROR(__xludf.DUMMYFUNCTION("""COMPUTED_VALUE"""),"")</f>
        <v/>
      </c>
    </row>
    <row r="732" spans="18:23" ht="12.5" x14ac:dyDescent="0.25">
      <c r="R732" s="9" t="str">
        <v/>
      </c>
      <c r="S732" s="9" t="str">
        <f ca="1">IFERROR(__xludf.DUMMYFUNCTION("""COMPUTED_VALUE"""),"")</f>
        <v/>
      </c>
      <c r="T732" s="9" t="str">
        <f ca="1">IFERROR(__xludf.DUMMYFUNCTION("""COMPUTED_VALUE"""),"")</f>
        <v/>
      </c>
      <c r="U732" s="9" t="e">
        <f ca="1"/>
        <v>#NAME?</v>
      </c>
      <c r="V732" s="9" t="e">
        <f ca="1"/>
        <v>#NAME?</v>
      </c>
      <c r="W732" s="9" t="str">
        <f ca="1">IFERROR(__xludf.DUMMYFUNCTION("""COMPUTED_VALUE"""),"")</f>
        <v/>
      </c>
    </row>
    <row r="733" spans="18:23" ht="12.5" x14ac:dyDescent="0.25">
      <c r="R733" s="9" t="str">
        <v/>
      </c>
      <c r="S733" s="9" t="str">
        <f ca="1">IFERROR(__xludf.DUMMYFUNCTION("""COMPUTED_VALUE"""),"")</f>
        <v/>
      </c>
      <c r="T733" s="9" t="str">
        <f ca="1">IFERROR(__xludf.DUMMYFUNCTION("""COMPUTED_VALUE"""),"")</f>
        <v/>
      </c>
      <c r="U733" s="9" t="e">
        <f ca="1"/>
        <v>#NAME?</v>
      </c>
      <c r="V733" s="9" t="e">
        <f ca="1"/>
        <v>#NAME?</v>
      </c>
      <c r="W733" s="9" t="str">
        <f ca="1">IFERROR(__xludf.DUMMYFUNCTION("""COMPUTED_VALUE"""),"")</f>
        <v/>
      </c>
    </row>
    <row r="734" spans="18:23" ht="12.5" x14ac:dyDescent="0.25">
      <c r="R734" s="9" t="str">
        <v/>
      </c>
      <c r="S734" s="9" t="str">
        <f ca="1">IFERROR(__xludf.DUMMYFUNCTION("""COMPUTED_VALUE"""),"")</f>
        <v/>
      </c>
      <c r="T734" s="9" t="str">
        <f ca="1">IFERROR(__xludf.DUMMYFUNCTION("""COMPUTED_VALUE"""),"")</f>
        <v/>
      </c>
      <c r="U734" s="9" t="e">
        <f ca="1"/>
        <v>#NAME?</v>
      </c>
      <c r="V734" s="9" t="e">
        <f ca="1"/>
        <v>#NAME?</v>
      </c>
      <c r="W734" s="9" t="str">
        <f ca="1">IFERROR(__xludf.DUMMYFUNCTION("""COMPUTED_VALUE"""),"")</f>
        <v/>
      </c>
    </row>
    <row r="735" spans="18:23" ht="12.5" x14ac:dyDescent="0.25">
      <c r="R735" s="9" t="str">
        <v/>
      </c>
      <c r="S735" s="9" t="str">
        <f ca="1">IFERROR(__xludf.DUMMYFUNCTION("""COMPUTED_VALUE"""),"")</f>
        <v/>
      </c>
      <c r="T735" s="9" t="str">
        <f ca="1">IFERROR(__xludf.DUMMYFUNCTION("""COMPUTED_VALUE"""),"")</f>
        <v/>
      </c>
      <c r="U735" s="9" t="e">
        <f ca="1"/>
        <v>#NAME?</v>
      </c>
      <c r="V735" s="9" t="e">
        <f ca="1"/>
        <v>#NAME?</v>
      </c>
      <c r="W735" s="9" t="str">
        <f ca="1">IFERROR(__xludf.DUMMYFUNCTION("""COMPUTED_VALUE"""),"")</f>
        <v/>
      </c>
    </row>
    <row r="736" spans="18:23" ht="12.5" x14ac:dyDescent="0.25">
      <c r="R736" s="9" t="str">
        <v/>
      </c>
      <c r="S736" s="9" t="str">
        <f ca="1">IFERROR(__xludf.DUMMYFUNCTION("""COMPUTED_VALUE"""),"")</f>
        <v/>
      </c>
      <c r="T736" s="9" t="str">
        <f ca="1">IFERROR(__xludf.DUMMYFUNCTION("""COMPUTED_VALUE"""),"")</f>
        <v/>
      </c>
      <c r="U736" s="9" t="e">
        <f ca="1"/>
        <v>#NAME?</v>
      </c>
      <c r="V736" s="9" t="e">
        <f ca="1"/>
        <v>#NAME?</v>
      </c>
      <c r="W736" s="9" t="str">
        <f ca="1">IFERROR(__xludf.DUMMYFUNCTION("""COMPUTED_VALUE"""),"")</f>
        <v/>
      </c>
    </row>
    <row r="737" spans="18:23" ht="12.5" x14ac:dyDescent="0.25">
      <c r="R737" s="9" t="str">
        <v/>
      </c>
      <c r="S737" s="9" t="str">
        <f ca="1">IFERROR(__xludf.DUMMYFUNCTION("""COMPUTED_VALUE"""),"")</f>
        <v/>
      </c>
      <c r="T737" s="9" t="str">
        <f ca="1">IFERROR(__xludf.DUMMYFUNCTION("""COMPUTED_VALUE"""),"")</f>
        <v/>
      </c>
      <c r="U737" s="9" t="e">
        <f ca="1"/>
        <v>#NAME?</v>
      </c>
      <c r="V737" s="9" t="e">
        <f ca="1"/>
        <v>#NAME?</v>
      </c>
      <c r="W737" s="9" t="str">
        <f ca="1">IFERROR(__xludf.DUMMYFUNCTION("""COMPUTED_VALUE"""),"")</f>
        <v/>
      </c>
    </row>
    <row r="738" spans="18:23" ht="12.5" x14ac:dyDescent="0.25">
      <c r="R738" s="9" t="str">
        <v/>
      </c>
      <c r="S738" s="9" t="str">
        <f ca="1">IFERROR(__xludf.DUMMYFUNCTION("""COMPUTED_VALUE"""),"")</f>
        <v/>
      </c>
      <c r="T738" s="9" t="str">
        <f ca="1">IFERROR(__xludf.DUMMYFUNCTION("""COMPUTED_VALUE"""),"")</f>
        <v/>
      </c>
      <c r="U738" s="9" t="e">
        <f ca="1"/>
        <v>#NAME?</v>
      </c>
      <c r="V738" s="9" t="e">
        <f ca="1"/>
        <v>#NAME?</v>
      </c>
      <c r="W738" s="9" t="str">
        <f ca="1">IFERROR(__xludf.DUMMYFUNCTION("""COMPUTED_VALUE"""),"")</f>
        <v/>
      </c>
    </row>
    <row r="739" spans="18:23" ht="12.5" x14ac:dyDescent="0.25">
      <c r="R739" s="9" t="str">
        <v/>
      </c>
      <c r="S739" s="9" t="str">
        <f ca="1">IFERROR(__xludf.DUMMYFUNCTION("""COMPUTED_VALUE"""),"")</f>
        <v/>
      </c>
      <c r="T739" s="9" t="str">
        <f ca="1">IFERROR(__xludf.DUMMYFUNCTION("""COMPUTED_VALUE"""),"")</f>
        <v/>
      </c>
      <c r="U739" s="9" t="e">
        <f ca="1"/>
        <v>#NAME?</v>
      </c>
      <c r="V739" s="9" t="e">
        <f ca="1"/>
        <v>#NAME?</v>
      </c>
      <c r="W739" s="9" t="str">
        <f ca="1">IFERROR(__xludf.DUMMYFUNCTION("""COMPUTED_VALUE"""),"")</f>
        <v/>
      </c>
    </row>
    <row r="740" spans="18:23" ht="12.5" x14ac:dyDescent="0.25">
      <c r="R740" s="9" t="str">
        <v/>
      </c>
      <c r="S740" s="9" t="str">
        <f ca="1">IFERROR(__xludf.DUMMYFUNCTION("""COMPUTED_VALUE"""),"")</f>
        <v/>
      </c>
      <c r="T740" s="9" t="str">
        <f ca="1">IFERROR(__xludf.DUMMYFUNCTION("""COMPUTED_VALUE"""),"")</f>
        <v/>
      </c>
      <c r="U740" s="9" t="e">
        <f ca="1"/>
        <v>#NAME?</v>
      </c>
      <c r="V740" s="9" t="e">
        <f ca="1"/>
        <v>#NAME?</v>
      </c>
      <c r="W740" s="9" t="str">
        <f ca="1">IFERROR(__xludf.DUMMYFUNCTION("""COMPUTED_VALUE"""),"")</f>
        <v/>
      </c>
    </row>
    <row r="741" spans="18:23" ht="12.5" x14ac:dyDescent="0.25">
      <c r="R741" s="9" t="str">
        <v/>
      </c>
      <c r="S741" s="9" t="str">
        <f ca="1">IFERROR(__xludf.DUMMYFUNCTION("""COMPUTED_VALUE"""),"")</f>
        <v/>
      </c>
      <c r="T741" s="9" t="str">
        <f ca="1">IFERROR(__xludf.DUMMYFUNCTION("""COMPUTED_VALUE"""),"")</f>
        <v/>
      </c>
      <c r="U741" s="9" t="e">
        <f ca="1"/>
        <v>#NAME?</v>
      </c>
      <c r="V741" s="9" t="e">
        <f ca="1"/>
        <v>#NAME?</v>
      </c>
      <c r="W741" s="9" t="str">
        <f ca="1">IFERROR(__xludf.DUMMYFUNCTION("""COMPUTED_VALUE"""),"")</f>
        <v/>
      </c>
    </row>
    <row r="742" spans="18:23" ht="12.5" x14ac:dyDescent="0.25">
      <c r="R742" s="9" t="str">
        <v/>
      </c>
      <c r="S742" s="9" t="str">
        <f ca="1">IFERROR(__xludf.DUMMYFUNCTION("""COMPUTED_VALUE"""),"")</f>
        <v/>
      </c>
      <c r="T742" s="9" t="str">
        <f ca="1">IFERROR(__xludf.DUMMYFUNCTION("""COMPUTED_VALUE"""),"")</f>
        <v/>
      </c>
      <c r="U742" s="9" t="e">
        <f ca="1"/>
        <v>#NAME?</v>
      </c>
      <c r="V742" s="9" t="e">
        <f ca="1"/>
        <v>#NAME?</v>
      </c>
      <c r="W742" s="9" t="str">
        <f ca="1">IFERROR(__xludf.DUMMYFUNCTION("""COMPUTED_VALUE"""),"")</f>
        <v/>
      </c>
    </row>
    <row r="743" spans="18:23" ht="12.5" x14ac:dyDescent="0.25">
      <c r="R743" s="9" t="str">
        <v/>
      </c>
      <c r="S743" s="9" t="str">
        <f ca="1">IFERROR(__xludf.DUMMYFUNCTION("""COMPUTED_VALUE"""),"")</f>
        <v/>
      </c>
      <c r="T743" s="9" t="str">
        <f ca="1">IFERROR(__xludf.DUMMYFUNCTION("""COMPUTED_VALUE"""),"")</f>
        <v/>
      </c>
      <c r="U743" s="9" t="e">
        <f ca="1"/>
        <v>#NAME?</v>
      </c>
      <c r="V743" s="9" t="e">
        <f ca="1"/>
        <v>#NAME?</v>
      </c>
      <c r="W743" s="9" t="str">
        <f ca="1">IFERROR(__xludf.DUMMYFUNCTION("""COMPUTED_VALUE"""),"")</f>
        <v/>
      </c>
    </row>
    <row r="744" spans="18:23" ht="12.5" x14ac:dyDescent="0.25">
      <c r="R744" s="9" t="str">
        <v/>
      </c>
      <c r="S744" s="9" t="str">
        <f ca="1">IFERROR(__xludf.DUMMYFUNCTION("""COMPUTED_VALUE"""),"")</f>
        <v/>
      </c>
      <c r="T744" s="9" t="str">
        <f ca="1">IFERROR(__xludf.DUMMYFUNCTION("""COMPUTED_VALUE"""),"")</f>
        <v/>
      </c>
      <c r="U744" s="9" t="e">
        <f ca="1"/>
        <v>#NAME?</v>
      </c>
      <c r="V744" s="9" t="e">
        <f ca="1"/>
        <v>#NAME?</v>
      </c>
      <c r="W744" s="9" t="str">
        <f ca="1">IFERROR(__xludf.DUMMYFUNCTION("""COMPUTED_VALUE"""),"")</f>
        <v/>
      </c>
    </row>
    <row r="745" spans="18:23" ht="12.5" x14ac:dyDescent="0.25">
      <c r="R745" s="9" t="str">
        <v/>
      </c>
      <c r="S745" s="9" t="str">
        <f ca="1">IFERROR(__xludf.DUMMYFUNCTION("""COMPUTED_VALUE"""),"")</f>
        <v/>
      </c>
      <c r="T745" s="9" t="str">
        <f ca="1">IFERROR(__xludf.DUMMYFUNCTION("""COMPUTED_VALUE"""),"")</f>
        <v/>
      </c>
      <c r="U745" s="9" t="e">
        <f ca="1"/>
        <v>#NAME?</v>
      </c>
      <c r="V745" s="9" t="e">
        <f ca="1"/>
        <v>#NAME?</v>
      </c>
      <c r="W745" s="9" t="str">
        <f ca="1">IFERROR(__xludf.DUMMYFUNCTION("""COMPUTED_VALUE"""),"")</f>
        <v/>
      </c>
    </row>
    <row r="746" spans="18:23" ht="12.5" x14ac:dyDescent="0.25">
      <c r="R746" s="9" t="str">
        <v/>
      </c>
      <c r="S746" s="9" t="str">
        <f ca="1">IFERROR(__xludf.DUMMYFUNCTION("""COMPUTED_VALUE"""),"")</f>
        <v/>
      </c>
      <c r="T746" s="9" t="str">
        <f ca="1">IFERROR(__xludf.DUMMYFUNCTION("""COMPUTED_VALUE"""),"")</f>
        <v/>
      </c>
      <c r="U746" s="9" t="e">
        <f ca="1"/>
        <v>#NAME?</v>
      </c>
      <c r="V746" s="9" t="e">
        <f ca="1"/>
        <v>#NAME?</v>
      </c>
      <c r="W746" s="9" t="str">
        <f ca="1">IFERROR(__xludf.DUMMYFUNCTION("""COMPUTED_VALUE"""),"")</f>
        <v/>
      </c>
    </row>
    <row r="747" spans="18:23" ht="12.5" x14ac:dyDescent="0.25">
      <c r="R747" s="9" t="str">
        <v/>
      </c>
      <c r="S747" s="9" t="str">
        <f ca="1">IFERROR(__xludf.DUMMYFUNCTION("""COMPUTED_VALUE"""),"")</f>
        <v/>
      </c>
      <c r="T747" s="9" t="str">
        <f ca="1">IFERROR(__xludf.DUMMYFUNCTION("""COMPUTED_VALUE"""),"")</f>
        <v/>
      </c>
      <c r="U747" s="9" t="e">
        <f ca="1"/>
        <v>#NAME?</v>
      </c>
      <c r="V747" s="9" t="e">
        <f ca="1"/>
        <v>#NAME?</v>
      </c>
      <c r="W747" s="9" t="str">
        <f ca="1">IFERROR(__xludf.DUMMYFUNCTION("""COMPUTED_VALUE"""),"")</f>
        <v/>
      </c>
    </row>
    <row r="748" spans="18:23" ht="12.5" x14ac:dyDescent="0.25">
      <c r="R748" s="9" t="str">
        <v/>
      </c>
      <c r="S748" s="9" t="str">
        <f ca="1">IFERROR(__xludf.DUMMYFUNCTION("""COMPUTED_VALUE"""),"")</f>
        <v/>
      </c>
      <c r="T748" s="9" t="str">
        <f ca="1">IFERROR(__xludf.DUMMYFUNCTION("""COMPUTED_VALUE"""),"")</f>
        <v/>
      </c>
      <c r="U748" s="9" t="e">
        <f ca="1"/>
        <v>#NAME?</v>
      </c>
      <c r="V748" s="9" t="e">
        <f ca="1"/>
        <v>#NAME?</v>
      </c>
      <c r="W748" s="9" t="str">
        <f ca="1">IFERROR(__xludf.DUMMYFUNCTION("""COMPUTED_VALUE"""),"")</f>
        <v/>
      </c>
    </row>
    <row r="749" spans="18:23" ht="12.5" x14ac:dyDescent="0.25">
      <c r="R749" s="9" t="str">
        <v/>
      </c>
      <c r="S749" s="9" t="str">
        <f ca="1">IFERROR(__xludf.DUMMYFUNCTION("""COMPUTED_VALUE"""),"")</f>
        <v/>
      </c>
      <c r="T749" s="9" t="str">
        <f ca="1">IFERROR(__xludf.DUMMYFUNCTION("""COMPUTED_VALUE"""),"")</f>
        <v/>
      </c>
      <c r="U749" s="9" t="e">
        <f ca="1"/>
        <v>#NAME?</v>
      </c>
      <c r="V749" s="9" t="e">
        <f ca="1"/>
        <v>#NAME?</v>
      </c>
      <c r="W749" s="9" t="str">
        <f ca="1">IFERROR(__xludf.DUMMYFUNCTION("""COMPUTED_VALUE"""),"")</f>
        <v/>
      </c>
    </row>
    <row r="750" spans="18:23" ht="12.5" x14ac:dyDescent="0.25">
      <c r="R750" s="9" t="str">
        <v/>
      </c>
      <c r="S750" s="9" t="str">
        <f ca="1">IFERROR(__xludf.DUMMYFUNCTION("""COMPUTED_VALUE"""),"")</f>
        <v/>
      </c>
      <c r="T750" s="9" t="str">
        <f ca="1">IFERROR(__xludf.DUMMYFUNCTION("""COMPUTED_VALUE"""),"")</f>
        <v/>
      </c>
      <c r="U750" s="9" t="e">
        <f ca="1"/>
        <v>#NAME?</v>
      </c>
      <c r="V750" s="9" t="e">
        <f ca="1"/>
        <v>#NAME?</v>
      </c>
      <c r="W750" s="9" t="str">
        <f ca="1">IFERROR(__xludf.DUMMYFUNCTION("""COMPUTED_VALUE"""),"")</f>
        <v/>
      </c>
    </row>
    <row r="751" spans="18:23" ht="12.5" x14ac:dyDescent="0.25">
      <c r="R751" s="9" t="str">
        <v/>
      </c>
      <c r="S751" s="9" t="str">
        <f ca="1">IFERROR(__xludf.DUMMYFUNCTION("""COMPUTED_VALUE"""),"")</f>
        <v/>
      </c>
      <c r="T751" s="9" t="str">
        <f ca="1">IFERROR(__xludf.DUMMYFUNCTION("""COMPUTED_VALUE"""),"")</f>
        <v/>
      </c>
      <c r="U751" s="9" t="e">
        <f ca="1"/>
        <v>#NAME?</v>
      </c>
      <c r="V751" s="9" t="e">
        <f ca="1"/>
        <v>#NAME?</v>
      </c>
      <c r="W751" s="9" t="str">
        <f ca="1">IFERROR(__xludf.DUMMYFUNCTION("""COMPUTED_VALUE"""),"")</f>
        <v/>
      </c>
    </row>
    <row r="752" spans="18:23" ht="12.5" x14ac:dyDescent="0.25">
      <c r="R752" s="9" t="str">
        <v/>
      </c>
      <c r="S752" s="9" t="str">
        <f ca="1">IFERROR(__xludf.DUMMYFUNCTION("""COMPUTED_VALUE"""),"")</f>
        <v/>
      </c>
      <c r="T752" s="9" t="str">
        <f ca="1">IFERROR(__xludf.DUMMYFUNCTION("""COMPUTED_VALUE"""),"")</f>
        <v/>
      </c>
      <c r="U752" s="9" t="e">
        <f ca="1"/>
        <v>#NAME?</v>
      </c>
      <c r="V752" s="9" t="e">
        <f ca="1"/>
        <v>#NAME?</v>
      </c>
      <c r="W752" s="9" t="str">
        <f ca="1">IFERROR(__xludf.DUMMYFUNCTION("""COMPUTED_VALUE"""),"")</f>
        <v/>
      </c>
    </row>
    <row r="753" spans="18:23" ht="12.5" x14ac:dyDescent="0.25">
      <c r="R753" s="9" t="str">
        <v/>
      </c>
      <c r="S753" s="9" t="str">
        <f ca="1">IFERROR(__xludf.DUMMYFUNCTION("""COMPUTED_VALUE"""),"")</f>
        <v/>
      </c>
      <c r="T753" s="9" t="str">
        <f ca="1">IFERROR(__xludf.DUMMYFUNCTION("""COMPUTED_VALUE"""),"")</f>
        <v/>
      </c>
      <c r="U753" s="9" t="e">
        <f ca="1"/>
        <v>#NAME?</v>
      </c>
      <c r="V753" s="9" t="e">
        <f ca="1"/>
        <v>#NAME?</v>
      </c>
      <c r="W753" s="9" t="str">
        <f ca="1">IFERROR(__xludf.DUMMYFUNCTION("""COMPUTED_VALUE"""),"")</f>
        <v/>
      </c>
    </row>
    <row r="754" spans="18:23" ht="12.5" x14ac:dyDescent="0.25">
      <c r="R754" s="9" t="str">
        <v/>
      </c>
      <c r="S754" s="9" t="str">
        <f ca="1">IFERROR(__xludf.DUMMYFUNCTION("""COMPUTED_VALUE"""),"")</f>
        <v/>
      </c>
      <c r="T754" s="9" t="str">
        <f ca="1">IFERROR(__xludf.DUMMYFUNCTION("""COMPUTED_VALUE"""),"")</f>
        <v/>
      </c>
      <c r="U754" s="9" t="e">
        <f ca="1"/>
        <v>#NAME?</v>
      </c>
      <c r="V754" s="9" t="e">
        <f ca="1"/>
        <v>#NAME?</v>
      </c>
      <c r="W754" s="9" t="str">
        <f ca="1">IFERROR(__xludf.DUMMYFUNCTION("""COMPUTED_VALUE"""),"")</f>
        <v/>
      </c>
    </row>
    <row r="755" spans="18:23" ht="12.5" x14ac:dyDescent="0.25">
      <c r="R755" s="9" t="str">
        <v/>
      </c>
      <c r="S755" s="9" t="str">
        <f ca="1">IFERROR(__xludf.DUMMYFUNCTION("""COMPUTED_VALUE"""),"")</f>
        <v/>
      </c>
      <c r="T755" s="9" t="str">
        <f ca="1">IFERROR(__xludf.DUMMYFUNCTION("""COMPUTED_VALUE"""),"")</f>
        <v/>
      </c>
      <c r="U755" s="9" t="e">
        <f ca="1"/>
        <v>#NAME?</v>
      </c>
      <c r="V755" s="9" t="e">
        <f ca="1"/>
        <v>#NAME?</v>
      </c>
      <c r="W755" s="9" t="str">
        <f ca="1">IFERROR(__xludf.DUMMYFUNCTION("""COMPUTED_VALUE"""),"")</f>
        <v/>
      </c>
    </row>
    <row r="756" spans="18:23" ht="12.5" x14ac:dyDescent="0.25">
      <c r="R756" s="9" t="str">
        <v/>
      </c>
      <c r="S756" s="9" t="str">
        <f ca="1">IFERROR(__xludf.DUMMYFUNCTION("""COMPUTED_VALUE"""),"")</f>
        <v/>
      </c>
      <c r="T756" s="9" t="str">
        <f ca="1">IFERROR(__xludf.DUMMYFUNCTION("""COMPUTED_VALUE"""),"")</f>
        <v/>
      </c>
      <c r="U756" s="9" t="e">
        <f ca="1"/>
        <v>#NAME?</v>
      </c>
      <c r="V756" s="9" t="e">
        <f ca="1"/>
        <v>#NAME?</v>
      </c>
      <c r="W756" s="9" t="str">
        <f ca="1">IFERROR(__xludf.DUMMYFUNCTION("""COMPUTED_VALUE"""),"")</f>
        <v/>
      </c>
    </row>
    <row r="757" spans="18:23" ht="12.5" x14ac:dyDescent="0.25">
      <c r="R757" s="9" t="str">
        <v/>
      </c>
      <c r="S757" s="9" t="str">
        <f ca="1">IFERROR(__xludf.DUMMYFUNCTION("""COMPUTED_VALUE"""),"")</f>
        <v/>
      </c>
      <c r="T757" s="9" t="str">
        <f ca="1">IFERROR(__xludf.DUMMYFUNCTION("""COMPUTED_VALUE"""),"")</f>
        <v/>
      </c>
      <c r="U757" s="9" t="e">
        <f ca="1"/>
        <v>#NAME?</v>
      </c>
      <c r="V757" s="9" t="e">
        <f ca="1"/>
        <v>#NAME?</v>
      </c>
      <c r="W757" s="9" t="str">
        <f ca="1">IFERROR(__xludf.DUMMYFUNCTION("""COMPUTED_VALUE"""),"")</f>
        <v/>
      </c>
    </row>
    <row r="758" spans="18:23" ht="12.5" x14ac:dyDescent="0.25">
      <c r="R758" s="9" t="str">
        <v/>
      </c>
      <c r="S758" s="9" t="str">
        <f ca="1">IFERROR(__xludf.DUMMYFUNCTION("""COMPUTED_VALUE"""),"")</f>
        <v/>
      </c>
      <c r="T758" s="9" t="str">
        <f ca="1">IFERROR(__xludf.DUMMYFUNCTION("""COMPUTED_VALUE"""),"")</f>
        <v/>
      </c>
      <c r="U758" s="9" t="e">
        <f ca="1"/>
        <v>#NAME?</v>
      </c>
      <c r="V758" s="9" t="e">
        <f ca="1"/>
        <v>#NAME?</v>
      </c>
      <c r="W758" s="9" t="str">
        <f ca="1">IFERROR(__xludf.DUMMYFUNCTION("""COMPUTED_VALUE"""),"")</f>
        <v/>
      </c>
    </row>
    <row r="759" spans="18:23" ht="12.5" x14ac:dyDescent="0.25">
      <c r="R759" s="9" t="str">
        <v/>
      </c>
      <c r="S759" s="9" t="str">
        <f ca="1">IFERROR(__xludf.DUMMYFUNCTION("""COMPUTED_VALUE"""),"")</f>
        <v/>
      </c>
      <c r="T759" s="9" t="str">
        <f ca="1">IFERROR(__xludf.DUMMYFUNCTION("""COMPUTED_VALUE"""),"")</f>
        <v/>
      </c>
      <c r="U759" s="9" t="e">
        <f ca="1"/>
        <v>#NAME?</v>
      </c>
      <c r="V759" s="9" t="e">
        <f ca="1"/>
        <v>#NAME?</v>
      </c>
      <c r="W759" s="9" t="str">
        <f ca="1">IFERROR(__xludf.DUMMYFUNCTION("""COMPUTED_VALUE"""),"")</f>
        <v/>
      </c>
    </row>
    <row r="760" spans="18:23" ht="12.5" x14ac:dyDescent="0.25">
      <c r="R760" s="9" t="str">
        <v/>
      </c>
      <c r="S760" s="9" t="str">
        <f ca="1">IFERROR(__xludf.DUMMYFUNCTION("""COMPUTED_VALUE"""),"")</f>
        <v/>
      </c>
      <c r="T760" s="9" t="str">
        <f ca="1">IFERROR(__xludf.DUMMYFUNCTION("""COMPUTED_VALUE"""),"")</f>
        <v/>
      </c>
      <c r="U760" s="9" t="e">
        <f ca="1"/>
        <v>#NAME?</v>
      </c>
      <c r="V760" s="9" t="e">
        <f ca="1"/>
        <v>#NAME?</v>
      </c>
      <c r="W760" s="9" t="str">
        <f ca="1">IFERROR(__xludf.DUMMYFUNCTION("""COMPUTED_VALUE"""),"")</f>
        <v/>
      </c>
    </row>
    <row r="761" spans="18:23" ht="12.5" x14ac:dyDescent="0.25">
      <c r="R761" s="9" t="str">
        <v/>
      </c>
      <c r="S761" s="9" t="str">
        <f ca="1">IFERROR(__xludf.DUMMYFUNCTION("""COMPUTED_VALUE"""),"")</f>
        <v/>
      </c>
      <c r="T761" s="9" t="str">
        <f ca="1">IFERROR(__xludf.DUMMYFUNCTION("""COMPUTED_VALUE"""),"")</f>
        <v/>
      </c>
      <c r="U761" s="9" t="e">
        <f ca="1"/>
        <v>#NAME?</v>
      </c>
      <c r="V761" s="9" t="e">
        <f ca="1"/>
        <v>#NAME?</v>
      </c>
      <c r="W761" s="9" t="str">
        <f ca="1">IFERROR(__xludf.DUMMYFUNCTION("""COMPUTED_VALUE"""),"")</f>
        <v/>
      </c>
    </row>
  </sheetData>
  <mergeCells count="11">
    <mergeCell ref="C137:Q137"/>
    <mergeCell ref="C159:Q159"/>
    <mergeCell ref="C181:Q181"/>
    <mergeCell ref="C203:Q203"/>
    <mergeCell ref="C225:Q225"/>
    <mergeCell ref="C10:Q10"/>
    <mergeCell ref="C34:Q34"/>
    <mergeCell ref="C53:Q53"/>
    <mergeCell ref="C74:Q74"/>
    <mergeCell ref="C93:Q93"/>
    <mergeCell ref="C115:Q11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ISR1000_input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Thi Kim Trang</dc:creator>
  <cp:lastModifiedBy>Dao Thi Kim Trang</cp:lastModifiedBy>
  <dcterms:created xsi:type="dcterms:W3CDTF">2026-05-06T07:14:26Z</dcterms:created>
  <dcterms:modified xsi:type="dcterms:W3CDTF">2026-05-06T07:14:42Z</dcterms:modified>
</cp:coreProperties>
</file>