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uter" sheetId="1" r:id="rId5"/>
    <sheet state="visible" name="SwitchCampus" sheetId="2" r:id="rId6"/>
    <sheet state="visible" name="ModularSwitch" sheetId="3" r:id="rId7"/>
    <sheet state="visible" name="SFP" sheetId="4" r:id="rId8"/>
    <sheet state="visible" name="WiFi" sheetId="5" r:id="rId9"/>
    <sheet state="visible" name="AllDevices" sheetId="6" r:id="rId10"/>
    <sheet state="visible" name="Cisco" sheetId="7" r:id="rId11"/>
    <sheet state="visible" name="Juniper" sheetId="8" r:id="rId12"/>
    <sheet state="visible" name="AllListPrice" sheetId="9" r:id="rId13"/>
    <sheet state="visible" name="Specs" sheetId="10" r:id="rId14"/>
  </sheets>
  <definedNames>
    <definedName hidden="1" localSheetId="5" name="_xlnm._FilterDatabase">AllDevices!$A$1:$Z$84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1">
      <text>
        <t xml:space="preserve">Lookup theo P/N 100GQSFP-LR4-4=</t>
      </text>
    </comment>
  </commentList>
</comments>
</file>

<file path=xl/sharedStrings.xml><?xml version="1.0" encoding="utf-8"?>
<sst xmlns="http://schemas.openxmlformats.org/spreadsheetml/2006/main" count="493" uniqueCount="214">
  <si>
    <t>Requirement</t>
  </si>
  <si>
    <t>C1161-8P</t>
  </si>
  <si>
    <t>C1161X-8P</t>
  </si>
  <si>
    <t>C1131-8PWS</t>
  </si>
  <si>
    <t>C1131X-8PWS</t>
  </si>
  <si>
    <t>C1121-4P</t>
  </si>
  <si>
    <t>C1121-8P</t>
  </si>
  <si>
    <t>C1127-8PLTEP</t>
  </si>
  <si>
    <t>C1116-4P</t>
  </si>
  <si>
    <t>C1117-4P</t>
  </si>
  <si>
    <t>C1112-8P</t>
  </si>
  <si>
    <t>C1109-4PLTE2P</t>
  </si>
  <si>
    <t>C8200L-1N-4T</t>
  </si>
  <si>
    <t>C8200-1N-4T</t>
  </si>
  <si>
    <t>C8300-1N1S-6T</t>
  </si>
  <si>
    <t>C8300-2N2S-6T</t>
  </si>
  <si>
    <t>C8300-1N1S-4T2X</t>
  </si>
  <si>
    <t>C8300-2N2S-4T2X</t>
  </si>
  <si>
    <t>C8500L-8S4X</t>
  </si>
  <si>
    <t>C8500-12X</t>
  </si>
  <si>
    <t>C8500-12X4QC</t>
  </si>
  <si>
    <t>C8500-20X6C</t>
  </si>
  <si>
    <t>Router Class</t>
  </si>
  <si>
    <t>Low End</t>
  </si>
  <si>
    <t>Mid Range</t>
  </si>
  <si>
    <t>High End</t>
  </si>
  <si>
    <t>Số tiêu chí đáp ứng</t>
  </si>
  <si>
    <t>Giá dự toán</t>
  </si>
  <si>
    <t>Thiết bị đáp ứng sát nhất số lượng tiêu chí YCKT</t>
  </si>
  <si>
    <t>Thiết bị giá tốt nhất đáp ứng</t>
  </si>
  <si>
    <t>Thiết bị khác đáp ứng</t>
  </si>
  <si>
    <t>Các lựa chọn khác</t>
  </si>
  <si>
    <t>C1300-8T-E-2G</t>
  </si>
  <si>
    <t>C1300-8P-E-2G</t>
  </si>
  <si>
    <t>C1300-8FP-2G</t>
  </si>
  <si>
    <t>C1300-16T-2G</t>
  </si>
  <si>
    <t>C1300-16P-2G</t>
  </si>
  <si>
    <t>C1300-16FP-2G</t>
  </si>
  <si>
    <t>C1300-24T-4G</t>
  </si>
  <si>
    <t>C1300-24P-4G</t>
  </si>
  <si>
    <t>C1300-24FP-4G</t>
  </si>
  <si>
    <t>C1300-48T-4G</t>
  </si>
  <si>
    <t>C1300-48P-4G</t>
  </si>
  <si>
    <t>C1300-48FP-4G</t>
  </si>
  <si>
    <t>C1300-16P-4X</t>
  </si>
  <si>
    <t>C1300-24T-4X</t>
  </si>
  <si>
    <t>C1300-24P-4X</t>
  </si>
  <si>
    <t>C1300-24FP-4X</t>
  </si>
  <si>
    <t>C1300-48T-4X</t>
  </si>
  <si>
    <t>C1300-48P-4X</t>
  </si>
  <si>
    <t>C1300-48FP-4X</t>
  </si>
  <si>
    <t>C1300-12XT-2X</t>
  </si>
  <si>
    <t>C1300-12XS</t>
  </si>
  <si>
    <t>C1300-16XTS</t>
  </si>
  <si>
    <t>C1300-24XS</t>
  </si>
  <si>
    <t>C1300-24XT</t>
  </si>
  <si>
    <t>C1300-24XTS</t>
  </si>
  <si>
    <t>C1300X-24T-4X</t>
  </si>
  <si>
    <t>C1300X-48T-4X</t>
  </si>
  <si>
    <t>C1300X-24P-4X</t>
  </si>
  <si>
    <t>C1300X-48P-4X</t>
  </si>
  <si>
    <t>C9200-24T</t>
  </si>
  <si>
    <t>C9200-24P</t>
  </si>
  <si>
    <t>C9200-48T</t>
  </si>
  <si>
    <t>C9200-48P</t>
  </si>
  <si>
    <t>C9200L-24T-4G</t>
  </si>
  <si>
    <t>C9200L-24P-4G</t>
  </si>
  <si>
    <t>C9200L-48T-4G</t>
  </si>
  <si>
    <t>C9200L-48P-4G</t>
  </si>
  <si>
    <t>C9200L-24T-4X</t>
  </si>
  <si>
    <t>C9200L-24P-4X</t>
  </si>
  <si>
    <t>C9200L-48T-4X</t>
  </si>
  <si>
    <t>C9200L-48P-4X</t>
  </si>
  <si>
    <t>C9200CX-8P-2X2G</t>
  </si>
  <si>
    <t>C9200CX-12T-2X2G</t>
  </si>
  <si>
    <t>C9200CX-12P-2X2G</t>
  </si>
  <si>
    <t>C9300L-24T-4G</t>
  </si>
  <si>
    <t>C9300L-24P-4G</t>
  </si>
  <si>
    <t>C9300L-24T-4X</t>
  </si>
  <si>
    <t>C9300L-24P-4X</t>
  </si>
  <si>
    <t>C9300L-48T-4G</t>
  </si>
  <si>
    <t>C9300L-48P-4G</t>
  </si>
  <si>
    <t>C9300L-48T-4X</t>
  </si>
  <si>
    <t>C9300L-48P-4X</t>
  </si>
  <si>
    <t>C9300-24T</t>
  </si>
  <si>
    <t>C9300-24P</t>
  </si>
  <si>
    <t>C9300-24U</t>
  </si>
  <si>
    <t>C9300-24H</t>
  </si>
  <si>
    <t>C9300-24S</t>
  </si>
  <si>
    <t>C9300-24UB</t>
  </si>
  <si>
    <t>C9300-48T</t>
  </si>
  <si>
    <t>C9300-48P</t>
  </si>
  <si>
    <t>C9300-48U</t>
  </si>
  <si>
    <t>C9300-48H</t>
  </si>
  <si>
    <t>C9300-48S</t>
  </si>
  <si>
    <t>C9300-48UB</t>
  </si>
  <si>
    <t>C9500-32C</t>
  </si>
  <si>
    <t>C9500-32QC</t>
  </si>
  <si>
    <t>C9500-48Y4C</t>
  </si>
  <si>
    <t>C9500-24Y4C</t>
  </si>
  <si>
    <t>C9500X-28C8D</t>
  </si>
  <si>
    <t>C9500X-60L4D</t>
  </si>
  <si>
    <t>EX4200-24T</t>
  </si>
  <si>
    <t>EX4300-48S</t>
  </si>
  <si>
    <t>EX4600</t>
  </si>
  <si>
    <t>Y</t>
  </si>
  <si>
    <t>Switch Class</t>
  </si>
  <si>
    <t xml:space="preserve">C9404R </t>
  </si>
  <si>
    <t>C9407R</t>
  </si>
  <si>
    <t>C9410R</t>
  </si>
  <si>
    <t>9606R</t>
  </si>
  <si>
    <t>N</t>
  </si>
  <si>
    <t>Ficer-1G-10km</t>
  </si>
  <si>
    <t>Ficer-1G-40km</t>
  </si>
  <si>
    <t>Ficer-1G-80km</t>
  </si>
  <si>
    <t>Ficer-10G-10km</t>
  </si>
  <si>
    <t>Ficer-10G-40km</t>
  </si>
  <si>
    <t>Ficer-10G-80km</t>
  </si>
  <si>
    <t>Ficer-100G-10km</t>
  </si>
  <si>
    <t>Ficer-100G-40km</t>
  </si>
  <si>
    <t>Ficer-100G-80km</t>
  </si>
  <si>
    <t>GLC-SX-MMD=</t>
  </si>
  <si>
    <t>GLC-LH-SMD=</t>
  </si>
  <si>
    <t>GLC-EX-SMD=</t>
  </si>
  <si>
    <t>GLC-ZX-SMD=</t>
  </si>
  <si>
    <t>SFP-10G-SR-S=</t>
  </si>
  <si>
    <t>SFP-10G-SR=</t>
  </si>
  <si>
    <t>SFP-10G-LR-S=</t>
  </si>
  <si>
    <t>SFP-10G-LR=</t>
  </si>
  <si>
    <t>SFP-10G-ER-S=</t>
  </si>
  <si>
    <t>SFP-10G-ER=</t>
  </si>
  <si>
    <t>SFP-10G-ZR-S=</t>
  </si>
  <si>
    <t>SFP-10G-ZR=</t>
  </si>
  <si>
    <t>QSFP-100G-LR4-S</t>
  </si>
  <si>
    <t>QSFP-100G-ER4L-S=</t>
  </si>
  <si>
    <t>QSFP-100G-ZR4-S=</t>
  </si>
  <si>
    <t>SFP Class</t>
  </si>
  <si>
    <t>C9136I</t>
  </si>
  <si>
    <t>CW9162I</t>
  </si>
  <si>
    <t>CW9164I</t>
  </si>
  <si>
    <t>CW9166I</t>
  </si>
  <si>
    <t>CW9166D1</t>
  </si>
  <si>
    <t>CW9172I</t>
  </si>
  <si>
    <t>CW9172H</t>
  </si>
  <si>
    <t>CW9176I</t>
  </si>
  <si>
    <t>CW9176D1</t>
  </si>
  <si>
    <t>CW9178I</t>
  </si>
  <si>
    <t>C9124AXI</t>
  </si>
  <si>
    <t>C9124AXD</t>
  </si>
  <si>
    <t>C9124AXE</t>
  </si>
  <si>
    <t>CW9163E</t>
  </si>
  <si>
    <t>indoor</t>
  </si>
  <si>
    <t>outdoor</t>
  </si>
  <si>
    <t>WiFi6E</t>
  </si>
  <si>
    <t>WiFi7</t>
  </si>
  <si>
    <t>WiFi6</t>
  </si>
  <si>
    <t>Công suất phát (dBm)</t>
  </si>
  <si>
    <t>Số lượng cổng Uplink 1GE</t>
  </si>
  <si>
    <t>Số lượng cổng Uplink 10GE</t>
  </si>
  <si>
    <t>Access Point Class</t>
  </si>
  <si>
    <t>All Devices</t>
  </si>
  <si>
    <t>Đã có giá List chưa ?</t>
  </si>
  <si>
    <t>Devices</t>
  </si>
  <si>
    <t>List Price</t>
  </si>
  <si>
    <t>Giá AM nhập</t>
  </si>
  <si>
    <t>Final Price</t>
  </si>
  <si>
    <t>Cân bằng tải đường truyền</t>
  </si>
  <si>
    <t>Router</t>
  </si>
  <si>
    <t>SwitchCampus</t>
  </si>
  <si>
    <t>ModularSwitch</t>
  </si>
  <si>
    <t>Wireless</t>
  </si>
  <si>
    <t>Automation</t>
  </si>
  <si>
    <t>SDWAN</t>
  </si>
  <si>
    <t>Cân bằng tải ứng dụng</t>
  </si>
  <si>
    <t>SFP</t>
  </si>
  <si>
    <t>DWDM/ DCI</t>
  </si>
  <si>
    <t>Amplifier</t>
  </si>
  <si>
    <t>Throughput (Mbps)</t>
  </si>
  <si>
    <t>Switching Bandwidth - Full Duplex (Gbps)</t>
  </si>
  <si>
    <t>Loại Access Point (indoor/outdoor)</t>
  </si>
  <si>
    <t>Hiển thị trực quan topo mạng</t>
  </si>
  <si>
    <t>Application Throughput L4/L7 (Gbps)</t>
  </si>
  <si>
    <t>Tốc độ (1G/10G/100G)</t>
  </si>
  <si>
    <t>Kiểu kết nối (Điểm - điểm, Ring, Mesh)</t>
  </si>
  <si>
    <t>Số lượng cổng WAN 1GE</t>
  </si>
  <si>
    <t>Forwarding Capacity (Mpps)</t>
  </si>
  <si>
    <t>Công nghệ WiFi (WiFi6/WiFi7)</t>
  </si>
  <si>
    <t>Cấu hình cung cấp dịch vụ tập trung (L2VPN/L3VPN)</t>
  </si>
  <si>
    <t>Layer 4 Concurrent Sessions</t>
  </si>
  <si>
    <t>Khoảng cách truyền (km)</t>
  </si>
  <si>
    <t>Số lượng hướng quang</t>
  </si>
  <si>
    <t>Số lượng cổng WAN 10GE</t>
  </si>
  <si>
    <t>Số lượng cổng 1GE đồng</t>
  </si>
  <si>
    <t>Số lượng người dùng trong phạm vi phủ sóng 1 AP</t>
  </si>
  <si>
    <t>Nâng cấp OS tự động trên diện rộng</t>
  </si>
  <si>
    <t>Layer 7 Connection per Second</t>
  </si>
  <si>
    <t>Dải hoạt động (C-band, L-band, Kết hợp cả 2)</t>
  </si>
  <si>
    <t>Số lượng kênh (bước sóng)</t>
  </si>
  <si>
    <t>Số lượng cổng LAN 1GE</t>
  </si>
  <si>
    <t>Số lượng cổng 1GE SFP</t>
  </si>
  <si>
    <t>Bán kính phủ sóng (m)</t>
  </si>
  <si>
    <t>Số lượng cổng 1GE</t>
  </si>
  <si>
    <t>Số lượng bước sóng</t>
  </si>
  <si>
    <t>Số lượng cổng kết nối Client / kênh</t>
  </si>
  <si>
    <t>Số lượng cổng LAN 10GE</t>
  </si>
  <si>
    <t>Số lượng cổng 10GE đồng</t>
  </si>
  <si>
    <t>Số lượng cổng 10GE</t>
  </si>
  <si>
    <t>Dung lượng mỗi bước sóng (100G, 200G, 400G, 800G, 1,2T, 1,6T)</t>
  </si>
  <si>
    <t>Số lượng người dùng</t>
  </si>
  <si>
    <t>Số lượng cổng 10GE quang</t>
  </si>
  <si>
    <t>Số lượng cổng 100GE</t>
  </si>
  <si>
    <t>Loại giao diện cho client (10GE, 40GE, 100GE
 400GE)</t>
  </si>
  <si>
    <t>Stacking (Y/N)</t>
  </si>
  <si>
    <t>PoE (Y/N)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</si>
</sst>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rgb="FF000000"/>
      <name val="Arial"/>
    </font>
    <font>
      <color theme="1"/>
      <name val="Arial"/>
      <scheme val="minor"/>
    </font>
    <font>
      <color rgb="FF000000"/>
      <name val="Arial"/>
    </font>
    <font>
      <b/>
      <color theme="1"/>
      <name val="Arial"/>
    </font>
    <font>
      <b/>
      <sz val="11.0"/>
      <color theme="1"/>
      <name val="Calibri"/>
    </font>
    <font>
      <color theme="1"/>
      <name val="Arial"/>
    </font>
    <font>
      <sz val="11.0"/>
      <color theme="1"/>
      <name val="Calibri"/>
    </font>
    <font>
      <b/>
      <sz val="12.0"/>
      <color theme="1"/>
      <name val="Arial"/>
    </font>
    <font>
      <sz val="12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46BDC6"/>
        <bgColor rgb="FF46BDC6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3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2" fillId="5" fontId="2" numFmtId="0" xfId="0" applyAlignment="1" applyBorder="1" applyFont="1">
      <alignment horizontal="center" readingOrder="0"/>
    </xf>
    <xf borderId="1" fillId="2" fontId="1" numFmtId="0" xfId="0" applyAlignment="1" applyBorder="1" applyFont="1">
      <alignment horizontal="center" readingOrder="0"/>
    </xf>
    <xf borderId="0" fillId="0" fontId="1" numFmtId="0" xfId="0" applyFont="1"/>
    <xf borderId="1" fillId="0" fontId="3" numFmtId="0" xfId="0" applyBorder="1" applyFont="1"/>
    <xf borderId="1" fillId="3" fontId="3" numFmtId="0" xfId="0" applyAlignment="1" applyBorder="1" applyFont="1">
      <alignment horizontal="center" readingOrder="0"/>
    </xf>
    <xf borderId="1" fillId="4" fontId="3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ont="1">
      <alignment horizontal="center"/>
    </xf>
    <xf borderId="0" fillId="0" fontId="1" numFmtId="0" xfId="0" applyAlignment="1" applyFont="1">
      <alignment readingOrder="0"/>
    </xf>
    <xf borderId="0" fillId="3" fontId="3" numFmtId="0" xfId="0" applyAlignment="1" applyFont="1">
      <alignment horizontal="center"/>
    </xf>
    <xf borderId="0" fillId="4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4" fontId="3" numFmtId="0" xfId="0" applyAlignment="1" applyFont="1">
      <alignment horizontal="center"/>
    </xf>
    <xf borderId="0" fillId="4" fontId="3" numFmtId="164" xfId="0" applyAlignment="1" applyFont="1" applyNumberFormat="1">
      <alignment horizontal="center"/>
    </xf>
    <xf borderId="0" fillId="0" fontId="3" numFmtId="164" xfId="0" applyAlignment="1" applyFont="1" applyNumberFormat="1">
      <alignment horizontal="center"/>
    </xf>
    <xf borderId="0" fillId="3" fontId="1" numFmtId="0" xfId="0" applyAlignment="1" applyFont="1">
      <alignment horizontal="center"/>
    </xf>
    <xf borderId="0" fillId="4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3" numFmtId="0" xfId="0" applyFont="1"/>
    <xf borderId="1" fillId="5" fontId="5" numFmtId="0" xfId="0" applyAlignment="1" applyBorder="1" applyFont="1">
      <alignment vertical="bottom"/>
    </xf>
    <xf borderId="1" fillId="3" fontId="5" numFmtId="0" xfId="0" applyAlignment="1" applyBorder="1" applyFont="1">
      <alignment horizontal="center" vertical="bottom"/>
    </xf>
    <xf borderId="1" fillId="4" fontId="5" numFmtId="0" xfId="0" applyAlignment="1" applyBorder="1" applyFont="1">
      <alignment horizontal="center" vertical="bottom"/>
    </xf>
    <xf borderId="1" fillId="5" fontId="6" numFmtId="0" xfId="0" applyAlignment="1" applyBorder="1" applyFont="1">
      <alignment horizontal="center" vertical="bottom"/>
    </xf>
    <xf borderId="1" fillId="5" fontId="5" numFmtId="0" xfId="0" applyAlignment="1" applyBorder="1" applyFont="1">
      <alignment horizontal="center" vertical="bottom"/>
    </xf>
    <xf borderId="1" fillId="5" fontId="7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1" fillId="0" fontId="7" numFmtId="0" xfId="0" applyAlignment="1" applyBorder="1" applyFont="1">
      <alignment vertical="bottom"/>
    </xf>
    <xf borderId="1" fillId="3" fontId="7" numFmtId="0" xfId="0" applyAlignment="1" applyBorder="1" applyFont="1">
      <alignment horizontal="center" vertical="bottom"/>
    </xf>
    <xf borderId="1" fillId="4" fontId="7" numFmtId="0" xfId="0" applyAlignment="1" applyBorder="1" applyFont="1">
      <alignment horizontal="center" vertical="bottom"/>
    </xf>
    <xf borderId="1" fillId="0" fontId="8" numFmtId="0" xfId="0" applyAlignment="1" applyBorder="1" applyFont="1">
      <alignment horizontal="center" vertical="bottom"/>
    </xf>
    <xf borderId="1" fillId="0" fontId="8" numFmtId="3" xfId="0" applyAlignment="1" applyBorder="1" applyFont="1" applyNumberFormat="1">
      <alignment horizontal="center" vertical="bottom"/>
    </xf>
    <xf borderId="1" fillId="0" fontId="7" numFmtId="0" xfId="0" applyAlignment="1" applyBorder="1" applyFont="1">
      <alignment vertical="bottom"/>
    </xf>
    <xf borderId="1" fillId="4" fontId="7" numFmtId="0" xfId="0" applyAlignment="1" applyBorder="1" applyFont="1">
      <alignment vertical="bottom"/>
    </xf>
    <xf borderId="1" fillId="3" fontId="7" numFmtId="0" xfId="0" applyAlignment="1" applyBorder="1" applyFont="1">
      <alignment horizontal="center" vertical="bottom"/>
    </xf>
    <xf borderId="1" fillId="3" fontId="7" numFmtId="0" xfId="0" applyAlignment="1" applyBorder="1" applyFont="1">
      <alignment vertical="bottom"/>
    </xf>
    <xf borderId="0" fillId="0" fontId="5" numFmtId="0" xfId="0" applyAlignment="1" applyFont="1">
      <alignment vertical="bottom"/>
    </xf>
    <xf borderId="0" fillId="3" fontId="7" numFmtId="0" xfId="0" applyAlignment="1" applyFont="1">
      <alignment vertical="bottom"/>
    </xf>
    <xf borderId="0" fillId="4" fontId="7" numFmtId="0" xfId="0" applyAlignment="1" applyFont="1">
      <alignment horizontal="center" vertical="bottom"/>
    </xf>
    <xf borderId="0" fillId="0" fontId="7" numFmtId="0" xfId="0" applyAlignment="1" applyFont="1">
      <alignment horizontal="center" vertical="bottom"/>
    </xf>
    <xf borderId="0" fillId="4" fontId="7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0" fillId="4" fontId="7" numFmtId="164" xfId="0" applyAlignment="1" applyFont="1" applyNumberFormat="1">
      <alignment horizontal="center" vertical="bottom"/>
    </xf>
    <xf borderId="0" fillId="0" fontId="7" numFmtId="164" xfId="0" applyAlignment="1" applyFont="1" applyNumberFormat="1">
      <alignment horizontal="center" vertical="bottom"/>
    </xf>
    <xf borderId="0" fillId="4" fontId="5" numFmtId="0" xfId="0" applyAlignment="1" applyFont="1">
      <alignment horizontal="center" vertical="bottom"/>
    </xf>
    <xf borderId="0" fillId="0" fontId="5" numFmtId="0" xfId="0" applyAlignment="1" applyFont="1">
      <alignment horizontal="center" vertical="bottom"/>
    </xf>
    <xf borderId="0" fillId="3" fontId="7" numFmtId="0" xfId="0" applyAlignment="1" applyFont="1">
      <alignment horizontal="center" vertical="bottom"/>
    </xf>
    <xf borderId="1" fillId="5" fontId="5" numFmtId="0" xfId="0" applyAlignment="1" applyBorder="1" applyFont="1">
      <alignment horizontal="center" vertical="bottom"/>
    </xf>
    <xf borderId="1" fillId="0" fontId="7" numFmtId="0" xfId="0" applyAlignment="1" applyBorder="1" applyFont="1">
      <alignment horizontal="center" vertical="bottom"/>
    </xf>
    <xf borderId="1" fillId="0" fontId="7" numFmtId="0" xfId="0" applyAlignment="1" applyBorder="1" applyFont="1">
      <alignment horizontal="center" vertical="bottom"/>
    </xf>
    <xf borderId="0" fillId="0" fontId="7" numFmtId="0" xfId="0" applyAlignment="1" applyFont="1">
      <alignment vertical="bottom"/>
    </xf>
    <xf borderId="0" fillId="0" fontId="3" numFmtId="0" xfId="0" applyAlignment="1" applyFont="1">
      <alignment horizontal="left"/>
    </xf>
    <xf borderId="1" fillId="5" fontId="6" numFmtId="0" xfId="0" applyAlignment="1" applyBorder="1" applyFont="1">
      <alignment horizontal="center" vertical="bottom"/>
    </xf>
    <xf borderId="1" fillId="5" fontId="7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3" numFmtId="164" xfId="0" applyFont="1" applyNumberFormat="1"/>
    <xf borderId="0" fillId="0" fontId="1" numFmtId="164" xfId="0" applyFont="1" applyNumberFormat="1"/>
    <xf borderId="0" fillId="6" fontId="1" numFmtId="0" xfId="0" applyAlignment="1" applyFill="1" applyFont="1">
      <alignment horizontal="center" readingOrder="0"/>
    </xf>
    <xf borderId="0" fillId="6" fontId="1" numFmtId="164" xfId="0" applyAlignment="1" applyFont="1" applyNumberFormat="1">
      <alignment horizontal="center" readingOrder="0"/>
    </xf>
    <xf borderId="1" fillId="6" fontId="9" numFmtId="0" xfId="0" applyAlignment="1" applyBorder="1" applyFont="1">
      <alignment horizontal="center" shrinkToFit="0" wrapText="1"/>
    </xf>
    <xf borderId="1" fillId="6" fontId="9" numFmtId="0" xfId="0" applyAlignment="1" applyBorder="1" applyFont="1">
      <alignment horizontal="center" shrinkToFit="0" wrapText="1"/>
    </xf>
    <xf borderId="0" fillId="7" fontId="3" numFmtId="0" xfId="0" applyAlignment="1" applyFill="1" applyFont="1">
      <alignment vertical="center"/>
    </xf>
    <xf borderId="1" fillId="8" fontId="10" numFmtId="0" xfId="0" applyAlignment="1" applyBorder="1" applyFill="1" applyFont="1">
      <alignment shrinkToFit="0" wrapText="1"/>
    </xf>
    <xf borderId="1" fillId="8" fontId="7" numFmtId="0" xfId="0" applyBorder="1" applyFont="1"/>
    <xf borderId="1" fillId="8" fontId="10" numFmtId="0" xfId="0" applyAlignment="1" applyBorder="1" applyFont="1">
      <alignment shrinkToFit="0" wrapText="1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6">
    <tableStyle count="3" pivot="0" name="Specs-style">
      <tableStyleElement dxfId="2" type="headerRow"/>
      <tableStyleElement dxfId="3" type="firstRowStripe"/>
      <tableStyleElement dxfId="4" type="secondRowStripe"/>
    </tableStyle>
    <tableStyle count="3" pivot="0" name="Specs-style 2">
      <tableStyleElement dxfId="2" type="headerRow"/>
      <tableStyleElement dxfId="3" type="firstRowStripe"/>
      <tableStyleElement dxfId="4" type="secondRowStripe"/>
    </tableStyle>
    <tableStyle count="2" pivot="0" name="Specs-style 3">
      <tableStyleElement dxfId="4" type="firstRowStripe"/>
      <tableStyleElement dxfId="3" type="secondRowStripe"/>
    </tableStyle>
    <tableStyle count="2" pivot="0" name="Specs-style 4">
      <tableStyleElement dxfId="4" type="firstRowStripe"/>
      <tableStyleElement dxfId="3" type="secondRowStripe"/>
    </tableStyle>
    <tableStyle count="2" pivot="0" name="Specs-style 5">
      <tableStyleElement dxfId="3" type="firstRowStripe"/>
      <tableStyleElement dxfId="4" type="secondRowStripe"/>
    </tableStyle>
    <tableStyle count="2" pivot="0" name="Specs-style 6"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8" displayName="Table_1" name="Table_1" id="1">
  <tableColumns count="8">
    <tableColumn name="Cân bằng tải đường truyền" id="1"/>
    <tableColumn name="Router" id="2"/>
    <tableColumn name="SwitchCampus" id="3"/>
    <tableColumn name="ModularSwitch" id="4"/>
    <tableColumn name="Wireless" id="5"/>
    <tableColumn name="Automation" id="6"/>
    <tableColumn name="SDWAN" id="7"/>
    <tableColumn name="Cân bằng tải ứng dụng" id="8"/>
  </tableColumns>
  <tableStyleInfo name="Specs-style" showColumnStripes="0" showFirstColumn="1" showLastColumn="1" showRowStripes="1"/>
</table>
</file>

<file path=xl/tables/table2.xml><?xml version="1.0" encoding="utf-8"?>
<table xmlns="http://schemas.openxmlformats.org/spreadsheetml/2006/main" ref="I1:K8" displayName="Table_2" name="Table_2" id="2">
  <tableColumns count="3">
    <tableColumn name="SFP" id="1"/>
    <tableColumn name="DWDM/ DCI" id="2"/>
    <tableColumn name="Amplifier" id="3"/>
  </tableColumns>
  <tableStyleInfo name="Spec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9:H9" displayName="Table_3" name="Table_3" id="3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pecs-style 3" showColumnStripes="0" showFirstColumn="1" showLastColumn="1" showRowStripes="1"/>
</table>
</file>

<file path=xl/tables/table4.xml><?xml version="1.0" encoding="utf-8"?>
<table xmlns="http://schemas.openxmlformats.org/spreadsheetml/2006/main" headerRowCount="0" ref="I9:K9" displayName="Table_4" name="Table_4" id="4">
  <tableColumns count="3">
    <tableColumn name="Column1" id="1"/>
    <tableColumn name="Column2" id="2"/>
    <tableColumn name="Column3" id="3"/>
  </tableColumns>
  <tableStyleInfo name="Spec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0:H10" displayName="Table_5" name="Table_5" id="5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pecs-style 5" showColumnStripes="0" showFirstColumn="1" showLastColumn="1" showRowStripes="1"/>
</table>
</file>

<file path=xl/tables/table6.xml><?xml version="1.0" encoding="utf-8"?>
<table xmlns="http://schemas.openxmlformats.org/spreadsheetml/2006/main" headerRowCount="0" ref="I10:K10" displayName="Table_6" name="Table_6" id="6">
  <tableColumns count="3">
    <tableColumn name="Column1" id="1"/>
    <tableColumn name="Column2" id="2"/>
    <tableColumn name="Column3" id="3"/>
  </tableColumns>
  <tableStyleInfo name="Specs-style 6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5.88"/>
    <col customWidth="1" min="3" max="42" width="16.75"/>
  </cols>
  <sheetData>
    <row r="1">
      <c r="A1" s="1" t="str">
        <f>Specs!B1</f>
        <v>Router</v>
      </c>
      <c r="B1" s="2" t="s">
        <v>0</v>
      </c>
      <c r="C1" s="3" t="str">
        <f t="array" ref="C1">INDEX(D1:AP1, MATCH(1, D16:AP16, 0))</f>
        <v>C8300-1N1S-4T2X</v>
      </c>
      <c r="D1" s="4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>
      <c r="A2" s="8" t="str">
        <f>Specs!B2</f>
        <v>Throughput (Mbps)</v>
      </c>
      <c r="B2" s="9">
        <f>IFERROR(__xludf.DUMMYFUNCTION("IMPORTRANGE(""https://docs.google.com/spreadsheets/d/18TjePryHG687L54fIGU6Od12DGyT3mPoblPemZTZRY4"",""Router!B3:B10"")"),10000.0)</f>
        <v>10000</v>
      </c>
      <c r="C2" s="10">
        <f>hlookup($C$1,$D$1:$AP$10,2,0)</f>
        <v>17000</v>
      </c>
      <c r="D2" s="11">
        <v>1889.0</v>
      </c>
      <c r="E2" s="12">
        <v>1889.0</v>
      </c>
      <c r="F2" s="12">
        <v>1889.0</v>
      </c>
      <c r="G2" s="12">
        <v>1889.0</v>
      </c>
      <c r="H2" s="12">
        <v>1426.0</v>
      </c>
      <c r="I2" s="12">
        <v>1889.0</v>
      </c>
      <c r="J2" s="12">
        <v>1889.0</v>
      </c>
      <c r="K2" s="12">
        <v>1889.0</v>
      </c>
      <c r="L2" s="12">
        <v>1889.0</v>
      </c>
      <c r="M2" s="12">
        <v>1889.0</v>
      </c>
      <c r="N2" s="12">
        <v>1169.0</v>
      </c>
      <c r="O2" s="12">
        <v>500.0</v>
      </c>
      <c r="P2" s="12">
        <v>1000.0</v>
      </c>
      <c r="Q2" s="12">
        <v>2000.0</v>
      </c>
      <c r="R2" s="12">
        <v>2000.0</v>
      </c>
      <c r="S2" s="12">
        <v>17000.0</v>
      </c>
      <c r="T2" s="12">
        <v>18800.0</v>
      </c>
      <c r="U2" s="12">
        <v>19000.0</v>
      </c>
      <c r="V2" s="12">
        <v>51000.0</v>
      </c>
      <c r="W2" s="12">
        <v>96000.0</v>
      </c>
      <c r="X2" s="12">
        <v>350000.0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8" t="str">
        <f>Specs!B3</f>
        <v>Số lượng cổng WAN 1GE</v>
      </c>
      <c r="B3" s="9"/>
      <c r="C3" s="10">
        <f>hlookup($C$1,$D$1:$AP$10,3,0)</f>
        <v>4</v>
      </c>
      <c r="D3" s="11">
        <v>2.0</v>
      </c>
      <c r="E3" s="12">
        <v>2.0</v>
      </c>
      <c r="F3" s="12">
        <v>2.0</v>
      </c>
      <c r="G3" s="12">
        <v>2.0</v>
      </c>
      <c r="H3" s="12">
        <v>2.0</v>
      </c>
      <c r="I3" s="12">
        <v>2.0</v>
      </c>
      <c r="J3" s="12">
        <v>1.0</v>
      </c>
      <c r="K3" s="12">
        <v>1.0</v>
      </c>
      <c r="L3" s="12">
        <v>1.0</v>
      </c>
      <c r="M3" s="12">
        <v>1.0</v>
      </c>
      <c r="N3" s="12">
        <v>1.0</v>
      </c>
      <c r="O3" s="12">
        <v>4.0</v>
      </c>
      <c r="P3" s="12">
        <v>4.0</v>
      </c>
      <c r="Q3" s="12">
        <v>6.0</v>
      </c>
      <c r="R3" s="12">
        <v>6.0</v>
      </c>
      <c r="S3" s="12">
        <v>4.0</v>
      </c>
      <c r="T3" s="12">
        <v>4.0</v>
      </c>
      <c r="U3" s="12">
        <v>8.0</v>
      </c>
      <c r="V3" s="12">
        <v>12.0</v>
      </c>
      <c r="W3" s="12">
        <v>12.0</v>
      </c>
      <c r="X3" s="12">
        <v>20.0</v>
      </c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8" t="str">
        <f>Specs!B4</f>
        <v>Số lượng cổng WAN 10GE</v>
      </c>
      <c r="B4" s="9"/>
      <c r="C4" s="10">
        <f>hlookup($C$1,$D$1:$AP$10,4,0)</f>
        <v>2</v>
      </c>
      <c r="D4" s="11">
        <v>0.0</v>
      </c>
      <c r="E4" s="12">
        <v>0.0</v>
      </c>
      <c r="F4" s="12">
        <v>0.0</v>
      </c>
      <c r="G4" s="12">
        <v>0.0</v>
      </c>
      <c r="H4" s="12">
        <v>0.0</v>
      </c>
      <c r="I4" s="12">
        <v>0.0</v>
      </c>
      <c r="J4" s="12">
        <v>0.0</v>
      </c>
      <c r="K4" s="12">
        <v>0.0</v>
      </c>
      <c r="L4" s="12">
        <v>0.0</v>
      </c>
      <c r="M4" s="12">
        <v>0.0</v>
      </c>
      <c r="N4" s="12">
        <v>0.0</v>
      </c>
      <c r="O4" s="14"/>
      <c r="P4" s="14"/>
      <c r="Q4" s="14"/>
      <c r="R4" s="14"/>
      <c r="S4" s="12">
        <v>2.0</v>
      </c>
      <c r="T4" s="12">
        <v>2.0</v>
      </c>
      <c r="U4" s="12">
        <v>4.0</v>
      </c>
      <c r="V4" s="12">
        <v>12.0</v>
      </c>
      <c r="W4" s="12">
        <v>12.0</v>
      </c>
      <c r="X4" s="12">
        <v>20.0</v>
      </c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8" t="str">
        <f>Specs!B5</f>
        <v>Số lượng cổng LAN 1GE</v>
      </c>
      <c r="B5" s="9"/>
      <c r="C5" s="10">
        <f>hlookup($C$1,$D$1:$AP$10,5,0)</f>
        <v>8</v>
      </c>
      <c r="D5" s="11">
        <v>8.0</v>
      </c>
      <c r="E5" s="12">
        <v>8.0</v>
      </c>
      <c r="F5" s="12">
        <v>8.0</v>
      </c>
      <c r="G5" s="12">
        <v>8.0</v>
      </c>
      <c r="H5" s="12">
        <v>4.0</v>
      </c>
      <c r="I5" s="12">
        <v>8.0</v>
      </c>
      <c r="J5" s="12">
        <v>8.0</v>
      </c>
      <c r="K5" s="12">
        <v>4.0</v>
      </c>
      <c r="L5" s="12">
        <v>4.0</v>
      </c>
      <c r="M5" s="12">
        <v>8.0</v>
      </c>
      <c r="N5" s="12">
        <v>4.0</v>
      </c>
      <c r="O5" s="12">
        <v>8.0</v>
      </c>
      <c r="P5" s="12">
        <v>8.0</v>
      </c>
      <c r="Q5" s="12">
        <v>8.0</v>
      </c>
      <c r="R5" s="12">
        <v>16.0</v>
      </c>
      <c r="S5" s="12">
        <v>8.0</v>
      </c>
      <c r="T5" s="12">
        <v>16.0</v>
      </c>
      <c r="U5" s="14"/>
      <c r="V5" s="14"/>
      <c r="W5" s="14"/>
      <c r="X5" s="14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</row>
    <row r="6">
      <c r="A6" s="8" t="str">
        <f>Specs!B6</f>
        <v/>
      </c>
      <c r="B6" s="16"/>
      <c r="C6" s="10" t="str">
        <f>hlookup($C$1,$D$1:$AP$10,6,0)</f>
        <v/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</row>
    <row r="7">
      <c r="A7" s="8" t="str">
        <f>Specs!B7</f>
        <v/>
      </c>
      <c r="B7" s="16"/>
      <c r="C7" s="10" t="str">
        <f>hlookup($C$1,$D$1:$AP$10,7,0)</f>
        <v/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</row>
    <row r="8">
      <c r="A8" s="8" t="str">
        <f>Specs!B8</f>
        <v/>
      </c>
      <c r="B8" s="16"/>
      <c r="C8" s="10" t="str">
        <f>hlookup($C$1,$D$1:$AP$10,8,0)</f>
        <v/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</row>
    <row r="9">
      <c r="A9" s="8" t="str">
        <f>Specs!B9</f>
        <v/>
      </c>
      <c r="B9" s="16"/>
      <c r="C9" s="10" t="str">
        <f>hlookup($C$1,$D$1:$AP$10,9,0)</f>
        <v/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</row>
    <row r="10">
      <c r="A10" s="8" t="str">
        <f>Specs!B10</f>
        <v/>
      </c>
      <c r="B10" s="16"/>
      <c r="C10" s="10" t="str">
        <f>hlookup($C$1,$D$1:$AP$10,10,0)</f>
        <v/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</row>
    <row r="11">
      <c r="A11" s="17" t="s">
        <v>22</v>
      </c>
      <c r="B11" s="18"/>
      <c r="C11" s="19" t="str">
        <f>hlookup($C$1,$D$1:$AP$11,11,0)</f>
        <v>Mid Range</v>
      </c>
      <c r="D11" s="20" t="s">
        <v>23</v>
      </c>
      <c r="E11" s="20" t="s">
        <v>23</v>
      </c>
      <c r="F11" s="20" t="s">
        <v>23</v>
      </c>
      <c r="G11" s="20" t="s">
        <v>23</v>
      </c>
      <c r="H11" s="20" t="s">
        <v>23</v>
      </c>
      <c r="I11" s="20" t="s">
        <v>23</v>
      </c>
      <c r="J11" s="20" t="s">
        <v>23</v>
      </c>
      <c r="K11" s="20" t="s">
        <v>23</v>
      </c>
      <c r="L11" s="20" t="s">
        <v>23</v>
      </c>
      <c r="M11" s="20" t="s">
        <v>23</v>
      </c>
      <c r="N11" s="20" t="s">
        <v>23</v>
      </c>
      <c r="O11" s="20" t="s">
        <v>24</v>
      </c>
      <c r="P11" s="20" t="s">
        <v>24</v>
      </c>
      <c r="Q11" s="20" t="s">
        <v>24</v>
      </c>
      <c r="R11" s="20" t="s">
        <v>24</v>
      </c>
      <c r="S11" s="20" t="s">
        <v>24</v>
      </c>
      <c r="T11" s="20" t="s">
        <v>24</v>
      </c>
      <c r="U11" s="20" t="s">
        <v>25</v>
      </c>
      <c r="V11" s="20" t="s">
        <v>25</v>
      </c>
      <c r="W11" s="20" t="s">
        <v>25</v>
      </c>
      <c r="X11" s="20" t="s">
        <v>25</v>
      </c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</row>
    <row r="12">
      <c r="A12" s="22"/>
      <c r="B12" s="18"/>
      <c r="C12" s="23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</row>
    <row r="13">
      <c r="A13" s="22" t="s">
        <v>26</v>
      </c>
      <c r="B13" s="18"/>
      <c r="C13" s="23">
        <f t="shared" ref="C13:X13" si="1">sum(1*(C2&gt;=$B$2)+1*(C3&gt;=$B$3)+1*(C4&gt;=$B$4)+1*(C5&gt;=$B$5))</f>
        <v>4</v>
      </c>
      <c r="D13" s="21">
        <f t="shared" si="1"/>
        <v>3</v>
      </c>
      <c r="E13" s="21">
        <f t="shared" si="1"/>
        <v>3</v>
      </c>
      <c r="F13" s="21">
        <f t="shared" si="1"/>
        <v>3</v>
      </c>
      <c r="G13" s="21">
        <f t="shared" si="1"/>
        <v>3</v>
      </c>
      <c r="H13" s="21">
        <f t="shared" si="1"/>
        <v>3</v>
      </c>
      <c r="I13" s="21">
        <f t="shared" si="1"/>
        <v>3</v>
      </c>
      <c r="J13" s="21">
        <f t="shared" si="1"/>
        <v>3</v>
      </c>
      <c r="K13" s="21">
        <f t="shared" si="1"/>
        <v>3</v>
      </c>
      <c r="L13" s="21">
        <f t="shared" si="1"/>
        <v>3</v>
      </c>
      <c r="M13" s="21">
        <f t="shared" si="1"/>
        <v>3</v>
      </c>
      <c r="N13" s="21">
        <f t="shared" si="1"/>
        <v>3</v>
      </c>
      <c r="O13" s="21">
        <f t="shared" si="1"/>
        <v>3</v>
      </c>
      <c r="P13" s="21">
        <f t="shared" si="1"/>
        <v>3</v>
      </c>
      <c r="Q13" s="21">
        <f t="shared" si="1"/>
        <v>3</v>
      </c>
      <c r="R13" s="21">
        <f t="shared" si="1"/>
        <v>3</v>
      </c>
      <c r="S13" s="21">
        <f t="shared" si="1"/>
        <v>4</v>
      </c>
      <c r="T13" s="21">
        <f t="shared" si="1"/>
        <v>4</v>
      </c>
      <c r="U13" s="21">
        <f t="shared" si="1"/>
        <v>4</v>
      </c>
      <c r="V13" s="21">
        <f t="shared" si="1"/>
        <v>4</v>
      </c>
      <c r="W13" s="21">
        <f t="shared" si="1"/>
        <v>4</v>
      </c>
      <c r="X13" s="21">
        <f t="shared" si="1"/>
        <v>4</v>
      </c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</row>
    <row r="14">
      <c r="A14" s="22" t="s">
        <v>27</v>
      </c>
      <c r="B14" s="18"/>
      <c r="C14" s="24">
        <f>iferror(vlookup(C1,Cisco!$A$2:$D$1000,4,0),0)</f>
        <v>71768.03</v>
      </c>
      <c r="D14" s="25">
        <f>iferror(vlookup(D1,Cisco!$A$2:$D$1000,4,0),0)</f>
        <v>9295.63</v>
      </c>
      <c r="E14" s="25">
        <f>iferror(vlookup(E1,Cisco!$A$2:$D$1000,4,0),0)</f>
        <v>26500</v>
      </c>
      <c r="F14" s="25">
        <f>iferror(vlookup(F1,Cisco!$A$2:$D$1000,4,0),0)</f>
        <v>9167.72</v>
      </c>
      <c r="G14" s="25">
        <f>iferror(vlookup(G1,Cisco!$A$2:$D$1000,4,0),0)</f>
        <v>9409.5</v>
      </c>
      <c r="H14" s="25">
        <f>iferror(vlookup(H1,Cisco!$A$2:$D$1000,4,0),0)</f>
        <v>8116.3</v>
      </c>
      <c r="I14" s="25">
        <f>iferror(vlookup(I1,Cisco!$A$2:$D$1000,4,0),0)</f>
        <v>8446.06</v>
      </c>
      <c r="J14" s="25">
        <f>iferror(vlookup(J1,Cisco!$A$2:$D$1000,4,0),0)</f>
        <v>32500</v>
      </c>
      <c r="K14" s="25">
        <f>iferror(vlookup(K1,Cisco!$A$2:$D$1000,4,0),0)</f>
        <v>8670.44</v>
      </c>
      <c r="L14" s="25">
        <f>iferror(vlookup(L1,Cisco!$A$2:$D$1000,4,0),0)</f>
        <v>192000</v>
      </c>
      <c r="M14" s="25">
        <f>iferror(vlookup(M1,Cisco!$A$2:$D$1000,4,0),0)</f>
        <v>9786.58</v>
      </c>
      <c r="N14" s="25">
        <f>iferror(vlookup(N1,Cisco!$A$2:$D$1000,4,0),0)</f>
        <v>9255.74</v>
      </c>
      <c r="O14" s="25">
        <f>iferror(vlookup(O1,Cisco!$A$2:$D$1000,4,0),0)</f>
        <v>18000</v>
      </c>
      <c r="P14" s="25">
        <f>iferror(vlookup(P1,Cisco!$A$2:$D$1000,4,0),0)</f>
        <v>15000</v>
      </c>
      <c r="Q14" s="25">
        <f>iferror(vlookup(Q1,Cisco!$A$2:$D$1000,4,0),0)</f>
        <v>36965.33</v>
      </c>
      <c r="R14" s="25">
        <f>iferror(vlookup(R1,Cisco!$A$2:$D$1000,4,0),0)</f>
        <v>46344.92</v>
      </c>
      <c r="S14" s="25">
        <f>iferror(vlookup(S1,Cisco!$A$2:$D$1000,4,0),0)</f>
        <v>71768.03</v>
      </c>
      <c r="T14" s="25">
        <f>iferror(vlookup(T1,Cisco!$A$2:$D$1000,4,0),0)</f>
        <v>87564.41</v>
      </c>
      <c r="U14" s="25">
        <f>iferror(vlookup(U1,Cisco!$A$2:$D$1000,4,0),0)</f>
        <v>92549.95</v>
      </c>
      <c r="V14" s="25">
        <f>iferror(vlookup(V1,Cisco!$A$2:$D$1000,4,0),0)</f>
        <v>198921.55</v>
      </c>
      <c r="W14" s="25">
        <f>iferror(vlookup(W1,Cisco!$A$2:$D$1000,4,0),0)</f>
        <v>284449</v>
      </c>
      <c r="X14" s="25">
        <f>iferror(vlookup(X1,Cisco!$A$2:$D$1000,4,0),0)</f>
        <v>534067.23</v>
      </c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</row>
    <row r="15">
      <c r="A15" s="22" t="s">
        <v>28</v>
      </c>
      <c r="B15" s="18"/>
      <c r="C15" s="23">
        <f t="shared" ref="C15:X15" si="2">1*(C13=max($D$13:$AP$13))</f>
        <v>1</v>
      </c>
      <c r="D15" s="21">
        <f t="shared" si="2"/>
        <v>0</v>
      </c>
      <c r="E15" s="21">
        <f t="shared" si="2"/>
        <v>0</v>
      </c>
      <c r="F15" s="21">
        <f t="shared" si="2"/>
        <v>0</v>
      </c>
      <c r="G15" s="21">
        <f t="shared" si="2"/>
        <v>0</v>
      </c>
      <c r="H15" s="21">
        <f t="shared" si="2"/>
        <v>0</v>
      </c>
      <c r="I15" s="21">
        <f t="shared" si="2"/>
        <v>0</v>
      </c>
      <c r="J15" s="21">
        <f t="shared" si="2"/>
        <v>0</v>
      </c>
      <c r="K15" s="21">
        <f t="shared" si="2"/>
        <v>0</v>
      </c>
      <c r="L15" s="21">
        <f t="shared" si="2"/>
        <v>0</v>
      </c>
      <c r="M15" s="21">
        <f t="shared" si="2"/>
        <v>0</v>
      </c>
      <c r="N15" s="21">
        <f t="shared" si="2"/>
        <v>0</v>
      </c>
      <c r="O15" s="21">
        <f t="shared" si="2"/>
        <v>0</v>
      </c>
      <c r="P15" s="21">
        <f t="shared" si="2"/>
        <v>0</v>
      </c>
      <c r="Q15" s="21">
        <f t="shared" si="2"/>
        <v>0</v>
      </c>
      <c r="R15" s="21">
        <f t="shared" si="2"/>
        <v>0</v>
      </c>
      <c r="S15" s="21">
        <f t="shared" si="2"/>
        <v>1</v>
      </c>
      <c r="T15" s="21">
        <f t="shared" si="2"/>
        <v>1</v>
      </c>
      <c r="U15" s="21">
        <f t="shared" si="2"/>
        <v>1</v>
      </c>
      <c r="V15" s="21">
        <f t="shared" si="2"/>
        <v>1</v>
      </c>
      <c r="W15" s="21">
        <f t="shared" si="2"/>
        <v>1</v>
      </c>
      <c r="X15" s="21">
        <f t="shared" si="2"/>
        <v>1</v>
      </c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</row>
    <row r="16">
      <c r="A16" s="22" t="s">
        <v>29</v>
      </c>
      <c r="B16" s="18"/>
      <c r="C16" s="23">
        <f t="shared" ref="C16:X16" si="3">C15*(C14=minifs($D$14:$AP$14,$D$15:$AP$15,1))</f>
        <v>1</v>
      </c>
      <c r="D16" s="21">
        <f t="shared" si="3"/>
        <v>0</v>
      </c>
      <c r="E16" s="21">
        <f t="shared" si="3"/>
        <v>0</v>
      </c>
      <c r="F16" s="21">
        <f t="shared" si="3"/>
        <v>0</v>
      </c>
      <c r="G16" s="21">
        <f t="shared" si="3"/>
        <v>0</v>
      </c>
      <c r="H16" s="21">
        <f t="shared" si="3"/>
        <v>0</v>
      </c>
      <c r="I16" s="21">
        <f t="shared" si="3"/>
        <v>0</v>
      </c>
      <c r="J16" s="21">
        <f t="shared" si="3"/>
        <v>0</v>
      </c>
      <c r="K16" s="21">
        <f t="shared" si="3"/>
        <v>0</v>
      </c>
      <c r="L16" s="21">
        <f t="shared" si="3"/>
        <v>0</v>
      </c>
      <c r="M16" s="21">
        <f t="shared" si="3"/>
        <v>0</v>
      </c>
      <c r="N16" s="21">
        <f t="shared" si="3"/>
        <v>0</v>
      </c>
      <c r="O16" s="21">
        <f t="shared" si="3"/>
        <v>0</v>
      </c>
      <c r="P16" s="21">
        <f t="shared" si="3"/>
        <v>0</v>
      </c>
      <c r="Q16" s="21">
        <f t="shared" si="3"/>
        <v>0</v>
      </c>
      <c r="R16" s="21">
        <f t="shared" si="3"/>
        <v>0</v>
      </c>
      <c r="S16" s="21">
        <f t="shared" si="3"/>
        <v>1</v>
      </c>
      <c r="T16" s="21">
        <f t="shared" si="3"/>
        <v>0</v>
      </c>
      <c r="U16" s="21">
        <f t="shared" si="3"/>
        <v>0</v>
      </c>
      <c r="V16" s="21">
        <f t="shared" si="3"/>
        <v>0</v>
      </c>
      <c r="W16" s="21">
        <f t="shared" si="3"/>
        <v>0</v>
      </c>
      <c r="X16" s="21">
        <f t="shared" si="3"/>
        <v>0</v>
      </c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</row>
    <row r="17">
      <c r="A17" s="22" t="s">
        <v>30</v>
      </c>
      <c r="B17" s="18"/>
      <c r="C17" s="23">
        <f t="shared" ref="C17:X17" si="4">(1-($C$1=C1))*(C15=1)</f>
        <v>0</v>
      </c>
      <c r="D17" s="21">
        <f t="shared" si="4"/>
        <v>0</v>
      </c>
      <c r="E17" s="21">
        <f t="shared" si="4"/>
        <v>0</v>
      </c>
      <c r="F17" s="21">
        <f t="shared" si="4"/>
        <v>0</v>
      </c>
      <c r="G17" s="21">
        <f t="shared" si="4"/>
        <v>0</v>
      </c>
      <c r="H17" s="21">
        <f t="shared" si="4"/>
        <v>0</v>
      </c>
      <c r="I17" s="21">
        <f t="shared" si="4"/>
        <v>0</v>
      </c>
      <c r="J17" s="21">
        <f t="shared" si="4"/>
        <v>0</v>
      </c>
      <c r="K17" s="21">
        <f t="shared" si="4"/>
        <v>0</v>
      </c>
      <c r="L17" s="21">
        <f t="shared" si="4"/>
        <v>0</v>
      </c>
      <c r="M17" s="21">
        <f t="shared" si="4"/>
        <v>0</v>
      </c>
      <c r="N17" s="21">
        <f t="shared" si="4"/>
        <v>0</v>
      </c>
      <c r="O17" s="21">
        <f t="shared" si="4"/>
        <v>0</v>
      </c>
      <c r="P17" s="21">
        <f t="shared" si="4"/>
        <v>0</v>
      </c>
      <c r="Q17" s="21">
        <f t="shared" si="4"/>
        <v>0</v>
      </c>
      <c r="R17" s="21">
        <f t="shared" si="4"/>
        <v>0</v>
      </c>
      <c r="S17" s="21">
        <f t="shared" si="4"/>
        <v>0</v>
      </c>
      <c r="T17" s="21">
        <f t="shared" si="4"/>
        <v>1</v>
      </c>
      <c r="U17" s="21">
        <f t="shared" si="4"/>
        <v>1</v>
      </c>
      <c r="V17" s="21">
        <f t="shared" si="4"/>
        <v>1</v>
      </c>
      <c r="W17" s="21">
        <f t="shared" si="4"/>
        <v>1</v>
      </c>
      <c r="X17" s="21">
        <f t="shared" si="4"/>
        <v>1</v>
      </c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</row>
    <row r="18">
      <c r="B18" s="18"/>
      <c r="C18" s="23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</row>
    <row r="19">
      <c r="A19" s="17" t="s">
        <v>31</v>
      </c>
      <c r="B19" s="26"/>
      <c r="C19" s="27" t="str">
        <f>IFERROR(__xludf.DUMMYFUNCTION("iferror(filter(D1:AP1,$D$17:$AP$17=1),"""")"),"C8300-2N2S-4T2X")</f>
        <v>C8300-2N2S-4T2X</v>
      </c>
      <c r="D19" s="28" t="str">
        <f>IFERROR(__xludf.DUMMYFUNCTION("""COMPUTED_VALUE"""),"C8500L-8S4X")</f>
        <v>C8500L-8S4X</v>
      </c>
      <c r="E19" s="28" t="str">
        <f>IFERROR(__xludf.DUMMYFUNCTION("""COMPUTED_VALUE"""),"C8500-12X")</f>
        <v>C8500-12X</v>
      </c>
      <c r="F19" s="28" t="str">
        <f>IFERROR(__xludf.DUMMYFUNCTION("""COMPUTED_VALUE"""),"C8500-12X4QC")</f>
        <v>C8500-12X4QC</v>
      </c>
      <c r="G19" s="28" t="str">
        <f>IFERROR(__xludf.DUMMYFUNCTION("""COMPUTED_VALUE"""),"C8500-20X6C")</f>
        <v>C8500-20X6C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</row>
    <row r="20">
      <c r="A20" s="29" t="str">
        <f t="shared" ref="A20:A23" si="5">A2</f>
        <v>Throughput (Mbps)</v>
      </c>
      <c r="B20" s="18"/>
      <c r="C20" s="23">
        <f>IFERROR(__xludf.DUMMYFUNCTION("iferror(filter(D2:AP2,$D$17:$AP$17=1),"""")"),18800.0)</f>
        <v>18800</v>
      </c>
      <c r="D20" s="20">
        <f>IFERROR(__xludf.DUMMYFUNCTION("""COMPUTED_VALUE"""),19000.0)</f>
        <v>19000</v>
      </c>
      <c r="E20" s="20">
        <f>IFERROR(__xludf.DUMMYFUNCTION("""COMPUTED_VALUE"""),51000.0)</f>
        <v>51000</v>
      </c>
      <c r="F20" s="20">
        <f>IFERROR(__xludf.DUMMYFUNCTION("""COMPUTED_VALUE"""),96000.0)</f>
        <v>96000</v>
      </c>
      <c r="G20" s="20">
        <f>IFERROR(__xludf.DUMMYFUNCTION("""COMPUTED_VALUE"""),350000.0)</f>
        <v>350000</v>
      </c>
      <c r="H20" s="20"/>
      <c r="I20" s="20"/>
      <c r="J20" s="20"/>
      <c r="K20" s="20"/>
      <c r="L20" s="20"/>
      <c r="M20" s="20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</row>
    <row r="21">
      <c r="A21" s="29" t="str">
        <f t="shared" si="5"/>
        <v>Số lượng cổng WAN 1GE</v>
      </c>
      <c r="B21" s="18"/>
      <c r="C21" s="23">
        <f>IFERROR(__xludf.DUMMYFUNCTION("iferror(filter(D3:AP3,$D$17:$AP$17=1),"""")"),4.0)</f>
        <v>4</v>
      </c>
      <c r="D21" s="20">
        <f>IFERROR(__xludf.DUMMYFUNCTION("""COMPUTED_VALUE"""),8.0)</f>
        <v>8</v>
      </c>
      <c r="E21" s="20">
        <f>IFERROR(__xludf.DUMMYFUNCTION("""COMPUTED_VALUE"""),12.0)</f>
        <v>12</v>
      </c>
      <c r="F21" s="20">
        <f>IFERROR(__xludf.DUMMYFUNCTION("""COMPUTED_VALUE"""),12.0)</f>
        <v>12</v>
      </c>
      <c r="G21" s="20">
        <f>IFERROR(__xludf.DUMMYFUNCTION("""COMPUTED_VALUE"""),20.0)</f>
        <v>20</v>
      </c>
      <c r="H21" s="20"/>
      <c r="I21" s="20"/>
      <c r="J21" s="20"/>
      <c r="K21" s="20"/>
      <c r="L21" s="20"/>
      <c r="M21" s="20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</row>
    <row r="22">
      <c r="A22" s="29" t="str">
        <f t="shared" si="5"/>
        <v>Số lượng cổng WAN 10GE</v>
      </c>
      <c r="B22" s="18"/>
      <c r="C22" s="23">
        <f>IFERROR(__xludf.DUMMYFUNCTION("iferror(filter(D4:AP4,$D$17:$AP$17=1),"""")"),2.0)</f>
        <v>2</v>
      </c>
      <c r="D22" s="20">
        <f>IFERROR(__xludf.DUMMYFUNCTION("""COMPUTED_VALUE"""),4.0)</f>
        <v>4</v>
      </c>
      <c r="E22" s="20">
        <f>IFERROR(__xludf.DUMMYFUNCTION("""COMPUTED_VALUE"""),12.0)</f>
        <v>12</v>
      </c>
      <c r="F22" s="20">
        <f>IFERROR(__xludf.DUMMYFUNCTION("""COMPUTED_VALUE"""),12.0)</f>
        <v>12</v>
      </c>
      <c r="G22" s="20">
        <f>IFERROR(__xludf.DUMMYFUNCTION("""COMPUTED_VALUE"""),20.0)</f>
        <v>20</v>
      </c>
      <c r="H22" s="20"/>
      <c r="I22" s="20"/>
      <c r="J22" s="20"/>
      <c r="K22" s="20"/>
      <c r="L22" s="20"/>
      <c r="M22" s="20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</row>
    <row r="23">
      <c r="A23" s="29" t="str">
        <f t="shared" si="5"/>
        <v>Số lượng cổng LAN 1GE</v>
      </c>
      <c r="B23" s="18"/>
      <c r="C23" s="23">
        <f>IFERROR(__xludf.DUMMYFUNCTION("iferror(filter(D5:AP5,$D$17:$AP$17=1),"""")"),16.0)</f>
        <v>16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</row>
    <row r="24">
      <c r="A24" s="22" t="s">
        <v>22</v>
      </c>
      <c r="B24" s="18"/>
      <c r="C24" s="23" t="str">
        <f>IFERROR(__xludf.DUMMYFUNCTION("iferror(filter(D11:AP11,$D$17:$AP$17=1),"""")"),"Mid Range")</f>
        <v>Mid Range</v>
      </c>
      <c r="D24" s="21" t="str">
        <f>IFERROR(__xludf.DUMMYFUNCTION("""COMPUTED_VALUE"""),"High End")</f>
        <v>High End</v>
      </c>
      <c r="E24" s="21" t="str">
        <f>IFERROR(__xludf.DUMMYFUNCTION("""COMPUTED_VALUE"""),"High End")</f>
        <v>High End</v>
      </c>
      <c r="F24" s="21" t="str">
        <f>IFERROR(__xludf.DUMMYFUNCTION("""COMPUTED_VALUE"""),"High End")</f>
        <v>High End</v>
      </c>
      <c r="G24" s="21" t="str">
        <f>IFERROR(__xludf.DUMMYFUNCTION("""COMPUTED_VALUE"""),"High End")</f>
        <v>High End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</row>
    <row r="25">
      <c r="B25" s="18"/>
      <c r="C25" s="23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</row>
    <row r="26">
      <c r="B26" s="18"/>
      <c r="C26" s="23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</row>
    <row r="27">
      <c r="B27" s="18"/>
      <c r="C27" s="23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</row>
    <row r="28">
      <c r="B28" s="18"/>
      <c r="C28" s="23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</row>
    <row r="29">
      <c r="B29" s="18"/>
      <c r="C29" s="23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</row>
    <row r="30">
      <c r="B30" s="18"/>
      <c r="C30" s="23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</row>
    <row r="31">
      <c r="B31" s="18"/>
      <c r="C31" s="23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</row>
    <row r="32">
      <c r="B32" s="18"/>
      <c r="C32" s="23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</row>
    <row r="33">
      <c r="B33" s="18"/>
      <c r="C33" s="23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</row>
    <row r="34">
      <c r="B34" s="18"/>
      <c r="C34" s="23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</row>
    <row r="35">
      <c r="B35" s="18"/>
      <c r="C35" s="23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</row>
    <row r="36">
      <c r="B36" s="18"/>
      <c r="C36" s="23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</row>
    <row r="37">
      <c r="B37" s="18"/>
      <c r="C37" s="23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</row>
    <row r="38">
      <c r="B38" s="18"/>
      <c r="C38" s="23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</row>
    <row r="39">
      <c r="B39" s="18"/>
      <c r="C39" s="23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</row>
    <row r="40">
      <c r="B40" s="18"/>
      <c r="C40" s="23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</row>
    <row r="41">
      <c r="B41" s="18"/>
      <c r="C41" s="23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</row>
    <row r="42">
      <c r="B42" s="18"/>
      <c r="C42" s="23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</row>
    <row r="43">
      <c r="B43" s="18"/>
      <c r="C43" s="23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</row>
    <row r="44">
      <c r="B44" s="18"/>
      <c r="C44" s="23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</row>
    <row r="45">
      <c r="B45" s="18"/>
      <c r="C45" s="23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</row>
    <row r="46">
      <c r="B46" s="18"/>
      <c r="C46" s="23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</row>
    <row r="47">
      <c r="B47" s="18"/>
      <c r="C47" s="23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</row>
    <row r="48">
      <c r="B48" s="18"/>
      <c r="C48" s="23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</row>
    <row r="49">
      <c r="B49" s="18"/>
      <c r="C49" s="23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</row>
    <row r="50">
      <c r="B50" s="18"/>
      <c r="C50" s="23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</row>
    <row r="51">
      <c r="B51" s="18"/>
      <c r="C51" s="23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</row>
    <row r="52">
      <c r="B52" s="18"/>
      <c r="C52" s="23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</row>
    <row r="53">
      <c r="B53" s="18"/>
      <c r="C53" s="23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</row>
    <row r="54">
      <c r="B54" s="18"/>
      <c r="C54" s="23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</row>
    <row r="55">
      <c r="B55" s="18"/>
      <c r="C55" s="23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</row>
    <row r="56">
      <c r="B56" s="18"/>
      <c r="C56" s="23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</row>
    <row r="57">
      <c r="B57" s="18"/>
      <c r="C57" s="23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</row>
    <row r="58">
      <c r="B58" s="18"/>
      <c r="C58" s="23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</row>
    <row r="59">
      <c r="B59" s="18"/>
      <c r="C59" s="23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</row>
    <row r="60">
      <c r="B60" s="18"/>
      <c r="C60" s="23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</row>
    <row r="61">
      <c r="B61" s="18"/>
      <c r="C61" s="23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</row>
    <row r="62">
      <c r="B62" s="18"/>
      <c r="C62" s="23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</row>
    <row r="63">
      <c r="B63" s="18"/>
      <c r="C63" s="23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</row>
    <row r="64">
      <c r="B64" s="18"/>
      <c r="C64" s="23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</row>
    <row r="65">
      <c r="B65" s="18"/>
      <c r="C65" s="23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</row>
    <row r="66">
      <c r="B66" s="18"/>
      <c r="C66" s="23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</row>
    <row r="67">
      <c r="B67" s="18"/>
      <c r="C67" s="23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</row>
    <row r="68">
      <c r="B68" s="18"/>
      <c r="C68" s="23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</row>
    <row r="69">
      <c r="B69" s="18"/>
      <c r="C69" s="23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</row>
    <row r="70">
      <c r="B70" s="18"/>
      <c r="C70" s="23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</row>
    <row r="71">
      <c r="B71" s="18"/>
      <c r="C71" s="23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</row>
    <row r="72">
      <c r="B72" s="18"/>
      <c r="C72" s="23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</row>
    <row r="73">
      <c r="B73" s="18"/>
      <c r="C73" s="23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</row>
    <row r="74">
      <c r="B74" s="18"/>
      <c r="C74" s="23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</row>
    <row r="75">
      <c r="B75" s="18"/>
      <c r="C75" s="23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</row>
    <row r="76">
      <c r="B76" s="18"/>
      <c r="C76" s="23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</row>
    <row r="77">
      <c r="B77" s="18"/>
      <c r="C77" s="23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</row>
    <row r="78">
      <c r="B78" s="18"/>
      <c r="C78" s="23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</row>
    <row r="79">
      <c r="B79" s="18"/>
      <c r="C79" s="23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</row>
    <row r="80">
      <c r="B80" s="18"/>
      <c r="C80" s="23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</row>
    <row r="81">
      <c r="B81" s="18"/>
      <c r="C81" s="23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</row>
    <row r="82">
      <c r="B82" s="18"/>
      <c r="C82" s="23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</row>
    <row r="83">
      <c r="B83" s="18"/>
      <c r="C83" s="23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</row>
    <row r="84">
      <c r="B84" s="18"/>
      <c r="C84" s="23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</row>
    <row r="85">
      <c r="B85" s="18"/>
      <c r="C85" s="23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</row>
    <row r="86">
      <c r="B86" s="18"/>
      <c r="C86" s="23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</row>
    <row r="87">
      <c r="B87" s="18"/>
      <c r="C87" s="23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</row>
    <row r="88">
      <c r="B88" s="18"/>
      <c r="C88" s="23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</row>
    <row r="89">
      <c r="B89" s="18"/>
      <c r="C89" s="23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</row>
    <row r="90">
      <c r="B90" s="18"/>
      <c r="C90" s="23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</row>
    <row r="91">
      <c r="B91" s="18"/>
      <c r="C91" s="23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</row>
    <row r="92">
      <c r="B92" s="18"/>
      <c r="C92" s="23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</row>
    <row r="93">
      <c r="B93" s="18"/>
      <c r="C93" s="23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</row>
    <row r="94">
      <c r="B94" s="18"/>
      <c r="C94" s="23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</row>
    <row r="95">
      <c r="B95" s="18"/>
      <c r="C95" s="23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</row>
    <row r="96">
      <c r="B96" s="18"/>
      <c r="C96" s="23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</row>
    <row r="97">
      <c r="B97" s="18"/>
      <c r="C97" s="23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</row>
    <row r="98">
      <c r="B98" s="18"/>
      <c r="C98" s="23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</row>
    <row r="99">
      <c r="B99" s="18"/>
      <c r="C99" s="23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</row>
    <row r="100">
      <c r="B100" s="18"/>
      <c r="C100" s="23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</row>
    <row r="101">
      <c r="B101" s="18"/>
      <c r="C101" s="23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</row>
    <row r="102">
      <c r="B102" s="18"/>
      <c r="C102" s="23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</row>
    <row r="103">
      <c r="B103" s="18"/>
      <c r="C103" s="23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</row>
    <row r="104">
      <c r="B104" s="18"/>
      <c r="C104" s="23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</row>
    <row r="105">
      <c r="B105" s="18"/>
      <c r="C105" s="23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</row>
    <row r="106">
      <c r="B106" s="18"/>
      <c r="C106" s="23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</row>
    <row r="107">
      <c r="B107" s="18"/>
      <c r="C107" s="23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</row>
    <row r="108">
      <c r="B108" s="18"/>
      <c r="C108" s="23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</row>
    <row r="109">
      <c r="B109" s="18"/>
      <c r="C109" s="23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</row>
    <row r="110">
      <c r="B110" s="18"/>
      <c r="C110" s="23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</row>
    <row r="111">
      <c r="B111" s="18"/>
      <c r="C111" s="23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</row>
    <row r="112">
      <c r="B112" s="18"/>
      <c r="C112" s="23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</row>
    <row r="113">
      <c r="B113" s="18"/>
      <c r="C113" s="23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</row>
    <row r="114">
      <c r="B114" s="18"/>
      <c r="C114" s="23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</row>
    <row r="115">
      <c r="B115" s="18"/>
      <c r="C115" s="23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</row>
    <row r="116">
      <c r="B116" s="18"/>
      <c r="C116" s="23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</row>
    <row r="117">
      <c r="B117" s="18"/>
      <c r="C117" s="23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</row>
    <row r="118">
      <c r="B118" s="18"/>
      <c r="C118" s="23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</row>
    <row r="119">
      <c r="B119" s="18"/>
      <c r="C119" s="23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</row>
    <row r="120">
      <c r="B120" s="18"/>
      <c r="C120" s="23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</row>
    <row r="121">
      <c r="B121" s="18"/>
      <c r="C121" s="23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</row>
    <row r="122">
      <c r="B122" s="18"/>
      <c r="C122" s="23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</row>
    <row r="123">
      <c r="B123" s="18"/>
      <c r="C123" s="23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</row>
    <row r="124">
      <c r="B124" s="18"/>
      <c r="C124" s="23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</row>
    <row r="125">
      <c r="B125" s="18"/>
      <c r="C125" s="23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</row>
    <row r="126">
      <c r="B126" s="18"/>
      <c r="C126" s="23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</row>
    <row r="127">
      <c r="B127" s="18"/>
      <c r="C127" s="23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</row>
    <row r="128">
      <c r="B128" s="18"/>
      <c r="C128" s="23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</row>
    <row r="129">
      <c r="B129" s="18"/>
      <c r="C129" s="23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</row>
    <row r="130">
      <c r="B130" s="18"/>
      <c r="C130" s="23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</row>
    <row r="131">
      <c r="B131" s="18"/>
      <c r="C131" s="23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</row>
    <row r="132">
      <c r="B132" s="18"/>
      <c r="C132" s="23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</row>
    <row r="133">
      <c r="B133" s="18"/>
      <c r="C133" s="23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</row>
    <row r="134">
      <c r="B134" s="18"/>
      <c r="C134" s="23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</row>
    <row r="135">
      <c r="B135" s="18"/>
      <c r="C135" s="23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</row>
    <row r="136">
      <c r="B136" s="18"/>
      <c r="C136" s="23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</row>
    <row r="137">
      <c r="B137" s="18"/>
      <c r="C137" s="23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</row>
    <row r="138">
      <c r="B138" s="18"/>
      <c r="C138" s="23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</row>
    <row r="139">
      <c r="B139" s="18"/>
      <c r="C139" s="23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</row>
    <row r="140">
      <c r="B140" s="18"/>
      <c r="C140" s="23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</row>
    <row r="141">
      <c r="B141" s="18"/>
      <c r="C141" s="23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</row>
    <row r="142">
      <c r="B142" s="18"/>
      <c r="C142" s="23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</row>
    <row r="143">
      <c r="B143" s="18"/>
      <c r="C143" s="23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</row>
    <row r="144">
      <c r="B144" s="18"/>
      <c r="C144" s="23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</row>
    <row r="145">
      <c r="B145" s="18"/>
      <c r="C145" s="23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</row>
    <row r="146">
      <c r="B146" s="18"/>
      <c r="C146" s="23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</row>
    <row r="147">
      <c r="B147" s="18"/>
      <c r="C147" s="23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</row>
    <row r="148">
      <c r="B148" s="18"/>
      <c r="C148" s="23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</row>
    <row r="149">
      <c r="B149" s="18"/>
      <c r="C149" s="23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</row>
    <row r="150">
      <c r="B150" s="18"/>
      <c r="C150" s="23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</row>
    <row r="151">
      <c r="B151" s="18"/>
      <c r="C151" s="23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</row>
    <row r="152">
      <c r="B152" s="18"/>
      <c r="C152" s="23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</row>
    <row r="153">
      <c r="B153" s="18"/>
      <c r="C153" s="23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</row>
    <row r="154">
      <c r="B154" s="18"/>
      <c r="C154" s="23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</row>
    <row r="155">
      <c r="B155" s="18"/>
      <c r="C155" s="23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</row>
    <row r="156">
      <c r="B156" s="18"/>
      <c r="C156" s="23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</row>
    <row r="157">
      <c r="B157" s="18"/>
      <c r="C157" s="23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</row>
    <row r="158">
      <c r="B158" s="18"/>
      <c r="C158" s="23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</row>
    <row r="159">
      <c r="B159" s="18"/>
      <c r="C159" s="23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</row>
    <row r="160">
      <c r="B160" s="18"/>
      <c r="C160" s="23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</row>
    <row r="161">
      <c r="B161" s="18"/>
      <c r="C161" s="23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</row>
    <row r="162">
      <c r="B162" s="18"/>
      <c r="C162" s="23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</row>
    <row r="163">
      <c r="B163" s="18"/>
      <c r="C163" s="23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</row>
    <row r="164">
      <c r="B164" s="18"/>
      <c r="C164" s="23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</row>
    <row r="165">
      <c r="B165" s="18"/>
      <c r="C165" s="23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</row>
    <row r="166">
      <c r="B166" s="18"/>
      <c r="C166" s="23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</row>
    <row r="167">
      <c r="B167" s="18"/>
      <c r="C167" s="23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</row>
    <row r="168">
      <c r="B168" s="18"/>
      <c r="C168" s="23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</row>
    <row r="169">
      <c r="B169" s="18"/>
      <c r="C169" s="23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</row>
    <row r="170">
      <c r="B170" s="18"/>
      <c r="C170" s="23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</row>
    <row r="171">
      <c r="B171" s="18"/>
      <c r="C171" s="23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</row>
    <row r="172">
      <c r="B172" s="18"/>
      <c r="C172" s="23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</row>
    <row r="173">
      <c r="B173" s="18"/>
      <c r="C173" s="23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</row>
    <row r="174">
      <c r="B174" s="18"/>
      <c r="C174" s="23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</row>
    <row r="175">
      <c r="B175" s="18"/>
      <c r="C175" s="23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</row>
    <row r="176">
      <c r="B176" s="18"/>
      <c r="C176" s="23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</row>
    <row r="177">
      <c r="B177" s="18"/>
      <c r="C177" s="23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</row>
    <row r="178">
      <c r="B178" s="18"/>
      <c r="C178" s="23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</row>
    <row r="179">
      <c r="B179" s="18"/>
      <c r="C179" s="23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</row>
    <row r="180">
      <c r="B180" s="18"/>
      <c r="C180" s="23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</row>
    <row r="181">
      <c r="B181" s="18"/>
      <c r="C181" s="23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</row>
    <row r="182">
      <c r="B182" s="18"/>
      <c r="C182" s="23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</row>
    <row r="183">
      <c r="B183" s="18"/>
      <c r="C183" s="23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</row>
    <row r="184">
      <c r="B184" s="18"/>
      <c r="C184" s="23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</row>
    <row r="185">
      <c r="B185" s="18"/>
      <c r="C185" s="23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</row>
    <row r="186">
      <c r="B186" s="18"/>
      <c r="C186" s="23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</row>
    <row r="187">
      <c r="B187" s="18"/>
      <c r="C187" s="23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</row>
    <row r="188">
      <c r="B188" s="18"/>
      <c r="C188" s="23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</row>
    <row r="189">
      <c r="B189" s="18"/>
      <c r="C189" s="23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</row>
    <row r="190">
      <c r="B190" s="18"/>
      <c r="C190" s="23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</row>
    <row r="191">
      <c r="B191" s="18"/>
      <c r="C191" s="23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</row>
    <row r="192">
      <c r="B192" s="18"/>
      <c r="C192" s="23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</row>
    <row r="193">
      <c r="B193" s="18"/>
      <c r="C193" s="23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</row>
    <row r="194">
      <c r="B194" s="18"/>
      <c r="C194" s="23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</row>
    <row r="195">
      <c r="B195" s="18"/>
      <c r="C195" s="23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</row>
    <row r="196">
      <c r="B196" s="18"/>
      <c r="C196" s="23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</row>
    <row r="197">
      <c r="B197" s="18"/>
      <c r="C197" s="23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</row>
    <row r="198">
      <c r="B198" s="18"/>
      <c r="C198" s="23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</row>
    <row r="199">
      <c r="B199" s="18"/>
      <c r="C199" s="23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</row>
    <row r="200">
      <c r="B200" s="18"/>
      <c r="C200" s="23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</row>
    <row r="201">
      <c r="B201" s="18"/>
      <c r="C201" s="23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</row>
    <row r="202">
      <c r="B202" s="18"/>
      <c r="C202" s="23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</row>
    <row r="203">
      <c r="B203" s="18"/>
      <c r="C203" s="23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</row>
    <row r="204">
      <c r="B204" s="18"/>
      <c r="C204" s="23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</row>
    <row r="205">
      <c r="B205" s="18"/>
      <c r="C205" s="23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</row>
    <row r="206">
      <c r="B206" s="18"/>
      <c r="C206" s="23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</row>
    <row r="207">
      <c r="B207" s="18"/>
      <c r="C207" s="23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</row>
    <row r="208">
      <c r="B208" s="18"/>
      <c r="C208" s="23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</row>
    <row r="209">
      <c r="B209" s="18"/>
      <c r="C209" s="23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</row>
    <row r="210">
      <c r="B210" s="18"/>
      <c r="C210" s="23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</row>
    <row r="211">
      <c r="B211" s="18"/>
      <c r="C211" s="23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</row>
    <row r="212">
      <c r="B212" s="18"/>
      <c r="C212" s="23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</row>
    <row r="213">
      <c r="B213" s="18"/>
      <c r="C213" s="23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</row>
    <row r="214">
      <c r="B214" s="18"/>
      <c r="C214" s="23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</row>
    <row r="215">
      <c r="B215" s="18"/>
      <c r="C215" s="23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</row>
    <row r="216">
      <c r="B216" s="18"/>
      <c r="C216" s="23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</row>
    <row r="217">
      <c r="B217" s="18"/>
      <c r="C217" s="23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</row>
    <row r="218">
      <c r="B218" s="18"/>
      <c r="C218" s="23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</row>
    <row r="219">
      <c r="B219" s="18"/>
      <c r="C219" s="23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</row>
    <row r="220">
      <c r="B220" s="18"/>
      <c r="C220" s="23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</row>
    <row r="221">
      <c r="B221" s="18"/>
      <c r="C221" s="23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</row>
    <row r="222">
      <c r="B222" s="18"/>
      <c r="C222" s="23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</row>
    <row r="223">
      <c r="B223" s="18"/>
      <c r="C223" s="23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</row>
    <row r="224">
      <c r="B224" s="18"/>
      <c r="C224" s="23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</row>
    <row r="225">
      <c r="B225" s="18"/>
      <c r="C225" s="23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</row>
    <row r="226">
      <c r="B226" s="18"/>
      <c r="C226" s="23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</row>
    <row r="227">
      <c r="B227" s="18"/>
      <c r="C227" s="23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</row>
    <row r="228">
      <c r="B228" s="18"/>
      <c r="C228" s="23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</row>
    <row r="229">
      <c r="B229" s="18"/>
      <c r="C229" s="23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</row>
    <row r="230">
      <c r="B230" s="18"/>
      <c r="C230" s="23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</row>
    <row r="231">
      <c r="B231" s="18"/>
      <c r="C231" s="23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</row>
    <row r="232">
      <c r="B232" s="18"/>
      <c r="C232" s="23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</row>
    <row r="233">
      <c r="B233" s="18"/>
      <c r="C233" s="23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</row>
    <row r="234">
      <c r="B234" s="18"/>
      <c r="C234" s="23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</row>
    <row r="235">
      <c r="B235" s="18"/>
      <c r="C235" s="23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</row>
    <row r="236">
      <c r="B236" s="18"/>
      <c r="C236" s="23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</row>
    <row r="237">
      <c r="B237" s="18"/>
      <c r="C237" s="23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</row>
    <row r="238">
      <c r="B238" s="18"/>
      <c r="C238" s="23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</row>
    <row r="239">
      <c r="B239" s="18"/>
      <c r="C239" s="23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</row>
    <row r="240">
      <c r="B240" s="18"/>
      <c r="C240" s="23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</row>
    <row r="241">
      <c r="B241" s="18"/>
      <c r="C241" s="23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</row>
    <row r="242">
      <c r="B242" s="18"/>
      <c r="C242" s="23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</row>
    <row r="243">
      <c r="B243" s="18"/>
      <c r="C243" s="23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</row>
    <row r="244">
      <c r="B244" s="18"/>
      <c r="C244" s="23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</row>
    <row r="245">
      <c r="B245" s="18"/>
      <c r="C245" s="23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</row>
    <row r="246">
      <c r="B246" s="18"/>
      <c r="C246" s="23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</row>
    <row r="247">
      <c r="B247" s="18"/>
      <c r="C247" s="23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</row>
    <row r="248">
      <c r="B248" s="18"/>
      <c r="C248" s="23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</row>
    <row r="249">
      <c r="B249" s="18"/>
      <c r="C249" s="23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</row>
    <row r="250">
      <c r="B250" s="18"/>
      <c r="C250" s="23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</row>
    <row r="251">
      <c r="B251" s="18"/>
      <c r="C251" s="23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</row>
    <row r="252">
      <c r="B252" s="18"/>
      <c r="C252" s="23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</row>
    <row r="253">
      <c r="B253" s="18"/>
      <c r="C253" s="23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</row>
    <row r="254">
      <c r="B254" s="18"/>
      <c r="C254" s="23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</row>
    <row r="255">
      <c r="B255" s="18"/>
      <c r="C255" s="23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</row>
    <row r="256">
      <c r="B256" s="18"/>
      <c r="C256" s="23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</row>
    <row r="257">
      <c r="B257" s="18"/>
      <c r="C257" s="23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</row>
    <row r="258">
      <c r="B258" s="18"/>
      <c r="C258" s="23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</row>
    <row r="259">
      <c r="B259" s="18"/>
      <c r="C259" s="23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</row>
    <row r="260">
      <c r="B260" s="18"/>
      <c r="C260" s="23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</row>
    <row r="261">
      <c r="B261" s="18"/>
      <c r="C261" s="23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</row>
    <row r="262">
      <c r="B262" s="18"/>
      <c r="C262" s="23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</row>
    <row r="263">
      <c r="B263" s="18"/>
      <c r="C263" s="23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</row>
    <row r="264">
      <c r="B264" s="18"/>
      <c r="C264" s="23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</row>
    <row r="265">
      <c r="B265" s="18"/>
      <c r="C265" s="23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</row>
    <row r="266">
      <c r="B266" s="18"/>
      <c r="C266" s="23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</row>
    <row r="267">
      <c r="B267" s="18"/>
      <c r="C267" s="23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</row>
    <row r="268">
      <c r="B268" s="18"/>
      <c r="C268" s="23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</row>
    <row r="269">
      <c r="B269" s="18"/>
      <c r="C269" s="23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</row>
    <row r="270">
      <c r="B270" s="18"/>
      <c r="C270" s="23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</row>
    <row r="271">
      <c r="B271" s="18"/>
      <c r="C271" s="23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</row>
    <row r="272">
      <c r="B272" s="18"/>
      <c r="C272" s="23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</row>
    <row r="273">
      <c r="B273" s="18"/>
      <c r="C273" s="23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</row>
    <row r="274">
      <c r="B274" s="18"/>
      <c r="C274" s="23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</row>
    <row r="275">
      <c r="B275" s="18"/>
      <c r="C275" s="23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</row>
    <row r="276">
      <c r="B276" s="18"/>
      <c r="C276" s="23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</row>
    <row r="277">
      <c r="B277" s="18"/>
      <c r="C277" s="23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</row>
    <row r="278">
      <c r="B278" s="18"/>
      <c r="C278" s="23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</row>
    <row r="279">
      <c r="B279" s="18"/>
      <c r="C279" s="23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</row>
    <row r="280">
      <c r="B280" s="18"/>
      <c r="C280" s="23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</row>
    <row r="281">
      <c r="B281" s="18"/>
      <c r="C281" s="23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</row>
    <row r="282">
      <c r="B282" s="18"/>
      <c r="C282" s="23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</row>
    <row r="283">
      <c r="B283" s="18"/>
      <c r="C283" s="23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</row>
    <row r="284">
      <c r="B284" s="18"/>
      <c r="C284" s="23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</row>
    <row r="285">
      <c r="B285" s="18"/>
      <c r="C285" s="23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</row>
    <row r="286">
      <c r="B286" s="18"/>
      <c r="C286" s="23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</row>
    <row r="287">
      <c r="B287" s="18"/>
      <c r="C287" s="23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</row>
    <row r="288">
      <c r="B288" s="18"/>
      <c r="C288" s="23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</row>
    <row r="289">
      <c r="B289" s="18"/>
      <c r="C289" s="23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</row>
    <row r="290">
      <c r="B290" s="18"/>
      <c r="C290" s="23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</row>
    <row r="291">
      <c r="B291" s="18"/>
      <c r="C291" s="23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</row>
    <row r="292">
      <c r="B292" s="18"/>
      <c r="C292" s="23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</row>
    <row r="293">
      <c r="B293" s="18"/>
      <c r="C293" s="23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</row>
    <row r="294">
      <c r="B294" s="18"/>
      <c r="C294" s="23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</row>
    <row r="295">
      <c r="B295" s="18"/>
      <c r="C295" s="23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</row>
    <row r="296">
      <c r="B296" s="18"/>
      <c r="C296" s="23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</row>
    <row r="297">
      <c r="B297" s="18"/>
      <c r="C297" s="23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</row>
    <row r="298">
      <c r="B298" s="18"/>
      <c r="C298" s="23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</row>
    <row r="299">
      <c r="B299" s="18"/>
      <c r="C299" s="23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</row>
    <row r="300">
      <c r="B300" s="18"/>
      <c r="C300" s="23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</row>
    <row r="301">
      <c r="B301" s="18"/>
      <c r="C301" s="23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</row>
    <row r="302">
      <c r="B302" s="18"/>
      <c r="C302" s="23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</row>
    <row r="303">
      <c r="B303" s="18"/>
      <c r="C303" s="23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</row>
    <row r="304">
      <c r="B304" s="18"/>
      <c r="C304" s="23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</row>
    <row r="305">
      <c r="B305" s="18"/>
      <c r="C305" s="23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</row>
    <row r="306">
      <c r="B306" s="18"/>
      <c r="C306" s="23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</row>
    <row r="307">
      <c r="B307" s="18"/>
      <c r="C307" s="23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</row>
    <row r="308">
      <c r="B308" s="18"/>
      <c r="C308" s="23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</row>
    <row r="309">
      <c r="B309" s="18"/>
      <c r="C309" s="23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</row>
    <row r="310">
      <c r="B310" s="18"/>
      <c r="C310" s="23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</row>
    <row r="311">
      <c r="B311" s="18"/>
      <c r="C311" s="23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</row>
    <row r="312">
      <c r="B312" s="18"/>
      <c r="C312" s="23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</row>
    <row r="313">
      <c r="B313" s="18"/>
      <c r="C313" s="23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</row>
    <row r="314">
      <c r="B314" s="18"/>
      <c r="C314" s="23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</row>
    <row r="315">
      <c r="B315" s="18"/>
      <c r="C315" s="23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</row>
    <row r="316">
      <c r="B316" s="18"/>
      <c r="C316" s="23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</row>
    <row r="317">
      <c r="B317" s="18"/>
      <c r="C317" s="23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</row>
    <row r="318">
      <c r="B318" s="18"/>
      <c r="C318" s="23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</row>
    <row r="319">
      <c r="B319" s="18"/>
      <c r="C319" s="23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</row>
    <row r="320">
      <c r="B320" s="18"/>
      <c r="C320" s="23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</row>
    <row r="321">
      <c r="B321" s="18"/>
      <c r="C321" s="23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</row>
    <row r="322">
      <c r="B322" s="18"/>
      <c r="C322" s="23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</row>
    <row r="323">
      <c r="B323" s="18"/>
      <c r="C323" s="23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</row>
    <row r="324">
      <c r="B324" s="18"/>
      <c r="C324" s="23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</row>
    <row r="325">
      <c r="B325" s="18"/>
      <c r="C325" s="23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</row>
    <row r="326">
      <c r="B326" s="18"/>
      <c r="C326" s="23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</row>
    <row r="327">
      <c r="B327" s="18"/>
      <c r="C327" s="23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</row>
    <row r="328">
      <c r="B328" s="18"/>
      <c r="C328" s="23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</row>
    <row r="329">
      <c r="B329" s="18"/>
      <c r="C329" s="23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</row>
    <row r="330">
      <c r="B330" s="18"/>
      <c r="C330" s="23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</row>
    <row r="331">
      <c r="B331" s="18"/>
      <c r="C331" s="23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</row>
    <row r="332">
      <c r="B332" s="18"/>
      <c r="C332" s="23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</row>
    <row r="333">
      <c r="B333" s="18"/>
      <c r="C333" s="23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</row>
    <row r="334">
      <c r="B334" s="18"/>
      <c r="C334" s="23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</row>
    <row r="335">
      <c r="B335" s="18"/>
      <c r="C335" s="23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</row>
    <row r="336">
      <c r="B336" s="18"/>
      <c r="C336" s="23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</row>
    <row r="337">
      <c r="B337" s="18"/>
      <c r="C337" s="23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</row>
    <row r="338">
      <c r="B338" s="18"/>
      <c r="C338" s="23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</row>
    <row r="339">
      <c r="B339" s="18"/>
      <c r="C339" s="23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</row>
    <row r="340">
      <c r="B340" s="18"/>
      <c r="C340" s="23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</row>
    <row r="341">
      <c r="B341" s="18"/>
      <c r="C341" s="23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</row>
    <row r="342">
      <c r="B342" s="18"/>
      <c r="C342" s="23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</row>
    <row r="343">
      <c r="B343" s="18"/>
      <c r="C343" s="23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</row>
    <row r="344">
      <c r="B344" s="18"/>
      <c r="C344" s="23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</row>
    <row r="345">
      <c r="B345" s="18"/>
      <c r="C345" s="23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</row>
    <row r="346">
      <c r="B346" s="18"/>
      <c r="C346" s="23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</row>
    <row r="347">
      <c r="B347" s="18"/>
      <c r="C347" s="23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</row>
    <row r="348">
      <c r="B348" s="18"/>
      <c r="C348" s="23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</row>
    <row r="349">
      <c r="B349" s="18"/>
      <c r="C349" s="23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</row>
    <row r="350">
      <c r="B350" s="18"/>
      <c r="C350" s="23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</row>
    <row r="351">
      <c r="B351" s="18"/>
      <c r="C351" s="23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</row>
    <row r="352">
      <c r="B352" s="18"/>
      <c r="C352" s="23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</row>
    <row r="353">
      <c r="B353" s="18"/>
      <c r="C353" s="23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</row>
    <row r="354">
      <c r="B354" s="18"/>
      <c r="C354" s="23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</row>
    <row r="355">
      <c r="B355" s="18"/>
      <c r="C355" s="23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</row>
    <row r="356">
      <c r="B356" s="18"/>
      <c r="C356" s="23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</row>
    <row r="357">
      <c r="B357" s="18"/>
      <c r="C357" s="23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</row>
    <row r="358">
      <c r="B358" s="18"/>
      <c r="C358" s="23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</row>
    <row r="359">
      <c r="B359" s="18"/>
      <c r="C359" s="23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</row>
    <row r="360">
      <c r="B360" s="18"/>
      <c r="C360" s="23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</row>
    <row r="361">
      <c r="B361" s="18"/>
      <c r="C361" s="23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</row>
    <row r="362">
      <c r="B362" s="18"/>
      <c r="C362" s="23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</row>
    <row r="363">
      <c r="B363" s="18"/>
      <c r="C363" s="23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</row>
    <row r="364">
      <c r="B364" s="18"/>
      <c r="C364" s="23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</row>
    <row r="365">
      <c r="B365" s="18"/>
      <c r="C365" s="23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</row>
    <row r="366">
      <c r="B366" s="18"/>
      <c r="C366" s="23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</row>
    <row r="367">
      <c r="B367" s="18"/>
      <c r="C367" s="23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</row>
    <row r="368">
      <c r="B368" s="18"/>
      <c r="C368" s="23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</row>
    <row r="369">
      <c r="B369" s="18"/>
      <c r="C369" s="23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</row>
    <row r="370">
      <c r="B370" s="18"/>
      <c r="C370" s="23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</row>
    <row r="371">
      <c r="B371" s="18"/>
      <c r="C371" s="23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</row>
    <row r="372">
      <c r="B372" s="18"/>
      <c r="C372" s="23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</row>
    <row r="373">
      <c r="B373" s="18"/>
      <c r="C373" s="23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</row>
    <row r="374">
      <c r="B374" s="18"/>
      <c r="C374" s="23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</row>
    <row r="375">
      <c r="B375" s="18"/>
      <c r="C375" s="23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</row>
    <row r="376">
      <c r="B376" s="18"/>
      <c r="C376" s="23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</row>
    <row r="377">
      <c r="B377" s="18"/>
      <c r="C377" s="23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</row>
    <row r="378">
      <c r="B378" s="18"/>
      <c r="C378" s="23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</row>
    <row r="379">
      <c r="B379" s="18"/>
      <c r="C379" s="23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</row>
    <row r="380">
      <c r="B380" s="18"/>
      <c r="C380" s="23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</row>
    <row r="381">
      <c r="B381" s="18"/>
      <c r="C381" s="23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</row>
    <row r="382">
      <c r="B382" s="18"/>
      <c r="C382" s="23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</row>
    <row r="383">
      <c r="B383" s="18"/>
      <c r="C383" s="23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</row>
    <row r="384">
      <c r="B384" s="18"/>
      <c r="C384" s="23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</row>
    <row r="385">
      <c r="B385" s="18"/>
      <c r="C385" s="23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</row>
    <row r="386">
      <c r="B386" s="18"/>
      <c r="C386" s="23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</row>
    <row r="387">
      <c r="B387" s="18"/>
      <c r="C387" s="23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</row>
    <row r="388">
      <c r="B388" s="18"/>
      <c r="C388" s="23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</row>
    <row r="389">
      <c r="B389" s="18"/>
      <c r="C389" s="23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</row>
    <row r="390">
      <c r="B390" s="18"/>
      <c r="C390" s="23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</row>
    <row r="391">
      <c r="B391" s="18"/>
      <c r="C391" s="23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</row>
    <row r="392">
      <c r="B392" s="18"/>
      <c r="C392" s="23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</row>
    <row r="393">
      <c r="B393" s="18"/>
      <c r="C393" s="23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</row>
    <row r="394">
      <c r="B394" s="18"/>
      <c r="C394" s="23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</row>
    <row r="395">
      <c r="B395" s="18"/>
      <c r="C395" s="23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</row>
    <row r="396">
      <c r="B396" s="18"/>
      <c r="C396" s="23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</row>
    <row r="397">
      <c r="B397" s="18"/>
      <c r="C397" s="23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</row>
    <row r="398">
      <c r="B398" s="18"/>
      <c r="C398" s="23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</row>
    <row r="399">
      <c r="B399" s="18"/>
      <c r="C399" s="23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</row>
    <row r="400">
      <c r="B400" s="18"/>
      <c r="C400" s="23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</row>
    <row r="401">
      <c r="B401" s="18"/>
      <c r="C401" s="23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</row>
    <row r="402">
      <c r="B402" s="18"/>
      <c r="C402" s="23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</row>
    <row r="403">
      <c r="B403" s="18"/>
      <c r="C403" s="23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</row>
    <row r="404">
      <c r="B404" s="18"/>
      <c r="C404" s="23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</row>
    <row r="405">
      <c r="B405" s="18"/>
      <c r="C405" s="23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</row>
    <row r="406">
      <c r="B406" s="18"/>
      <c r="C406" s="23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</row>
    <row r="407">
      <c r="B407" s="18"/>
      <c r="C407" s="23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</row>
    <row r="408">
      <c r="B408" s="18"/>
      <c r="C408" s="23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</row>
    <row r="409">
      <c r="B409" s="18"/>
      <c r="C409" s="23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</row>
    <row r="410">
      <c r="B410" s="18"/>
      <c r="C410" s="23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</row>
    <row r="411">
      <c r="B411" s="18"/>
      <c r="C411" s="23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</row>
    <row r="412">
      <c r="B412" s="18"/>
      <c r="C412" s="23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</row>
    <row r="413">
      <c r="B413" s="18"/>
      <c r="C413" s="23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</row>
    <row r="414">
      <c r="B414" s="18"/>
      <c r="C414" s="23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</row>
    <row r="415">
      <c r="B415" s="18"/>
      <c r="C415" s="23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</row>
    <row r="416">
      <c r="B416" s="18"/>
      <c r="C416" s="23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</row>
    <row r="417">
      <c r="B417" s="18"/>
      <c r="C417" s="23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</row>
    <row r="418">
      <c r="B418" s="18"/>
      <c r="C418" s="23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</row>
    <row r="419">
      <c r="B419" s="18"/>
      <c r="C419" s="23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</row>
    <row r="420">
      <c r="B420" s="18"/>
      <c r="C420" s="23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</row>
    <row r="421">
      <c r="B421" s="18"/>
      <c r="C421" s="23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</row>
    <row r="422">
      <c r="B422" s="18"/>
      <c r="C422" s="23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</row>
    <row r="423">
      <c r="B423" s="18"/>
      <c r="C423" s="23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</row>
    <row r="424">
      <c r="B424" s="18"/>
      <c r="C424" s="23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</row>
    <row r="425">
      <c r="B425" s="18"/>
      <c r="C425" s="23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</row>
    <row r="426">
      <c r="B426" s="18"/>
      <c r="C426" s="23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</row>
    <row r="427">
      <c r="B427" s="18"/>
      <c r="C427" s="23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</row>
    <row r="428">
      <c r="B428" s="18"/>
      <c r="C428" s="23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</row>
    <row r="429">
      <c r="B429" s="18"/>
      <c r="C429" s="23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</row>
    <row r="430">
      <c r="B430" s="18"/>
      <c r="C430" s="23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</row>
    <row r="431">
      <c r="B431" s="18"/>
      <c r="C431" s="23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</row>
    <row r="432">
      <c r="B432" s="18"/>
      <c r="C432" s="23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</row>
    <row r="433">
      <c r="B433" s="18"/>
      <c r="C433" s="23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</row>
    <row r="434">
      <c r="B434" s="18"/>
      <c r="C434" s="23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</row>
    <row r="435">
      <c r="B435" s="18"/>
      <c r="C435" s="23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</row>
    <row r="436">
      <c r="B436" s="18"/>
      <c r="C436" s="23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</row>
    <row r="437">
      <c r="B437" s="18"/>
      <c r="C437" s="23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</row>
    <row r="438">
      <c r="B438" s="18"/>
      <c r="C438" s="23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</row>
    <row r="439">
      <c r="B439" s="18"/>
      <c r="C439" s="23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</row>
    <row r="440">
      <c r="B440" s="18"/>
      <c r="C440" s="23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</row>
    <row r="441">
      <c r="B441" s="18"/>
      <c r="C441" s="23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</row>
    <row r="442">
      <c r="B442" s="18"/>
      <c r="C442" s="23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</row>
    <row r="443">
      <c r="B443" s="18"/>
      <c r="C443" s="23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</row>
    <row r="444">
      <c r="B444" s="18"/>
      <c r="C444" s="23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</row>
    <row r="445">
      <c r="B445" s="18"/>
      <c r="C445" s="23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</row>
    <row r="446">
      <c r="B446" s="18"/>
      <c r="C446" s="23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</row>
    <row r="447">
      <c r="B447" s="18"/>
      <c r="C447" s="23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</row>
    <row r="448">
      <c r="B448" s="18"/>
      <c r="C448" s="23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</row>
    <row r="449">
      <c r="B449" s="18"/>
      <c r="C449" s="23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</row>
    <row r="450">
      <c r="B450" s="18"/>
      <c r="C450" s="23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</row>
    <row r="451">
      <c r="B451" s="18"/>
      <c r="C451" s="23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</row>
    <row r="452">
      <c r="B452" s="18"/>
      <c r="C452" s="23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</row>
    <row r="453">
      <c r="B453" s="18"/>
      <c r="C453" s="23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</row>
    <row r="454">
      <c r="B454" s="18"/>
      <c r="C454" s="23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</row>
    <row r="455">
      <c r="B455" s="18"/>
      <c r="C455" s="23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</row>
    <row r="456">
      <c r="B456" s="18"/>
      <c r="C456" s="23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</row>
    <row r="457">
      <c r="B457" s="18"/>
      <c r="C457" s="23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</row>
    <row r="458">
      <c r="B458" s="18"/>
      <c r="C458" s="23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</row>
    <row r="459">
      <c r="B459" s="18"/>
      <c r="C459" s="23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</row>
    <row r="460">
      <c r="B460" s="18"/>
      <c r="C460" s="23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</row>
    <row r="461">
      <c r="B461" s="18"/>
      <c r="C461" s="23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</row>
    <row r="462">
      <c r="B462" s="18"/>
      <c r="C462" s="23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</row>
    <row r="463">
      <c r="B463" s="18"/>
      <c r="C463" s="23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</row>
    <row r="464">
      <c r="B464" s="18"/>
      <c r="C464" s="23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</row>
    <row r="465">
      <c r="B465" s="18"/>
      <c r="C465" s="23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</row>
    <row r="466">
      <c r="B466" s="18"/>
      <c r="C466" s="23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</row>
    <row r="467">
      <c r="B467" s="18"/>
      <c r="C467" s="23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</row>
    <row r="468">
      <c r="B468" s="18"/>
      <c r="C468" s="23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</row>
    <row r="469">
      <c r="B469" s="18"/>
      <c r="C469" s="23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</row>
    <row r="470">
      <c r="B470" s="18"/>
      <c r="C470" s="23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</row>
    <row r="471">
      <c r="B471" s="18"/>
      <c r="C471" s="23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</row>
    <row r="472">
      <c r="B472" s="18"/>
      <c r="C472" s="23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</row>
    <row r="473">
      <c r="B473" s="18"/>
      <c r="C473" s="23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</row>
    <row r="474">
      <c r="B474" s="18"/>
      <c r="C474" s="23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</row>
    <row r="475">
      <c r="B475" s="18"/>
      <c r="C475" s="23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</row>
    <row r="476">
      <c r="B476" s="18"/>
      <c r="C476" s="23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</row>
    <row r="477">
      <c r="B477" s="18"/>
      <c r="C477" s="23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</row>
    <row r="478">
      <c r="B478" s="18"/>
      <c r="C478" s="23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</row>
    <row r="479">
      <c r="B479" s="18"/>
      <c r="C479" s="23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</row>
    <row r="480">
      <c r="B480" s="18"/>
      <c r="C480" s="23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</row>
    <row r="481">
      <c r="B481" s="18"/>
      <c r="C481" s="23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</row>
    <row r="482">
      <c r="B482" s="18"/>
      <c r="C482" s="23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</row>
    <row r="483">
      <c r="B483" s="18"/>
      <c r="C483" s="23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</row>
    <row r="484">
      <c r="B484" s="18"/>
      <c r="C484" s="23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</row>
    <row r="485">
      <c r="B485" s="18"/>
      <c r="C485" s="23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</row>
    <row r="486">
      <c r="B486" s="18"/>
      <c r="C486" s="23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</row>
    <row r="487">
      <c r="B487" s="18"/>
      <c r="C487" s="23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</row>
    <row r="488">
      <c r="B488" s="18"/>
      <c r="C488" s="23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</row>
    <row r="489">
      <c r="B489" s="18"/>
      <c r="C489" s="23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</row>
    <row r="490">
      <c r="B490" s="18"/>
      <c r="C490" s="23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</row>
    <row r="491">
      <c r="B491" s="18"/>
      <c r="C491" s="23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</row>
    <row r="492">
      <c r="B492" s="18"/>
      <c r="C492" s="23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</row>
    <row r="493">
      <c r="B493" s="18"/>
      <c r="C493" s="23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</row>
    <row r="494">
      <c r="B494" s="18"/>
      <c r="C494" s="23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</row>
    <row r="495">
      <c r="B495" s="18"/>
      <c r="C495" s="23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</row>
    <row r="496">
      <c r="B496" s="18"/>
      <c r="C496" s="23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</row>
    <row r="497">
      <c r="B497" s="18"/>
      <c r="C497" s="23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</row>
    <row r="498">
      <c r="B498" s="18"/>
      <c r="C498" s="23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</row>
    <row r="499">
      <c r="B499" s="18"/>
      <c r="C499" s="23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</row>
    <row r="500">
      <c r="B500" s="18"/>
      <c r="C500" s="23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</row>
    <row r="501">
      <c r="B501" s="18"/>
      <c r="C501" s="23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</row>
    <row r="502">
      <c r="B502" s="18"/>
      <c r="C502" s="23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</row>
    <row r="503">
      <c r="B503" s="18"/>
      <c r="C503" s="23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</row>
    <row r="504">
      <c r="B504" s="18"/>
      <c r="C504" s="23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</row>
    <row r="505">
      <c r="B505" s="18"/>
      <c r="C505" s="23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</row>
    <row r="506">
      <c r="B506" s="18"/>
      <c r="C506" s="23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</row>
    <row r="507">
      <c r="B507" s="18"/>
      <c r="C507" s="23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</row>
    <row r="508">
      <c r="B508" s="18"/>
      <c r="C508" s="23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</row>
    <row r="509">
      <c r="B509" s="18"/>
      <c r="C509" s="23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</row>
    <row r="510">
      <c r="B510" s="18"/>
      <c r="C510" s="23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</row>
    <row r="511">
      <c r="B511" s="18"/>
      <c r="C511" s="23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</row>
    <row r="512">
      <c r="B512" s="18"/>
      <c r="C512" s="23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</row>
    <row r="513">
      <c r="B513" s="18"/>
      <c r="C513" s="23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</row>
    <row r="514">
      <c r="B514" s="18"/>
      <c r="C514" s="23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</row>
    <row r="515">
      <c r="B515" s="18"/>
      <c r="C515" s="23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</row>
    <row r="516">
      <c r="B516" s="18"/>
      <c r="C516" s="23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</row>
    <row r="517">
      <c r="B517" s="18"/>
      <c r="C517" s="23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</row>
    <row r="518">
      <c r="B518" s="18"/>
      <c r="C518" s="23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</row>
    <row r="519">
      <c r="B519" s="18"/>
      <c r="C519" s="23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</row>
    <row r="520">
      <c r="B520" s="18"/>
      <c r="C520" s="23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</row>
    <row r="521">
      <c r="B521" s="18"/>
      <c r="C521" s="23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</row>
    <row r="522">
      <c r="B522" s="18"/>
      <c r="C522" s="23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</row>
    <row r="523">
      <c r="B523" s="18"/>
      <c r="C523" s="23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</row>
    <row r="524">
      <c r="B524" s="18"/>
      <c r="C524" s="23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</row>
    <row r="525">
      <c r="B525" s="18"/>
      <c r="C525" s="23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</row>
    <row r="526">
      <c r="B526" s="18"/>
      <c r="C526" s="23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</row>
    <row r="527">
      <c r="B527" s="18"/>
      <c r="C527" s="23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</row>
    <row r="528">
      <c r="B528" s="18"/>
      <c r="C528" s="23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</row>
    <row r="529">
      <c r="B529" s="18"/>
      <c r="C529" s="23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</row>
    <row r="530">
      <c r="B530" s="18"/>
      <c r="C530" s="23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</row>
    <row r="531">
      <c r="B531" s="18"/>
      <c r="C531" s="23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</row>
    <row r="532">
      <c r="B532" s="18"/>
      <c r="C532" s="23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</row>
    <row r="533">
      <c r="B533" s="18"/>
      <c r="C533" s="23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</row>
    <row r="534">
      <c r="B534" s="18"/>
      <c r="C534" s="23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</row>
    <row r="535">
      <c r="B535" s="18"/>
      <c r="C535" s="23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</row>
    <row r="536">
      <c r="B536" s="18"/>
      <c r="C536" s="23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</row>
    <row r="537">
      <c r="B537" s="18"/>
      <c r="C537" s="23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</row>
    <row r="538">
      <c r="B538" s="18"/>
      <c r="C538" s="23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</row>
    <row r="539">
      <c r="B539" s="18"/>
      <c r="C539" s="23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</row>
    <row r="540">
      <c r="B540" s="18"/>
      <c r="C540" s="23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</row>
    <row r="541">
      <c r="B541" s="18"/>
      <c r="C541" s="23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</row>
    <row r="542">
      <c r="B542" s="18"/>
      <c r="C542" s="23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</row>
    <row r="543">
      <c r="B543" s="18"/>
      <c r="C543" s="23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</row>
    <row r="544">
      <c r="B544" s="18"/>
      <c r="C544" s="23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</row>
    <row r="545">
      <c r="B545" s="18"/>
      <c r="C545" s="23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</row>
    <row r="546">
      <c r="B546" s="18"/>
      <c r="C546" s="23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</row>
    <row r="547">
      <c r="B547" s="18"/>
      <c r="C547" s="23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</row>
    <row r="548">
      <c r="B548" s="18"/>
      <c r="C548" s="23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</row>
    <row r="549">
      <c r="B549" s="18"/>
      <c r="C549" s="23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</row>
    <row r="550">
      <c r="B550" s="18"/>
      <c r="C550" s="23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</row>
    <row r="551">
      <c r="B551" s="18"/>
      <c r="C551" s="23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</row>
    <row r="552">
      <c r="B552" s="18"/>
      <c r="C552" s="23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</row>
    <row r="553">
      <c r="B553" s="18"/>
      <c r="C553" s="23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</row>
    <row r="554">
      <c r="B554" s="18"/>
      <c r="C554" s="23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</row>
    <row r="555">
      <c r="B555" s="18"/>
      <c r="C555" s="23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</row>
    <row r="556">
      <c r="B556" s="18"/>
      <c r="C556" s="23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</row>
    <row r="557">
      <c r="B557" s="18"/>
      <c r="C557" s="23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</row>
    <row r="558">
      <c r="B558" s="18"/>
      <c r="C558" s="23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</row>
    <row r="559">
      <c r="B559" s="18"/>
      <c r="C559" s="23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</row>
    <row r="560">
      <c r="B560" s="18"/>
      <c r="C560" s="23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</row>
    <row r="561">
      <c r="B561" s="18"/>
      <c r="C561" s="23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</row>
    <row r="562">
      <c r="B562" s="18"/>
      <c r="C562" s="23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</row>
    <row r="563">
      <c r="B563" s="18"/>
      <c r="C563" s="23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</row>
    <row r="564">
      <c r="B564" s="18"/>
      <c r="C564" s="23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</row>
    <row r="565">
      <c r="B565" s="18"/>
      <c r="C565" s="23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</row>
    <row r="566">
      <c r="B566" s="18"/>
      <c r="C566" s="23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</row>
    <row r="567">
      <c r="B567" s="18"/>
      <c r="C567" s="23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</row>
    <row r="568">
      <c r="B568" s="18"/>
      <c r="C568" s="23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</row>
    <row r="569">
      <c r="B569" s="18"/>
      <c r="C569" s="23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</row>
    <row r="570">
      <c r="B570" s="18"/>
      <c r="C570" s="23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</row>
    <row r="571">
      <c r="B571" s="18"/>
      <c r="C571" s="23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</row>
    <row r="572">
      <c r="B572" s="18"/>
      <c r="C572" s="23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</row>
    <row r="573">
      <c r="B573" s="18"/>
      <c r="C573" s="23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</row>
    <row r="574">
      <c r="B574" s="18"/>
      <c r="C574" s="23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</row>
    <row r="575">
      <c r="B575" s="18"/>
      <c r="C575" s="23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</row>
    <row r="576">
      <c r="B576" s="18"/>
      <c r="C576" s="23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</row>
    <row r="577">
      <c r="B577" s="18"/>
      <c r="C577" s="23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</row>
    <row r="578">
      <c r="B578" s="18"/>
      <c r="C578" s="23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</row>
    <row r="579">
      <c r="B579" s="18"/>
      <c r="C579" s="23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</row>
    <row r="580">
      <c r="B580" s="18"/>
      <c r="C580" s="23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</row>
    <row r="581">
      <c r="B581" s="18"/>
      <c r="C581" s="23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</row>
    <row r="582">
      <c r="B582" s="18"/>
      <c r="C582" s="23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</row>
    <row r="583">
      <c r="B583" s="18"/>
      <c r="C583" s="23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</row>
    <row r="584">
      <c r="B584" s="18"/>
      <c r="C584" s="23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</row>
    <row r="585">
      <c r="B585" s="18"/>
      <c r="C585" s="23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</row>
    <row r="586">
      <c r="B586" s="18"/>
      <c r="C586" s="23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</row>
    <row r="587">
      <c r="B587" s="18"/>
      <c r="C587" s="23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</row>
    <row r="588">
      <c r="B588" s="18"/>
      <c r="C588" s="23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</row>
    <row r="589">
      <c r="B589" s="18"/>
      <c r="C589" s="23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</row>
    <row r="590">
      <c r="B590" s="18"/>
      <c r="C590" s="23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</row>
    <row r="591">
      <c r="B591" s="18"/>
      <c r="C591" s="23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</row>
    <row r="592">
      <c r="B592" s="18"/>
      <c r="C592" s="23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</row>
    <row r="593">
      <c r="B593" s="18"/>
      <c r="C593" s="23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</row>
    <row r="594">
      <c r="B594" s="18"/>
      <c r="C594" s="23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</row>
    <row r="595">
      <c r="B595" s="18"/>
      <c r="C595" s="23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</row>
    <row r="596">
      <c r="B596" s="18"/>
      <c r="C596" s="23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</row>
    <row r="597">
      <c r="B597" s="18"/>
      <c r="C597" s="23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</row>
    <row r="598">
      <c r="B598" s="18"/>
      <c r="C598" s="23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</row>
    <row r="599">
      <c r="B599" s="18"/>
      <c r="C599" s="23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</row>
    <row r="600">
      <c r="B600" s="18"/>
      <c r="C600" s="23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</row>
    <row r="601">
      <c r="B601" s="18"/>
      <c r="C601" s="23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</row>
    <row r="602">
      <c r="B602" s="18"/>
      <c r="C602" s="23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</row>
    <row r="603">
      <c r="B603" s="18"/>
      <c r="C603" s="23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</row>
    <row r="604">
      <c r="B604" s="18"/>
      <c r="C604" s="23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</row>
    <row r="605">
      <c r="B605" s="18"/>
      <c r="C605" s="23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</row>
    <row r="606">
      <c r="B606" s="18"/>
      <c r="C606" s="23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</row>
    <row r="607">
      <c r="B607" s="18"/>
      <c r="C607" s="23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</row>
    <row r="608">
      <c r="B608" s="18"/>
      <c r="C608" s="23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</row>
    <row r="609">
      <c r="B609" s="18"/>
      <c r="C609" s="23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</row>
    <row r="610">
      <c r="B610" s="18"/>
      <c r="C610" s="23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</row>
    <row r="611">
      <c r="B611" s="18"/>
      <c r="C611" s="23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</row>
    <row r="612">
      <c r="B612" s="18"/>
      <c r="C612" s="23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</row>
    <row r="613">
      <c r="B613" s="18"/>
      <c r="C613" s="23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</row>
    <row r="614">
      <c r="B614" s="18"/>
      <c r="C614" s="23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</row>
    <row r="615">
      <c r="B615" s="18"/>
      <c r="C615" s="23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</row>
    <row r="616">
      <c r="B616" s="18"/>
      <c r="C616" s="23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</row>
    <row r="617">
      <c r="B617" s="18"/>
      <c r="C617" s="23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</row>
    <row r="618">
      <c r="B618" s="18"/>
      <c r="C618" s="23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</row>
    <row r="619">
      <c r="B619" s="18"/>
      <c r="C619" s="23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</row>
    <row r="620">
      <c r="B620" s="18"/>
      <c r="C620" s="23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</row>
    <row r="621">
      <c r="B621" s="18"/>
      <c r="C621" s="23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</row>
    <row r="622">
      <c r="B622" s="18"/>
      <c r="C622" s="23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</row>
    <row r="623">
      <c r="B623" s="18"/>
      <c r="C623" s="23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</row>
    <row r="624">
      <c r="B624" s="18"/>
      <c r="C624" s="23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</row>
    <row r="625">
      <c r="B625" s="18"/>
      <c r="C625" s="23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</row>
    <row r="626">
      <c r="B626" s="18"/>
      <c r="C626" s="23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</row>
    <row r="627">
      <c r="B627" s="18"/>
      <c r="C627" s="23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</row>
    <row r="628">
      <c r="B628" s="18"/>
      <c r="C628" s="23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</row>
    <row r="629">
      <c r="B629" s="18"/>
      <c r="C629" s="23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</row>
    <row r="630">
      <c r="B630" s="18"/>
      <c r="C630" s="23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</row>
    <row r="631">
      <c r="B631" s="18"/>
      <c r="C631" s="23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</row>
    <row r="632">
      <c r="B632" s="18"/>
      <c r="C632" s="23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</row>
    <row r="633">
      <c r="B633" s="18"/>
      <c r="C633" s="23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</row>
    <row r="634">
      <c r="B634" s="18"/>
      <c r="C634" s="23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</row>
    <row r="635">
      <c r="B635" s="18"/>
      <c r="C635" s="23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</row>
    <row r="636">
      <c r="B636" s="18"/>
      <c r="C636" s="23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</row>
    <row r="637">
      <c r="B637" s="18"/>
      <c r="C637" s="23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</row>
    <row r="638">
      <c r="B638" s="18"/>
      <c r="C638" s="23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</row>
    <row r="639">
      <c r="B639" s="18"/>
      <c r="C639" s="23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</row>
    <row r="640">
      <c r="B640" s="18"/>
      <c r="C640" s="23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</row>
    <row r="641">
      <c r="B641" s="18"/>
      <c r="C641" s="23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</row>
    <row r="642">
      <c r="B642" s="18"/>
      <c r="C642" s="23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</row>
    <row r="643">
      <c r="B643" s="18"/>
      <c r="C643" s="23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</row>
    <row r="644">
      <c r="B644" s="18"/>
      <c r="C644" s="23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</row>
    <row r="645">
      <c r="B645" s="18"/>
      <c r="C645" s="23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</row>
    <row r="646">
      <c r="B646" s="18"/>
      <c r="C646" s="23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</row>
    <row r="647">
      <c r="B647" s="18"/>
      <c r="C647" s="23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</row>
    <row r="648">
      <c r="B648" s="18"/>
      <c r="C648" s="23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</row>
    <row r="649">
      <c r="B649" s="18"/>
      <c r="C649" s="23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</row>
    <row r="650">
      <c r="B650" s="18"/>
      <c r="C650" s="23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</row>
    <row r="651">
      <c r="B651" s="18"/>
      <c r="C651" s="23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</row>
    <row r="652">
      <c r="B652" s="18"/>
      <c r="C652" s="23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</row>
    <row r="653">
      <c r="B653" s="18"/>
      <c r="C653" s="23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</row>
    <row r="654">
      <c r="B654" s="18"/>
      <c r="C654" s="23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</row>
    <row r="655">
      <c r="B655" s="18"/>
      <c r="C655" s="23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</row>
    <row r="656">
      <c r="B656" s="18"/>
      <c r="C656" s="23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</row>
    <row r="657">
      <c r="B657" s="18"/>
      <c r="C657" s="23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</row>
    <row r="658">
      <c r="B658" s="18"/>
      <c r="C658" s="23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</row>
    <row r="659">
      <c r="B659" s="18"/>
      <c r="C659" s="23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</row>
    <row r="660">
      <c r="B660" s="18"/>
      <c r="C660" s="23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</row>
    <row r="661">
      <c r="B661" s="18"/>
      <c r="C661" s="23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</row>
    <row r="662">
      <c r="B662" s="18"/>
      <c r="C662" s="23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</row>
    <row r="663">
      <c r="B663" s="18"/>
      <c r="C663" s="23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</row>
    <row r="664">
      <c r="B664" s="18"/>
      <c r="C664" s="23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</row>
    <row r="665">
      <c r="B665" s="18"/>
      <c r="C665" s="23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</row>
    <row r="666">
      <c r="B666" s="18"/>
      <c r="C666" s="23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</row>
    <row r="667">
      <c r="B667" s="18"/>
      <c r="C667" s="23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</row>
    <row r="668">
      <c r="B668" s="18"/>
      <c r="C668" s="23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</row>
    <row r="669">
      <c r="B669" s="18"/>
      <c r="C669" s="23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</row>
    <row r="670">
      <c r="B670" s="18"/>
      <c r="C670" s="23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</row>
    <row r="671">
      <c r="B671" s="18"/>
      <c r="C671" s="23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</row>
    <row r="672">
      <c r="B672" s="18"/>
      <c r="C672" s="23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</row>
    <row r="673">
      <c r="B673" s="18"/>
      <c r="C673" s="23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</row>
    <row r="674">
      <c r="B674" s="18"/>
      <c r="C674" s="23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</row>
    <row r="675">
      <c r="B675" s="18"/>
      <c r="C675" s="23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</row>
    <row r="676">
      <c r="B676" s="18"/>
      <c r="C676" s="23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</row>
    <row r="677">
      <c r="B677" s="18"/>
      <c r="C677" s="23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</row>
    <row r="678">
      <c r="B678" s="18"/>
      <c r="C678" s="23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</row>
    <row r="679">
      <c r="B679" s="18"/>
      <c r="C679" s="23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</row>
    <row r="680">
      <c r="B680" s="18"/>
      <c r="C680" s="23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</row>
    <row r="681">
      <c r="B681" s="18"/>
      <c r="C681" s="23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</row>
    <row r="682">
      <c r="B682" s="18"/>
      <c r="C682" s="23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</row>
    <row r="683">
      <c r="B683" s="18"/>
      <c r="C683" s="23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</row>
    <row r="684">
      <c r="B684" s="18"/>
      <c r="C684" s="23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</row>
    <row r="685">
      <c r="B685" s="18"/>
      <c r="C685" s="23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</row>
    <row r="686">
      <c r="B686" s="18"/>
      <c r="C686" s="23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</row>
    <row r="687">
      <c r="B687" s="18"/>
      <c r="C687" s="23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</row>
    <row r="688">
      <c r="B688" s="18"/>
      <c r="C688" s="23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</row>
    <row r="689">
      <c r="B689" s="18"/>
      <c r="C689" s="23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</row>
    <row r="690">
      <c r="B690" s="18"/>
      <c r="C690" s="23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</row>
    <row r="691">
      <c r="B691" s="18"/>
      <c r="C691" s="23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</row>
    <row r="692">
      <c r="B692" s="18"/>
      <c r="C692" s="23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</row>
    <row r="693">
      <c r="B693" s="18"/>
      <c r="C693" s="23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</row>
    <row r="694">
      <c r="B694" s="18"/>
      <c r="C694" s="23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</row>
    <row r="695">
      <c r="B695" s="18"/>
      <c r="C695" s="23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</row>
    <row r="696">
      <c r="B696" s="18"/>
      <c r="C696" s="23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</row>
    <row r="697">
      <c r="B697" s="18"/>
      <c r="C697" s="23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</row>
    <row r="698">
      <c r="B698" s="18"/>
      <c r="C698" s="23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</row>
    <row r="699">
      <c r="B699" s="18"/>
      <c r="C699" s="23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</row>
    <row r="700">
      <c r="B700" s="18"/>
      <c r="C700" s="23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</row>
    <row r="701">
      <c r="B701" s="18"/>
      <c r="C701" s="23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</row>
    <row r="702">
      <c r="B702" s="18"/>
      <c r="C702" s="23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</row>
    <row r="703">
      <c r="B703" s="18"/>
      <c r="C703" s="23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</row>
    <row r="704">
      <c r="B704" s="18"/>
      <c r="C704" s="23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</row>
    <row r="705">
      <c r="B705" s="18"/>
      <c r="C705" s="23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</row>
    <row r="706">
      <c r="B706" s="18"/>
      <c r="C706" s="23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</row>
    <row r="707">
      <c r="B707" s="18"/>
      <c r="C707" s="23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</row>
    <row r="708">
      <c r="B708" s="18"/>
      <c r="C708" s="23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</row>
    <row r="709">
      <c r="B709" s="18"/>
      <c r="C709" s="23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</row>
    <row r="710">
      <c r="B710" s="18"/>
      <c r="C710" s="23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</row>
    <row r="711">
      <c r="B711" s="18"/>
      <c r="C711" s="23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</row>
    <row r="712">
      <c r="B712" s="18"/>
      <c r="C712" s="23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</row>
    <row r="713">
      <c r="B713" s="18"/>
      <c r="C713" s="23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</row>
    <row r="714">
      <c r="B714" s="18"/>
      <c r="C714" s="23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</row>
    <row r="715">
      <c r="B715" s="18"/>
      <c r="C715" s="23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</row>
    <row r="716">
      <c r="B716" s="18"/>
      <c r="C716" s="23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</row>
    <row r="717">
      <c r="B717" s="18"/>
      <c r="C717" s="23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</row>
    <row r="718">
      <c r="B718" s="18"/>
      <c r="C718" s="23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</row>
    <row r="719">
      <c r="B719" s="18"/>
      <c r="C719" s="23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</row>
    <row r="720">
      <c r="B720" s="18"/>
      <c r="C720" s="23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</row>
    <row r="721">
      <c r="B721" s="18"/>
      <c r="C721" s="23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</row>
    <row r="722">
      <c r="B722" s="18"/>
      <c r="C722" s="23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</row>
    <row r="723">
      <c r="B723" s="18"/>
      <c r="C723" s="23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</row>
    <row r="724">
      <c r="B724" s="18"/>
      <c r="C724" s="23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</row>
    <row r="725">
      <c r="B725" s="18"/>
      <c r="C725" s="23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</row>
    <row r="726">
      <c r="B726" s="18"/>
      <c r="C726" s="23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</row>
    <row r="727">
      <c r="B727" s="18"/>
      <c r="C727" s="23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</row>
    <row r="728">
      <c r="B728" s="18"/>
      <c r="C728" s="23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</row>
    <row r="729">
      <c r="B729" s="18"/>
      <c r="C729" s="23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</row>
    <row r="730">
      <c r="B730" s="18"/>
      <c r="C730" s="23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</row>
    <row r="731">
      <c r="B731" s="18"/>
      <c r="C731" s="23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</row>
    <row r="732">
      <c r="B732" s="18"/>
      <c r="C732" s="23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</row>
    <row r="733">
      <c r="B733" s="18"/>
      <c r="C733" s="23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</row>
    <row r="734">
      <c r="B734" s="18"/>
      <c r="C734" s="23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</row>
    <row r="735">
      <c r="B735" s="18"/>
      <c r="C735" s="23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</row>
    <row r="736">
      <c r="B736" s="18"/>
      <c r="C736" s="23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</row>
    <row r="737">
      <c r="B737" s="18"/>
      <c r="C737" s="23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</row>
    <row r="738">
      <c r="B738" s="18"/>
      <c r="C738" s="23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</row>
    <row r="739">
      <c r="B739" s="18"/>
      <c r="C739" s="23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</row>
    <row r="740">
      <c r="B740" s="18"/>
      <c r="C740" s="23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</row>
    <row r="741">
      <c r="B741" s="18"/>
      <c r="C741" s="23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</row>
    <row r="742">
      <c r="B742" s="18"/>
      <c r="C742" s="23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</row>
    <row r="743">
      <c r="B743" s="18"/>
      <c r="C743" s="23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</row>
    <row r="744">
      <c r="B744" s="18"/>
      <c r="C744" s="23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</row>
    <row r="745">
      <c r="B745" s="18"/>
      <c r="C745" s="23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</row>
    <row r="746">
      <c r="B746" s="18"/>
      <c r="C746" s="23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</row>
    <row r="747">
      <c r="B747" s="18"/>
      <c r="C747" s="23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</row>
    <row r="748">
      <c r="B748" s="18"/>
      <c r="C748" s="23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</row>
    <row r="749">
      <c r="B749" s="18"/>
      <c r="C749" s="23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</row>
    <row r="750">
      <c r="B750" s="18"/>
      <c r="C750" s="23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</row>
    <row r="751">
      <c r="B751" s="18"/>
      <c r="C751" s="23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</row>
    <row r="752">
      <c r="B752" s="18"/>
      <c r="C752" s="23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</row>
    <row r="753">
      <c r="B753" s="18"/>
      <c r="C753" s="23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</row>
    <row r="754">
      <c r="B754" s="18"/>
      <c r="C754" s="23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</row>
    <row r="755">
      <c r="B755" s="18"/>
      <c r="C755" s="23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</row>
    <row r="756">
      <c r="B756" s="18"/>
      <c r="C756" s="23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</row>
    <row r="757">
      <c r="B757" s="18"/>
      <c r="C757" s="23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</row>
    <row r="758">
      <c r="B758" s="18"/>
      <c r="C758" s="23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</row>
    <row r="759">
      <c r="B759" s="18"/>
      <c r="C759" s="23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</row>
    <row r="760">
      <c r="B760" s="18"/>
      <c r="C760" s="23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</row>
    <row r="761">
      <c r="B761" s="18"/>
      <c r="C761" s="23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</row>
    <row r="762">
      <c r="B762" s="18"/>
      <c r="C762" s="23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</row>
    <row r="763">
      <c r="B763" s="18"/>
      <c r="C763" s="23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</row>
    <row r="764">
      <c r="B764" s="18"/>
      <c r="C764" s="23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</row>
    <row r="765">
      <c r="B765" s="18"/>
      <c r="C765" s="23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</row>
    <row r="766">
      <c r="B766" s="18"/>
      <c r="C766" s="23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</row>
    <row r="767">
      <c r="B767" s="18"/>
      <c r="C767" s="23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</row>
    <row r="768">
      <c r="B768" s="18"/>
      <c r="C768" s="23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</row>
    <row r="769">
      <c r="B769" s="18"/>
      <c r="C769" s="23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</row>
    <row r="770">
      <c r="B770" s="18"/>
      <c r="C770" s="23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</row>
    <row r="771">
      <c r="B771" s="18"/>
      <c r="C771" s="23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</row>
    <row r="772">
      <c r="B772" s="18"/>
      <c r="C772" s="23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</row>
    <row r="773">
      <c r="B773" s="18"/>
      <c r="C773" s="23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</row>
    <row r="774">
      <c r="B774" s="18"/>
      <c r="C774" s="23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</row>
    <row r="775">
      <c r="B775" s="18"/>
      <c r="C775" s="23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</row>
    <row r="776">
      <c r="B776" s="18"/>
      <c r="C776" s="23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</row>
    <row r="777">
      <c r="B777" s="18"/>
      <c r="C777" s="23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</row>
    <row r="778">
      <c r="B778" s="18"/>
      <c r="C778" s="23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</row>
    <row r="779">
      <c r="B779" s="18"/>
      <c r="C779" s="23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</row>
    <row r="780">
      <c r="B780" s="18"/>
      <c r="C780" s="23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</row>
    <row r="781">
      <c r="B781" s="18"/>
      <c r="C781" s="23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</row>
    <row r="782">
      <c r="B782" s="18"/>
      <c r="C782" s="23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</row>
    <row r="783">
      <c r="B783" s="18"/>
      <c r="C783" s="23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</row>
    <row r="784">
      <c r="B784" s="18"/>
      <c r="C784" s="23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</row>
    <row r="785">
      <c r="B785" s="18"/>
      <c r="C785" s="23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</row>
    <row r="786">
      <c r="B786" s="18"/>
      <c r="C786" s="23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</row>
    <row r="787">
      <c r="B787" s="18"/>
      <c r="C787" s="23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</row>
    <row r="788">
      <c r="B788" s="18"/>
      <c r="C788" s="23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</row>
    <row r="789">
      <c r="B789" s="18"/>
      <c r="C789" s="23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</row>
    <row r="790">
      <c r="B790" s="18"/>
      <c r="C790" s="23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</row>
    <row r="791">
      <c r="B791" s="18"/>
      <c r="C791" s="23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</row>
    <row r="792">
      <c r="B792" s="18"/>
      <c r="C792" s="23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</row>
    <row r="793">
      <c r="B793" s="18"/>
      <c r="C793" s="23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</row>
    <row r="794">
      <c r="B794" s="18"/>
      <c r="C794" s="23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</row>
    <row r="795">
      <c r="B795" s="18"/>
      <c r="C795" s="23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</row>
    <row r="796">
      <c r="B796" s="18"/>
      <c r="C796" s="23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</row>
    <row r="797">
      <c r="B797" s="18"/>
      <c r="C797" s="23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</row>
    <row r="798">
      <c r="B798" s="18"/>
      <c r="C798" s="23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</row>
    <row r="799">
      <c r="B799" s="18"/>
      <c r="C799" s="23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</row>
    <row r="800">
      <c r="B800" s="18"/>
      <c r="C800" s="23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</row>
    <row r="801">
      <c r="B801" s="18"/>
      <c r="C801" s="23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</row>
    <row r="802">
      <c r="B802" s="18"/>
      <c r="C802" s="23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</row>
    <row r="803">
      <c r="B803" s="18"/>
      <c r="C803" s="23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</row>
    <row r="804">
      <c r="B804" s="18"/>
      <c r="C804" s="23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</row>
    <row r="805">
      <c r="B805" s="18"/>
      <c r="C805" s="23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</row>
    <row r="806">
      <c r="B806" s="18"/>
      <c r="C806" s="23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</row>
    <row r="807">
      <c r="B807" s="18"/>
      <c r="C807" s="23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</row>
    <row r="808">
      <c r="B808" s="18"/>
      <c r="C808" s="23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</row>
    <row r="809">
      <c r="B809" s="18"/>
      <c r="C809" s="23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</row>
    <row r="810">
      <c r="B810" s="18"/>
      <c r="C810" s="23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</row>
    <row r="811">
      <c r="B811" s="18"/>
      <c r="C811" s="23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</row>
    <row r="812">
      <c r="B812" s="18"/>
      <c r="C812" s="23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</row>
    <row r="813">
      <c r="B813" s="18"/>
      <c r="C813" s="23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</row>
    <row r="814">
      <c r="B814" s="18"/>
      <c r="C814" s="23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</row>
    <row r="815">
      <c r="B815" s="18"/>
      <c r="C815" s="23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</row>
    <row r="816">
      <c r="B816" s="18"/>
      <c r="C816" s="23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</row>
    <row r="817">
      <c r="B817" s="18"/>
      <c r="C817" s="23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</row>
    <row r="818">
      <c r="B818" s="18"/>
      <c r="C818" s="23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</row>
    <row r="819">
      <c r="B819" s="18"/>
      <c r="C819" s="23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</row>
    <row r="820">
      <c r="B820" s="18"/>
      <c r="C820" s="23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</row>
    <row r="821">
      <c r="B821" s="18"/>
      <c r="C821" s="23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</row>
    <row r="822">
      <c r="B822" s="18"/>
      <c r="C822" s="23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</row>
    <row r="823">
      <c r="B823" s="18"/>
      <c r="C823" s="23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</row>
    <row r="824">
      <c r="B824" s="18"/>
      <c r="C824" s="23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</row>
    <row r="825">
      <c r="B825" s="18"/>
      <c r="C825" s="23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</row>
    <row r="826">
      <c r="B826" s="18"/>
      <c r="C826" s="23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</row>
    <row r="827">
      <c r="B827" s="18"/>
      <c r="C827" s="23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</row>
    <row r="828">
      <c r="B828" s="18"/>
      <c r="C828" s="23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</row>
    <row r="829">
      <c r="B829" s="18"/>
      <c r="C829" s="23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</row>
    <row r="830">
      <c r="B830" s="18"/>
      <c r="C830" s="23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</row>
    <row r="831">
      <c r="B831" s="18"/>
      <c r="C831" s="23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</row>
    <row r="832">
      <c r="B832" s="18"/>
      <c r="C832" s="23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</row>
    <row r="833">
      <c r="B833" s="18"/>
      <c r="C833" s="23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</row>
    <row r="834">
      <c r="B834" s="18"/>
      <c r="C834" s="23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</row>
    <row r="835">
      <c r="B835" s="18"/>
      <c r="C835" s="23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</row>
    <row r="836">
      <c r="B836" s="18"/>
      <c r="C836" s="23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</row>
    <row r="837">
      <c r="B837" s="18"/>
      <c r="C837" s="23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</row>
    <row r="838">
      <c r="B838" s="18"/>
      <c r="C838" s="23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</row>
    <row r="839">
      <c r="B839" s="18"/>
      <c r="C839" s="23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</row>
    <row r="840">
      <c r="B840" s="18"/>
      <c r="C840" s="23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</row>
    <row r="841">
      <c r="B841" s="18"/>
      <c r="C841" s="23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</row>
    <row r="842">
      <c r="B842" s="18"/>
      <c r="C842" s="23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</row>
    <row r="843">
      <c r="B843" s="18"/>
      <c r="C843" s="23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</row>
    <row r="844">
      <c r="B844" s="18"/>
      <c r="C844" s="23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</row>
    <row r="845">
      <c r="B845" s="18"/>
      <c r="C845" s="23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</row>
    <row r="846">
      <c r="B846" s="18"/>
      <c r="C846" s="23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</row>
    <row r="847">
      <c r="B847" s="18"/>
      <c r="C847" s="23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</row>
    <row r="848">
      <c r="B848" s="18"/>
      <c r="C848" s="23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</row>
    <row r="849">
      <c r="B849" s="18"/>
      <c r="C849" s="23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</row>
    <row r="850">
      <c r="B850" s="18"/>
      <c r="C850" s="23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</row>
    <row r="851">
      <c r="B851" s="18"/>
      <c r="C851" s="23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</row>
    <row r="852">
      <c r="B852" s="18"/>
      <c r="C852" s="23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</row>
    <row r="853">
      <c r="B853" s="18"/>
      <c r="C853" s="23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</row>
    <row r="854">
      <c r="B854" s="18"/>
      <c r="C854" s="23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</row>
    <row r="855">
      <c r="B855" s="18"/>
      <c r="C855" s="23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</row>
    <row r="856">
      <c r="B856" s="18"/>
      <c r="C856" s="23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</row>
    <row r="857">
      <c r="B857" s="18"/>
      <c r="C857" s="23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</row>
    <row r="858">
      <c r="B858" s="18"/>
      <c r="C858" s="23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</row>
    <row r="859">
      <c r="B859" s="18"/>
      <c r="C859" s="23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</row>
    <row r="860">
      <c r="B860" s="18"/>
      <c r="C860" s="23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</row>
    <row r="861">
      <c r="B861" s="18"/>
      <c r="C861" s="23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</row>
    <row r="862">
      <c r="B862" s="18"/>
      <c r="C862" s="23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</row>
    <row r="863">
      <c r="B863" s="18"/>
      <c r="C863" s="23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</row>
    <row r="864">
      <c r="B864" s="18"/>
      <c r="C864" s="23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</row>
    <row r="865">
      <c r="B865" s="18"/>
      <c r="C865" s="23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</row>
    <row r="866">
      <c r="B866" s="18"/>
      <c r="C866" s="23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</row>
    <row r="867">
      <c r="B867" s="18"/>
      <c r="C867" s="23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</row>
    <row r="868">
      <c r="B868" s="18"/>
      <c r="C868" s="23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</row>
    <row r="869">
      <c r="B869" s="18"/>
      <c r="C869" s="23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</row>
    <row r="870">
      <c r="B870" s="18"/>
      <c r="C870" s="23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</row>
    <row r="871">
      <c r="B871" s="18"/>
      <c r="C871" s="23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</row>
    <row r="872">
      <c r="B872" s="18"/>
      <c r="C872" s="23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</row>
    <row r="873">
      <c r="B873" s="18"/>
      <c r="C873" s="23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</row>
    <row r="874">
      <c r="B874" s="18"/>
      <c r="C874" s="23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</row>
    <row r="875">
      <c r="B875" s="18"/>
      <c r="C875" s="23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</row>
    <row r="876">
      <c r="B876" s="18"/>
      <c r="C876" s="23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</row>
    <row r="877">
      <c r="B877" s="18"/>
      <c r="C877" s="23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</row>
    <row r="878">
      <c r="B878" s="18"/>
      <c r="C878" s="23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</row>
    <row r="879">
      <c r="B879" s="18"/>
      <c r="C879" s="23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</row>
    <row r="880">
      <c r="B880" s="18"/>
      <c r="C880" s="23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</row>
    <row r="881">
      <c r="B881" s="18"/>
      <c r="C881" s="23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</row>
    <row r="882">
      <c r="B882" s="18"/>
      <c r="C882" s="23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</row>
    <row r="883">
      <c r="B883" s="18"/>
      <c r="C883" s="23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</row>
    <row r="884">
      <c r="B884" s="18"/>
      <c r="C884" s="23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</row>
    <row r="885">
      <c r="B885" s="18"/>
      <c r="C885" s="23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</row>
    <row r="886">
      <c r="B886" s="18"/>
      <c r="C886" s="23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</row>
    <row r="887">
      <c r="B887" s="18"/>
      <c r="C887" s="23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</row>
    <row r="888">
      <c r="B888" s="18"/>
      <c r="C888" s="23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</row>
    <row r="889">
      <c r="B889" s="18"/>
      <c r="C889" s="23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</row>
    <row r="890">
      <c r="B890" s="18"/>
      <c r="C890" s="23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</row>
    <row r="891">
      <c r="B891" s="18"/>
      <c r="C891" s="23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</row>
    <row r="892">
      <c r="B892" s="18"/>
      <c r="C892" s="23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</row>
    <row r="893">
      <c r="B893" s="18"/>
      <c r="C893" s="23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</row>
    <row r="894">
      <c r="B894" s="18"/>
      <c r="C894" s="23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</row>
    <row r="895">
      <c r="B895" s="18"/>
      <c r="C895" s="23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</row>
    <row r="896">
      <c r="B896" s="18"/>
      <c r="C896" s="23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</row>
    <row r="897">
      <c r="B897" s="18"/>
      <c r="C897" s="23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</row>
    <row r="898">
      <c r="B898" s="18"/>
      <c r="C898" s="23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</row>
    <row r="899">
      <c r="B899" s="18"/>
      <c r="C899" s="23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</row>
    <row r="900">
      <c r="B900" s="18"/>
      <c r="C900" s="23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</row>
    <row r="901">
      <c r="B901" s="18"/>
      <c r="C901" s="23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</row>
    <row r="902">
      <c r="B902" s="18"/>
      <c r="C902" s="23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</row>
    <row r="903">
      <c r="B903" s="18"/>
      <c r="C903" s="23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</row>
    <row r="904">
      <c r="B904" s="18"/>
      <c r="C904" s="23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</row>
    <row r="905">
      <c r="B905" s="18"/>
      <c r="C905" s="23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</row>
    <row r="906">
      <c r="B906" s="18"/>
      <c r="C906" s="23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</row>
    <row r="907">
      <c r="B907" s="18"/>
      <c r="C907" s="23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</row>
    <row r="908">
      <c r="B908" s="18"/>
      <c r="C908" s="23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</row>
    <row r="909">
      <c r="B909" s="18"/>
      <c r="C909" s="23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</row>
    <row r="910">
      <c r="B910" s="18"/>
      <c r="C910" s="23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</row>
    <row r="911">
      <c r="B911" s="18"/>
      <c r="C911" s="23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</row>
    <row r="912">
      <c r="B912" s="18"/>
      <c r="C912" s="23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</row>
    <row r="913">
      <c r="B913" s="18"/>
      <c r="C913" s="23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</row>
    <row r="914">
      <c r="B914" s="18"/>
      <c r="C914" s="23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</row>
    <row r="915">
      <c r="B915" s="18"/>
      <c r="C915" s="23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</row>
    <row r="916">
      <c r="B916" s="18"/>
      <c r="C916" s="23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</row>
    <row r="917">
      <c r="B917" s="18"/>
      <c r="C917" s="23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</row>
    <row r="918">
      <c r="B918" s="18"/>
      <c r="C918" s="23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</row>
    <row r="919">
      <c r="B919" s="18"/>
      <c r="C919" s="23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</row>
    <row r="920">
      <c r="B920" s="18"/>
      <c r="C920" s="23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</row>
    <row r="921">
      <c r="B921" s="18"/>
      <c r="C921" s="23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</row>
    <row r="922">
      <c r="B922" s="18"/>
      <c r="C922" s="23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</row>
    <row r="923">
      <c r="B923" s="18"/>
      <c r="C923" s="23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</row>
    <row r="924">
      <c r="B924" s="18"/>
      <c r="C924" s="23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</row>
    <row r="925">
      <c r="B925" s="18"/>
      <c r="C925" s="23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</row>
    <row r="926">
      <c r="B926" s="18"/>
      <c r="C926" s="23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</row>
    <row r="927">
      <c r="B927" s="18"/>
      <c r="C927" s="23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</row>
    <row r="928">
      <c r="B928" s="18"/>
      <c r="C928" s="23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</row>
    <row r="929">
      <c r="B929" s="18"/>
      <c r="C929" s="23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</row>
    <row r="930">
      <c r="B930" s="18"/>
      <c r="C930" s="23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</row>
    <row r="931">
      <c r="B931" s="18"/>
      <c r="C931" s="23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</row>
    <row r="932">
      <c r="B932" s="18"/>
      <c r="C932" s="23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</row>
    <row r="933">
      <c r="B933" s="18"/>
      <c r="C933" s="23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</row>
    <row r="934">
      <c r="B934" s="18"/>
      <c r="C934" s="23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</row>
    <row r="935">
      <c r="B935" s="18"/>
      <c r="C935" s="23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</row>
    <row r="936">
      <c r="B936" s="18"/>
      <c r="C936" s="23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</row>
    <row r="937">
      <c r="B937" s="18"/>
      <c r="C937" s="23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</row>
    <row r="938">
      <c r="B938" s="18"/>
      <c r="C938" s="23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</row>
    <row r="939">
      <c r="B939" s="18"/>
      <c r="C939" s="23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</row>
    <row r="940">
      <c r="B940" s="18"/>
      <c r="C940" s="23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</row>
    <row r="941">
      <c r="B941" s="18"/>
      <c r="C941" s="23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</row>
    <row r="942">
      <c r="B942" s="18"/>
      <c r="C942" s="23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</row>
    <row r="943">
      <c r="B943" s="18"/>
      <c r="C943" s="23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</row>
    <row r="944">
      <c r="B944" s="18"/>
      <c r="C944" s="23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</row>
    <row r="945">
      <c r="B945" s="18"/>
      <c r="C945" s="23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</row>
    <row r="946">
      <c r="B946" s="18"/>
      <c r="C946" s="23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</row>
    <row r="947">
      <c r="B947" s="18"/>
      <c r="C947" s="23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</row>
    <row r="948">
      <c r="B948" s="18"/>
      <c r="C948" s="23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</row>
    <row r="949">
      <c r="B949" s="18"/>
      <c r="C949" s="23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</row>
    <row r="950">
      <c r="B950" s="18"/>
      <c r="C950" s="23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</row>
    <row r="951">
      <c r="B951" s="18"/>
      <c r="C951" s="23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</row>
    <row r="952">
      <c r="B952" s="18"/>
      <c r="C952" s="23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</row>
    <row r="953">
      <c r="B953" s="18"/>
      <c r="C953" s="23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</row>
    <row r="954">
      <c r="B954" s="18"/>
      <c r="C954" s="23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</row>
    <row r="955">
      <c r="B955" s="18"/>
      <c r="C955" s="23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</row>
    <row r="956">
      <c r="B956" s="18"/>
      <c r="C956" s="23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</row>
    <row r="957">
      <c r="B957" s="18"/>
      <c r="C957" s="23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</row>
    <row r="958">
      <c r="B958" s="18"/>
      <c r="C958" s="23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</row>
    <row r="959">
      <c r="B959" s="18"/>
      <c r="C959" s="23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</row>
    <row r="960">
      <c r="B960" s="18"/>
      <c r="C960" s="23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</row>
    <row r="961">
      <c r="B961" s="18"/>
      <c r="C961" s="23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</row>
    <row r="962">
      <c r="B962" s="18"/>
      <c r="C962" s="23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</row>
    <row r="963">
      <c r="B963" s="18"/>
      <c r="C963" s="23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</row>
    <row r="964">
      <c r="B964" s="18"/>
      <c r="C964" s="23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</row>
    <row r="965">
      <c r="B965" s="18"/>
      <c r="C965" s="23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</row>
    <row r="966">
      <c r="B966" s="18"/>
      <c r="C966" s="23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</row>
    <row r="967">
      <c r="B967" s="18"/>
      <c r="C967" s="23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</row>
    <row r="968">
      <c r="B968" s="18"/>
      <c r="C968" s="23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</row>
    <row r="969">
      <c r="B969" s="18"/>
      <c r="C969" s="23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</row>
    <row r="970">
      <c r="B970" s="18"/>
      <c r="C970" s="23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</row>
    <row r="971">
      <c r="B971" s="18"/>
      <c r="C971" s="23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</row>
    <row r="972">
      <c r="B972" s="18"/>
      <c r="C972" s="23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</row>
    <row r="973">
      <c r="B973" s="18"/>
      <c r="C973" s="23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</row>
    <row r="974">
      <c r="B974" s="18"/>
      <c r="C974" s="23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</row>
    <row r="975">
      <c r="B975" s="18"/>
      <c r="C975" s="23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</row>
    <row r="976">
      <c r="B976" s="18"/>
      <c r="C976" s="23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</row>
    <row r="977">
      <c r="B977" s="18"/>
      <c r="C977" s="23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</row>
    <row r="978">
      <c r="B978" s="18"/>
      <c r="C978" s="23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</row>
    <row r="979">
      <c r="B979" s="18"/>
      <c r="C979" s="23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</row>
    <row r="980">
      <c r="B980" s="18"/>
      <c r="C980" s="23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</row>
    <row r="981">
      <c r="B981" s="18"/>
      <c r="C981" s="23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</row>
    <row r="982">
      <c r="B982" s="18"/>
      <c r="C982" s="23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</row>
    <row r="983">
      <c r="B983" s="18"/>
      <c r="C983" s="23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</row>
    <row r="984">
      <c r="B984" s="18"/>
      <c r="C984" s="23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</row>
    <row r="985">
      <c r="B985" s="18"/>
      <c r="C985" s="23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</row>
    <row r="986">
      <c r="B986" s="18"/>
      <c r="C986" s="23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</row>
    <row r="987">
      <c r="B987" s="18"/>
      <c r="C987" s="23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</row>
    <row r="988">
      <c r="B988" s="18"/>
      <c r="C988" s="23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</row>
    <row r="989">
      <c r="B989" s="18"/>
      <c r="C989" s="23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</row>
    <row r="990">
      <c r="B990" s="18"/>
      <c r="C990" s="23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</row>
    <row r="991">
      <c r="B991" s="18"/>
      <c r="C991" s="23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</row>
    <row r="992">
      <c r="B992" s="18"/>
      <c r="C992" s="23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</row>
    <row r="993">
      <c r="B993" s="18"/>
      <c r="C993" s="23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</row>
    <row r="994">
      <c r="B994" s="18"/>
      <c r="C994" s="23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</row>
    <row r="995">
      <c r="B995" s="18"/>
      <c r="C995" s="23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</row>
    <row r="996">
      <c r="B996" s="18"/>
      <c r="C996" s="23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</row>
    <row r="997">
      <c r="B997" s="18"/>
      <c r="C997" s="23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</row>
    <row r="998">
      <c r="B998" s="18"/>
      <c r="C998" s="23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</row>
    <row r="999">
      <c r="B999" s="18"/>
      <c r="C999" s="23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</row>
    <row r="1000">
      <c r="B1000" s="18"/>
      <c r="C1000" s="23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</row>
    <row r="1001">
      <c r="B1001" s="18"/>
      <c r="C1001" s="23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</row>
    <row r="1002">
      <c r="B1002" s="18"/>
      <c r="C1002" s="23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</row>
    <row r="1003">
      <c r="B1003" s="18"/>
      <c r="C1003" s="23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7.38"/>
    <col customWidth="1" min="3" max="77" width="16.75"/>
  </cols>
  <sheetData>
    <row r="1">
      <c r="A1" s="30" t="str">
        <f>Specs!C1</f>
        <v>SwitchCampus</v>
      </c>
      <c r="B1" s="31" t="s">
        <v>0</v>
      </c>
      <c r="C1" s="32" t="str">
        <f t="array" ref="C1">INDEX(D1:BY1, MATCH(1, D16:BY16, 0))</f>
        <v>C1300-12XT-2X</v>
      </c>
      <c r="D1" s="33" t="s">
        <v>32</v>
      </c>
      <c r="E1" s="33" t="s">
        <v>33</v>
      </c>
      <c r="F1" s="33" t="s">
        <v>34</v>
      </c>
      <c r="G1" s="33" t="s">
        <v>35</v>
      </c>
      <c r="H1" s="33" t="s">
        <v>36</v>
      </c>
      <c r="I1" s="33" t="s">
        <v>37</v>
      </c>
      <c r="J1" s="33" t="s">
        <v>38</v>
      </c>
      <c r="K1" s="33" t="s">
        <v>39</v>
      </c>
      <c r="L1" s="33" t="s">
        <v>40</v>
      </c>
      <c r="M1" s="33" t="s">
        <v>41</v>
      </c>
      <c r="N1" s="33" t="s">
        <v>42</v>
      </c>
      <c r="O1" s="33" t="s">
        <v>43</v>
      </c>
      <c r="P1" s="33" t="s">
        <v>44</v>
      </c>
      <c r="Q1" s="33" t="s">
        <v>45</v>
      </c>
      <c r="R1" s="33" t="s">
        <v>46</v>
      </c>
      <c r="S1" s="33" t="s">
        <v>47</v>
      </c>
      <c r="T1" s="33" t="s">
        <v>48</v>
      </c>
      <c r="U1" s="33" t="s">
        <v>49</v>
      </c>
      <c r="V1" s="33" t="s">
        <v>50</v>
      </c>
      <c r="W1" s="33" t="s">
        <v>51</v>
      </c>
      <c r="X1" s="33" t="s">
        <v>52</v>
      </c>
      <c r="Y1" s="33" t="s">
        <v>53</v>
      </c>
      <c r="Z1" s="33" t="s">
        <v>54</v>
      </c>
      <c r="AA1" s="33" t="s">
        <v>55</v>
      </c>
      <c r="AB1" s="33" t="s">
        <v>56</v>
      </c>
      <c r="AC1" s="33" t="s">
        <v>57</v>
      </c>
      <c r="AD1" s="33" t="s">
        <v>58</v>
      </c>
      <c r="AE1" s="33" t="s">
        <v>59</v>
      </c>
      <c r="AF1" s="33" t="s">
        <v>60</v>
      </c>
      <c r="AG1" s="33" t="s">
        <v>61</v>
      </c>
      <c r="AH1" s="33" t="s">
        <v>62</v>
      </c>
      <c r="AI1" s="33" t="s">
        <v>63</v>
      </c>
      <c r="AJ1" s="33" t="s">
        <v>64</v>
      </c>
      <c r="AK1" s="33" t="s">
        <v>65</v>
      </c>
      <c r="AL1" s="33" t="s">
        <v>66</v>
      </c>
      <c r="AM1" s="33" t="s">
        <v>67</v>
      </c>
      <c r="AN1" s="33" t="s">
        <v>68</v>
      </c>
      <c r="AO1" s="33" t="s">
        <v>69</v>
      </c>
      <c r="AP1" s="33" t="s">
        <v>70</v>
      </c>
      <c r="AQ1" s="33" t="s">
        <v>71</v>
      </c>
      <c r="AR1" s="33" t="s">
        <v>72</v>
      </c>
      <c r="AS1" s="33" t="s">
        <v>73</v>
      </c>
      <c r="AT1" s="33" t="s">
        <v>74</v>
      </c>
      <c r="AU1" s="33" t="s">
        <v>75</v>
      </c>
      <c r="AV1" s="33" t="s">
        <v>76</v>
      </c>
      <c r="AW1" s="33" t="s">
        <v>77</v>
      </c>
      <c r="AX1" s="33" t="s">
        <v>78</v>
      </c>
      <c r="AY1" s="33" t="s">
        <v>79</v>
      </c>
      <c r="AZ1" s="33" t="s">
        <v>80</v>
      </c>
      <c r="BA1" s="33" t="s">
        <v>81</v>
      </c>
      <c r="BB1" s="33" t="s">
        <v>82</v>
      </c>
      <c r="BC1" s="33" t="s">
        <v>83</v>
      </c>
      <c r="BD1" s="33" t="s">
        <v>84</v>
      </c>
      <c r="BE1" s="33" t="s">
        <v>85</v>
      </c>
      <c r="BF1" s="33" t="s">
        <v>86</v>
      </c>
      <c r="BG1" s="33" t="s">
        <v>87</v>
      </c>
      <c r="BH1" s="33" t="s">
        <v>88</v>
      </c>
      <c r="BI1" s="33" t="s">
        <v>89</v>
      </c>
      <c r="BJ1" s="33" t="s">
        <v>90</v>
      </c>
      <c r="BK1" s="33" t="s">
        <v>91</v>
      </c>
      <c r="BL1" s="33" t="s">
        <v>92</v>
      </c>
      <c r="BM1" s="33" t="s">
        <v>93</v>
      </c>
      <c r="BN1" s="33" t="s">
        <v>94</v>
      </c>
      <c r="BO1" s="33" t="s">
        <v>95</v>
      </c>
      <c r="BP1" s="33" t="s">
        <v>96</v>
      </c>
      <c r="BQ1" s="33" t="s">
        <v>97</v>
      </c>
      <c r="BR1" s="33" t="s">
        <v>98</v>
      </c>
      <c r="BS1" s="33" t="s">
        <v>99</v>
      </c>
      <c r="BT1" s="33" t="s">
        <v>100</v>
      </c>
      <c r="BU1" s="33" t="s">
        <v>101</v>
      </c>
      <c r="BV1" s="34" t="s">
        <v>102</v>
      </c>
      <c r="BW1" s="34" t="s">
        <v>103</v>
      </c>
      <c r="BX1" s="34" t="s">
        <v>104</v>
      </c>
      <c r="BY1" s="35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</row>
    <row r="2">
      <c r="A2" s="37" t="str">
        <f>Specs!C2</f>
        <v>Switching Bandwidth - Full Duplex (Gbps)</v>
      </c>
      <c r="B2" s="38">
        <f>IFERROR(__xludf.DUMMYFUNCTION("IMPORTRANGE(""https://docs.google.com/spreadsheets/d/18TjePryHG687L54fIGU6Od12DGyT3mPoblPemZTZRY4"",""SwitchCampus!B3:B10"")"),200.0)</f>
        <v>200</v>
      </c>
      <c r="C2" s="39">
        <f>hlookup($C$1,$D$1:$BY$10,2,0)</f>
        <v>280</v>
      </c>
      <c r="D2" s="40">
        <v>20.0</v>
      </c>
      <c r="E2" s="40">
        <v>20.0</v>
      </c>
      <c r="F2" s="40">
        <v>20.0</v>
      </c>
      <c r="G2" s="40">
        <v>36.0</v>
      </c>
      <c r="H2" s="40">
        <v>36.0</v>
      </c>
      <c r="I2" s="40">
        <v>36.0</v>
      </c>
      <c r="J2" s="40">
        <v>56.0</v>
      </c>
      <c r="K2" s="40">
        <v>56.0</v>
      </c>
      <c r="L2" s="40">
        <v>56.0</v>
      </c>
      <c r="M2" s="40">
        <v>104.0</v>
      </c>
      <c r="N2" s="40">
        <v>104.0</v>
      </c>
      <c r="O2" s="40">
        <v>104.0</v>
      </c>
      <c r="P2" s="40">
        <v>112.0</v>
      </c>
      <c r="Q2" s="40">
        <v>128.0</v>
      </c>
      <c r="R2" s="40">
        <v>128.0</v>
      </c>
      <c r="S2" s="40">
        <v>128.0</v>
      </c>
      <c r="T2" s="40">
        <v>176.0</v>
      </c>
      <c r="U2" s="40">
        <v>176.0</v>
      </c>
      <c r="V2" s="40">
        <v>176.0</v>
      </c>
      <c r="W2" s="40">
        <v>280.0</v>
      </c>
      <c r="X2" s="40">
        <v>240.0</v>
      </c>
      <c r="Y2" s="40">
        <v>320.0</v>
      </c>
      <c r="Z2" s="40">
        <v>480.0</v>
      </c>
      <c r="AA2" s="40">
        <v>480.0</v>
      </c>
      <c r="AB2" s="40">
        <v>480.0</v>
      </c>
      <c r="AC2" s="40">
        <v>128.0</v>
      </c>
      <c r="AD2" s="40">
        <v>176.0</v>
      </c>
      <c r="AE2" s="40">
        <v>128.0</v>
      </c>
      <c r="AF2" s="40">
        <v>176.0</v>
      </c>
      <c r="AG2" s="40">
        <v>128.0</v>
      </c>
      <c r="AH2" s="40">
        <v>128.0</v>
      </c>
      <c r="AI2" s="40">
        <v>176.0</v>
      </c>
      <c r="AJ2" s="40">
        <v>176.0</v>
      </c>
      <c r="AK2" s="40">
        <v>56.0</v>
      </c>
      <c r="AL2" s="40">
        <v>56.0</v>
      </c>
      <c r="AM2" s="40">
        <v>104.0</v>
      </c>
      <c r="AN2" s="40">
        <v>104.0</v>
      </c>
      <c r="AO2" s="40">
        <v>128.0</v>
      </c>
      <c r="AP2" s="40">
        <v>128.0</v>
      </c>
      <c r="AQ2" s="40">
        <v>176.0</v>
      </c>
      <c r="AR2" s="40">
        <v>176.0</v>
      </c>
      <c r="AS2" s="40">
        <v>60.0</v>
      </c>
      <c r="AT2" s="40">
        <v>70.0</v>
      </c>
      <c r="AU2" s="40">
        <v>68.0</v>
      </c>
      <c r="AV2" s="40">
        <v>56.0</v>
      </c>
      <c r="AW2" s="40">
        <v>56.0</v>
      </c>
      <c r="AX2" s="40">
        <v>128.0</v>
      </c>
      <c r="AY2" s="40">
        <v>128.0</v>
      </c>
      <c r="AZ2" s="40">
        <v>104.0</v>
      </c>
      <c r="BA2" s="40">
        <v>104.0</v>
      </c>
      <c r="BB2" s="40">
        <v>176.0</v>
      </c>
      <c r="BC2" s="40">
        <v>176.0</v>
      </c>
      <c r="BD2" s="40">
        <v>208.0</v>
      </c>
      <c r="BE2" s="40">
        <v>208.0</v>
      </c>
      <c r="BF2" s="40">
        <v>208.0</v>
      </c>
      <c r="BG2" s="40">
        <v>208.0</v>
      </c>
      <c r="BH2" s="40">
        <v>208.0</v>
      </c>
      <c r="BI2" s="40">
        <v>208.0</v>
      </c>
      <c r="BJ2" s="40">
        <v>256.0</v>
      </c>
      <c r="BK2" s="40">
        <v>256.0</v>
      </c>
      <c r="BL2" s="40">
        <v>256.0</v>
      </c>
      <c r="BM2" s="40">
        <v>256.0</v>
      </c>
      <c r="BN2" s="40">
        <v>256.0</v>
      </c>
      <c r="BO2" s="40">
        <v>256.0</v>
      </c>
      <c r="BP2" s="41">
        <v>6400.0</v>
      </c>
      <c r="BQ2" s="41">
        <v>3200.0</v>
      </c>
      <c r="BR2" s="41">
        <v>3200.0</v>
      </c>
      <c r="BS2" s="41">
        <v>2000.0</v>
      </c>
      <c r="BT2" s="41">
        <v>12000.0</v>
      </c>
      <c r="BU2" s="41">
        <v>9200.0</v>
      </c>
      <c r="BV2" s="42"/>
      <c r="BW2" s="42"/>
      <c r="BX2" s="42"/>
      <c r="BY2" s="42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</row>
    <row r="3">
      <c r="A3" s="37" t="str">
        <f>Specs!C3</f>
        <v>Forwarding Capacity (Mpps)</v>
      </c>
      <c r="B3" s="38">
        <f>IFERROR(__xludf.DUMMYFUNCTION("""COMPUTED_VALUE"""),100.0)</f>
        <v>100</v>
      </c>
      <c r="C3" s="39">
        <f>hlookup($C$1,$D$1:$BY$10,3,0)</f>
        <v>208.33</v>
      </c>
      <c r="D3" s="40">
        <v>14.88</v>
      </c>
      <c r="E3" s="40">
        <v>14.88</v>
      </c>
      <c r="F3" s="40">
        <v>14.88</v>
      </c>
      <c r="G3" s="40">
        <v>26.78</v>
      </c>
      <c r="H3" s="40">
        <v>26.78</v>
      </c>
      <c r="I3" s="40">
        <v>26.78</v>
      </c>
      <c r="J3" s="40">
        <v>41.66</v>
      </c>
      <c r="K3" s="40">
        <v>41.66</v>
      </c>
      <c r="L3" s="40">
        <v>41.66</v>
      </c>
      <c r="M3" s="40">
        <v>77.38</v>
      </c>
      <c r="N3" s="40">
        <v>77.38</v>
      </c>
      <c r="O3" s="40">
        <v>77.38</v>
      </c>
      <c r="P3" s="40">
        <v>83.32</v>
      </c>
      <c r="Q3" s="40">
        <v>95.23</v>
      </c>
      <c r="R3" s="40">
        <v>95.23</v>
      </c>
      <c r="S3" s="40">
        <v>95.23</v>
      </c>
      <c r="T3" s="40">
        <v>130.94</v>
      </c>
      <c r="U3" s="40">
        <v>130.94</v>
      </c>
      <c r="V3" s="40">
        <v>130.94</v>
      </c>
      <c r="W3" s="40">
        <v>208.33</v>
      </c>
      <c r="X3" s="40">
        <v>178.57</v>
      </c>
      <c r="Y3" s="40">
        <v>238.1</v>
      </c>
      <c r="Z3" s="40">
        <v>357.14</v>
      </c>
      <c r="AA3" s="40">
        <v>357.14</v>
      </c>
      <c r="AB3" s="40">
        <v>357.12</v>
      </c>
      <c r="AC3" s="40">
        <v>95.23</v>
      </c>
      <c r="AD3" s="40">
        <v>130.95</v>
      </c>
      <c r="AE3" s="40">
        <v>95.23</v>
      </c>
      <c r="AF3" s="40">
        <v>130.95</v>
      </c>
      <c r="AG3" s="40">
        <v>95.23</v>
      </c>
      <c r="AH3" s="40">
        <v>95.23</v>
      </c>
      <c r="AI3" s="40">
        <v>130.95</v>
      </c>
      <c r="AJ3" s="40">
        <v>130.95</v>
      </c>
      <c r="AK3" s="40">
        <v>41.67</v>
      </c>
      <c r="AL3" s="40">
        <v>41.67</v>
      </c>
      <c r="AM3" s="40">
        <v>77.38</v>
      </c>
      <c r="AN3" s="40">
        <v>77.38</v>
      </c>
      <c r="AO3" s="40">
        <v>95.23</v>
      </c>
      <c r="AP3" s="40">
        <v>95.23</v>
      </c>
      <c r="AQ3" s="40">
        <v>130.95</v>
      </c>
      <c r="AR3" s="40">
        <v>130.95</v>
      </c>
      <c r="AS3" s="40">
        <v>44.64</v>
      </c>
      <c r="AT3" s="40">
        <v>52.08</v>
      </c>
      <c r="AU3" s="40">
        <v>50.59</v>
      </c>
      <c r="AV3" s="40">
        <v>41.66</v>
      </c>
      <c r="AW3" s="40">
        <v>41.66</v>
      </c>
      <c r="AX3" s="40">
        <v>95.23</v>
      </c>
      <c r="AY3" s="40">
        <v>95.23</v>
      </c>
      <c r="AZ3" s="40">
        <v>77.38</v>
      </c>
      <c r="BA3" s="40">
        <v>77.38</v>
      </c>
      <c r="BB3" s="40">
        <v>130.95</v>
      </c>
      <c r="BC3" s="40">
        <v>130.95</v>
      </c>
      <c r="BD3" s="40">
        <v>154.76</v>
      </c>
      <c r="BE3" s="40">
        <v>154.76</v>
      </c>
      <c r="BF3" s="40">
        <v>154.76</v>
      </c>
      <c r="BG3" s="40">
        <v>154.76</v>
      </c>
      <c r="BH3" s="40">
        <v>154.76</v>
      </c>
      <c r="BI3" s="40">
        <v>154.76</v>
      </c>
      <c r="BJ3" s="40">
        <v>190.47</v>
      </c>
      <c r="BK3" s="40">
        <v>190.47</v>
      </c>
      <c r="BL3" s="40">
        <v>190.48</v>
      </c>
      <c r="BM3" s="40">
        <v>190.48</v>
      </c>
      <c r="BN3" s="40">
        <v>190.47</v>
      </c>
      <c r="BO3" s="40">
        <v>190.48</v>
      </c>
      <c r="BP3" s="41">
        <v>2000.0</v>
      </c>
      <c r="BQ3" s="41">
        <v>1000.0</v>
      </c>
      <c r="BR3" s="41">
        <v>1000.0</v>
      </c>
      <c r="BS3" s="41">
        <v>1000.0</v>
      </c>
      <c r="BT3" s="41">
        <v>8000.0</v>
      </c>
      <c r="BU3" s="41">
        <v>8000.0</v>
      </c>
      <c r="BV3" s="42"/>
      <c r="BW3" s="42"/>
      <c r="BX3" s="42"/>
      <c r="BY3" s="42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</row>
    <row r="4">
      <c r="A4" s="37" t="str">
        <f>Specs!C4</f>
        <v>Số lượng cổng 1GE đồng</v>
      </c>
      <c r="B4" s="38">
        <f>IFERROR(__xludf.DUMMYFUNCTION("""COMPUTED_VALUE"""),16.0)</f>
        <v>16</v>
      </c>
      <c r="C4" s="43" t="str">
        <f>hlookup($C$1,$D$1:$BY$10,4,0)</f>
        <v/>
      </c>
      <c r="D4" s="40">
        <v>10.0</v>
      </c>
      <c r="E4" s="40">
        <v>10.0</v>
      </c>
      <c r="F4" s="40">
        <v>10.0</v>
      </c>
      <c r="G4" s="40">
        <v>16.0</v>
      </c>
      <c r="H4" s="40">
        <v>16.0</v>
      </c>
      <c r="I4" s="40">
        <v>16.0</v>
      </c>
      <c r="J4" s="40">
        <v>24.0</v>
      </c>
      <c r="K4" s="40">
        <v>24.0</v>
      </c>
      <c r="L4" s="40">
        <v>24.0</v>
      </c>
      <c r="M4" s="40">
        <v>48.0</v>
      </c>
      <c r="N4" s="40">
        <v>48.0</v>
      </c>
      <c r="O4" s="40">
        <v>48.0</v>
      </c>
      <c r="P4" s="40">
        <v>16.0</v>
      </c>
      <c r="Q4" s="40">
        <v>24.0</v>
      </c>
      <c r="R4" s="40">
        <v>24.0</v>
      </c>
      <c r="S4" s="40">
        <v>24.0</v>
      </c>
      <c r="T4" s="40">
        <v>48.0</v>
      </c>
      <c r="U4" s="40">
        <v>48.0</v>
      </c>
      <c r="V4" s="40">
        <v>48.0</v>
      </c>
      <c r="W4" s="42"/>
      <c r="X4" s="42"/>
      <c r="Y4" s="42"/>
      <c r="Z4" s="42"/>
      <c r="AA4" s="42"/>
      <c r="AB4" s="42"/>
      <c r="AC4" s="40">
        <v>24.0</v>
      </c>
      <c r="AD4" s="40">
        <v>48.0</v>
      </c>
      <c r="AE4" s="40">
        <v>24.0</v>
      </c>
      <c r="AF4" s="40">
        <v>48.0</v>
      </c>
      <c r="AG4" s="40">
        <v>24.0</v>
      </c>
      <c r="AH4" s="40">
        <v>24.0</v>
      </c>
      <c r="AI4" s="40">
        <v>48.0</v>
      </c>
      <c r="AJ4" s="40">
        <v>48.0</v>
      </c>
      <c r="AK4" s="40">
        <v>24.0</v>
      </c>
      <c r="AL4" s="40">
        <v>24.0</v>
      </c>
      <c r="AM4" s="40">
        <v>48.0</v>
      </c>
      <c r="AN4" s="40">
        <v>48.0</v>
      </c>
      <c r="AO4" s="40">
        <v>24.0</v>
      </c>
      <c r="AP4" s="40">
        <v>24.0</v>
      </c>
      <c r="AQ4" s="40">
        <v>48.0</v>
      </c>
      <c r="AR4" s="40">
        <v>48.0</v>
      </c>
      <c r="AS4" s="40">
        <v>8.0</v>
      </c>
      <c r="AT4" s="40">
        <v>12.0</v>
      </c>
      <c r="AU4" s="40">
        <v>12.0</v>
      </c>
      <c r="AV4" s="40">
        <v>24.0</v>
      </c>
      <c r="AW4" s="40">
        <v>24.0</v>
      </c>
      <c r="AX4" s="40">
        <v>24.0</v>
      </c>
      <c r="AY4" s="40">
        <v>24.0</v>
      </c>
      <c r="AZ4" s="40">
        <v>48.0</v>
      </c>
      <c r="BA4" s="40">
        <v>48.0</v>
      </c>
      <c r="BB4" s="40">
        <v>48.0</v>
      </c>
      <c r="BC4" s="40">
        <v>48.0</v>
      </c>
      <c r="BD4" s="40">
        <v>24.0</v>
      </c>
      <c r="BE4" s="40">
        <v>24.0</v>
      </c>
      <c r="BF4" s="40">
        <v>24.0</v>
      </c>
      <c r="BG4" s="40">
        <v>24.0</v>
      </c>
      <c r="BH4" s="42"/>
      <c r="BI4" s="40">
        <v>24.0</v>
      </c>
      <c r="BJ4" s="40">
        <v>48.0</v>
      </c>
      <c r="BK4" s="40">
        <v>48.0</v>
      </c>
      <c r="BL4" s="40">
        <v>48.0</v>
      </c>
      <c r="BM4" s="40">
        <v>48.0</v>
      </c>
      <c r="BN4" s="42"/>
      <c r="BO4" s="40">
        <v>48.0</v>
      </c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</row>
    <row r="5">
      <c r="A5" s="37" t="str">
        <f>Specs!C5</f>
        <v>Số lượng cổng 1GE SFP</v>
      </c>
      <c r="B5" s="38">
        <f>IFERROR(__xludf.DUMMYFUNCTION("""COMPUTED_VALUE"""),2.0)</f>
        <v>2</v>
      </c>
      <c r="C5" s="39">
        <f>hlookup($C$1,$D$1:$BY$10,5,0)</f>
        <v>2</v>
      </c>
      <c r="D5" s="40">
        <v>2.0</v>
      </c>
      <c r="E5" s="40">
        <v>2.0</v>
      </c>
      <c r="F5" s="40">
        <v>2.0</v>
      </c>
      <c r="G5" s="40">
        <v>2.0</v>
      </c>
      <c r="H5" s="40">
        <v>2.0</v>
      </c>
      <c r="I5" s="40">
        <v>2.0</v>
      </c>
      <c r="J5" s="40">
        <v>4.0</v>
      </c>
      <c r="K5" s="40">
        <v>4.0</v>
      </c>
      <c r="L5" s="40">
        <v>4.0</v>
      </c>
      <c r="M5" s="40">
        <v>4.0</v>
      </c>
      <c r="N5" s="40">
        <v>4.0</v>
      </c>
      <c r="O5" s="40">
        <v>4.0</v>
      </c>
      <c r="P5" s="37"/>
      <c r="Q5" s="37"/>
      <c r="R5" s="37"/>
      <c r="S5" s="37"/>
      <c r="T5" s="37"/>
      <c r="U5" s="37"/>
      <c r="V5" s="37"/>
      <c r="W5" s="40">
        <v>2.0</v>
      </c>
      <c r="X5" s="40">
        <v>12.0</v>
      </c>
      <c r="Y5" s="40">
        <v>8.0</v>
      </c>
      <c r="Z5" s="40">
        <v>24.0</v>
      </c>
      <c r="AA5" s="37"/>
      <c r="AB5" s="40">
        <v>12.0</v>
      </c>
      <c r="AC5" s="40">
        <v>4.0</v>
      </c>
      <c r="AD5" s="40">
        <v>4.0</v>
      </c>
      <c r="AE5" s="40">
        <v>4.0</v>
      </c>
      <c r="AF5" s="40">
        <v>4.0</v>
      </c>
      <c r="AG5" s="40">
        <v>4.0</v>
      </c>
      <c r="AH5" s="40">
        <v>4.0</v>
      </c>
      <c r="AI5" s="40">
        <v>4.0</v>
      </c>
      <c r="AJ5" s="40">
        <v>4.0</v>
      </c>
      <c r="AK5" s="40">
        <v>4.0</v>
      </c>
      <c r="AL5" s="40">
        <v>4.0</v>
      </c>
      <c r="AM5" s="40">
        <v>4.0</v>
      </c>
      <c r="AN5" s="40">
        <v>4.0</v>
      </c>
      <c r="AO5" s="42"/>
      <c r="AP5" s="42"/>
      <c r="AQ5" s="37"/>
      <c r="AR5" s="42"/>
      <c r="AS5" s="42"/>
      <c r="AT5" s="37"/>
      <c r="AU5" s="37"/>
      <c r="AV5" s="40">
        <v>4.0</v>
      </c>
      <c r="AW5" s="40">
        <v>4.0</v>
      </c>
      <c r="AX5" s="40">
        <v>4.0</v>
      </c>
      <c r="AY5" s="40">
        <v>4.0</v>
      </c>
      <c r="AZ5" s="40">
        <v>4.0</v>
      </c>
      <c r="BA5" s="40">
        <v>4.0</v>
      </c>
      <c r="BB5" s="40">
        <v>4.0</v>
      </c>
      <c r="BC5" s="40">
        <v>4.0</v>
      </c>
      <c r="BD5" s="40">
        <v>8.0</v>
      </c>
      <c r="BE5" s="40">
        <v>8.0</v>
      </c>
      <c r="BF5" s="40">
        <v>8.0</v>
      </c>
      <c r="BG5" s="40">
        <v>8.0</v>
      </c>
      <c r="BH5" s="40">
        <v>32.0</v>
      </c>
      <c r="BI5" s="40">
        <v>8.0</v>
      </c>
      <c r="BJ5" s="40">
        <v>8.0</v>
      </c>
      <c r="BK5" s="40">
        <v>8.0</v>
      </c>
      <c r="BL5" s="40">
        <v>8.0</v>
      </c>
      <c r="BM5" s="40">
        <v>8.0</v>
      </c>
      <c r="BN5" s="40">
        <v>56.0</v>
      </c>
      <c r="BO5" s="40">
        <v>8.0</v>
      </c>
      <c r="BP5" s="37"/>
      <c r="BQ5" s="37"/>
      <c r="BR5" s="40">
        <v>48.0</v>
      </c>
      <c r="BS5" s="40">
        <v>24.0</v>
      </c>
      <c r="BT5" s="37"/>
      <c r="BU5" s="42"/>
      <c r="BV5" s="42"/>
      <c r="BW5" s="42"/>
      <c r="BX5" s="42"/>
      <c r="BY5" s="37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</row>
    <row r="6">
      <c r="A6" s="37" t="str">
        <f>Specs!C6</f>
        <v>Số lượng cổng 10GE đồng</v>
      </c>
      <c r="B6" s="44">
        <f>IFERROR(__xludf.DUMMYFUNCTION("""COMPUTED_VALUE"""),10.0)</f>
        <v>10</v>
      </c>
      <c r="C6" s="39">
        <f>hlookup($C$1,$D$1:$BY$10,6,0)</f>
        <v>12</v>
      </c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40">
        <v>12.0</v>
      </c>
      <c r="X6" s="40">
        <v>2.0</v>
      </c>
      <c r="Y6" s="40">
        <v>8.0</v>
      </c>
      <c r="Z6" s="40">
        <v>4.0</v>
      </c>
      <c r="AA6" s="40">
        <v>24.0</v>
      </c>
      <c r="AB6" s="40">
        <v>12.0</v>
      </c>
      <c r="AC6" s="37"/>
      <c r="AD6" s="37"/>
      <c r="AE6" s="37"/>
      <c r="AF6" s="37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37"/>
      <c r="AS6" s="37"/>
      <c r="AT6" s="42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42"/>
      <c r="BW6" s="42"/>
      <c r="BX6" s="42"/>
      <c r="BY6" s="37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</row>
    <row r="7">
      <c r="A7" s="37" t="str">
        <f>Specs!C7</f>
        <v>Số lượng cổng 10GE quang</v>
      </c>
      <c r="B7" s="45"/>
      <c r="C7" s="39">
        <f>hlookup($C$1,$D$1:$BY$10,7,0)</f>
        <v>2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40">
        <v>4.0</v>
      </c>
      <c r="Q7" s="40">
        <v>4.0</v>
      </c>
      <c r="R7" s="40">
        <v>4.0</v>
      </c>
      <c r="S7" s="40">
        <v>4.0</v>
      </c>
      <c r="T7" s="40">
        <v>4.0</v>
      </c>
      <c r="U7" s="40">
        <v>4.0</v>
      </c>
      <c r="V7" s="40">
        <v>4.0</v>
      </c>
      <c r="W7" s="40">
        <v>2.0</v>
      </c>
      <c r="X7" s="40">
        <v>12.0</v>
      </c>
      <c r="Y7" s="40">
        <v>8.0</v>
      </c>
      <c r="Z7" s="40">
        <v>24.0</v>
      </c>
      <c r="AA7" s="40">
        <v>4.0</v>
      </c>
      <c r="AB7" s="40">
        <v>12.0</v>
      </c>
      <c r="AC7" s="40">
        <v>4.0</v>
      </c>
      <c r="AD7" s="40">
        <v>4.0</v>
      </c>
      <c r="AE7" s="40">
        <v>4.0</v>
      </c>
      <c r="AF7" s="40">
        <v>4.0</v>
      </c>
      <c r="AG7" s="40">
        <v>4.0</v>
      </c>
      <c r="AH7" s="40">
        <v>4.0</v>
      </c>
      <c r="AI7" s="40">
        <v>4.0</v>
      </c>
      <c r="AJ7" s="40">
        <v>4.0</v>
      </c>
      <c r="AK7" s="37"/>
      <c r="AL7" s="37"/>
      <c r="AM7" s="37"/>
      <c r="AN7" s="37"/>
      <c r="AO7" s="40">
        <v>4.0</v>
      </c>
      <c r="AP7" s="40">
        <v>4.0</v>
      </c>
      <c r="AQ7" s="40">
        <v>4.0</v>
      </c>
      <c r="AR7" s="40">
        <v>4.0</v>
      </c>
      <c r="AS7" s="40">
        <v>2.0</v>
      </c>
      <c r="AT7" s="40">
        <v>2.0</v>
      </c>
      <c r="AU7" s="40">
        <v>2.0</v>
      </c>
      <c r="AV7" s="37"/>
      <c r="AW7" s="37"/>
      <c r="AX7" s="40">
        <v>4.0</v>
      </c>
      <c r="AY7" s="40">
        <v>4.0</v>
      </c>
      <c r="AZ7" s="37"/>
      <c r="BA7" s="37"/>
      <c r="BB7" s="40">
        <v>4.0</v>
      </c>
      <c r="BC7" s="40">
        <v>4.0</v>
      </c>
      <c r="BD7" s="40">
        <v>8.0</v>
      </c>
      <c r="BE7" s="40">
        <v>8.0</v>
      </c>
      <c r="BF7" s="40">
        <v>8.0</v>
      </c>
      <c r="BG7" s="40">
        <v>8.0</v>
      </c>
      <c r="BH7" s="40">
        <v>8.0</v>
      </c>
      <c r="BI7" s="40">
        <v>8.0</v>
      </c>
      <c r="BJ7" s="40">
        <v>8.0</v>
      </c>
      <c r="BK7" s="40">
        <v>8.0</v>
      </c>
      <c r="BL7" s="40">
        <v>8.0</v>
      </c>
      <c r="BM7" s="40">
        <v>8.0</v>
      </c>
      <c r="BN7" s="40">
        <v>8.0</v>
      </c>
      <c r="BO7" s="40">
        <v>8.0</v>
      </c>
      <c r="BP7" s="37"/>
      <c r="BQ7" s="37"/>
      <c r="BR7" s="40">
        <v>48.0</v>
      </c>
      <c r="BS7" s="40">
        <v>24.0</v>
      </c>
      <c r="BT7" s="37"/>
      <c r="BU7" s="40">
        <v>60.0</v>
      </c>
      <c r="BV7" s="42"/>
      <c r="BW7" s="42"/>
      <c r="BX7" s="42"/>
      <c r="BY7" s="37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</row>
    <row r="8">
      <c r="A8" s="37" t="str">
        <f>Specs!C8</f>
        <v>Số lượng cổng 100GE</v>
      </c>
      <c r="B8" s="45"/>
      <c r="C8" s="43" t="str">
        <f>hlookup($C$1,$D$1:$BY$10,8,0)</f>
        <v/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40">
        <v>32.0</v>
      </c>
      <c r="BQ8" s="40">
        <v>16.0</v>
      </c>
      <c r="BR8" s="40">
        <v>4.0</v>
      </c>
      <c r="BS8" s="40">
        <v>4.0</v>
      </c>
      <c r="BT8" s="40">
        <v>36.0</v>
      </c>
      <c r="BU8" s="40">
        <v>4.0</v>
      </c>
      <c r="BV8" s="37"/>
      <c r="BW8" s="37"/>
      <c r="BX8" s="37"/>
      <c r="BY8" s="37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</row>
    <row r="9">
      <c r="A9" s="37" t="str">
        <f>Specs!C9</f>
        <v>Stacking (Y/N)</v>
      </c>
      <c r="B9" s="44" t="str">
        <f>IFERROR(__xludf.DUMMYFUNCTION("""COMPUTED_VALUE"""),"Y")</f>
        <v>Y</v>
      </c>
      <c r="C9" s="39" t="str">
        <f>hlookup($C$1,$D$1:$BY$10,9,0)</f>
        <v>Y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40" t="s">
        <v>105</v>
      </c>
      <c r="Q9" s="40" t="s">
        <v>105</v>
      </c>
      <c r="R9" s="40" t="s">
        <v>105</v>
      </c>
      <c r="S9" s="40" t="s">
        <v>105</v>
      </c>
      <c r="T9" s="40" t="s">
        <v>105</v>
      </c>
      <c r="U9" s="40" t="s">
        <v>105</v>
      </c>
      <c r="V9" s="40" t="s">
        <v>105</v>
      </c>
      <c r="W9" s="40" t="s">
        <v>105</v>
      </c>
      <c r="X9" s="40" t="s">
        <v>105</v>
      </c>
      <c r="Y9" s="40" t="s">
        <v>105</v>
      </c>
      <c r="Z9" s="40" t="s">
        <v>105</v>
      </c>
      <c r="AA9" s="40" t="s">
        <v>105</v>
      </c>
      <c r="AB9" s="40" t="s">
        <v>105</v>
      </c>
      <c r="AC9" s="40" t="s">
        <v>105</v>
      </c>
      <c r="AD9" s="40" t="s">
        <v>105</v>
      </c>
      <c r="AE9" s="40" t="s">
        <v>105</v>
      </c>
      <c r="AF9" s="40" t="s">
        <v>105</v>
      </c>
      <c r="AG9" s="40" t="s">
        <v>105</v>
      </c>
      <c r="AH9" s="40" t="s">
        <v>105</v>
      </c>
      <c r="AI9" s="40" t="s">
        <v>105</v>
      </c>
      <c r="AJ9" s="40" t="s">
        <v>105</v>
      </c>
      <c r="AK9" s="40" t="s">
        <v>105</v>
      </c>
      <c r="AL9" s="40" t="s">
        <v>105</v>
      </c>
      <c r="AM9" s="40" t="s">
        <v>105</v>
      </c>
      <c r="AN9" s="40" t="s">
        <v>105</v>
      </c>
      <c r="AO9" s="40" t="s">
        <v>105</v>
      </c>
      <c r="AP9" s="40" t="s">
        <v>105</v>
      </c>
      <c r="AQ9" s="40" t="s">
        <v>105</v>
      </c>
      <c r="AR9" s="40" t="s">
        <v>105</v>
      </c>
      <c r="AS9" s="37"/>
      <c r="AT9" s="37"/>
      <c r="AU9" s="37"/>
      <c r="AV9" s="40" t="s">
        <v>105</v>
      </c>
      <c r="AW9" s="40" t="s">
        <v>105</v>
      </c>
      <c r="AX9" s="40" t="s">
        <v>105</v>
      </c>
      <c r="AY9" s="40" t="s">
        <v>105</v>
      </c>
      <c r="AZ9" s="40" t="s">
        <v>105</v>
      </c>
      <c r="BA9" s="40" t="s">
        <v>105</v>
      </c>
      <c r="BB9" s="40" t="s">
        <v>105</v>
      </c>
      <c r="BC9" s="40" t="s">
        <v>105</v>
      </c>
      <c r="BD9" s="40" t="s">
        <v>105</v>
      </c>
      <c r="BE9" s="40" t="s">
        <v>105</v>
      </c>
      <c r="BF9" s="40" t="s">
        <v>105</v>
      </c>
      <c r="BG9" s="40" t="s">
        <v>105</v>
      </c>
      <c r="BH9" s="40" t="s">
        <v>105</v>
      </c>
      <c r="BI9" s="40" t="s">
        <v>105</v>
      </c>
      <c r="BJ9" s="40" t="s">
        <v>105</v>
      </c>
      <c r="BK9" s="40" t="s">
        <v>105</v>
      </c>
      <c r="BL9" s="40" t="s">
        <v>105</v>
      </c>
      <c r="BM9" s="40" t="s">
        <v>105</v>
      </c>
      <c r="BN9" s="40" t="s">
        <v>105</v>
      </c>
      <c r="BO9" s="40" t="s">
        <v>105</v>
      </c>
      <c r="BP9" s="40" t="s">
        <v>105</v>
      </c>
      <c r="BQ9" s="40" t="s">
        <v>105</v>
      </c>
      <c r="BR9" s="40" t="s">
        <v>105</v>
      </c>
      <c r="BS9" s="40" t="s">
        <v>105</v>
      </c>
      <c r="BT9" s="40" t="s">
        <v>105</v>
      </c>
      <c r="BU9" s="40" t="s">
        <v>105</v>
      </c>
      <c r="BV9" s="37"/>
      <c r="BW9" s="37"/>
      <c r="BX9" s="37"/>
      <c r="BY9" s="37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</row>
    <row r="10">
      <c r="A10" s="37" t="str">
        <f>Specs!C10</f>
        <v>PoE (Y/N)</v>
      </c>
      <c r="B10" s="45"/>
      <c r="C10" s="43" t="str">
        <f>hlookup($C$1,$D$1:$BY$10,10,0)</f>
        <v/>
      </c>
      <c r="D10" s="37"/>
      <c r="E10" s="40" t="s">
        <v>105</v>
      </c>
      <c r="F10" s="40" t="s">
        <v>105</v>
      </c>
      <c r="G10" s="37"/>
      <c r="H10" s="40" t="s">
        <v>105</v>
      </c>
      <c r="I10" s="40" t="s">
        <v>105</v>
      </c>
      <c r="J10" s="37"/>
      <c r="K10" s="40" t="s">
        <v>105</v>
      </c>
      <c r="L10" s="40" t="s">
        <v>105</v>
      </c>
      <c r="M10" s="37"/>
      <c r="N10" s="40" t="s">
        <v>105</v>
      </c>
      <c r="O10" s="40" t="s">
        <v>105</v>
      </c>
      <c r="P10" s="40" t="s">
        <v>105</v>
      </c>
      <c r="Q10" s="37"/>
      <c r="R10" s="40" t="s">
        <v>105</v>
      </c>
      <c r="S10" s="40" t="s">
        <v>105</v>
      </c>
      <c r="T10" s="37"/>
      <c r="U10" s="40" t="s">
        <v>105</v>
      </c>
      <c r="V10" s="40" t="s">
        <v>105</v>
      </c>
      <c r="W10" s="37"/>
      <c r="X10" s="37"/>
      <c r="Y10" s="37"/>
      <c r="Z10" s="37"/>
      <c r="AA10" s="37"/>
      <c r="AB10" s="37"/>
      <c r="AC10" s="37"/>
      <c r="AD10" s="37"/>
      <c r="AE10" s="40" t="s">
        <v>105</v>
      </c>
      <c r="AF10" s="40" t="s">
        <v>105</v>
      </c>
      <c r="AG10" s="37"/>
      <c r="AH10" s="40" t="s">
        <v>105</v>
      </c>
      <c r="AI10" s="37"/>
      <c r="AJ10" s="40" t="s">
        <v>105</v>
      </c>
      <c r="AK10" s="37"/>
      <c r="AL10" s="40" t="s">
        <v>105</v>
      </c>
      <c r="AM10" s="37"/>
      <c r="AN10" s="40" t="s">
        <v>105</v>
      </c>
      <c r="AO10" s="37"/>
      <c r="AP10" s="40" t="s">
        <v>105</v>
      </c>
      <c r="AQ10" s="37"/>
      <c r="AR10" s="40" t="s">
        <v>105</v>
      </c>
      <c r="AS10" s="40" t="s">
        <v>105</v>
      </c>
      <c r="AT10" s="37"/>
      <c r="AU10" s="40" t="s">
        <v>105</v>
      </c>
      <c r="AV10" s="37"/>
      <c r="AW10" s="40" t="s">
        <v>105</v>
      </c>
      <c r="AX10" s="37"/>
      <c r="AY10" s="40" t="s">
        <v>105</v>
      </c>
      <c r="AZ10" s="37"/>
      <c r="BA10" s="40" t="s">
        <v>105</v>
      </c>
      <c r="BB10" s="37"/>
      <c r="BC10" s="40" t="s">
        <v>105</v>
      </c>
      <c r="BD10" s="37"/>
      <c r="BE10" s="40" t="s">
        <v>105</v>
      </c>
      <c r="BF10" s="40" t="s">
        <v>105</v>
      </c>
      <c r="BG10" s="40" t="s">
        <v>105</v>
      </c>
      <c r="BH10" s="37"/>
      <c r="BI10" s="40" t="s">
        <v>105</v>
      </c>
      <c r="BJ10" s="37"/>
      <c r="BK10" s="40" t="s">
        <v>105</v>
      </c>
      <c r="BL10" s="40" t="s">
        <v>105</v>
      </c>
      <c r="BM10" s="40" t="s">
        <v>105</v>
      </c>
      <c r="BN10" s="37"/>
      <c r="BO10" s="40" t="s">
        <v>105</v>
      </c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</row>
    <row r="11">
      <c r="A11" s="46" t="s">
        <v>106</v>
      </c>
      <c r="B11" s="47"/>
      <c r="C11" s="48" t="str">
        <f>hlookup($C$1,$D$1:$BY$11,11,0)</f>
        <v>Low End</v>
      </c>
      <c r="D11" s="49" t="s">
        <v>23</v>
      </c>
      <c r="E11" s="49" t="s">
        <v>23</v>
      </c>
      <c r="F11" s="49" t="s">
        <v>23</v>
      </c>
      <c r="G11" s="49" t="s">
        <v>23</v>
      </c>
      <c r="H11" s="49" t="s">
        <v>23</v>
      </c>
      <c r="I11" s="49" t="s">
        <v>23</v>
      </c>
      <c r="J11" s="49" t="s">
        <v>23</v>
      </c>
      <c r="K11" s="49" t="s">
        <v>23</v>
      </c>
      <c r="L11" s="49" t="s">
        <v>23</v>
      </c>
      <c r="M11" s="49" t="s">
        <v>23</v>
      </c>
      <c r="N11" s="49" t="s">
        <v>23</v>
      </c>
      <c r="O11" s="49" t="s">
        <v>23</v>
      </c>
      <c r="P11" s="49" t="s">
        <v>23</v>
      </c>
      <c r="Q11" s="49" t="s">
        <v>23</v>
      </c>
      <c r="R11" s="49" t="s">
        <v>23</v>
      </c>
      <c r="S11" s="49" t="s">
        <v>23</v>
      </c>
      <c r="T11" s="49" t="s">
        <v>23</v>
      </c>
      <c r="U11" s="49" t="s">
        <v>23</v>
      </c>
      <c r="V11" s="49" t="s">
        <v>23</v>
      </c>
      <c r="W11" s="49" t="s">
        <v>23</v>
      </c>
      <c r="X11" s="49" t="s">
        <v>23</v>
      </c>
      <c r="Y11" s="49" t="s">
        <v>23</v>
      </c>
      <c r="Z11" s="49" t="s">
        <v>23</v>
      </c>
      <c r="AA11" s="49" t="s">
        <v>23</v>
      </c>
      <c r="AB11" s="49" t="s">
        <v>23</v>
      </c>
      <c r="AC11" s="49" t="s">
        <v>23</v>
      </c>
      <c r="AD11" s="49" t="s">
        <v>23</v>
      </c>
      <c r="AE11" s="49" t="s">
        <v>23</v>
      </c>
      <c r="AF11" s="49" t="s">
        <v>23</v>
      </c>
      <c r="AG11" s="49" t="s">
        <v>24</v>
      </c>
      <c r="AH11" s="49" t="s">
        <v>24</v>
      </c>
      <c r="AI11" s="49" t="s">
        <v>24</v>
      </c>
      <c r="AJ11" s="49" t="s">
        <v>24</v>
      </c>
      <c r="AK11" s="49" t="s">
        <v>24</v>
      </c>
      <c r="AL11" s="49" t="s">
        <v>24</v>
      </c>
      <c r="AM11" s="49" t="s">
        <v>24</v>
      </c>
      <c r="AN11" s="49" t="s">
        <v>24</v>
      </c>
      <c r="AO11" s="49" t="s">
        <v>24</v>
      </c>
      <c r="AP11" s="49" t="s">
        <v>24</v>
      </c>
      <c r="AQ11" s="49" t="s">
        <v>24</v>
      </c>
      <c r="AR11" s="49" t="s">
        <v>24</v>
      </c>
      <c r="AS11" s="49" t="s">
        <v>24</v>
      </c>
      <c r="AT11" s="49" t="s">
        <v>24</v>
      </c>
      <c r="AU11" s="49" t="s">
        <v>24</v>
      </c>
      <c r="AV11" s="49" t="s">
        <v>25</v>
      </c>
      <c r="AW11" s="49" t="s">
        <v>25</v>
      </c>
      <c r="AX11" s="49" t="s">
        <v>25</v>
      </c>
      <c r="AY11" s="49" t="s">
        <v>25</v>
      </c>
      <c r="AZ11" s="49" t="s">
        <v>25</v>
      </c>
      <c r="BA11" s="49" t="s">
        <v>25</v>
      </c>
      <c r="BB11" s="49" t="s">
        <v>25</v>
      </c>
      <c r="BC11" s="49" t="s">
        <v>25</v>
      </c>
      <c r="BD11" s="49" t="s">
        <v>25</v>
      </c>
      <c r="BE11" s="49" t="s">
        <v>25</v>
      </c>
      <c r="BF11" s="49" t="s">
        <v>25</v>
      </c>
      <c r="BG11" s="49" t="s">
        <v>25</v>
      </c>
      <c r="BH11" s="49" t="s">
        <v>25</v>
      </c>
      <c r="BI11" s="49" t="s">
        <v>25</v>
      </c>
      <c r="BJ11" s="49" t="s">
        <v>25</v>
      </c>
      <c r="BK11" s="49" t="s">
        <v>25</v>
      </c>
      <c r="BL11" s="49" t="s">
        <v>25</v>
      </c>
      <c r="BM11" s="49" t="s">
        <v>25</v>
      </c>
      <c r="BN11" s="49" t="s">
        <v>25</v>
      </c>
      <c r="BO11" s="49" t="s">
        <v>25</v>
      </c>
      <c r="BP11" s="49" t="s">
        <v>25</v>
      </c>
      <c r="BQ11" s="49" t="s">
        <v>25</v>
      </c>
      <c r="BR11" s="49" t="s">
        <v>25</v>
      </c>
      <c r="BS11" s="49" t="s">
        <v>25</v>
      </c>
      <c r="BT11" s="49" t="s">
        <v>25</v>
      </c>
      <c r="BU11" s="49" t="s">
        <v>25</v>
      </c>
      <c r="BV11" s="49" t="s">
        <v>24</v>
      </c>
      <c r="BW11" s="49" t="s">
        <v>24</v>
      </c>
      <c r="BX11" s="49" t="s">
        <v>25</v>
      </c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</row>
    <row r="12">
      <c r="A12" s="36"/>
      <c r="B12" s="47"/>
      <c r="C12" s="50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</row>
    <row r="13">
      <c r="A13" s="36" t="s">
        <v>26</v>
      </c>
      <c r="B13" s="47"/>
      <c r="C13" s="48">
        <f t="shared" ref="C13:BY13" si="1">sum(1*(C2&gt;=$B$2)+1*(C3&gt;=$B$3)+1*(C4&gt;=$B$4)+1*(C5&gt;=$B$5)+1*(C6&gt;=$B$6)+1*(C7&gt;=$B$7)+1*(C8&gt;=$B$8)+1*or(C9="Y",$B$9="N",$B$9="")+1*or(C10="Y",$B$10="N",$B$10=""))</f>
        <v>8</v>
      </c>
      <c r="D13" s="51">
        <f t="shared" si="1"/>
        <v>4</v>
      </c>
      <c r="E13" s="51">
        <f t="shared" si="1"/>
        <v>4</v>
      </c>
      <c r="F13" s="51">
        <f t="shared" si="1"/>
        <v>4</v>
      </c>
      <c r="G13" s="51">
        <f t="shared" si="1"/>
        <v>5</v>
      </c>
      <c r="H13" s="51">
        <f t="shared" si="1"/>
        <v>5</v>
      </c>
      <c r="I13" s="51">
        <f t="shared" si="1"/>
        <v>5</v>
      </c>
      <c r="J13" s="51">
        <f t="shared" si="1"/>
        <v>5</v>
      </c>
      <c r="K13" s="51">
        <f t="shared" si="1"/>
        <v>5</v>
      </c>
      <c r="L13" s="51">
        <f t="shared" si="1"/>
        <v>5</v>
      </c>
      <c r="M13" s="51">
        <f t="shared" si="1"/>
        <v>5</v>
      </c>
      <c r="N13" s="51">
        <f t="shared" si="1"/>
        <v>5</v>
      </c>
      <c r="O13" s="51">
        <f t="shared" si="1"/>
        <v>5</v>
      </c>
      <c r="P13" s="51">
        <f t="shared" si="1"/>
        <v>5</v>
      </c>
      <c r="Q13" s="51">
        <f t="shared" si="1"/>
        <v>5</v>
      </c>
      <c r="R13" s="51">
        <f t="shared" si="1"/>
        <v>5</v>
      </c>
      <c r="S13" s="51">
        <f t="shared" si="1"/>
        <v>5</v>
      </c>
      <c r="T13" s="51">
        <f t="shared" si="1"/>
        <v>6</v>
      </c>
      <c r="U13" s="51">
        <f t="shared" si="1"/>
        <v>6</v>
      </c>
      <c r="V13" s="51">
        <f t="shared" si="1"/>
        <v>6</v>
      </c>
      <c r="W13" s="51">
        <f t="shared" si="1"/>
        <v>8</v>
      </c>
      <c r="X13" s="51">
        <f t="shared" si="1"/>
        <v>7</v>
      </c>
      <c r="Y13" s="51">
        <f t="shared" si="1"/>
        <v>7</v>
      </c>
      <c r="Z13" s="51">
        <f t="shared" si="1"/>
        <v>7</v>
      </c>
      <c r="AA13" s="51">
        <f t="shared" si="1"/>
        <v>7</v>
      </c>
      <c r="AB13" s="51">
        <f t="shared" si="1"/>
        <v>8</v>
      </c>
      <c r="AC13" s="51">
        <f t="shared" si="1"/>
        <v>6</v>
      </c>
      <c r="AD13" s="51">
        <f t="shared" si="1"/>
        <v>7</v>
      </c>
      <c r="AE13" s="51">
        <f t="shared" si="1"/>
        <v>6</v>
      </c>
      <c r="AF13" s="51">
        <f t="shared" si="1"/>
        <v>7</v>
      </c>
      <c r="AG13" s="51">
        <f t="shared" si="1"/>
        <v>6</v>
      </c>
      <c r="AH13" s="51">
        <f t="shared" si="1"/>
        <v>6</v>
      </c>
      <c r="AI13" s="51">
        <f t="shared" si="1"/>
        <v>7</v>
      </c>
      <c r="AJ13" s="51">
        <f t="shared" si="1"/>
        <v>7</v>
      </c>
      <c r="AK13" s="51">
        <f t="shared" si="1"/>
        <v>6</v>
      </c>
      <c r="AL13" s="51">
        <f t="shared" si="1"/>
        <v>6</v>
      </c>
      <c r="AM13" s="51">
        <f t="shared" si="1"/>
        <v>6</v>
      </c>
      <c r="AN13" s="51">
        <f t="shared" si="1"/>
        <v>6</v>
      </c>
      <c r="AO13" s="51">
        <f t="shared" si="1"/>
        <v>5</v>
      </c>
      <c r="AP13" s="51">
        <f t="shared" si="1"/>
        <v>5</v>
      </c>
      <c r="AQ13" s="51">
        <f t="shared" si="1"/>
        <v>6</v>
      </c>
      <c r="AR13" s="51">
        <f t="shared" si="1"/>
        <v>6</v>
      </c>
      <c r="AS13" s="51">
        <f t="shared" si="1"/>
        <v>3</v>
      </c>
      <c r="AT13" s="51">
        <f t="shared" si="1"/>
        <v>3</v>
      </c>
      <c r="AU13" s="51">
        <f t="shared" si="1"/>
        <v>3</v>
      </c>
      <c r="AV13" s="51">
        <f t="shared" si="1"/>
        <v>6</v>
      </c>
      <c r="AW13" s="51">
        <f t="shared" si="1"/>
        <v>6</v>
      </c>
      <c r="AX13" s="51">
        <f t="shared" si="1"/>
        <v>6</v>
      </c>
      <c r="AY13" s="51">
        <f t="shared" si="1"/>
        <v>6</v>
      </c>
      <c r="AZ13" s="51">
        <f t="shared" si="1"/>
        <v>6</v>
      </c>
      <c r="BA13" s="51">
        <f t="shared" si="1"/>
        <v>6</v>
      </c>
      <c r="BB13" s="51">
        <f t="shared" si="1"/>
        <v>7</v>
      </c>
      <c r="BC13" s="51">
        <f t="shared" si="1"/>
        <v>7</v>
      </c>
      <c r="BD13" s="51">
        <f t="shared" si="1"/>
        <v>8</v>
      </c>
      <c r="BE13" s="51">
        <f t="shared" si="1"/>
        <v>8</v>
      </c>
      <c r="BF13" s="51">
        <f t="shared" si="1"/>
        <v>8</v>
      </c>
      <c r="BG13" s="51">
        <f t="shared" si="1"/>
        <v>8</v>
      </c>
      <c r="BH13" s="51">
        <f t="shared" si="1"/>
        <v>7</v>
      </c>
      <c r="BI13" s="51">
        <f t="shared" si="1"/>
        <v>8</v>
      </c>
      <c r="BJ13" s="51">
        <f t="shared" si="1"/>
        <v>8</v>
      </c>
      <c r="BK13" s="51">
        <f t="shared" si="1"/>
        <v>8</v>
      </c>
      <c r="BL13" s="51">
        <f t="shared" si="1"/>
        <v>8</v>
      </c>
      <c r="BM13" s="51">
        <f t="shared" si="1"/>
        <v>8</v>
      </c>
      <c r="BN13" s="51">
        <f t="shared" si="1"/>
        <v>7</v>
      </c>
      <c r="BO13" s="51">
        <f t="shared" si="1"/>
        <v>8</v>
      </c>
      <c r="BP13" s="51">
        <f t="shared" si="1"/>
        <v>6</v>
      </c>
      <c r="BQ13" s="51">
        <f t="shared" si="1"/>
        <v>6</v>
      </c>
      <c r="BR13" s="51">
        <f t="shared" si="1"/>
        <v>7</v>
      </c>
      <c r="BS13" s="51">
        <f t="shared" si="1"/>
        <v>7</v>
      </c>
      <c r="BT13" s="51">
        <f t="shared" si="1"/>
        <v>6</v>
      </c>
      <c r="BU13" s="51">
        <f t="shared" si="1"/>
        <v>6</v>
      </c>
      <c r="BV13" s="51">
        <f t="shared" si="1"/>
        <v>3</v>
      </c>
      <c r="BW13" s="51">
        <f t="shared" si="1"/>
        <v>3</v>
      </c>
      <c r="BX13" s="51">
        <f t="shared" si="1"/>
        <v>3</v>
      </c>
      <c r="BY13" s="51">
        <f t="shared" si="1"/>
        <v>3</v>
      </c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</row>
    <row r="14">
      <c r="A14" s="36" t="s">
        <v>27</v>
      </c>
      <c r="B14" s="47"/>
      <c r="C14" s="52">
        <f>iferror(vlookup(C1,AllListPrice!$A$2:$D$1000,4,0),0)</f>
        <v>2418.18</v>
      </c>
      <c r="D14" s="53">
        <f>iferror(vlookup(D1,AllListPrice!$A$2:$D$1000,4,0),0)</f>
        <v>466.11</v>
      </c>
      <c r="E14" s="53">
        <f>iferror(vlookup(E1,AllListPrice!$A$2:$D$1000,4,0),0)</f>
        <v>576.42</v>
      </c>
      <c r="F14" s="53">
        <f>iferror(vlookup(F1,AllListPrice!$A$2:$D$1000,4,0),0)</f>
        <v>765.31</v>
      </c>
      <c r="G14" s="53">
        <f>iferror(vlookup(G1,AllListPrice!$A$2:$D$1000,4,0),0)</f>
        <v>663.67</v>
      </c>
      <c r="H14" s="53">
        <f>iferror(vlookup(H1,AllListPrice!$A$2:$D$1000,4,0),0)</f>
        <v>962.86</v>
      </c>
      <c r="I14" s="53">
        <f>iferror(vlookup(I1,AllListPrice!$A$2:$D$1000,4,0),0)</f>
        <v>1364.85</v>
      </c>
      <c r="J14" s="53">
        <f>iferror(vlookup(J1,AllListPrice!$A$2:$D$1000,4,0),0)</f>
        <v>925.31</v>
      </c>
      <c r="K14" s="53">
        <f>iferror(vlookup(K1,AllListPrice!$A$2:$D$1000,4,0),0)</f>
        <v>1316.32</v>
      </c>
      <c r="L14" s="53">
        <f>iferror(vlookup(L1,AllListPrice!$A$2:$D$1000,4,0),0)</f>
        <v>1785.82</v>
      </c>
      <c r="M14" s="53">
        <f>iferror(vlookup(M1,AllListPrice!$A$2:$D$1000,4,0),0)</f>
        <v>1446.81</v>
      </c>
      <c r="N14" s="53">
        <f>iferror(vlookup(N1,AllListPrice!$A$2:$D$1000,4,0),0)</f>
        <v>2394.09</v>
      </c>
      <c r="O14" s="53">
        <f>iferror(vlookup(O1,AllListPrice!$A$2:$D$1000,4,0),0)</f>
        <v>2990.63</v>
      </c>
      <c r="P14" s="53">
        <f>iferror(vlookup(P1,AllListPrice!$A$2:$D$1000,4,0),0)</f>
        <v>1047.05</v>
      </c>
      <c r="Q14" s="53">
        <f>iferror(vlookup(Q1,AllListPrice!$A$2:$D$1000,4,0),0)</f>
        <v>1403.2</v>
      </c>
      <c r="R14" s="53">
        <f>iferror(vlookup(R1,AllListPrice!$A$2:$D$1000,4,0),0)</f>
        <v>1674.32</v>
      </c>
      <c r="S14" s="53">
        <f>iferror(vlookup(S1,AllListPrice!$A$2:$D$1000,4,0),0)</f>
        <v>2278.26</v>
      </c>
      <c r="T14" s="53">
        <f>iferror(vlookup(T1,AllListPrice!$A$2:$D$1000,4,0),0)</f>
        <v>2202.72</v>
      </c>
      <c r="U14" s="53">
        <f>iferror(vlookup(U1,AllListPrice!$A$2:$D$1000,4,0),0)</f>
        <v>2733.04</v>
      </c>
      <c r="V14" s="53">
        <f>iferror(vlookup(V1,AllListPrice!$A$2:$D$1000,4,0),0)</f>
        <v>3526.47</v>
      </c>
      <c r="W14" s="53">
        <f>iferror(vlookup(W1,AllListPrice!$A$2:$D$1000,4,0),0)</f>
        <v>2418.18</v>
      </c>
      <c r="X14" s="53">
        <f>iferror(vlookup(X1,AllListPrice!$A$2:$D$1000,4,0),0)</f>
        <v>2462.89</v>
      </c>
      <c r="Y14" s="53">
        <f>iferror(vlookup(Y1,AllListPrice!$A$2:$D$1000,4,0),0)</f>
        <v>3849.34</v>
      </c>
      <c r="Z14" s="53">
        <f>iferror(vlookup(Z1,AllListPrice!$A$2:$D$1000,4,0),0)</f>
        <v>3983.44</v>
      </c>
      <c r="AA14" s="53">
        <f>iferror(vlookup(AA1,AllListPrice!$A$2:$D$1000,4,0),0)</f>
        <v>5118.44</v>
      </c>
      <c r="AB14" s="53">
        <f>iferror(vlookup(AB1,AllListPrice!$A$2:$D$1000,4,0),0)</f>
        <v>4937.7</v>
      </c>
      <c r="AC14" s="53">
        <f>iferror(vlookup(AC1,AllListPrice!$A$2:$D$1000,4,0),0)</f>
        <v>1187.92</v>
      </c>
      <c r="AD14" s="53">
        <f>iferror(vlookup(AD1,AllListPrice!$A$2:$D$1000,4,0),0)</f>
        <v>1723.05</v>
      </c>
      <c r="AE14" s="53">
        <f>iferror(vlookup(AE1,AllListPrice!$A$2:$D$1000,4,0),0)</f>
        <v>1925.65</v>
      </c>
      <c r="AF14" s="53">
        <f>iferror(vlookup(AF1,AllListPrice!$A$2:$D$1000,4,0),0)</f>
        <v>2982.58</v>
      </c>
      <c r="AG14" s="53">
        <f>iferror(vlookup(AG1,AllListPrice!$A$2:$D$1000,4,0),0)</f>
        <v>10084.98</v>
      </c>
      <c r="AH14" s="53">
        <f>iferror(vlookup(AH1,AllListPrice!$A$2:$D$1000,4,0),0)</f>
        <v>11213.65</v>
      </c>
      <c r="AI14" s="53">
        <f>iferror(vlookup(AI1,AllListPrice!$A$2:$D$1000,4,0),0)</f>
        <v>15922.14</v>
      </c>
      <c r="AJ14" s="53">
        <f>iferror(vlookup(AJ1,AllListPrice!$A$2:$D$1000,4,0),0)</f>
        <v>20161.2</v>
      </c>
      <c r="AK14" s="53">
        <f>iferror(vlookup(AK1,AllListPrice!$A$2:$D$1000,4,0),0)</f>
        <v>6262.27</v>
      </c>
      <c r="AL14" s="53">
        <f>iferror(vlookup(AL1,AllListPrice!$A$2:$D$1000,4,0),0)</f>
        <v>7688.05</v>
      </c>
      <c r="AM14" s="53">
        <f>iferror(vlookup(AM1,AllListPrice!$A$2:$D$1000,4,0),0)</f>
        <v>11166.4</v>
      </c>
      <c r="AN14" s="53">
        <f>iferror(vlookup(AN1,AllListPrice!$A$2:$D$1000,4,0),0)</f>
        <v>15455.34</v>
      </c>
      <c r="AO14" s="53">
        <f>iferror(vlookup(AO1,AllListPrice!$A$2:$D$1000,4,0),0)</f>
        <v>8762.44</v>
      </c>
      <c r="AP14" s="53">
        <f>iferror(vlookup(AP1,AllListPrice!$A$2:$D$1000,4,0),0)</f>
        <v>10192.33</v>
      </c>
      <c r="AQ14" s="53">
        <f>iferror(vlookup(AQ1,AllListPrice!$A$2:$D$1000,4,0),0)</f>
        <v>13666.57</v>
      </c>
      <c r="AR14" s="53">
        <f>iferror(vlookup(AR1,AllListPrice!$A$2:$D$1000,4,0),0)</f>
        <v>17955.51</v>
      </c>
      <c r="AS14" s="53">
        <f>iferror(vlookup(AS1,AllListPrice!$A$2:$D$1000,4,0),0)</f>
        <v>5144.72</v>
      </c>
      <c r="AT14" s="53">
        <f>iferror(vlookup(AT1,AllListPrice!$A$2:$D$1000,4,0),0)</f>
        <v>4714.31</v>
      </c>
      <c r="AU14" s="53">
        <f>iferror(vlookup(AU1,AllListPrice!$A$2:$D$1000,4,0),0)</f>
        <v>5606.95</v>
      </c>
      <c r="AV14" s="53">
        <f>iferror(vlookup(AV1,AllListPrice!$A$2:$D$1000,4,0),0)</f>
        <v>13274.37</v>
      </c>
      <c r="AW14" s="53">
        <f>iferror(vlookup(AW1,AllListPrice!$A$2:$D$1000,4,0),0)</f>
        <v>14219.2</v>
      </c>
      <c r="AX14" s="53">
        <f>iferror(vlookup(AX1,AllListPrice!$A$2:$D$1000,4,0),0)</f>
        <v>16104.69</v>
      </c>
      <c r="AY14" s="53">
        <f>iferror(vlookup(AY1,AllListPrice!$A$2:$D$1000,4,0),0)</f>
        <v>17045.38</v>
      </c>
      <c r="AZ14" s="53">
        <f>iferror(vlookup(AZ1,AllListPrice!$A$2:$D$1000,4,0),0)</f>
        <v>19434.02</v>
      </c>
      <c r="BA14" s="53">
        <f>iferror(vlookup(BA1,AllListPrice!$A$2:$D$1000,4,0),0)</f>
        <v>22071.94</v>
      </c>
      <c r="BB14" s="53">
        <f>iferror(vlookup(BB1,AllListPrice!$A$2:$D$1000,4,0),0)</f>
        <v>22260.23</v>
      </c>
      <c r="BC14" s="53">
        <f>iferror(vlookup(BC1,AllListPrice!$A$2:$D$1000,4,0),0)</f>
        <v>24901.12</v>
      </c>
      <c r="BD14" s="53">
        <f>iferror(vlookup(BD1,AllListPrice!$A$2:$D$1000,4,0),0)</f>
        <v>17547.66</v>
      </c>
      <c r="BE14" s="53">
        <f>iferror(vlookup(BE1,AllListPrice!$A$2:$D$1000,4,0),0)</f>
        <v>19038.33</v>
      </c>
      <c r="BF14" s="53">
        <f>iferror(vlookup(BF1,AllListPrice!$A$2:$D$1000,4,0),0)</f>
        <v>19965.21</v>
      </c>
      <c r="BG14" s="53">
        <f>iferror(vlookup(BG1,AllListPrice!$A$2:$D$1000,4,0),0)</f>
        <v>20515.29</v>
      </c>
      <c r="BH14" s="53">
        <f>iferror(vlookup(BH1,AllListPrice!$A$2:$D$1000,4,0),0)</f>
        <v>48735.58</v>
      </c>
      <c r="BI14" s="53">
        <f>iferror(vlookup(BI1,AllListPrice!$A$2:$D$1000,4,0),0)</f>
        <v>24477.78</v>
      </c>
      <c r="BJ14" s="53">
        <f>iferror(vlookup(BJ1,AllListPrice!$A$2:$D$1000,4,0),0)</f>
        <v>25854.11</v>
      </c>
      <c r="BK14" s="53">
        <f>iferror(vlookup(BK1,AllListPrice!$A$2:$D$1000,4,0),0)</f>
        <v>28776.34</v>
      </c>
      <c r="BL14" s="53">
        <f>iferror(vlookup(BL1,AllListPrice!$A$2:$D$1000,4,0),0)</f>
        <v>30632.82</v>
      </c>
      <c r="BM14" s="53">
        <f>iferror(vlookup(BM1,AllListPrice!$A$2:$D$1000,4,0),0)</f>
        <v>31600.93</v>
      </c>
      <c r="BN14" s="53">
        <f>iferror(vlookup(BN1,AllListPrice!$A$2:$D$1000,4,0),0)</f>
        <v>55867.65</v>
      </c>
      <c r="BO14" s="53">
        <f>iferror(vlookup(BO1,AllListPrice!$A$2:$D$1000,4,0),0)</f>
        <v>36714.46</v>
      </c>
      <c r="BP14" s="53">
        <f>iferror(vlookup(BP1,AllListPrice!$A$2:$D$1000,4,0),0)</f>
        <v>85280.32</v>
      </c>
      <c r="BQ14" s="53">
        <f>iferror(vlookup(BQ1,AllListPrice!$A$2:$D$1000,4,0),0)</f>
        <v>76987.18</v>
      </c>
      <c r="BR14" s="53">
        <f>iferror(vlookup(BR1,AllListPrice!$A$2:$D$1000,4,0),0)</f>
        <v>65076.01</v>
      </c>
      <c r="BS14" s="53">
        <f>iferror(vlookup(BS1,AllListPrice!$A$2:$D$1000,4,0),0)</f>
        <v>54433.3</v>
      </c>
      <c r="BT14" s="53">
        <f>iferror(vlookup(BT1,AllListPrice!$A$2:$D$1000,4,0),0)</f>
        <v>166221.42</v>
      </c>
      <c r="BU14" s="53">
        <f>iferror(vlookup(BU1,AllListPrice!$A$2:$D$1000,4,0),0)</f>
        <v>127832.66</v>
      </c>
      <c r="BV14" s="53">
        <f>iferror(vlookup(BV1,AllListPrice!$A$2:$D$1000,4,0),0)</f>
        <v>26500</v>
      </c>
      <c r="BW14" s="53">
        <f>iferror(vlookup(BW1,AllListPrice!$A$2:$D$1000,4,0),0)</f>
        <v>32500</v>
      </c>
      <c r="BX14" s="53">
        <f>iferror(vlookup(BX1,AllListPrice!$A$2:$D$1000,4,0),0)</f>
        <v>192000</v>
      </c>
      <c r="BY14" s="53">
        <f>iferror(vlookup(BY1,Cisco!$A$2:$D$1000,4,0),0)</f>
        <v>0</v>
      </c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</row>
    <row r="15">
      <c r="A15" s="36" t="s">
        <v>28</v>
      </c>
      <c r="B15" s="47"/>
      <c r="C15" s="48">
        <f t="shared" ref="C15:BY15" si="2">1*(C13=max($D$13:$BY$13))</f>
        <v>1</v>
      </c>
      <c r="D15" s="51">
        <f t="shared" si="2"/>
        <v>0</v>
      </c>
      <c r="E15" s="51">
        <f t="shared" si="2"/>
        <v>0</v>
      </c>
      <c r="F15" s="51">
        <f t="shared" si="2"/>
        <v>0</v>
      </c>
      <c r="G15" s="51">
        <f t="shared" si="2"/>
        <v>0</v>
      </c>
      <c r="H15" s="51">
        <f t="shared" si="2"/>
        <v>0</v>
      </c>
      <c r="I15" s="51">
        <f t="shared" si="2"/>
        <v>0</v>
      </c>
      <c r="J15" s="51">
        <f t="shared" si="2"/>
        <v>0</v>
      </c>
      <c r="K15" s="51">
        <f t="shared" si="2"/>
        <v>0</v>
      </c>
      <c r="L15" s="51">
        <f t="shared" si="2"/>
        <v>0</v>
      </c>
      <c r="M15" s="51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1">
        <f t="shared" si="2"/>
        <v>0</v>
      </c>
      <c r="S15" s="51">
        <f t="shared" si="2"/>
        <v>0</v>
      </c>
      <c r="T15" s="51">
        <f t="shared" si="2"/>
        <v>0</v>
      </c>
      <c r="U15" s="51">
        <f t="shared" si="2"/>
        <v>0</v>
      </c>
      <c r="V15" s="51">
        <f t="shared" si="2"/>
        <v>0</v>
      </c>
      <c r="W15" s="51">
        <f t="shared" si="2"/>
        <v>1</v>
      </c>
      <c r="X15" s="51">
        <f t="shared" si="2"/>
        <v>0</v>
      </c>
      <c r="Y15" s="51">
        <f t="shared" si="2"/>
        <v>0</v>
      </c>
      <c r="Z15" s="51">
        <f t="shared" si="2"/>
        <v>0</v>
      </c>
      <c r="AA15" s="51">
        <f t="shared" si="2"/>
        <v>0</v>
      </c>
      <c r="AB15" s="51">
        <f t="shared" si="2"/>
        <v>1</v>
      </c>
      <c r="AC15" s="51">
        <f t="shared" si="2"/>
        <v>0</v>
      </c>
      <c r="AD15" s="51">
        <f t="shared" si="2"/>
        <v>0</v>
      </c>
      <c r="AE15" s="51">
        <f t="shared" si="2"/>
        <v>0</v>
      </c>
      <c r="AF15" s="51">
        <f t="shared" si="2"/>
        <v>0</v>
      </c>
      <c r="AG15" s="51">
        <f t="shared" si="2"/>
        <v>0</v>
      </c>
      <c r="AH15" s="51">
        <f t="shared" si="2"/>
        <v>0</v>
      </c>
      <c r="AI15" s="51">
        <f t="shared" si="2"/>
        <v>0</v>
      </c>
      <c r="AJ15" s="51">
        <f t="shared" si="2"/>
        <v>0</v>
      </c>
      <c r="AK15" s="51">
        <f t="shared" si="2"/>
        <v>0</v>
      </c>
      <c r="AL15" s="51">
        <f t="shared" si="2"/>
        <v>0</v>
      </c>
      <c r="AM15" s="51">
        <f t="shared" si="2"/>
        <v>0</v>
      </c>
      <c r="AN15" s="51">
        <f t="shared" si="2"/>
        <v>0</v>
      </c>
      <c r="AO15" s="51">
        <f t="shared" si="2"/>
        <v>0</v>
      </c>
      <c r="AP15" s="51">
        <f t="shared" si="2"/>
        <v>0</v>
      </c>
      <c r="AQ15" s="51">
        <f t="shared" si="2"/>
        <v>0</v>
      </c>
      <c r="AR15" s="51">
        <f t="shared" si="2"/>
        <v>0</v>
      </c>
      <c r="AS15" s="51">
        <f t="shared" si="2"/>
        <v>0</v>
      </c>
      <c r="AT15" s="51">
        <f t="shared" si="2"/>
        <v>0</v>
      </c>
      <c r="AU15" s="51">
        <f t="shared" si="2"/>
        <v>0</v>
      </c>
      <c r="AV15" s="51">
        <f t="shared" si="2"/>
        <v>0</v>
      </c>
      <c r="AW15" s="51">
        <f t="shared" si="2"/>
        <v>0</v>
      </c>
      <c r="AX15" s="51">
        <f t="shared" si="2"/>
        <v>0</v>
      </c>
      <c r="AY15" s="51">
        <f t="shared" si="2"/>
        <v>0</v>
      </c>
      <c r="AZ15" s="51">
        <f t="shared" si="2"/>
        <v>0</v>
      </c>
      <c r="BA15" s="51">
        <f t="shared" si="2"/>
        <v>0</v>
      </c>
      <c r="BB15" s="51">
        <f t="shared" si="2"/>
        <v>0</v>
      </c>
      <c r="BC15" s="51">
        <f t="shared" si="2"/>
        <v>0</v>
      </c>
      <c r="BD15" s="51">
        <f t="shared" si="2"/>
        <v>1</v>
      </c>
      <c r="BE15" s="51">
        <f t="shared" si="2"/>
        <v>1</v>
      </c>
      <c r="BF15" s="51">
        <f t="shared" si="2"/>
        <v>1</v>
      </c>
      <c r="BG15" s="51">
        <f t="shared" si="2"/>
        <v>1</v>
      </c>
      <c r="BH15" s="51">
        <f t="shared" si="2"/>
        <v>0</v>
      </c>
      <c r="BI15" s="51">
        <f t="shared" si="2"/>
        <v>1</v>
      </c>
      <c r="BJ15" s="51">
        <f t="shared" si="2"/>
        <v>1</v>
      </c>
      <c r="BK15" s="51">
        <f t="shared" si="2"/>
        <v>1</v>
      </c>
      <c r="BL15" s="51">
        <f t="shared" si="2"/>
        <v>1</v>
      </c>
      <c r="BM15" s="51">
        <f t="shared" si="2"/>
        <v>1</v>
      </c>
      <c r="BN15" s="51">
        <f t="shared" si="2"/>
        <v>0</v>
      </c>
      <c r="BO15" s="51">
        <f t="shared" si="2"/>
        <v>1</v>
      </c>
      <c r="BP15" s="51">
        <f t="shared" si="2"/>
        <v>0</v>
      </c>
      <c r="BQ15" s="51">
        <f t="shared" si="2"/>
        <v>0</v>
      </c>
      <c r="BR15" s="51">
        <f t="shared" si="2"/>
        <v>0</v>
      </c>
      <c r="BS15" s="51">
        <f t="shared" si="2"/>
        <v>0</v>
      </c>
      <c r="BT15" s="51">
        <f t="shared" si="2"/>
        <v>0</v>
      </c>
      <c r="BU15" s="51">
        <f t="shared" si="2"/>
        <v>0</v>
      </c>
      <c r="BV15" s="51">
        <f t="shared" si="2"/>
        <v>0</v>
      </c>
      <c r="BW15" s="51">
        <f t="shared" si="2"/>
        <v>0</v>
      </c>
      <c r="BX15" s="51">
        <f t="shared" si="2"/>
        <v>0</v>
      </c>
      <c r="BY15" s="51">
        <f t="shared" si="2"/>
        <v>0</v>
      </c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</row>
    <row r="16">
      <c r="A16" s="36" t="s">
        <v>29</v>
      </c>
      <c r="B16" s="47"/>
      <c r="C16" s="48">
        <f t="shared" ref="C16:BY16" si="3">C15*(C14=minifs($D$14:$BY$14,$D$15:$BY$15,1))</f>
        <v>1</v>
      </c>
      <c r="D16" s="51">
        <f t="shared" si="3"/>
        <v>0</v>
      </c>
      <c r="E16" s="51">
        <f t="shared" si="3"/>
        <v>0</v>
      </c>
      <c r="F16" s="51">
        <f t="shared" si="3"/>
        <v>0</v>
      </c>
      <c r="G16" s="51">
        <f t="shared" si="3"/>
        <v>0</v>
      </c>
      <c r="H16" s="51">
        <f t="shared" si="3"/>
        <v>0</v>
      </c>
      <c r="I16" s="51">
        <f t="shared" si="3"/>
        <v>0</v>
      </c>
      <c r="J16" s="51">
        <f t="shared" si="3"/>
        <v>0</v>
      </c>
      <c r="K16" s="51">
        <f t="shared" si="3"/>
        <v>0</v>
      </c>
      <c r="L16" s="51">
        <f t="shared" si="3"/>
        <v>0</v>
      </c>
      <c r="M16" s="51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1">
        <f t="shared" si="3"/>
        <v>0</v>
      </c>
      <c r="S16" s="51">
        <f t="shared" si="3"/>
        <v>0</v>
      </c>
      <c r="T16" s="51">
        <f t="shared" si="3"/>
        <v>0</v>
      </c>
      <c r="U16" s="51">
        <f t="shared" si="3"/>
        <v>0</v>
      </c>
      <c r="V16" s="51">
        <f t="shared" si="3"/>
        <v>0</v>
      </c>
      <c r="W16" s="51">
        <f t="shared" si="3"/>
        <v>1</v>
      </c>
      <c r="X16" s="51">
        <f t="shared" si="3"/>
        <v>0</v>
      </c>
      <c r="Y16" s="51">
        <f t="shared" si="3"/>
        <v>0</v>
      </c>
      <c r="Z16" s="51">
        <f t="shared" si="3"/>
        <v>0</v>
      </c>
      <c r="AA16" s="51">
        <f t="shared" si="3"/>
        <v>0</v>
      </c>
      <c r="AB16" s="51">
        <f t="shared" si="3"/>
        <v>0</v>
      </c>
      <c r="AC16" s="51">
        <f t="shared" si="3"/>
        <v>0</v>
      </c>
      <c r="AD16" s="51">
        <f t="shared" si="3"/>
        <v>0</v>
      </c>
      <c r="AE16" s="51">
        <f t="shared" si="3"/>
        <v>0</v>
      </c>
      <c r="AF16" s="51">
        <f t="shared" si="3"/>
        <v>0</v>
      </c>
      <c r="AG16" s="51">
        <f t="shared" si="3"/>
        <v>0</v>
      </c>
      <c r="AH16" s="51">
        <f t="shared" si="3"/>
        <v>0</v>
      </c>
      <c r="AI16" s="51">
        <f t="shared" si="3"/>
        <v>0</v>
      </c>
      <c r="AJ16" s="51">
        <f t="shared" si="3"/>
        <v>0</v>
      </c>
      <c r="AK16" s="51">
        <f t="shared" si="3"/>
        <v>0</v>
      </c>
      <c r="AL16" s="51">
        <f t="shared" si="3"/>
        <v>0</v>
      </c>
      <c r="AM16" s="51">
        <f t="shared" si="3"/>
        <v>0</v>
      </c>
      <c r="AN16" s="51">
        <f t="shared" si="3"/>
        <v>0</v>
      </c>
      <c r="AO16" s="51">
        <f t="shared" si="3"/>
        <v>0</v>
      </c>
      <c r="AP16" s="51">
        <f t="shared" si="3"/>
        <v>0</v>
      </c>
      <c r="AQ16" s="51">
        <f t="shared" si="3"/>
        <v>0</v>
      </c>
      <c r="AR16" s="51">
        <f t="shared" si="3"/>
        <v>0</v>
      </c>
      <c r="AS16" s="51">
        <f t="shared" si="3"/>
        <v>0</v>
      </c>
      <c r="AT16" s="51">
        <f t="shared" si="3"/>
        <v>0</v>
      </c>
      <c r="AU16" s="51">
        <f t="shared" si="3"/>
        <v>0</v>
      </c>
      <c r="AV16" s="51">
        <f t="shared" si="3"/>
        <v>0</v>
      </c>
      <c r="AW16" s="51">
        <f t="shared" si="3"/>
        <v>0</v>
      </c>
      <c r="AX16" s="51">
        <f t="shared" si="3"/>
        <v>0</v>
      </c>
      <c r="AY16" s="51">
        <f t="shared" si="3"/>
        <v>0</v>
      </c>
      <c r="AZ16" s="51">
        <f t="shared" si="3"/>
        <v>0</v>
      </c>
      <c r="BA16" s="51">
        <f t="shared" si="3"/>
        <v>0</v>
      </c>
      <c r="BB16" s="51">
        <f t="shared" si="3"/>
        <v>0</v>
      </c>
      <c r="BC16" s="51">
        <f t="shared" si="3"/>
        <v>0</v>
      </c>
      <c r="BD16" s="51">
        <f t="shared" si="3"/>
        <v>0</v>
      </c>
      <c r="BE16" s="51">
        <f t="shared" si="3"/>
        <v>0</v>
      </c>
      <c r="BF16" s="51">
        <f t="shared" si="3"/>
        <v>0</v>
      </c>
      <c r="BG16" s="51">
        <f t="shared" si="3"/>
        <v>0</v>
      </c>
      <c r="BH16" s="51">
        <f t="shared" si="3"/>
        <v>0</v>
      </c>
      <c r="BI16" s="51">
        <f t="shared" si="3"/>
        <v>0</v>
      </c>
      <c r="BJ16" s="51">
        <f t="shared" si="3"/>
        <v>0</v>
      </c>
      <c r="BK16" s="51">
        <f t="shared" si="3"/>
        <v>0</v>
      </c>
      <c r="BL16" s="51">
        <f t="shared" si="3"/>
        <v>0</v>
      </c>
      <c r="BM16" s="51">
        <f t="shared" si="3"/>
        <v>0</v>
      </c>
      <c r="BN16" s="51">
        <f t="shared" si="3"/>
        <v>0</v>
      </c>
      <c r="BO16" s="51">
        <f t="shared" si="3"/>
        <v>0</v>
      </c>
      <c r="BP16" s="51">
        <f t="shared" si="3"/>
        <v>0</v>
      </c>
      <c r="BQ16" s="51">
        <f t="shared" si="3"/>
        <v>0</v>
      </c>
      <c r="BR16" s="51">
        <f t="shared" si="3"/>
        <v>0</v>
      </c>
      <c r="BS16" s="51">
        <f t="shared" si="3"/>
        <v>0</v>
      </c>
      <c r="BT16" s="51">
        <f t="shared" si="3"/>
        <v>0</v>
      </c>
      <c r="BU16" s="51">
        <f t="shared" si="3"/>
        <v>0</v>
      </c>
      <c r="BV16" s="51">
        <f t="shared" si="3"/>
        <v>0</v>
      </c>
      <c r="BW16" s="51">
        <f t="shared" si="3"/>
        <v>0</v>
      </c>
      <c r="BX16" s="51">
        <f t="shared" si="3"/>
        <v>0</v>
      </c>
      <c r="BY16" s="51">
        <f t="shared" si="3"/>
        <v>0</v>
      </c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</row>
    <row r="17">
      <c r="A17" s="36" t="s">
        <v>30</v>
      </c>
      <c r="B17" s="47"/>
      <c r="C17" s="48">
        <f t="shared" ref="C17:BY17" si="4">(1-($C$1=C1))*(C15=1)</f>
        <v>0</v>
      </c>
      <c r="D17" s="51">
        <f t="shared" si="4"/>
        <v>0</v>
      </c>
      <c r="E17" s="51">
        <f t="shared" si="4"/>
        <v>0</v>
      </c>
      <c r="F17" s="51">
        <f t="shared" si="4"/>
        <v>0</v>
      </c>
      <c r="G17" s="51">
        <f t="shared" si="4"/>
        <v>0</v>
      </c>
      <c r="H17" s="51">
        <f t="shared" si="4"/>
        <v>0</v>
      </c>
      <c r="I17" s="51">
        <f t="shared" si="4"/>
        <v>0</v>
      </c>
      <c r="J17" s="51">
        <f t="shared" si="4"/>
        <v>0</v>
      </c>
      <c r="K17" s="51">
        <f t="shared" si="4"/>
        <v>0</v>
      </c>
      <c r="L17" s="51">
        <f t="shared" si="4"/>
        <v>0</v>
      </c>
      <c r="M17" s="51">
        <f t="shared" si="4"/>
        <v>0</v>
      </c>
      <c r="N17" s="51">
        <f t="shared" si="4"/>
        <v>0</v>
      </c>
      <c r="O17" s="51">
        <f t="shared" si="4"/>
        <v>0</v>
      </c>
      <c r="P17" s="51">
        <f t="shared" si="4"/>
        <v>0</v>
      </c>
      <c r="Q17" s="51">
        <f t="shared" si="4"/>
        <v>0</v>
      </c>
      <c r="R17" s="51">
        <f t="shared" si="4"/>
        <v>0</v>
      </c>
      <c r="S17" s="51">
        <f t="shared" si="4"/>
        <v>0</v>
      </c>
      <c r="T17" s="51">
        <f t="shared" si="4"/>
        <v>0</v>
      </c>
      <c r="U17" s="51">
        <f t="shared" si="4"/>
        <v>0</v>
      </c>
      <c r="V17" s="51">
        <f t="shared" si="4"/>
        <v>0</v>
      </c>
      <c r="W17" s="51">
        <f t="shared" si="4"/>
        <v>0</v>
      </c>
      <c r="X17" s="51">
        <f t="shared" si="4"/>
        <v>0</v>
      </c>
      <c r="Y17" s="51">
        <f t="shared" si="4"/>
        <v>0</v>
      </c>
      <c r="Z17" s="51">
        <f t="shared" si="4"/>
        <v>0</v>
      </c>
      <c r="AA17" s="51">
        <f t="shared" si="4"/>
        <v>0</v>
      </c>
      <c r="AB17" s="51">
        <f t="shared" si="4"/>
        <v>1</v>
      </c>
      <c r="AC17" s="51">
        <f t="shared" si="4"/>
        <v>0</v>
      </c>
      <c r="AD17" s="51">
        <f t="shared" si="4"/>
        <v>0</v>
      </c>
      <c r="AE17" s="51">
        <f t="shared" si="4"/>
        <v>0</v>
      </c>
      <c r="AF17" s="51">
        <f t="shared" si="4"/>
        <v>0</v>
      </c>
      <c r="AG17" s="51">
        <f t="shared" si="4"/>
        <v>0</v>
      </c>
      <c r="AH17" s="51">
        <f t="shared" si="4"/>
        <v>0</v>
      </c>
      <c r="AI17" s="51">
        <f t="shared" si="4"/>
        <v>0</v>
      </c>
      <c r="AJ17" s="51">
        <f t="shared" si="4"/>
        <v>0</v>
      </c>
      <c r="AK17" s="51">
        <f t="shared" si="4"/>
        <v>0</v>
      </c>
      <c r="AL17" s="51">
        <f t="shared" si="4"/>
        <v>0</v>
      </c>
      <c r="AM17" s="51">
        <f t="shared" si="4"/>
        <v>0</v>
      </c>
      <c r="AN17" s="51">
        <f t="shared" si="4"/>
        <v>0</v>
      </c>
      <c r="AO17" s="51">
        <f t="shared" si="4"/>
        <v>0</v>
      </c>
      <c r="AP17" s="51">
        <f t="shared" si="4"/>
        <v>0</v>
      </c>
      <c r="AQ17" s="51">
        <f t="shared" si="4"/>
        <v>0</v>
      </c>
      <c r="AR17" s="51">
        <f t="shared" si="4"/>
        <v>0</v>
      </c>
      <c r="AS17" s="51">
        <f t="shared" si="4"/>
        <v>0</v>
      </c>
      <c r="AT17" s="51">
        <f t="shared" si="4"/>
        <v>0</v>
      </c>
      <c r="AU17" s="51">
        <f t="shared" si="4"/>
        <v>0</v>
      </c>
      <c r="AV17" s="51">
        <f t="shared" si="4"/>
        <v>0</v>
      </c>
      <c r="AW17" s="51">
        <f t="shared" si="4"/>
        <v>0</v>
      </c>
      <c r="AX17" s="51">
        <f t="shared" si="4"/>
        <v>0</v>
      </c>
      <c r="AY17" s="51">
        <f t="shared" si="4"/>
        <v>0</v>
      </c>
      <c r="AZ17" s="51">
        <f t="shared" si="4"/>
        <v>0</v>
      </c>
      <c r="BA17" s="51">
        <f t="shared" si="4"/>
        <v>0</v>
      </c>
      <c r="BB17" s="51">
        <f t="shared" si="4"/>
        <v>0</v>
      </c>
      <c r="BC17" s="51">
        <f t="shared" si="4"/>
        <v>0</v>
      </c>
      <c r="BD17" s="51">
        <f t="shared" si="4"/>
        <v>1</v>
      </c>
      <c r="BE17" s="51">
        <f t="shared" si="4"/>
        <v>1</v>
      </c>
      <c r="BF17" s="51">
        <f t="shared" si="4"/>
        <v>1</v>
      </c>
      <c r="BG17" s="51">
        <f t="shared" si="4"/>
        <v>1</v>
      </c>
      <c r="BH17" s="51">
        <f t="shared" si="4"/>
        <v>0</v>
      </c>
      <c r="BI17" s="51">
        <f t="shared" si="4"/>
        <v>1</v>
      </c>
      <c r="BJ17" s="51">
        <f t="shared" si="4"/>
        <v>1</v>
      </c>
      <c r="BK17" s="51">
        <f t="shared" si="4"/>
        <v>1</v>
      </c>
      <c r="BL17" s="51">
        <f t="shared" si="4"/>
        <v>1</v>
      </c>
      <c r="BM17" s="51">
        <f t="shared" si="4"/>
        <v>1</v>
      </c>
      <c r="BN17" s="51">
        <f t="shared" si="4"/>
        <v>0</v>
      </c>
      <c r="BO17" s="51">
        <f t="shared" si="4"/>
        <v>1</v>
      </c>
      <c r="BP17" s="51">
        <f t="shared" si="4"/>
        <v>0</v>
      </c>
      <c r="BQ17" s="51">
        <f t="shared" si="4"/>
        <v>0</v>
      </c>
      <c r="BR17" s="51">
        <f t="shared" si="4"/>
        <v>0</v>
      </c>
      <c r="BS17" s="51">
        <f t="shared" si="4"/>
        <v>0</v>
      </c>
      <c r="BT17" s="51">
        <f t="shared" si="4"/>
        <v>0</v>
      </c>
      <c r="BU17" s="51">
        <f t="shared" si="4"/>
        <v>0</v>
      </c>
      <c r="BV17" s="51">
        <f t="shared" si="4"/>
        <v>0</v>
      </c>
      <c r="BW17" s="51">
        <f t="shared" si="4"/>
        <v>0</v>
      </c>
      <c r="BX17" s="51">
        <f t="shared" si="4"/>
        <v>0</v>
      </c>
      <c r="BY17" s="51">
        <f t="shared" si="4"/>
        <v>0</v>
      </c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</row>
    <row r="18">
      <c r="A18" s="36"/>
      <c r="B18" s="47"/>
      <c r="C18" s="50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  <c r="CD18" s="36"/>
      <c r="CE18" s="36"/>
      <c r="CF18" s="36"/>
      <c r="CG18" s="36"/>
      <c r="CH18" s="36"/>
      <c r="CI18" s="36"/>
      <c r="CJ18" s="36"/>
      <c r="CK18" s="36"/>
      <c r="CL18" s="36"/>
      <c r="CM18" s="36"/>
      <c r="CN18" s="36"/>
      <c r="CO18" s="36"/>
    </row>
    <row r="19">
      <c r="A19" s="46" t="s">
        <v>31</v>
      </c>
      <c r="B19" s="47"/>
      <c r="C19" s="54" t="str">
        <f>IFERROR(__xludf.DUMMYFUNCTION("iferror(filter(D1:BY1,$D$17:$BY$17=1),"""")"),"C1300-24XTS")</f>
        <v>C1300-24XTS</v>
      </c>
      <c r="D19" s="55" t="str">
        <f>IFERROR(__xludf.DUMMYFUNCTION("""COMPUTED_VALUE"""),"C9300-24T")</f>
        <v>C9300-24T</v>
      </c>
      <c r="E19" s="55" t="str">
        <f>IFERROR(__xludf.DUMMYFUNCTION("""COMPUTED_VALUE"""),"C9300-24P")</f>
        <v>C9300-24P</v>
      </c>
      <c r="F19" s="55" t="str">
        <f>IFERROR(__xludf.DUMMYFUNCTION("""COMPUTED_VALUE"""),"C9300-24U")</f>
        <v>C9300-24U</v>
      </c>
      <c r="G19" s="55" t="str">
        <f>IFERROR(__xludf.DUMMYFUNCTION("""COMPUTED_VALUE"""),"C9300-24H")</f>
        <v>C9300-24H</v>
      </c>
      <c r="H19" s="55" t="str">
        <f>IFERROR(__xludf.DUMMYFUNCTION("""COMPUTED_VALUE"""),"C9300-24UB")</f>
        <v>C9300-24UB</v>
      </c>
      <c r="I19" s="55" t="str">
        <f>IFERROR(__xludf.DUMMYFUNCTION("""COMPUTED_VALUE"""),"C9300-48T")</f>
        <v>C9300-48T</v>
      </c>
      <c r="J19" s="55" t="str">
        <f>IFERROR(__xludf.DUMMYFUNCTION("""COMPUTED_VALUE"""),"C9300-48P")</f>
        <v>C9300-48P</v>
      </c>
      <c r="K19" s="55" t="str">
        <f>IFERROR(__xludf.DUMMYFUNCTION("""COMPUTED_VALUE"""),"C9300-48U")</f>
        <v>C9300-48U</v>
      </c>
      <c r="L19" s="55" t="str">
        <f>IFERROR(__xludf.DUMMYFUNCTION("""COMPUTED_VALUE"""),"C9300-48H")</f>
        <v>C9300-48H</v>
      </c>
      <c r="M19" s="55" t="str">
        <f>IFERROR(__xludf.DUMMYFUNCTION("""COMPUTED_VALUE"""),"C9300-48UB")</f>
        <v>C9300-48UB</v>
      </c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  <c r="CD19" s="36"/>
      <c r="CE19" s="36"/>
      <c r="CF19" s="36"/>
      <c r="CG19" s="36"/>
      <c r="CH19" s="36"/>
      <c r="CI19" s="36"/>
      <c r="CJ19" s="36"/>
      <c r="CK19" s="36"/>
      <c r="CL19" s="36"/>
      <c r="CM19" s="36"/>
      <c r="CN19" s="36"/>
      <c r="CO19" s="36"/>
    </row>
    <row r="20">
      <c r="A20" s="36" t="str">
        <f t="shared" ref="A20:B20" si="5">A2</f>
        <v>Switching Bandwidth - Full Duplex (Gbps)</v>
      </c>
      <c r="B20" s="56">
        <f t="shared" si="5"/>
        <v>200</v>
      </c>
      <c r="C20" s="48">
        <f>IFERROR(__xludf.DUMMYFUNCTION("iferror(filter(D2:BY2,$D$17:$BY$17=1),"""")"),480.0)</f>
        <v>480</v>
      </c>
      <c r="D20" s="51">
        <f>IFERROR(__xludf.DUMMYFUNCTION("""COMPUTED_VALUE"""),208.0)</f>
        <v>208</v>
      </c>
      <c r="E20" s="51">
        <f>IFERROR(__xludf.DUMMYFUNCTION("""COMPUTED_VALUE"""),208.0)</f>
        <v>208</v>
      </c>
      <c r="F20" s="51">
        <f>IFERROR(__xludf.DUMMYFUNCTION("""COMPUTED_VALUE"""),208.0)</f>
        <v>208</v>
      </c>
      <c r="G20" s="51">
        <f>IFERROR(__xludf.DUMMYFUNCTION("""COMPUTED_VALUE"""),208.0)</f>
        <v>208</v>
      </c>
      <c r="H20" s="51">
        <f>IFERROR(__xludf.DUMMYFUNCTION("""COMPUTED_VALUE"""),208.0)</f>
        <v>208</v>
      </c>
      <c r="I20" s="51">
        <f>IFERROR(__xludf.DUMMYFUNCTION("""COMPUTED_VALUE"""),256.0)</f>
        <v>256</v>
      </c>
      <c r="J20" s="51">
        <f>IFERROR(__xludf.DUMMYFUNCTION("""COMPUTED_VALUE"""),256.0)</f>
        <v>256</v>
      </c>
      <c r="K20" s="51">
        <f>IFERROR(__xludf.DUMMYFUNCTION("""COMPUTED_VALUE"""),256.0)</f>
        <v>256</v>
      </c>
      <c r="L20" s="51">
        <f>IFERROR(__xludf.DUMMYFUNCTION("""COMPUTED_VALUE"""),256.0)</f>
        <v>256</v>
      </c>
      <c r="M20" s="51">
        <f>IFERROR(__xludf.DUMMYFUNCTION("""COMPUTED_VALUE"""),256.0)</f>
        <v>256</v>
      </c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</row>
    <row r="21">
      <c r="A21" s="36" t="str">
        <f t="shared" ref="A21:B21" si="6">A3</f>
        <v>Forwarding Capacity (Mpps)</v>
      </c>
      <c r="B21" s="56">
        <f t="shared" si="6"/>
        <v>100</v>
      </c>
      <c r="C21" s="48">
        <f>IFERROR(__xludf.DUMMYFUNCTION("iferror(filter(D3:BY3,$D$17:$BY$17=1),"""")"),357.12)</f>
        <v>357.12</v>
      </c>
      <c r="D21" s="51">
        <f>IFERROR(__xludf.DUMMYFUNCTION("""COMPUTED_VALUE"""),154.76)</f>
        <v>154.76</v>
      </c>
      <c r="E21" s="51">
        <f>IFERROR(__xludf.DUMMYFUNCTION("""COMPUTED_VALUE"""),154.76)</f>
        <v>154.76</v>
      </c>
      <c r="F21" s="51">
        <f>IFERROR(__xludf.DUMMYFUNCTION("""COMPUTED_VALUE"""),154.76)</f>
        <v>154.76</v>
      </c>
      <c r="G21" s="51">
        <f>IFERROR(__xludf.DUMMYFUNCTION("""COMPUTED_VALUE"""),154.76)</f>
        <v>154.76</v>
      </c>
      <c r="H21" s="51">
        <f>IFERROR(__xludf.DUMMYFUNCTION("""COMPUTED_VALUE"""),154.76)</f>
        <v>154.76</v>
      </c>
      <c r="I21" s="51">
        <f>IFERROR(__xludf.DUMMYFUNCTION("""COMPUTED_VALUE"""),190.47)</f>
        <v>190.47</v>
      </c>
      <c r="J21" s="51">
        <f>IFERROR(__xludf.DUMMYFUNCTION("""COMPUTED_VALUE"""),190.47)</f>
        <v>190.47</v>
      </c>
      <c r="K21" s="51">
        <f>IFERROR(__xludf.DUMMYFUNCTION("""COMPUTED_VALUE"""),190.48)</f>
        <v>190.48</v>
      </c>
      <c r="L21" s="51">
        <f>IFERROR(__xludf.DUMMYFUNCTION("""COMPUTED_VALUE"""),190.48)</f>
        <v>190.48</v>
      </c>
      <c r="M21" s="51">
        <f>IFERROR(__xludf.DUMMYFUNCTION("""COMPUTED_VALUE"""),190.48)</f>
        <v>190.48</v>
      </c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  <c r="CD21" s="36"/>
      <c r="CE21" s="36"/>
      <c r="CF21" s="36"/>
      <c r="CG21" s="36"/>
      <c r="CH21" s="36"/>
      <c r="CI21" s="36"/>
      <c r="CJ21" s="36"/>
      <c r="CK21" s="36"/>
      <c r="CL21" s="36"/>
      <c r="CM21" s="36"/>
      <c r="CN21" s="36"/>
      <c r="CO21" s="36"/>
    </row>
    <row r="22">
      <c r="A22" s="36" t="str">
        <f t="shared" ref="A22:B22" si="7">A4</f>
        <v>Số lượng cổng 1GE đồng</v>
      </c>
      <c r="B22" s="56">
        <f t="shared" si="7"/>
        <v>16</v>
      </c>
      <c r="C22" s="50" t="str">
        <f>IFERROR(__xludf.DUMMYFUNCTION("iferror(filter(D4:BY4,$D$17:$BY$17=1),"""")"),"")</f>
        <v/>
      </c>
      <c r="D22" s="51">
        <f>IFERROR(__xludf.DUMMYFUNCTION("""COMPUTED_VALUE"""),24.0)</f>
        <v>24</v>
      </c>
      <c r="E22" s="51">
        <f>IFERROR(__xludf.DUMMYFUNCTION("""COMPUTED_VALUE"""),24.0)</f>
        <v>24</v>
      </c>
      <c r="F22" s="51">
        <f>IFERROR(__xludf.DUMMYFUNCTION("""COMPUTED_VALUE"""),24.0)</f>
        <v>24</v>
      </c>
      <c r="G22" s="51">
        <f>IFERROR(__xludf.DUMMYFUNCTION("""COMPUTED_VALUE"""),24.0)</f>
        <v>24</v>
      </c>
      <c r="H22" s="51">
        <f>IFERROR(__xludf.DUMMYFUNCTION("""COMPUTED_VALUE"""),24.0)</f>
        <v>24</v>
      </c>
      <c r="I22" s="51">
        <f>IFERROR(__xludf.DUMMYFUNCTION("""COMPUTED_VALUE"""),48.0)</f>
        <v>48</v>
      </c>
      <c r="J22" s="51">
        <f>IFERROR(__xludf.DUMMYFUNCTION("""COMPUTED_VALUE"""),48.0)</f>
        <v>48</v>
      </c>
      <c r="K22" s="51">
        <f>IFERROR(__xludf.DUMMYFUNCTION("""COMPUTED_VALUE"""),48.0)</f>
        <v>48</v>
      </c>
      <c r="L22" s="51">
        <f>IFERROR(__xludf.DUMMYFUNCTION("""COMPUTED_VALUE"""),48.0)</f>
        <v>48</v>
      </c>
      <c r="M22" s="51">
        <f>IFERROR(__xludf.DUMMYFUNCTION("""COMPUTED_VALUE"""),48.0)</f>
        <v>48</v>
      </c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  <c r="CD22" s="36"/>
      <c r="CE22" s="36"/>
      <c r="CF22" s="36"/>
      <c r="CG22" s="36"/>
      <c r="CH22" s="36"/>
      <c r="CI22" s="36"/>
      <c r="CJ22" s="36"/>
      <c r="CK22" s="36"/>
      <c r="CL22" s="36"/>
      <c r="CM22" s="36"/>
      <c r="CN22" s="36"/>
      <c r="CO22" s="36"/>
    </row>
    <row r="23">
      <c r="A23" s="36" t="str">
        <f t="shared" ref="A23:B23" si="8">A5</f>
        <v>Số lượng cổng 1GE SFP</v>
      </c>
      <c r="B23" s="56">
        <f t="shared" si="8"/>
        <v>2</v>
      </c>
      <c r="C23" s="48">
        <f>IFERROR(__xludf.DUMMYFUNCTION("iferror(filter(D5:BY5,$D$17:$BY$17=1),"""")"),12.0)</f>
        <v>12</v>
      </c>
      <c r="D23" s="51">
        <f>IFERROR(__xludf.DUMMYFUNCTION("""COMPUTED_VALUE"""),8.0)</f>
        <v>8</v>
      </c>
      <c r="E23" s="51">
        <f>IFERROR(__xludf.DUMMYFUNCTION("""COMPUTED_VALUE"""),8.0)</f>
        <v>8</v>
      </c>
      <c r="F23" s="51">
        <f>IFERROR(__xludf.DUMMYFUNCTION("""COMPUTED_VALUE"""),8.0)</f>
        <v>8</v>
      </c>
      <c r="G23" s="51">
        <f>IFERROR(__xludf.DUMMYFUNCTION("""COMPUTED_VALUE"""),8.0)</f>
        <v>8</v>
      </c>
      <c r="H23" s="51">
        <f>IFERROR(__xludf.DUMMYFUNCTION("""COMPUTED_VALUE"""),8.0)</f>
        <v>8</v>
      </c>
      <c r="I23" s="51">
        <f>IFERROR(__xludf.DUMMYFUNCTION("""COMPUTED_VALUE"""),8.0)</f>
        <v>8</v>
      </c>
      <c r="J23" s="51">
        <f>IFERROR(__xludf.DUMMYFUNCTION("""COMPUTED_VALUE"""),8.0)</f>
        <v>8</v>
      </c>
      <c r="K23" s="51">
        <f>IFERROR(__xludf.DUMMYFUNCTION("""COMPUTED_VALUE"""),8.0)</f>
        <v>8</v>
      </c>
      <c r="L23" s="51">
        <f>IFERROR(__xludf.DUMMYFUNCTION("""COMPUTED_VALUE"""),8.0)</f>
        <v>8</v>
      </c>
      <c r="M23" s="51">
        <f>IFERROR(__xludf.DUMMYFUNCTION("""COMPUTED_VALUE"""),8.0)</f>
        <v>8</v>
      </c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  <c r="CD23" s="36"/>
      <c r="CE23" s="36"/>
      <c r="CF23" s="36"/>
      <c r="CG23" s="36"/>
      <c r="CH23" s="36"/>
      <c r="CI23" s="36"/>
      <c r="CJ23" s="36"/>
      <c r="CK23" s="36"/>
      <c r="CL23" s="36"/>
      <c r="CM23" s="36"/>
      <c r="CN23" s="36"/>
      <c r="CO23" s="36"/>
    </row>
    <row r="24">
      <c r="A24" s="36" t="str">
        <f t="shared" ref="A24:B24" si="9">A6</f>
        <v>Số lượng cổng 10GE đồng</v>
      </c>
      <c r="B24" s="56">
        <f t="shared" si="9"/>
        <v>10</v>
      </c>
      <c r="C24" s="48">
        <f>IFERROR(__xludf.DUMMYFUNCTION("iferror(filter(D6:BY6,$D$17:$BY$17=1),"""")"),12.0)</f>
        <v>12</v>
      </c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  <c r="CD24" s="36"/>
      <c r="CE24" s="36"/>
      <c r="CF24" s="36"/>
      <c r="CG24" s="36"/>
      <c r="CH24" s="36"/>
      <c r="CI24" s="36"/>
      <c r="CJ24" s="36"/>
      <c r="CK24" s="36"/>
      <c r="CL24" s="36"/>
      <c r="CM24" s="36"/>
      <c r="CN24" s="36"/>
      <c r="CO24" s="36"/>
    </row>
    <row r="25">
      <c r="A25" s="36" t="str">
        <f t="shared" ref="A25:B25" si="10">A7</f>
        <v>Số lượng cổng 10GE quang</v>
      </c>
      <c r="B25" s="47" t="str">
        <f t="shared" si="10"/>
        <v/>
      </c>
      <c r="C25" s="48">
        <f>IFERROR(__xludf.DUMMYFUNCTION("iferror(filter(D7:BY7,$D$17:$BY$17=1),"""")"),12.0)</f>
        <v>12</v>
      </c>
      <c r="D25" s="51">
        <f>IFERROR(__xludf.DUMMYFUNCTION("""COMPUTED_VALUE"""),8.0)</f>
        <v>8</v>
      </c>
      <c r="E25" s="51">
        <f>IFERROR(__xludf.DUMMYFUNCTION("""COMPUTED_VALUE"""),8.0)</f>
        <v>8</v>
      </c>
      <c r="F25" s="51">
        <f>IFERROR(__xludf.DUMMYFUNCTION("""COMPUTED_VALUE"""),8.0)</f>
        <v>8</v>
      </c>
      <c r="G25" s="51">
        <f>IFERROR(__xludf.DUMMYFUNCTION("""COMPUTED_VALUE"""),8.0)</f>
        <v>8</v>
      </c>
      <c r="H25" s="51">
        <f>IFERROR(__xludf.DUMMYFUNCTION("""COMPUTED_VALUE"""),8.0)</f>
        <v>8</v>
      </c>
      <c r="I25" s="51">
        <f>IFERROR(__xludf.DUMMYFUNCTION("""COMPUTED_VALUE"""),8.0)</f>
        <v>8</v>
      </c>
      <c r="J25" s="51">
        <f>IFERROR(__xludf.DUMMYFUNCTION("""COMPUTED_VALUE"""),8.0)</f>
        <v>8</v>
      </c>
      <c r="K25" s="51">
        <f>IFERROR(__xludf.DUMMYFUNCTION("""COMPUTED_VALUE"""),8.0)</f>
        <v>8</v>
      </c>
      <c r="L25" s="51">
        <f>IFERROR(__xludf.DUMMYFUNCTION("""COMPUTED_VALUE"""),8.0)</f>
        <v>8</v>
      </c>
      <c r="M25" s="51">
        <f>IFERROR(__xludf.DUMMYFUNCTION("""COMPUTED_VALUE"""),8.0)</f>
        <v>8</v>
      </c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  <c r="CD25" s="36"/>
      <c r="CE25" s="36"/>
      <c r="CF25" s="36"/>
      <c r="CG25" s="36"/>
      <c r="CH25" s="36"/>
      <c r="CI25" s="36"/>
      <c r="CJ25" s="36"/>
      <c r="CK25" s="36"/>
      <c r="CL25" s="36"/>
      <c r="CM25" s="36"/>
      <c r="CN25" s="36"/>
      <c r="CO25" s="36"/>
    </row>
    <row r="26">
      <c r="A26" s="36" t="str">
        <f t="shared" ref="A26:B26" si="11">A8</f>
        <v>Số lượng cổng 100GE</v>
      </c>
      <c r="B26" s="47" t="str">
        <f t="shared" si="11"/>
        <v/>
      </c>
      <c r="C26" s="50" t="str">
        <f>IFERROR(__xludf.DUMMYFUNCTION("iferror(filter(D8:BY8,$D$17:$BY$17=1),"""")"),"")</f>
        <v/>
      </c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  <c r="CD26" s="36"/>
      <c r="CE26" s="36"/>
      <c r="CF26" s="36"/>
      <c r="CG26" s="36"/>
      <c r="CH26" s="36"/>
      <c r="CI26" s="36"/>
      <c r="CJ26" s="36"/>
      <c r="CK26" s="36"/>
      <c r="CL26" s="36"/>
      <c r="CM26" s="36"/>
      <c r="CN26" s="36"/>
      <c r="CO26" s="36"/>
    </row>
    <row r="27">
      <c r="A27" s="36" t="str">
        <f t="shared" ref="A27:B27" si="12">A9</f>
        <v>Stacking (Y/N)</v>
      </c>
      <c r="B27" s="56" t="str">
        <f t="shared" si="12"/>
        <v>Y</v>
      </c>
      <c r="C27" s="48" t="str">
        <f>IFERROR(__xludf.DUMMYFUNCTION("iferror(filter(D9:BY9,$D$17:$BY$17=1),"""")"),"Y")</f>
        <v>Y</v>
      </c>
      <c r="D27" s="51" t="str">
        <f>IFERROR(__xludf.DUMMYFUNCTION("""COMPUTED_VALUE"""),"Y")</f>
        <v>Y</v>
      </c>
      <c r="E27" s="51" t="str">
        <f>IFERROR(__xludf.DUMMYFUNCTION("""COMPUTED_VALUE"""),"Y")</f>
        <v>Y</v>
      </c>
      <c r="F27" s="51" t="str">
        <f>IFERROR(__xludf.DUMMYFUNCTION("""COMPUTED_VALUE"""),"Y")</f>
        <v>Y</v>
      </c>
      <c r="G27" s="51" t="str">
        <f>IFERROR(__xludf.DUMMYFUNCTION("""COMPUTED_VALUE"""),"Y")</f>
        <v>Y</v>
      </c>
      <c r="H27" s="51" t="str">
        <f>IFERROR(__xludf.DUMMYFUNCTION("""COMPUTED_VALUE"""),"Y")</f>
        <v>Y</v>
      </c>
      <c r="I27" s="51" t="str">
        <f>IFERROR(__xludf.DUMMYFUNCTION("""COMPUTED_VALUE"""),"Y")</f>
        <v>Y</v>
      </c>
      <c r="J27" s="51" t="str">
        <f>IFERROR(__xludf.DUMMYFUNCTION("""COMPUTED_VALUE"""),"Y")</f>
        <v>Y</v>
      </c>
      <c r="K27" s="51" t="str">
        <f>IFERROR(__xludf.DUMMYFUNCTION("""COMPUTED_VALUE"""),"Y")</f>
        <v>Y</v>
      </c>
      <c r="L27" s="51" t="str">
        <f>IFERROR(__xludf.DUMMYFUNCTION("""COMPUTED_VALUE"""),"Y")</f>
        <v>Y</v>
      </c>
      <c r="M27" s="51" t="str">
        <f>IFERROR(__xludf.DUMMYFUNCTION("""COMPUTED_VALUE"""),"Y")</f>
        <v>Y</v>
      </c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  <c r="CD27" s="36"/>
      <c r="CE27" s="36"/>
      <c r="CF27" s="36"/>
      <c r="CG27" s="36"/>
      <c r="CH27" s="36"/>
      <c r="CI27" s="36"/>
      <c r="CJ27" s="36"/>
      <c r="CK27" s="36"/>
      <c r="CL27" s="36"/>
      <c r="CM27" s="36"/>
      <c r="CN27" s="36"/>
      <c r="CO27" s="36"/>
    </row>
    <row r="28">
      <c r="A28" s="36" t="str">
        <f>A10</f>
        <v>PoE (Y/N)</v>
      </c>
      <c r="B28" s="47"/>
      <c r="C28" s="50" t="str">
        <f>IFERROR(__xludf.DUMMYFUNCTION("iferror(filter(D10:AQ10,$D$17:$AQ$17=1),"""")"),"")</f>
        <v/>
      </c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  <c r="CD28" s="36"/>
      <c r="CE28" s="36"/>
      <c r="CF28" s="36"/>
      <c r="CG28" s="36"/>
      <c r="CH28" s="36"/>
      <c r="CI28" s="36"/>
      <c r="CJ28" s="36"/>
      <c r="CK28" s="36"/>
      <c r="CL28" s="36"/>
      <c r="CM28" s="36"/>
      <c r="CN28" s="36"/>
      <c r="CO28" s="36"/>
    </row>
    <row r="29">
      <c r="A29" s="36"/>
      <c r="B29" s="47"/>
      <c r="C29" s="50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  <c r="CD29" s="36"/>
      <c r="CE29" s="36"/>
      <c r="CF29" s="36"/>
      <c r="CG29" s="36"/>
      <c r="CH29" s="36"/>
      <c r="CI29" s="36"/>
      <c r="CJ29" s="36"/>
      <c r="CK29" s="36"/>
      <c r="CL29" s="36"/>
      <c r="CM29" s="36"/>
      <c r="CN29" s="36"/>
      <c r="CO29" s="36"/>
    </row>
    <row r="30">
      <c r="A30" s="36"/>
      <c r="B30" s="47"/>
      <c r="C30" s="50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  <c r="CD30" s="36"/>
      <c r="CE30" s="36"/>
      <c r="CF30" s="36"/>
      <c r="CG30" s="36"/>
      <c r="CH30" s="36"/>
      <c r="CI30" s="36"/>
      <c r="CJ30" s="36"/>
      <c r="CK30" s="36"/>
      <c r="CL30" s="36"/>
      <c r="CM30" s="36"/>
      <c r="CN30" s="36"/>
      <c r="CO30" s="36"/>
    </row>
    <row r="31">
      <c r="A31" s="36"/>
      <c r="B31" s="47"/>
      <c r="C31" s="50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  <c r="CD31" s="36"/>
      <c r="CE31" s="36"/>
      <c r="CF31" s="36"/>
      <c r="CG31" s="36"/>
      <c r="CH31" s="36"/>
      <c r="CI31" s="36"/>
      <c r="CJ31" s="36"/>
      <c r="CK31" s="36"/>
      <c r="CL31" s="36"/>
      <c r="CM31" s="36"/>
      <c r="CN31" s="36"/>
      <c r="CO31" s="36"/>
    </row>
    <row r="32">
      <c r="A32" s="36"/>
      <c r="B32" s="47"/>
      <c r="C32" s="50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  <c r="CD32" s="36"/>
      <c r="CE32" s="36"/>
      <c r="CF32" s="36"/>
      <c r="CG32" s="36"/>
      <c r="CH32" s="36"/>
      <c r="CI32" s="36"/>
      <c r="CJ32" s="36"/>
      <c r="CK32" s="36"/>
      <c r="CL32" s="36"/>
      <c r="CM32" s="36"/>
      <c r="CN32" s="36"/>
      <c r="CO32" s="36"/>
    </row>
    <row r="33">
      <c r="A33" s="36"/>
      <c r="B33" s="47"/>
      <c r="C33" s="50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  <c r="CD33" s="36"/>
      <c r="CE33" s="36"/>
      <c r="CF33" s="36"/>
      <c r="CG33" s="36"/>
      <c r="CH33" s="36"/>
      <c r="CI33" s="36"/>
      <c r="CJ33" s="36"/>
      <c r="CK33" s="36"/>
      <c r="CL33" s="36"/>
      <c r="CM33" s="36"/>
      <c r="CN33" s="36"/>
      <c r="CO33" s="36"/>
    </row>
    <row r="34">
      <c r="A34" s="36"/>
      <c r="B34" s="47"/>
      <c r="C34" s="50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  <c r="CD34" s="36"/>
      <c r="CE34" s="36"/>
      <c r="CF34" s="36"/>
      <c r="CG34" s="36"/>
      <c r="CH34" s="36"/>
      <c r="CI34" s="36"/>
      <c r="CJ34" s="36"/>
      <c r="CK34" s="36"/>
      <c r="CL34" s="36"/>
      <c r="CM34" s="36"/>
      <c r="CN34" s="36"/>
      <c r="CO34" s="36"/>
    </row>
    <row r="35">
      <c r="A35" s="36"/>
      <c r="B35" s="47"/>
      <c r="C35" s="50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  <c r="CD35" s="36"/>
      <c r="CE35" s="36"/>
      <c r="CF35" s="36"/>
      <c r="CG35" s="36"/>
      <c r="CH35" s="36"/>
      <c r="CI35" s="36"/>
      <c r="CJ35" s="36"/>
      <c r="CK35" s="36"/>
      <c r="CL35" s="36"/>
      <c r="CM35" s="36"/>
      <c r="CN35" s="36"/>
      <c r="CO35" s="36"/>
    </row>
    <row r="36">
      <c r="A36" s="36"/>
      <c r="B36" s="47"/>
      <c r="C36" s="50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  <c r="CD36" s="36"/>
      <c r="CE36" s="36"/>
      <c r="CF36" s="36"/>
      <c r="CG36" s="36"/>
      <c r="CH36" s="36"/>
      <c r="CI36" s="36"/>
      <c r="CJ36" s="36"/>
      <c r="CK36" s="36"/>
      <c r="CL36" s="36"/>
      <c r="CM36" s="36"/>
      <c r="CN36" s="36"/>
      <c r="CO36" s="36"/>
    </row>
    <row r="37">
      <c r="A37" s="36"/>
      <c r="B37" s="47"/>
      <c r="C37" s="50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6"/>
      <c r="CL37" s="36"/>
      <c r="CM37" s="36"/>
      <c r="CN37" s="36"/>
      <c r="CO37" s="36"/>
    </row>
    <row r="38">
      <c r="A38" s="36"/>
      <c r="B38" s="47"/>
      <c r="C38" s="50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  <c r="CD38" s="36"/>
      <c r="CE38" s="36"/>
      <c r="CF38" s="36"/>
      <c r="CG38" s="36"/>
      <c r="CH38" s="36"/>
      <c r="CI38" s="36"/>
      <c r="CJ38" s="36"/>
      <c r="CK38" s="36"/>
      <c r="CL38" s="36"/>
      <c r="CM38" s="36"/>
      <c r="CN38" s="36"/>
      <c r="CO38" s="36"/>
    </row>
    <row r="39">
      <c r="A39" s="36"/>
      <c r="B39" s="47"/>
      <c r="C39" s="50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  <c r="CD39" s="36"/>
      <c r="CE39" s="36"/>
      <c r="CF39" s="36"/>
      <c r="CG39" s="36"/>
      <c r="CH39" s="36"/>
      <c r="CI39" s="36"/>
      <c r="CJ39" s="36"/>
      <c r="CK39" s="36"/>
      <c r="CL39" s="36"/>
      <c r="CM39" s="36"/>
      <c r="CN39" s="36"/>
      <c r="CO39" s="36"/>
    </row>
    <row r="40">
      <c r="A40" s="36"/>
      <c r="B40" s="47"/>
      <c r="C40" s="50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  <c r="CD40" s="36"/>
      <c r="CE40" s="36"/>
      <c r="CF40" s="36"/>
      <c r="CG40" s="36"/>
      <c r="CH40" s="36"/>
      <c r="CI40" s="36"/>
      <c r="CJ40" s="36"/>
      <c r="CK40" s="36"/>
      <c r="CL40" s="36"/>
      <c r="CM40" s="36"/>
      <c r="CN40" s="36"/>
      <c r="CO40" s="36"/>
    </row>
    <row r="41">
      <c r="A41" s="36"/>
      <c r="B41" s="47"/>
      <c r="C41" s="50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6"/>
      <c r="BQ41" s="36"/>
      <c r="BR41" s="36"/>
      <c r="BS41" s="36"/>
      <c r="BT41" s="36"/>
      <c r="BU41" s="36"/>
      <c r="BV41" s="36"/>
      <c r="BW41" s="36"/>
      <c r="BX41" s="36"/>
      <c r="BY41" s="36"/>
      <c r="BZ41" s="36"/>
      <c r="CA41" s="36"/>
      <c r="CB41" s="36"/>
      <c r="CC41" s="36"/>
      <c r="CD41" s="36"/>
      <c r="CE41" s="36"/>
      <c r="CF41" s="36"/>
      <c r="CG41" s="36"/>
      <c r="CH41" s="36"/>
      <c r="CI41" s="36"/>
      <c r="CJ41" s="36"/>
      <c r="CK41" s="36"/>
      <c r="CL41" s="36"/>
      <c r="CM41" s="36"/>
      <c r="CN41" s="36"/>
      <c r="CO41" s="36"/>
    </row>
    <row r="42">
      <c r="A42" s="36"/>
      <c r="B42" s="47"/>
      <c r="C42" s="50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  <c r="CD42" s="36"/>
      <c r="CE42" s="36"/>
      <c r="CF42" s="36"/>
      <c r="CG42" s="36"/>
      <c r="CH42" s="36"/>
      <c r="CI42" s="36"/>
      <c r="CJ42" s="36"/>
      <c r="CK42" s="36"/>
      <c r="CL42" s="36"/>
      <c r="CM42" s="36"/>
      <c r="CN42" s="36"/>
      <c r="CO42" s="36"/>
    </row>
    <row r="43">
      <c r="A43" s="36"/>
      <c r="B43" s="47"/>
      <c r="C43" s="50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</row>
    <row r="44">
      <c r="A44" s="36"/>
      <c r="B44" s="47"/>
      <c r="C44" s="50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</row>
    <row r="45">
      <c r="A45" s="36"/>
      <c r="B45" s="47"/>
      <c r="C45" s="50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/>
      <c r="BN45" s="36"/>
      <c r="BO45" s="36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36"/>
      <c r="CC45" s="36"/>
      <c r="CD45" s="36"/>
      <c r="CE45" s="36"/>
      <c r="CF45" s="36"/>
      <c r="CG45" s="36"/>
      <c r="CH45" s="36"/>
      <c r="CI45" s="36"/>
      <c r="CJ45" s="36"/>
      <c r="CK45" s="36"/>
      <c r="CL45" s="36"/>
      <c r="CM45" s="36"/>
      <c r="CN45" s="36"/>
      <c r="CO45" s="36"/>
    </row>
    <row r="46">
      <c r="A46" s="36"/>
      <c r="B46" s="47"/>
      <c r="C46" s="50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</row>
    <row r="47">
      <c r="A47" s="36"/>
      <c r="B47" s="47"/>
      <c r="C47" s="50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/>
      <c r="BN47" s="36"/>
      <c r="BO47" s="36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</row>
    <row r="48">
      <c r="A48" s="36"/>
      <c r="B48" s="47"/>
      <c r="C48" s="50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</row>
    <row r="49">
      <c r="A49" s="36"/>
      <c r="B49" s="47"/>
      <c r="C49" s="50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</row>
    <row r="50">
      <c r="A50" s="36"/>
      <c r="B50" s="47"/>
      <c r="C50" s="50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</row>
    <row r="51">
      <c r="A51" s="36"/>
      <c r="B51" s="47"/>
      <c r="C51" s="50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</row>
    <row r="52">
      <c r="A52" s="36"/>
      <c r="B52" s="47"/>
      <c r="C52" s="50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</row>
    <row r="53">
      <c r="A53" s="36"/>
      <c r="B53" s="47"/>
      <c r="C53" s="50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</row>
    <row r="54">
      <c r="A54" s="36"/>
      <c r="B54" s="47"/>
      <c r="C54" s="50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</row>
    <row r="55">
      <c r="A55" s="36"/>
      <c r="B55" s="47"/>
      <c r="C55" s="50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</row>
    <row r="56">
      <c r="A56" s="36"/>
      <c r="B56" s="47"/>
      <c r="C56" s="50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</row>
    <row r="57">
      <c r="A57" s="36"/>
      <c r="B57" s="47"/>
      <c r="C57" s="50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/>
      <c r="BM57" s="36"/>
      <c r="BN57" s="36"/>
      <c r="BO57" s="36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</row>
    <row r="58">
      <c r="A58" s="36"/>
      <c r="B58" s="47"/>
      <c r="C58" s="50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</row>
    <row r="59">
      <c r="A59" s="36"/>
      <c r="B59" s="47"/>
      <c r="C59" s="50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</row>
    <row r="60">
      <c r="A60" s="36"/>
      <c r="B60" s="47"/>
      <c r="C60" s="50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36"/>
      <c r="CO60" s="36"/>
    </row>
    <row r="61">
      <c r="A61" s="36"/>
      <c r="B61" s="47"/>
      <c r="C61" s="50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36"/>
      <c r="CO61" s="36"/>
    </row>
    <row r="62">
      <c r="A62" s="36"/>
      <c r="B62" s="47"/>
      <c r="C62" s="50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</row>
    <row r="63">
      <c r="A63" s="36"/>
      <c r="B63" s="47"/>
      <c r="C63" s="50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</row>
    <row r="64">
      <c r="A64" s="36"/>
      <c r="B64" s="47"/>
      <c r="C64" s="50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</row>
    <row r="65">
      <c r="A65" s="36"/>
      <c r="B65" s="47"/>
      <c r="C65" s="50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</row>
    <row r="66">
      <c r="A66" s="36"/>
      <c r="B66" s="47"/>
      <c r="C66" s="50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</row>
    <row r="67">
      <c r="A67" s="36"/>
      <c r="B67" s="47"/>
      <c r="C67" s="50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  <c r="BK67" s="36"/>
      <c r="BL67" s="36"/>
      <c r="BM67" s="36"/>
      <c r="BN67" s="36"/>
      <c r="BO67" s="36"/>
      <c r="BP67" s="36"/>
      <c r="BQ67" s="36"/>
      <c r="BR67" s="36"/>
      <c r="BS67" s="36"/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</row>
    <row r="68">
      <c r="A68" s="36"/>
      <c r="B68" s="47"/>
      <c r="C68" s="50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</row>
    <row r="69">
      <c r="A69" s="36"/>
      <c r="B69" s="47"/>
      <c r="C69" s="50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  <c r="BK69" s="36"/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</row>
    <row r="70">
      <c r="A70" s="36"/>
      <c r="B70" s="47"/>
      <c r="C70" s="50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</row>
    <row r="71">
      <c r="A71" s="36"/>
      <c r="B71" s="47"/>
      <c r="C71" s="50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  <c r="BK71" s="36"/>
      <c r="BL71" s="36"/>
      <c r="BM71" s="36"/>
      <c r="BN71" s="36"/>
      <c r="BO71" s="36"/>
      <c r="BP71" s="36"/>
      <c r="BQ71" s="36"/>
      <c r="BR71" s="36"/>
      <c r="BS71" s="36"/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</row>
    <row r="72">
      <c r="A72" s="36"/>
      <c r="B72" s="47"/>
      <c r="C72" s="50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</row>
    <row r="73">
      <c r="A73" s="36"/>
      <c r="B73" s="47"/>
      <c r="C73" s="50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  <c r="BK73" s="36"/>
      <c r="BL73" s="36"/>
      <c r="BM73" s="36"/>
      <c r="BN73" s="36"/>
      <c r="BO73" s="36"/>
      <c r="BP73" s="36"/>
      <c r="BQ73" s="36"/>
      <c r="BR73" s="36"/>
      <c r="BS73" s="36"/>
      <c r="BT73" s="36"/>
      <c r="BU73" s="36"/>
      <c r="BV73" s="36"/>
      <c r="BW73" s="36"/>
      <c r="BX73" s="36"/>
      <c r="BY73" s="36"/>
      <c r="BZ73" s="36"/>
      <c r="CA73" s="36"/>
      <c r="CB73" s="36"/>
      <c r="CC73" s="36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</row>
    <row r="74">
      <c r="A74" s="36"/>
      <c r="B74" s="47"/>
      <c r="C74" s="50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  <c r="CD74" s="36"/>
      <c r="CE74" s="36"/>
      <c r="CF74" s="36"/>
      <c r="CG74" s="36"/>
      <c r="CH74" s="36"/>
      <c r="CI74" s="36"/>
      <c r="CJ74" s="36"/>
      <c r="CK74" s="36"/>
      <c r="CL74" s="36"/>
      <c r="CM74" s="36"/>
      <c r="CN74" s="36"/>
      <c r="CO74" s="36"/>
    </row>
    <row r="75">
      <c r="A75" s="36"/>
      <c r="B75" s="47"/>
      <c r="C75" s="50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</row>
    <row r="76">
      <c r="A76" s="36"/>
      <c r="B76" s="47"/>
      <c r="C76" s="50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  <c r="CD76" s="36"/>
      <c r="CE76" s="36"/>
      <c r="CF76" s="36"/>
      <c r="CG76" s="36"/>
      <c r="CH76" s="36"/>
      <c r="CI76" s="36"/>
      <c r="CJ76" s="36"/>
      <c r="CK76" s="36"/>
      <c r="CL76" s="36"/>
      <c r="CM76" s="36"/>
      <c r="CN76" s="36"/>
      <c r="CO76" s="36"/>
    </row>
    <row r="77">
      <c r="A77" s="36"/>
      <c r="B77" s="47"/>
      <c r="C77" s="50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  <c r="BK77" s="36"/>
      <c r="BL77" s="36"/>
      <c r="BM77" s="36"/>
      <c r="BN77" s="36"/>
      <c r="BO77" s="36"/>
      <c r="BP77" s="36"/>
      <c r="BQ77" s="36"/>
      <c r="BR77" s="36"/>
      <c r="BS77" s="36"/>
      <c r="BT77" s="36"/>
      <c r="BU77" s="36"/>
      <c r="BV77" s="36"/>
      <c r="BW77" s="36"/>
      <c r="BX77" s="36"/>
      <c r="BY77" s="36"/>
      <c r="BZ77" s="36"/>
      <c r="CA77" s="36"/>
      <c r="CB77" s="36"/>
      <c r="CC77" s="36"/>
      <c r="CD77" s="36"/>
      <c r="CE77" s="36"/>
      <c r="CF77" s="36"/>
      <c r="CG77" s="36"/>
      <c r="CH77" s="36"/>
      <c r="CI77" s="36"/>
      <c r="CJ77" s="36"/>
      <c r="CK77" s="36"/>
      <c r="CL77" s="36"/>
      <c r="CM77" s="36"/>
      <c r="CN77" s="36"/>
      <c r="CO77" s="36"/>
    </row>
    <row r="78">
      <c r="A78" s="36"/>
      <c r="B78" s="47"/>
      <c r="C78" s="50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  <c r="CD78" s="36"/>
      <c r="CE78" s="36"/>
      <c r="CF78" s="36"/>
      <c r="CG78" s="36"/>
      <c r="CH78" s="36"/>
      <c r="CI78" s="36"/>
      <c r="CJ78" s="36"/>
      <c r="CK78" s="36"/>
      <c r="CL78" s="36"/>
      <c r="CM78" s="36"/>
      <c r="CN78" s="36"/>
      <c r="CO78" s="36"/>
    </row>
    <row r="79">
      <c r="A79" s="36"/>
      <c r="B79" s="47"/>
      <c r="C79" s="50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/>
      <c r="CI79" s="36"/>
      <c r="CJ79" s="36"/>
      <c r="CK79" s="36"/>
      <c r="CL79" s="36"/>
      <c r="CM79" s="36"/>
      <c r="CN79" s="36"/>
      <c r="CO79" s="36"/>
    </row>
    <row r="80">
      <c r="A80" s="36"/>
      <c r="B80" s="47"/>
      <c r="C80" s="50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  <c r="CD80" s="36"/>
      <c r="CE80" s="36"/>
      <c r="CF80" s="36"/>
      <c r="CG80" s="36"/>
      <c r="CH80" s="36"/>
      <c r="CI80" s="36"/>
      <c r="CJ80" s="36"/>
      <c r="CK80" s="36"/>
      <c r="CL80" s="36"/>
      <c r="CM80" s="36"/>
      <c r="CN80" s="36"/>
      <c r="CO80" s="36"/>
    </row>
    <row r="81">
      <c r="A81" s="36"/>
      <c r="B81" s="47"/>
      <c r="C81" s="50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6"/>
      <c r="BU81" s="36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6"/>
      <c r="CL81" s="36"/>
      <c r="CM81" s="36"/>
      <c r="CN81" s="36"/>
      <c r="CO81" s="36"/>
    </row>
    <row r="82">
      <c r="A82" s="36"/>
      <c r="B82" s="47"/>
      <c r="C82" s="50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  <c r="CD82" s="36"/>
      <c r="CE82" s="36"/>
      <c r="CF82" s="36"/>
      <c r="CG82" s="36"/>
      <c r="CH82" s="36"/>
      <c r="CI82" s="36"/>
      <c r="CJ82" s="36"/>
      <c r="CK82" s="36"/>
      <c r="CL82" s="36"/>
      <c r="CM82" s="36"/>
      <c r="CN82" s="36"/>
      <c r="CO82" s="36"/>
    </row>
    <row r="83">
      <c r="A83" s="36"/>
      <c r="B83" s="47"/>
      <c r="C83" s="50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  <c r="BK83" s="36"/>
      <c r="BL83" s="36"/>
      <c r="BM83" s="36"/>
      <c r="BN83" s="36"/>
      <c r="BO83" s="36"/>
      <c r="BP83" s="36"/>
      <c r="BQ83" s="36"/>
      <c r="BR83" s="36"/>
      <c r="BS83" s="36"/>
      <c r="BT83" s="36"/>
      <c r="BU83" s="36"/>
      <c r="BV83" s="36"/>
      <c r="BW83" s="36"/>
      <c r="BX83" s="36"/>
      <c r="BY83" s="36"/>
      <c r="BZ83" s="36"/>
      <c r="CA83" s="36"/>
      <c r="CB83" s="36"/>
      <c r="CC83" s="36"/>
      <c r="CD83" s="36"/>
      <c r="CE83" s="36"/>
      <c r="CF83" s="36"/>
      <c r="CG83" s="36"/>
      <c r="CH83" s="36"/>
      <c r="CI83" s="36"/>
      <c r="CJ83" s="36"/>
      <c r="CK83" s="36"/>
      <c r="CL83" s="36"/>
      <c r="CM83" s="36"/>
      <c r="CN83" s="36"/>
      <c r="CO83" s="36"/>
    </row>
    <row r="84">
      <c r="A84" s="36"/>
      <c r="B84" s="47"/>
      <c r="C84" s="50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  <c r="CD84" s="36"/>
      <c r="CE84" s="36"/>
      <c r="CF84" s="36"/>
      <c r="CG84" s="36"/>
      <c r="CH84" s="36"/>
      <c r="CI84" s="36"/>
      <c r="CJ84" s="36"/>
      <c r="CK84" s="36"/>
      <c r="CL84" s="36"/>
      <c r="CM84" s="36"/>
      <c r="CN84" s="36"/>
      <c r="CO84" s="36"/>
    </row>
    <row r="85">
      <c r="A85" s="36"/>
      <c r="B85" s="47"/>
      <c r="C85" s="50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  <c r="BK85" s="36"/>
      <c r="BL85" s="36"/>
      <c r="BM85" s="36"/>
      <c r="BN85" s="36"/>
      <c r="BO85" s="36"/>
      <c r="BP85" s="36"/>
      <c r="BQ85" s="36"/>
      <c r="BR85" s="36"/>
      <c r="BS85" s="36"/>
      <c r="BT85" s="36"/>
      <c r="BU85" s="36"/>
      <c r="BV85" s="36"/>
      <c r="BW85" s="36"/>
      <c r="BX85" s="36"/>
      <c r="BY85" s="36"/>
      <c r="BZ85" s="36"/>
      <c r="CA85" s="36"/>
      <c r="CB85" s="36"/>
      <c r="CC85" s="36"/>
      <c r="CD85" s="36"/>
      <c r="CE85" s="36"/>
      <c r="CF85" s="36"/>
      <c r="CG85" s="36"/>
      <c r="CH85" s="36"/>
      <c r="CI85" s="36"/>
      <c r="CJ85" s="36"/>
      <c r="CK85" s="36"/>
      <c r="CL85" s="36"/>
      <c r="CM85" s="36"/>
      <c r="CN85" s="36"/>
      <c r="CO85" s="36"/>
    </row>
    <row r="86">
      <c r="A86" s="36"/>
      <c r="B86" s="47"/>
      <c r="C86" s="50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  <c r="CD86" s="36"/>
      <c r="CE86" s="36"/>
      <c r="CF86" s="36"/>
      <c r="CG86" s="36"/>
      <c r="CH86" s="36"/>
      <c r="CI86" s="36"/>
      <c r="CJ86" s="36"/>
      <c r="CK86" s="36"/>
      <c r="CL86" s="36"/>
      <c r="CM86" s="36"/>
      <c r="CN86" s="36"/>
      <c r="CO86" s="36"/>
    </row>
    <row r="87">
      <c r="A87" s="36"/>
      <c r="B87" s="47"/>
      <c r="C87" s="50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  <c r="BK87" s="36"/>
      <c r="BL87" s="36"/>
      <c r="BM87" s="36"/>
      <c r="BN87" s="36"/>
      <c r="BO87" s="36"/>
      <c r="BP87" s="36"/>
      <c r="BQ87" s="36"/>
      <c r="BR87" s="36"/>
      <c r="BS87" s="36"/>
      <c r="BT87" s="36"/>
      <c r="BU87" s="36"/>
      <c r="BV87" s="36"/>
      <c r="BW87" s="36"/>
      <c r="BX87" s="36"/>
      <c r="BY87" s="36"/>
      <c r="BZ87" s="36"/>
      <c r="CA87" s="36"/>
      <c r="CB87" s="36"/>
      <c r="CC87" s="36"/>
      <c r="CD87" s="36"/>
      <c r="CE87" s="36"/>
      <c r="CF87" s="36"/>
      <c r="CG87" s="36"/>
      <c r="CH87" s="36"/>
      <c r="CI87" s="36"/>
      <c r="CJ87" s="36"/>
      <c r="CK87" s="36"/>
      <c r="CL87" s="36"/>
      <c r="CM87" s="36"/>
      <c r="CN87" s="36"/>
      <c r="CO87" s="36"/>
    </row>
    <row r="88">
      <c r="A88" s="36"/>
      <c r="B88" s="47"/>
      <c r="C88" s="50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  <c r="CD88" s="36"/>
      <c r="CE88" s="36"/>
      <c r="CF88" s="36"/>
      <c r="CG88" s="36"/>
      <c r="CH88" s="36"/>
      <c r="CI88" s="36"/>
      <c r="CJ88" s="36"/>
      <c r="CK88" s="36"/>
      <c r="CL88" s="36"/>
      <c r="CM88" s="36"/>
      <c r="CN88" s="36"/>
      <c r="CO88" s="36"/>
    </row>
    <row r="89">
      <c r="A89" s="36"/>
      <c r="B89" s="47"/>
      <c r="C89" s="50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  <c r="BN89" s="36"/>
      <c r="BO89" s="36"/>
      <c r="BP89" s="36"/>
      <c r="BQ89" s="36"/>
      <c r="BR89" s="36"/>
      <c r="BS89" s="36"/>
      <c r="BT89" s="36"/>
      <c r="BU89" s="36"/>
      <c r="BV89" s="36"/>
      <c r="BW89" s="36"/>
      <c r="BX89" s="36"/>
      <c r="BY89" s="36"/>
      <c r="BZ89" s="36"/>
      <c r="CA89" s="36"/>
      <c r="CB89" s="36"/>
      <c r="CC89" s="36"/>
      <c r="CD89" s="36"/>
      <c r="CE89" s="36"/>
      <c r="CF89" s="36"/>
      <c r="CG89" s="36"/>
      <c r="CH89" s="36"/>
      <c r="CI89" s="36"/>
      <c r="CJ89" s="36"/>
      <c r="CK89" s="36"/>
      <c r="CL89" s="36"/>
      <c r="CM89" s="36"/>
      <c r="CN89" s="36"/>
      <c r="CO89" s="36"/>
    </row>
    <row r="90">
      <c r="A90" s="36"/>
      <c r="B90" s="47"/>
      <c r="C90" s="50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  <c r="CD90" s="36"/>
      <c r="CE90" s="36"/>
      <c r="CF90" s="36"/>
      <c r="CG90" s="36"/>
      <c r="CH90" s="36"/>
      <c r="CI90" s="36"/>
      <c r="CJ90" s="36"/>
      <c r="CK90" s="36"/>
      <c r="CL90" s="36"/>
      <c r="CM90" s="36"/>
      <c r="CN90" s="36"/>
      <c r="CO90" s="36"/>
    </row>
    <row r="91">
      <c r="A91" s="36"/>
      <c r="B91" s="47"/>
      <c r="C91" s="50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  <c r="BK91" s="36"/>
      <c r="BL91" s="36"/>
      <c r="BM91" s="36"/>
      <c r="BN91" s="36"/>
      <c r="BO91" s="36"/>
      <c r="BP91" s="36"/>
      <c r="BQ91" s="36"/>
      <c r="BR91" s="36"/>
      <c r="BS91" s="36"/>
      <c r="BT91" s="36"/>
      <c r="BU91" s="36"/>
      <c r="BV91" s="36"/>
      <c r="BW91" s="36"/>
      <c r="BX91" s="36"/>
      <c r="BY91" s="36"/>
      <c r="BZ91" s="36"/>
      <c r="CA91" s="36"/>
      <c r="CB91" s="36"/>
      <c r="CC91" s="36"/>
      <c r="CD91" s="36"/>
      <c r="CE91" s="36"/>
      <c r="CF91" s="36"/>
      <c r="CG91" s="36"/>
      <c r="CH91" s="36"/>
      <c r="CI91" s="36"/>
      <c r="CJ91" s="36"/>
      <c r="CK91" s="36"/>
      <c r="CL91" s="36"/>
      <c r="CM91" s="36"/>
      <c r="CN91" s="36"/>
      <c r="CO91" s="36"/>
    </row>
    <row r="92">
      <c r="A92" s="36"/>
      <c r="B92" s="47"/>
      <c r="C92" s="50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  <c r="CD92" s="36"/>
      <c r="CE92" s="36"/>
      <c r="CF92" s="36"/>
      <c r="CG92" s="36"/>
      <c r="CH92" s="36"/>
      <c r="CI92" s="36"/>
      <c r="CJ92" s="36"/>
      <c r="CK92" s="36"/>
      <c r="CL92" s="36"/>
      <c r="CM92" s="36"/>
      <c r="CN92" s="36"/>
      <c r="CO92" s="36"/>
    </row>
    <row r="93">
      <c r="A93" s="36"/>
      <c r="B93" s="47"/>
      <c r="C93" s="50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  <c r="BN93" s="36"/>
      <c r="BO93" s="36"/>
      <c r="BP93" s="36"/>
      <c r="BQ93" s="36"/>
      <c r="BR93" s="36"/>
      <c r="BS93" s="36"/>
      <c r="BT93" s="36"/>
      <c r="BU93" s="36"/>
      <c r="BV93" s="36"/>
      <c r="BW93" s="36"/>
      <c r="BX93" s="36"/>
      <c r="BY93" s="36"/>
      <c r="BZ93" s="36"/>
      <c r="CA93" s="36"/>
      <c r="CB93" s="36"/>
      <c r="CC93" s="36"/>
      <c r="CD93" s="36"/>
      <c r="CE93" s="36"/>
      <c r="CF93" s="36"/>
      <c r="CG93" s="36"/>
      <c r="CH93" s="36"/>
      <c r="CI93" s="36"/>
      <c r="CJ93" s="36"/>
      <c r="CK93" s="36"/>
      <c r="CL93" s="36"/>
      <c r="CM93" s="36"/>
      <c r="CN93" s="36"/>
      <c r="CO93" s="36"/>
    </row>
    <row r="94">
      <c r="A94" s="36"/>
      <c r="B94" s="47"/>
      <c r="C94" s="50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  <c r="CD94" s="36"/>
      <c r="CE94" s="36"/>
      <c r="CF94" s="36"/>
      <c r="CG94" s="36"/>
      <c r="CH94" s="36"/>
      <c r="CI94" s="36"/>
      <c r="CJ94" s="36"/>
      <c r="CK94" s="36"/>
      <c r="CL94" s="36"/>
      <c r="CM94" s="36"/>
      <c r="CN94" s="36"/>
      <c r="CO94" s="36"/>
    </row>
    <row r="95">
      <c r="A95" s="36"/>
      <c r="B95" s="47"/>
      <c r="C95" s="50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</row>
    <row r="96">
      <c r="A96" s="36"/>
      <c r="B96" s="47"/>
      <c r="C96" s="50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  <c r="CD96" s="36"/>
      <c r="CE96" s="36"/>
      <c r="CF96" s="36"/>
      <c r="CG96" s="36"/>
      <c r="CH96" s="36"/>
      <c r="CI96" s="36"/>
      <c r="CJ96" s="36"/>
      <c r="CK96" s="36"/>
      <c r="CL96" s="36"/>
      <c r="CM96" s="36"/>
      <c r="CN96" s="36"/>
      <c r="CO96" s="36"/>
    </row>
    <row r="97">
      <c r="A97" s="36"/>
      <c r="B97" s="47"/>
      <c r="C97" s="50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  <c r="BK97" s="36"/>
      <c r="BL97" s="36"/>
      <c r="BM97" s="36"/>
      <c r="BN97" s="36"/>
      <c r="BO97" s="36"/>
      <c r="BP97" s="36"/>
      <c r="BQ97" s="36"/>
      <c r="BR97" s="36"/>
      <c r="BS97" s="36"/>
      <c r="BT97" s="36"/>
      <c r="BU97" s="36"/>
      <c r="BV97" s="36"/>
      <c r="BW97" s="36"/>
      <c r="BX97" s="36"/>
      <c r="BY97" s="36"/>
      <c r="BZ97" s="36"/>
      <c r="CA97" s="36"/>
      <c r="CB97" s="36"/>
      <c r="CC97" s="36"/>
      <c r="CD97" s="36"/>
      <c r="CE97" s="36"/>
      <c r="CF97" s="36"/>
      <c r="CG97" s="36"/>
      <c r="CH97" s="36"/>
      <c r="CI97" s="36"/>
      <c r="CJ97" s="36"/>
      <c r="CK97" s="36"/>
      <c r="CL97" s="36"/>
      <c r="CM97" s="36"/>
      <c r="CN97" s="36"/>
      <c r="CO97" s="36"/>
    </row>
    <row r="98">
      <c r="A98" s="36"/>
      <c r="B98" s="47"/>
      <c r="C98" s="50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  <c r="CD98" s="36"/>
      <c r="CE98" s="36"/>
      <c r="CF98" s="36"/>
      <c r="CG98" s="36"/>
      <c r="CH98" s="36"/>
      <c r="CI98" s="36"/>
      <c r="CJ98" s="36"/>
      <c r="CK98" s="36"/>
      <c r="CL98" s="36"/>
      <c r="CM98" s="36"/>
      <c r="CN98" s="36"/>
      <c r="CO98" s="36"/>
    </row>
    <row r="99">
      <c r="A99" s="36"/>
      <c r="B99" s="47"/>
      <c r="C99" s="50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  <c r="BK99" s="36"/>
      <c r="BL99" s="36"/>
      <c r="BM99" s="36"/>
      <c r="BN99" s="36"/>
      <c r="BO99" s="36"/>
      <c r="BP99" s="36"/>
      <c r="BQ99" s="36"/>
      <c r="BR99" s="36"/>
      <c r="BS99" s="36"/>
      <c r="BT99" s="36"/>
      <c r="BU99" s="36"/>
      <c r="BV99" s="36"/>
      <c r="BW99" s="36"/>
      <c r="BX99" s="36"/>
      <c r="BY99" s="36"/>
      <c r="BZ99" s="36"/>
      <c r="CA99" s="36"/>
      <c r="CB99" s="36"/>
      <c r="CC99" s="36"/>
      <c r="CD99" s="36"/>
      <c r="CE99" s="36"/>
      <c r="CF99" s="36"/>
      <c r="CG99" s="36"/>
      <c r="CH99" s="36"/>
      <c r="CI99" s="36"/>
      <c r="CJ99" s="36"/>
      <c r="CK99" s="36"/>
      <c r="CL99" s="36"/>
      <c r="CM99" s="36"/>
      <c r="CN99" s="36"/>
      <c r="CO99" s="36"/>
    </row>
    <row r="100">
      <c r="A100" s="36"/>
      <c r="B100" s="47"/>
      <c r="C100" s="50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  <c r="CD100" s="36"/>
      <c r="CE100" s="36"/>
      <c r="CF100" s="36"/>
      <c r="CG100" s="36"/>
      <c r="CH100" s="36"/>
      <c r="CI100" s="36"/>
      <c r="CJ100" s="36"/>
      <c r="CK100" s="36"/>
      <c r="CL100" s="36"/>
      <c r="CM100" s="36"/>
      <c r="CN100" s="36"/>
      <c r="CO100" s="36"/>
    </row>
    <row r="101">
      <c r="A101" s="36"/>
      <c r="B101" s="47"/>
      <c r="C101" s="50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  <c r="BK101" s="36"/>
      <c r="BL101" s="36"/>
      <c r="BM101" s="36"/>
      <c r="BN101" s="36"/>
      <c r="BO101" s="36"/>
      <c r="BP101" s="36"/>
      <c r="BQ101" s="36"/>
      <c r="BR101" s="36"/>
      <c r="BS101" s="36"/>
      <c r="BT101" s="36"/>
      <c r="BU101" s="36"/>
      <c r="BV101" s="36"/>
      <c r="BW101" s="36"/>
      <c r="BX101" s="36"/>
      <c r="BY101" s="36"/>
      <c r="BZ101" s="36"/>
      <c r="CA101" s="36"/>
      <c r="CB101" s="36"/>
      <c r="CC101" s="36"/>
      <c r="CD101" s="36"/>
      <c r="CE101" s="36"/>
      <c r="CF101" s="36"/>
      <c r="CG101" s="36"/>
      <c r="CH101" s="36"/>
      <c r="CI101" s="36"/>
      <c r="CJ101" s="36"/>
      <c r="CK101" s="36"/>
      <c r="CL101" s="36"/>
      <c r="CM101" s="36"/>
      <c r="CN101" s="36"/>
      <c r="CO101" s="36"/>
    </row>
    <row r="102">
      <c r="A102" s="36"/>
      <c r="B102" s="47"/>
      <c r="C102" s="50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  <c r="CD102" s="36"/>
      <c r="CE102" s="36"/>
      <c r="CF102" s="36"/>
      <c r="CG102" s="36"/>
      <c r="CH102" s="36"/>
      <c r="CI102" s="36"/>
      <c r="CJ102" s="36"/>
      <c r="CK102" s="36"/>
      <c r="CL102" s="36"/>
      <c r="CM102" s="36"/>
      <c r="CN102" s="36"/>
      <c r="CO102" s="36"/>
    </row>
    <row r="103">
      <c r="A103" s="36"/>
      <c r="B103" s="47"/>
      <c r="C103" s="50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  <c r="BK103" s="36"/>
      <c r="BL103" s="36"/>
      <c r="BM103" s="36"/>
      <c r="BN103" s="36"/>
      <c r="BO103" s="36"/>
      <c r="BP103" s="36"/>
      <c r="BQ103" s="36"/>
      <c r="BR103" s="36"/>
      <c r="BS103" s="36"/>
      <c r="BT103" s="36"/>
      <c r="BU103" s="36"/>
      <c r="BV103" s="36"/>
      <c r="BW103" s="36"/>
      <c r="BX103" s="36"/>
      <c r="BY103" s="36"/>
      <c r="BZ103" s="36"/>
      <c r="CA103" s="36"/>
      <c r="CB103" s="36"/>
      <c r="CC103" s="36"/>
      <c r="CD103" s="36"/>
      <c r="CE103" s="36"/>
      <c r="CF103" s="36"/>
      <c r="CG103" s="36"/>
      <c r="CH103" s="36"/>
      <c r="CI103" s="36"/>
      <c r="CJ103" s="36"/>
      <c r="CK103" s="36"/>
      <c r="CL103" s="36"/>
      <c r="CM103" s="36"/>
      <c r="CN103" s="36"/>
      <c r="CO103" s="36"/>
    </row>
    <row r="104">
      <c r="A104" s="36"/>
      <c r="B104" s="47"/>
      <c r="C104" s="50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  <c r="CD104" s="36"/>
      <c r="CE104" s="36"/>
      <c r="CF104" s="36"/>
      <c r="CG104" s="36"/>
      <c r="CH104" s="36"/>
      <c r="CI104" s="36"/>
      <c r="CJ104" s="36"/>
      <c r="CK104" s="36"/>
      <c r="CL104" s="36"/>
      <c r="CM104" s="36"/>
      <c r="CN104" s="36"/>
      <c r="CO104" s="36"/>
    </row>
    <row r="105">
      <c r="A105" s="36"/>
      <c r="B105" s="47"/>
      <c r="C105" s="50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36"/>
      <c r="CC105" s="36"/>
      <c r="CD105" s="36"/>
      <c r="CE105" s="36"/>
      <c r="CF105" s="36"/>
      <c r="CG105" s="36"/>
      <c r="CH105" s="36"/>
      <c r="CI105" s="36"/>
      <c r="CJ105" s="36"/>
      <c r="CK105" s="36"/>
      <c r="CL105" s="36"/>
      <c r="CM105" s="36"/>
      <c r="CN105" s="36"/>
      <c r="CO105" s="36"/>
    </row>
    <row r="106">
      <c r="A106" s="36"/>
      <c r="B106" s="47"/>
      <c r="C106" s="50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  <c r="CD106" s="36"/>
      <c r="CE106" s="36"/>
      <c r="CF106" s="36"/>
      <c r="CG106" s="36"/>
      <c r="CH106" s="36"/>
      <c r="CI106" s="36"/>
      <c r="CJ106" s="36"/>
      <c r="CK106" s="36"/>
      <c r="CL106" s="36"/>
      <c r="CM106" s="36"/>
      <c r="CN106" s="36"/>
      <c r="CO106" s="36"/>
    </row>
    <row r="107">
      <c r="A107" s="36"/>
      <c r="B107" s="47"/>
      <c r="C107" s="50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  <c r="BR107" s="36"/>
      <c r="BS107" s="36"/>
      <c r="BT107" s="36"/>
      <c r="BU107" s="36"/>
      <c r="BV107" s="36"/>
      <c r="BW107" s="36"/>
      <c r="BX107" s="36"/>
      <c r="BY107" s="36"/>
      <c r="BZ107" s="36"/>
      <c r="CA107" s="36"/>
      <c r="CB107" s="36"/>
      <c r="CC107" s="36"/>
      <c r="CD107" s="36"/>
      <c r="CE107" s="36"/>
      <c r="CF107" s="36"/>
      <c r="CG107" s="36"/>
      <c r="CH107" s="36"/>
      <c r="CI107" s="36"/>
      <c r="CJ107" s="36"/>
      <c r="CK107" s="36"/>
      <c r="CL107" s="36"/>
      <c r="CM107" s="36"/>
      <c r="CN107" s="36"/>
      <c r="CO107" s="36"/>
    </row>
    <row r="108">
      <c r="A108" s="36"/>
      <c r="B108" s="47"/>
      <c r="C108" s="50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6"/>
      <c r="CJ108" s="36"/>
      <c r="CK108" s="36"/>
      <c r="CL108" s="36"/>
      <c r="CM108" s="36"/>
      <c r="CN108" s="36"/>
      <c r="CO108" s="36"/>
    </row>
    <row r="109">
      <c r="A109" s="36"/>
      <c r="B109" s="47"/>
      <c r="C109" s="50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</row>
    <row r="110">
      <c r="A110" s="36"/>
      <c r="B110" s="47"/>
      <c r="C110" s="50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</row>
    <row r="111">
      <c r="A111" s="36"/>
      <c r="B111" s="47"/>
      <c r="C111" s="50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36"/>
      <c r="CO111" s="36"/>
    </row>
    <row r="112">
      <c r="A112" s="36"/>
      <c r="B112" s="47"/>
      <c r="C112" s="50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  <c r="CD112" s="36"/>
      <c r="CE112" s="36"/>
      <c r="CF112" s="36"/>
      <c r="CG112" s="36"/>
      <c r="CH112" s="36"/>
      <c r="CI112" s="36"/>
      <c r="CJ112" s="36"/>
      <c r="CK112" s="36"/>
      <c r="CL112" s="36"/>
      <c r="CM112" s="36"/>
      <c r="CN112" s="36"/>
      <c r="CO112" s="36"/>
    </row>
    <row r="113">
      <c r="A113" s="36"/>
      <c r="B113" s="47"/>
      <c r="C113" s="50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  <c r="BK113" s="36"/>
      <c r="BL113" s="36"/>
      <c r="BM113" s="36"/>
      <c r="BN113" s="36"/>
      <c r="BO113" s="36"/>
      <c r="BP113" s="36"/>
      <c r="BQ113" s="36"/>
      <c r="BR113" s="36"/>
      <c r="BS113" s="36"/>
      <c r="BT113" s="36"/>
      <c r="BU113" s="36"/>
      <c r="BV113" s="36"/>
      <c r="BW113" s="36"/>
      <c r="BX113" s="36"/>
      <c r="BY113" s="36"/>
      <c r="BZ113" s="36"/>
      <c r="CA113" s="36"/>
      <c r="CB113" s="36"/>
      <c r="CC113" s="36"/>
      <c r="CD113" s="36"/>
      <c r="CE113" s="36"/>
      <c r="CF113" s="36"/>
      <c r="CG113" s="36"/>
      <c r="CH113" s="36"/>
      <c r="CI113" s="36"/>
      <c r="CJ113" s="36"/>
      <c r="CK113" s="36"/>
      <c r="CL113" s="36"/>
      <c r="CM113" s="36"/>
      <c r="CN113" s="36"/>
      <c r="CO113" s="36"/>
    </row>
    <row r="114">
      <c r="A114" s="36"/>
      <c r="B114" s="47"/>
      <c r="C114" s="50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  <c r="CD114" s="36"/>
      <c r="CE114" s="36"/>
      <c r="CF114" s="36"/>
      <c r="CG114" s="36"/>
      <c r="CH114" s="36"/>
      <c r="CI114" s="36"/>
      <c r="CJ114" s="36"/>
      <c r="CK114" s="36"/>
      <c r="CL114" s="36"/>
      <c r="CM114" s="36"/>
      <c r="CN114" s="36"/>
      <c r="CO114" s="36"/>
    </row>
    <row r="115">
      <c r="A115" s="36"/>
      <c r="B115" s="47"/>
      <c r="C115" s="50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  <c r="BK115" s="36"/>
      <c r="BL115" s="36"/>
      <c r="BM115" s="36"/>
      <c r="BN115" s="36"/>
      <c r="BO115" s="36"/>
      <c r="BP115" s="36"/>
      <c r="BQ115" s="36"/>
      <c r="BR115" s="36"/>
      <c r="BS115" s="36"/>
      <c r="BT115" s="36"/>
      <c r="BU115" s="36"/>
      <c r="BV115" s="36"/>
      <c r="BW115" s="36"/>
      <c r="BX115" s="36"/>
      <c r="BY115" s="36"/>
      <c r="BZ115" s="36"/>
      <c r="CA115" s="36"/>
      <c r="CB115" s="36"/>
      <c r="CC115" s="36"/>
      <c r="CD115" s="36"/>
      <c r="CE115" s="36"/>
      <c r="CF115" s="36"/>
      <c r="CG115" s="36"/>
      <c r="CH115" s="36"/>
      <c r="CI115" s="36"/>
      <c r="CJ115" s="36"/>
      <c r="CK115" s="36"/>
      <c r="CL115" s="36"/>
      <c r="CM115" s="36"/>
      <c r="CN115" s="36"/>
      <c r="CO115" s="36"/>
    </row>
    <row r="116">
      <c r="A116" s="36"/>
      <c r="B116" s="47"/>
      <c r="C116" s="50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  <c r="CD116" s="36"/>
      <c r="CE116" s="36"/>
      <c r="CF116" s="36"/>
      <c r="CG116" s="36"/>
      <c r="CH116" s="36"/>
      <c r="CI116" s="36"/>
      <c r="CJ116" s="36"/>
      <c r="CK116" s="36"/>
      <c r="CL116" s="36"/>
      <c r="CM116" s="36"/>
      <c r="CN116" s="36"/>
      <c r="CO116" s="36"/>
    </row>
    <row r="117">
      <c r="A117" s="36"/>
      <c r="B117" s="47"/>
      <c r="C117" s="50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  <c r="BR117" s="36"/>
      <c r="BS117" s="36"/>
      <c r="BT117" s="36"/>
      <c r="BU117" s="36"/>
      <c r="BV117" s="36"/>
      <c r="BW117" s="36"/>
      <c r="BX117" s="36"/>
      <c r="BY117" s="36"/>
      <c r="BZ117" s="36"/>
      <c r="CA117" s="36"/>
      <c r="CB117" s="36"/>
      <c r="CC117" s="36"/>
      <c r="CD117" s="36"/>
      <c r="CE117" s="36"/>
      <c r="CF117" s="36"/>
      <c r="CG117" s="36"/>
      <c r="CH117" s="36"/>
      <c r="CI117" s="36"/>
      <c r="CJ117" s="36"/>
      <c r="CK117" s="36"/>
      <c r="CL117" s="36"/>
      <c r="CM117" s="36"/>
      <c r="CN117" s="36"/>
      <c r="CO117" s="36"/>
    </row>
    <row r="118">
      <c r="A118" s="36"/>
      <c r="B118" s="47"/>
      <c r="C118" s="50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  <c r="CD118" s="36"/>
      <c r="CE118" s="36"/>
      <c r="CF118" s="36"/>
      <c r="CG118" s="36"/>
      <c r="CH118" s="36"/>
      <c r="CI118" s="36"/>
      <c r="CJ118" s="36"/>
      <c r="CK118" s="36"/>
      <c r="CL118" s="36"/>
      <c r="CM118" s="36"/>
      <c r="CN118" s="36"/>
      <c r="CO118" s="36"/>
    </row>
    <row r="119">
      <c r="A119" s="36"/>
      <c r="B119" s="47"/>
      <c r="C119" s="50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  <c r="BK119" s="36"/>
      <c r="BL119" s="36"/>
      <c r="BM119" s="36"/>
      <c r="BN119" s="36"/>
      <c r="BO119" s="36"/>
      <c r="BP119" s="36"/>
      <c r="BQ119" s="36"/>
      <c r="BR119" s="36"/>
      <c r="BS119" s="36"/>
      <c r="BT119" s="36"/>
      <c r="BU119" s="36"/>
      <c r="BV119" s="36"/>
      <c r="BW119" s="36"/>
      <c r="BX119" s="36"/>
      <c r="BY119" s="36"/>
      <c r="BZ119" s="36"/>
      <c r="CA119" s="36"/>
      <c r="CB119" s="36"/>
      <c r="CC119" s="36"/>
      <c r="CD119" s="36"/>
      <c r="CE119" s="36"/>
      <c r="CF119" s="36"/>
      <c r="CG119" s="36"/>
      <c r="CH119" s="36"/>
      <c r="CI119" s="36"/>
      <c r="CJ119" s="36"/>
      <c r="CK119" s="36"/>
      <c r="CL119" s="36"/>
      <c r="CM119" s="36"/>
      <c r="CN119" s="36"/>
      <c r="CO119" s="36"/>
    </row>
    <row r="120">
      <c r="A120" s="36"/>
      <c r="B120" s="47"/>
      <c r="C120" s="50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  <c r="CD120" s="36"/>
      <c r="CE120" s="36"/>
      <c r="CF120" s="36"/>
      <c r="CG120" s="36"/>
      <c r="CH120" s="36"/>
      <c r="CI120" s="36"/>
      <c r="CJ120" s="36"/>
      <c r="CK120" s="36"/>
      <c r="CL120" s="36"/>
      <c r="CM120" s="36"/>
      <c r="CN120" s="36"/>
      <c r="CO120" s="36"/>
    </row>
    <row r="121">
      <c r="A121" s="36"/>
      <c r="B121" s="47"/>
      <c r="C121" s="50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  <c r="BK121" s="36"/>
      <c r="BL121" s="36"/>
      <c r="BM121" s="36"/>
      <c r="BN121" s="36"/>
      <c r="BO121" s="36"/>
      <c r="BP121" s="36"/>
      <c r="BQ121" s="36"/>
      <c r="BR121" s="36"/>
      <c r="BS121" s="36"/>
      <c r="BT121" s="36"/>
      <c r="BU121" s="36"/>
      <c r="BV121" s="36"/>
      <c r="BW121" s="36"/>
      <c r="BX121" s="36"/>
      <c r="BY121" s="36"/>
      <c r="BZ121" s="36"/>
      <c r="CA121" s="36"/>
      <c r="CB121" s="36"/>
      <c r="CC121" s="36"/>
      <c r="CD121" s="36"/>
      <c r="CE121" s="36"/>
      <c r="CF121" s="36"/>
      <c r="CG121" s="36"/>
      <c r="CH121" s="36"/>
      <c r="CI121" s="36"/>
      <c r="CJ121" s="36"/>
      <c r="CK121" s="36"/>
      <c r="CL121" s="36"/>
      <c r="CM121" s="36"/>
      <c r="CN121" s="36"/>
      <c r="CO121" s="36"/>
    </row>
    <row r="122">
      <c r="A122" s="36"/>
      <c r="B122" s="47"/>
      <c r="C122" s="50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  <c r="CD122" s="36"/>
      <c r="CE122" s="36"/>
      <c r="CF122" s="36"/>
      <c r="CG122" s="36"/>
      <c r="CH122" s="36"/>
      <c r="CI122" s="36"/>
      <c r="CJ122" s="36"/>
      <c r="CK122" s="36"/>
      <c r="CL122" s="36"/>
      <c r="CM122" s="36"/>
      <c r="CN122" s="36"/>
      <c r="CO122" s="36"/>
    </row>
    <row r="123">
      <c r="A123" s="36"/>
      <c r="B123" s="47"/>
      <c r="C123" s="50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  <c r="BR123" s="36"/>
      <c r="BS123" s="36"/>
      <c r="BT123" s="36"/>
      <c r="BU123" s="36"/>
      <c r="BV123" s="36"/>
      <c r="BW123" s="36"/>
      <c r="BX123" s="36"/>
      <c r="BY123" s="36"/>
      <c r="BZ123" s="36"/>
      <c r="CA123" s="36"/>
      <c r="CB123" s="36"/>
      <c r="CC123" s="36"/>
      <c r="CD123" s="36"/>
      <c r="CE123" s="36"/>
      <c r="CF123" s="36"/>
      <c r="CG123" s="36"/>
      <c r="CH123" s="36"/>
      <c r="CI123" s="36"/>
      <c r="CJ123" s="36"/>
      <c r="CK123" s="36"/>
      <c r="CL123" s="36"/>
      <c r="CM123" s="36"/>
      <c r="CN123" s="36"/>
      <c r="CO123" s="36"/>
    </row>
    <row r="124">
      <c r="A124" s="36"/>
      <c r="B124" s="47"/>
      <c r="C124" s="50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  <c r="CD124" s="36"/>
      <c r="CE124" s="36"/>
      <c r="CF124" s="36"/>
      <c r="CG124" s="36"/>
      <c r="CH124" s="36"/>
      <c r="CI124" s="36"/>
      <c r="CJ124" s="36"/>
      <c r="CK124" s="36"/>
      <c r="CL124" s="36"/>
      <c r="CM124" s="36"/>
      <c r="CN124" s="36"/>
      <c r="CO124" s="36"/>
    </row>
    <row r="125">
      <c r="A125" s="36"/>
      <c r="B125" s="47"/>
      <c r="C125" s="50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  <c r="BR125" s="36"/>
      <c r="BS125" s="36"/>
      <c r="BT125" s="36"/>
      <c r="BU125" s="36"/>
      <c r="BV125" s="36"/>
      <c r="BW125" s="36"/>
      <c r="BX125" s="36"/>
      <c r="BY125" s="36"/>
      <c r="BZ125" s="36"/>
      <c r="CA125" s="36"/>
      <c r="CB125" s="36"/>
      <c r="CC125" s="36"/>
      <c r="CD125" s="36"/>
      <c r="CE125" s="36"/>
      <c r="CF125" s="36"/>
      <c r="CG125" s="36"/>
      <c r="CH125" s="36"/>
      <c r="CI125" s="36"/>
      <c r="CJ125" s="36"/>
      <c r="CK125" s="36"/>
      <c r="CL125" s="36"/>
      <c r="CM125" s="36"/>
      <c r="CN125" s="36"/>
      <c r="CO125" s="36"/>
    </row>
    <row r="126">
      <c r="A126" s="36"/>
      <c r="B126" s="47"/>
      <c r="C126" s="50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  <c r="CD126" s="36"/>
      <c r="CE126" s="36"/>
      <c r="CF126" s="36"/>
      <c r="CG126" s="36"/>
      <c r="CH126" s="36"/>
      <c r="CI126" s="36"/>
      <c r="CJ126" s="36"/>
      <c r="CK126" s="36"/>
      <c r="CL126" s="36"/>
      <c r="CM126" s="36"/>
      <c r="CN126" s="36"/>
      <c r="CO126" s="36"/>
    </row>
    <row r="127">
      <c r="A127" s="36"/>
      <c r="B127" s="47"/>
      <c r="C127" s="50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  <c r="BK127" s="36"/>
      <c r="BL127" s="36"/>
      <c r="BM127" s="36"/>
      <c r="BN127" s="36"/>
      <c r="BO127" s="36"/>
      <c r="BP127" s="36"/>
      <c r="BQ127" s="36"/>
      <c r="BR127" s="36"/>
      <c r="BS127" s="36"/>
      <c r="BT127" s="36"/>
      <c r="BU127" s="36"/>
      <c r="BV127" s="36"/>
      <c r="BW127" s="36"/>
      <c r="BX127" s="36"/>
      <c r="BY127" s="36"/>
      <c r="BZ127" s="36"/>
      <c r="CA127" s="36"/>
      <c r="CB127" s="36"/>
      <c r="CC127" s="36"/>
      <c r="CD127" s="36"/>
      <c r="CE127" s="36"/>
      <c r="CF127" s="36"/>
      <c r="CG127" s="36"/>
      <c r="CH127" s="36"/>
      <c r="CI127" s="36"/>
      <c r="CJ127" s="36"/>
      <c r="CK127" s="36"/>
      <c r="CL127" s="36"/>
      <c r="CM127" s="36"/>
      <c r="CN127" s="36"/>
      <c r="CO127" s="36"/>
    </row>
    <row r="128">
      <c r="A128" s="36"/>
      <c r="B128" s="47"/>
      <c r="C128" s="50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  <c r="CD128" s="36"/>
      <c r="CE128" s="36"/>
      <c r="CF128" s="36"/>
      <c r="CG128" s="36"/>
      <c r="CH128" s="36"/>
      <c r="CI128" s="36"/>
      <c r="CJ128" s="36"/>
      <c r="CK128" s="36"/>
      <c r="CL128" s="36"/>
      <c r="CM128" s="36"/>
      <c r="CN128" s="36"/>
      <c r="CO128" s="36"/>
    </row>
    <row r="129">
      <c r="A129" s="36"/>
      <c r="B129" s="47"/>
      <c r="C129" s="50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  <c r="BK129" s="36"/>
      <c r="BL129" s="36"/>
      <c r="BM129" s="36"/>
      <c r="BN129" s="36"/>
      <c r="BO129" s="36"/>
      <c r="BP129" s="36"/>
      <c r="BQ129" s="36"/>
      <c r="BR129" s="36"/>
      <c r="BS129" s="36"/>
      <c r="BT129" s="36"/>
      <c r="BU129" s="36"/>
      <c r="BV129" s="36"/>
      <c r="BW129" s="36"/>
      <c r="BX129" s="36"/>
      <c r="BY129" s="36"/>
      <c r="BZ129" s="36"/>
      <c r="CA129" s="36"/>
      <c r="CB129" s="36"/>
      <c r="CC129" s="36"/>
      <c r="CD129" s="36"/>
      <c r="CE129" s="36"/>
      <c r="CF129" s="36"/>
      <c r="CG129" s="36"/>
      <c r="CH129" s="36"/>
      <c r="CI129" s="36"/>
      <c r="CJ129" s="36"/>
      <c r="CK129" s="36"/>
      <c r="CL129" s="36"/>
      <c r="CM129" s="36"/>
      <c r="CN129" s="36"/>
      <c r="CO129" s="36"/>
    </row>
    <row r="130">
      <c r="A130" s="36"/>
      <c r="B130" s="47"/>
      <c r="C130" s="50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  <c r="CD130" s="36"/>
      <c r="CE130" s="36"/>
      <c r="CF130" s="36"/>
      <c r="CG130" s="36"/>
      <c r="CH130" s="36"/>
      <c r="CI130" s="36"/>
      <c r="CJ130" s="36"/>
      <c r="CK130" s="36"/>
      <c r="CL130" s="36"/>
      <c r="CM130" s="36"/>
      <c r="CN130" s="36"/>
      <c r="CO130" s="36"/>
    </row>
    <row r="131">
      <c r="A131" s="36"/>
      <c r="B131" s="47"/>
      <c r="C131" s="50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</row>
    <row r="132">
      <c r="A132" s="36"/>
      <c r="B132" s="47"/>
      <c r="C132" s="50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  <c r="CD132" s="36"/>
      <c r="CE132" s="36"/>
      <c r="CF132" s="36"/>
      <c r="CG132" s="36"/>
      <c r="CH132" s="36"/>
      <c r="CI132" s="36"/>
      <c r="CJ132" s="36"/>
      <c r="CK132" s="36"/>
      <c r="CL132" s="36"/>
      <c r="CM132" s="36"/>
      <c r="CN132" s="36"/>
      <c r="CO132" s="36"/>
    </row>
    <row r="133">
      <c r="A133" s="36"/>
      <c r="B133" s="47"/>
      <c r="C133" s="50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  <c r="BK133" s="36"/>
      <c r="BL133" s="36"/>
      <c r="BM133" s="36"/>
      <c r="BN133" s="36"/>
      <c r="BO133" s="36"/>
      <c r="BP133" s="36"/>
      <c r="BQ133" s="36"/>
      <c r="BR133" s="36"/>
      <c r="BS133" s="36"/>
      <c r="BT133" s="36"/>
      <c r="BU133" s="36"/>
      <c r="BV133" s="36"/>
      <c r="BW133" s="36"/>
      <c r="BX133" s="36"/>
      <c r="BY133" s="36"/>
      <c r="BZ133" s="36"/>
      <c r="CA133" s="36"/>
      <c r="CB133" s="36"/>
      <c r="CC133" s="36"/>
      <c r="CD133" s="36"/>
      <c r="CE133" s="36"/>
      <c r="CF133" s="36"/>
      <c r="CG133" s="36"/>
      <c r="CH133" s="36"/>
      <c r="CI133" s="36"/>
      <c r="CJ133" s="36"/>
      <c r="CK133" s="36"/>
      <c r="CL133" s="36"/>
      <c r="CM133" s="36"/>
      <c r="CN133" s="36"/>
      <c r="CO133" s="36"/>
    </row>
    <row r="134">
      <c r="A134" s="36"/>
      <c r="B134" s="47"/>
      <c r="C134" s="50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  <c r="CD134" s="36"/>
      <c r="CE134" s="36"/>
      <c r="CF134" s="36"/>
      <c r="CG134" s="36"/>
      <c r="CH134" s="36"/>
      <c r="CI134" s="36"/>
      <c r="CJ134" s="36"/>
      <c r="CK134" s="36"/>
      <c r="CL134" s="36"/>
      <c r="CM134" s="36"/>
      <c r="CN134" s="36"/>
      <c r="CO134" s="36"/>
    </row>
    <row r="135">
      <c r="A135" s="36"/>
      <c r="B135" s="47"/>
      <c r="C135" s="50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  <c r="BK135" s="36"/>
      <c r="BL135" s="36"/>
      <c r="BM135" s="36"/>
      <c r="BN135" s="36"/>
      <c r="BO135" s="36"/>
      <c r="BP135" s="36"/>
      <c r="BQ135" s="36"/>
      <c r="BR135" s="36"/>
      <c r="BS135" s="36"/>
      <c r="BT135" s="36"/>
      <c r="BU135" s="36"/>
      <c r="BV135" s="36"/>
      <c r="BW135" s="36"/>
      <c r="BX135" s="36"/>
      <c r="BY135" s="36"/>
      <c r="BZ135" s="36"/>
      <c r="CA135" s="36"/>
      <c r="CB135" s="36"/>
      <c r="CC135" s="36"/>
      <c r="CD135" s="36"/>
      <c r="CE135" s="36"/>
      <c r="CF135" s="36"/>
      <c r="CG135" s="36"/>
      <c r="CH135" s="36"/>
      <c r="CI135" s="36"/>
      <c r="CJ135" s="36"/>
      <c r="CK135" s="36"/>
      <c r="CL135" s="36"/>
      <c r="CM135" s="36"/>
      <c r="CN135" s="36"/>
      <c r="CO135" s="36"/>
    </row>
    <row r="136">
      <c r="A136" s="36"/>
      <c r="B136" s="47"/>
      <c r="C136" s="50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  <c r="CD136" s="36"/>
      <c r="CE136" s="36"/>
      <c r="CF136" s="36"/>
      <c r="CG136" s="36"/>
      <c r="CH136" s="36"/>
      <c r="CI136" s="36"/>
      <c r="CJ136" s="36"/>
      <c r="CK136" s="36"/>
      <c r="CL136" s="36"/>
      <c r="CM136" s="36"/>
      <c r="CN136" s="36"/>
      <c r="CO136" s="36"/>
    </row>
    <row r="137">
      <c r="A137" s="36"/>
      <c r="B137" s="47"/>
      <c r="C137" s="50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  <c r="BK137" s="36"/>
      <c r="BL137" s="36"/>
      <c r="BM137" s="36"/>
      <c r="BN137" s="36"/>
      <c r="BO137" s="36"/>
      <c r="BP137" s="36"/>
      <c r="BQ137" s="36"/>
      <c r="BR137" s="36"/>
      <c r="BS137" s="36"/>
      <c r="BT137" s="36"/>
      <c r="BU137" s="36"/>
      <c r="BV137" s="36"/>
      <c r="BW137" s="36"/>
      <c r="BX137" s="36"/>
      <c r="BY137" s="36"/>
      <c r="BZ137" s="36"/>
      <c r="CA137" s="36"/>
      <c r="CB137" s="36"/>
      <c r="CC137" s="36"/>
      <c r="CD137" s="36"/>
      <c r="CE137" s="36"/>
      <c r="CF137" s="36"/>
      <c r="CG137" s="36"/>
      <c r="CH137" s="36"/>
      <c r="CI137" s="36"/>
      <c r="CJ137" s="36"/>
      <c r="CK137" s="36"/>
      <c r="CL137" s="36"/>
      <c r="CM137" s="36"/>
      <c r="CN137" s="36"/>
      <c r="CO137" s="36"/>
    </row>
    <row r="138">
      <c r="A138" s="36"/>
      <c r="B138" s="47"/>
      <c r="C138" s="50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  <c r="CD138" s="36"/>
      <c r="CE138" s="36"/>
      <c r="CF138" s="36"/>
      <c r="CG138" s="36"/>
      <c r="CH138" s="36"/>
      <c r="CI138" s="36"/>
      <c r="CJ138" s="36"/>
      <c r="CK138" s="36"/>
      <c r="CL138" s="36"/>
      <c r="CM138" s="36"/>
      <c r="CN138" s="36"/>
      <c r="CO138" s="36"/>
    </row>
    <row r="139">
      <c r="A139" s="36"/>
      <c r="B139" s="47"/>
      <c r="C139" s="50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  <c r="BR139" s="36"/>
      <c r="BS139" s="36"/>
      <c r="BT139" s="36"/>
      <c r="BU139" s="36"/>
      <c r="BV139" s="36"/>
      <c r="BW139" s="36"/>
      <c r="BX139" s="36"/>
      <c r="BY139" s="36"/>
      <c r="BZ139" s="36"/>
      <c r="CA139" s="36"/>
      <c r="CB139" s="36"/>
      <c r="CC139" s="36"/>
      <c r="CD139" s="36"/>
      <c r="CE139" s="36"/>
      <c r="CF139" s="36"/>
      <c r="CG139" s="36"/>
      <c r="CH139" s="36"/>
      <c r="CI139" s="36"/>
      <c r="CJ139" s="36"/>
      <c r="CK139" s="36"/>
      <c r="CL139" s="36"/>
      <c r="CM139" s="36"/>
      <c r="CN139" s="36"/>
      <c r="CO139" s="36"/>
    </row>
    <row r="140">
      <c r="A140" s="36"/>
      <c r="B140" s="47"/>
      <c r="C140" s="50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  <c r="CD140" s="36"/>
      <c r="CE140" s="36"/>
      <c r="CF140" s="36"/>
      <c r="CG140" s="36"/>
      <c r="CH140" s="36"/>
      <c r="CI140" s="36"/>
      <c r="CJ140" s="36"/>
      <c r="CK140" s="36"/>
      <c r="CL140" s="36"/>
      <c r="CM140" s="36"/>
      <c r="CN140" s="36"/>
      <c r="CO140" s="36"/>
    </row>
    <row r="141">
      <c r="A141" s="36"/>
      <c r="B141" s="47"/>
      <c r="C141" s="50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  <c r="BK141" s="36"/>
      <c r="BL141" s="36"/>
      <c r="BM141" s="36"/>
      <c r="BN141" s="36"/>
      <c r="BO141" s="36"/>
      <c r="BP141" s="36"/>
      <c r="BQ141" s="36"/>
      <c r="BR141" s="36"/>
      <c r="BS141" s="36"/>
      <c r="BT141" s="36"/>
      <c r="BU141" s="36"/>
      <c r="BV141" s="36"/>
      <c r="BW141" s="36"/>
      <c r="BX141" s="36"/>
      <c r="BY141" s="36"/>
      <c r="BZ141" s="36"/>
      <c r="CA141" s="36"/>
      <c r="CB141" s="36"/>
      <c r="CC141" s="36"/>
      <c r="CD141" s="36"/>
      <c r="CE141" s="36"/>
      <c r="CF141" s="36"/>
      <c r="CG141" s="36"/>
      <c r="CH141" s="36"/>
      <c r="CI141" s="36"/>
      <c r="CJ141" s="36"/>
      <c r="CK141" s="36"/>
      <c r="CL141" s="36"/>
      <c r="CM141" s="36"/>
      <c r="CN141" s="36"/>
      <c r="CO141" s="36"/>
    </row>
    <row r="142">
      <c r="A142" s="36"/>
      <c r="B142" s="47"/>
      <c r="C142" s="50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  <c r="CD142" s="36"/>
      <c r="CE142" s="36"/>
      <c r="CF142" s="36"/>
      <c r="CG142" s="36"/>
      <c r="CH142" s="36"/>
      <c r="CI142" s="36"/>
      <c r="CJ142" s="36"/>
      <c r="CK142" s="36"/>
      <c r="CL142" s="36"/>
      <c r="CM142" s="36"/>
      <c r="CN142" s="36"/>
      <c r="CO142" s="36"/>
    </row>
    <row r="143">
      <c r="A143" s="36"/>
      <c r="B143" s="47"/>
      <c r="C143" s="50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</row>
    <row r="144">
      <c r="A144" s="36"/>
      <c r="B144" s="47"/>
      <c r="C144" s="50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  <c r="CD144" s="36"/>
      <c r="CE144" s="36"/>
      <c r="CF144" s="36"/>
      <c r="CG144" s="36"/>
      <c r="CH144" s="36"/>
      <c r="CI144" s="36"/>
      <c r="CJ144" s="36"/>
      <c r="CK144" s="36"/>
      <c r="CL144" s="36"/>
      <c r="CM144" s="36"/>
      <c r="CN144" s="36"/>
      <c r="CO144" s="36"/>
    </row>
    <row r="145">
      <c r="A145" s="36"/>
      <c r="B145" s="47"/>
      <c r="C145" s="50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  <c r="BK145" s="36"/>
      <c r="BL145" s="36"/>
      <c r="BM145" s="36"/>
      <c r="BN145" s="36"/>
      <c r="BO145" s="36"/>
      <c r="BP145" s="36"/>
      <c r="BQ145" s="36"/>
      <c r="BR145" s="36"/>
      <c r="BS145" s="36"/>
      <c r="BT145" s="36"/>
      <c r="BU145" s="36"/>
      <c r="BV145" s="36"/>
      <c r="BW145" s="36"/>
      <c r="BX145" s="36"/>
      <c r="BY145" s="36"/>
      <c r="BZ145" s="36"/>
      <c r="CA145" s="36"/>
      <c r="CB145" s="36"/>
      <c r="CC145" s="36"/>
      <c r="CD145" s="36"/>
      <c r="CE145" s="36"/>
      <c r="CF145" s="36"/>
      <c r="CG145" s="36"/>
      <c r="CH145" s="36"/>
      <c r="CI145" s="36"/>
      <c r="CJ145" s="36"/>
      <c r="CK145" s="36"/>
      <c r="CL145" s="36"/>
      <c r="CM145" s="36"/>
      <c r="CN145" s="36"/>
      <c r="CO145" s="36"/>
    </row>
    <row r="146">
      <c r="A146" s="36"/>
      <c r="B146" s="47"/>
      <c r="C146" s="50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  <c r="CD146" s="36"/>
      <c r="CE146" s="36"/>
      <c r="CF146" s="36"/>
      <c r="CG146" s="36"/>
      <c r="CH146" s="36"/>
      <c r="CI146" s="36"/>
      <c r="CJ146" s="36"/>
      <c r="CK146" s="36"/>
      <c r="CL146" s="36"/>
      <c r="CM146" s="36"/>
      <c r="CN146" s="36"/>
      <c r="CO146" s="36"/>
    </row>
    <row r="147">
      <c r="A147" s="36"/>
      <c r="B147" s="47"/>
      <c r="C147" s="50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  <c r="BK147" s="36"/>
      <c r="BL147" s="36"/>
      <c r="BM147" s="36"/>
      <c r="BN147" s="36"/>
      <c r="BO147" s="36"/>
      <c r="BP147" s="36"/>
      <c r="BQ147" s="36"/>
      <c r="BR147" s="36"/>
      <c r="BS147" s="36"/>
      <c r="BT147" s="36"/>
      <c r="BU147" s="36"/>
      <c r="BV147" s="36"/>
      <c r="BW147" s="36"/>
      <c r="BX147" s="36"/>
      <c r="BY147" s="36"/>
      <c r="BZ147" s="36"/>
      <c r="CA147" s="36"/>
      <c r="CB147" s="36"/>
      <c r="CC147" s="36"/>
      <c r="CD147" s="36"/>
      <c r="CE147" s="36"/>
      <c r="CF147" s="36"/>
      <c r="CG147" s="36"/>
      <c r="CH147" s="36"/>
      <c r="CI147" s="36"/>
      <c r="CJ147" s="36"/>
      <c r="CK147" s="36"/>
      <c r="CL147" s="36"/>
      <c r="CM147" s="36"/>
      <c r="CN147" s="36"/>
      <c r="CO147" s="36"/>
    </row>
    <row r="148">
      <c r="A148" s="36"/>
      <c r="B148" s="47"/>
      <c r="C148" s="50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/>
      <c r="CN148" s="36"/>
      <c r="CO148" s="36"/>
    </row>
    <row r="149">
      <c r="A149" s="36"/>
      <c r="B149" s="47"/>
      <c r="C149" s="50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/>
      <c r="CN149" s="36"/>
      <c r="CO149" s="36"/>
    </row>
    <row r="150">
      <c r="A150" s="36"/>
      <c r="B150" s="47"/>
      <c r="C150" s="50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  <c r="CD150" s="36"/>
      <c r="CE150" s="36"/>
      <c r="CF150" s="36"/>
      <c r="CG150" s="36"/>
      <c r="CH150" s="36"/>
      <c r="CI150" s="36"/>
      <c r="CJ150" s="36"/>
      <c r="CK150" s="36"/>
      <c r="CL150" s="36"/>
      <c r="CM150" s="36"/>
      <c r="CN150" s="36"/>
      <c r="CO150" s="36"/>
    </row>
    <row r="151">
      <c r="A151" s="36"/>
      <c r="B151" s="47"/>
      <c r="C151" s="50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  <c r="BK151" s="36"/>
      <c r="BL151" s="36"/>
      <c r="BM151" s="36"/>
      <c r="BN151" s="36"/>
      <c r="BO151" s="36"/>
      <c r="BP151" s="36"/>
      <c r="BQ151" s="36"/>
      <c r="BR151" s="36"/>
      <c r="BS151" s="36"/>
      <c r="BT151" s="36"/>
      <c r="BU151" s="36"/>
      <c r="BV151" s="36"/>
      <c r="BW151" s="36"/>
      <c r="BX151" s="36"/>
      <c r="BY151" s="36"/>
      <c r="BZ151" s="36"/>
      <c r="CA151" s="36"/>
      <c r="CB151" s="36"/>
      <c r="CC151" s="36"/>
      <c r="CD151" s="36"/>
      <c r="CE151" s="36"/>
      <c r="CF151" s="36"/>
      <c r="CG151" s="36"/>
      <c r="CH151" s="36"/>
      <c r="CI151" s="36"/>
      <c r="CJ151" s="36"/>
      <c r="CK151" s="36"/>
      <c r="CL151" s="36"/>
      <c r="CM151" s="36"/>
      <c r="CN151" s="36"/>
      <c r="CO151" s="36"/>
    </row>
    <row r="152">
      <c r="A152" s="36"/>
      <c r="B152" s="47"/>
      <c r="C152" s="50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  <c r="CD152" s="36"/>
      <c r="CE152" s="36"/>
      <c r="CF152" s="36"/>
      <c r="CG152" s="36"/>
      <c r="CH152" s="36"/>
      <c r="CI152" s="36"/>
      <c r="CJ152" s="36"/>
      <c r="CK152" s="36"/>
      <c r="CL152" s="36"/>
      <c r="CM152" s="36"/>
      <c r="CN152" s="36"/>
      <c r="CO152" s="36"/>
    </row>
    <row r="153">
      <c r="A153" s="36"/>
      <c r="B153" s="47"/>
      <c r="C153" s="50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  <c r="BQ153" s="36"/>
      <c r="BR153" s="36"/>
      <c r="BS153" s="36"/>
      <c r="BT153" s="36"/>
      <c r="BU153" s="36"/>
      <c r="BV153" s="36"/>
      <c r="BW153" s="36"/>
      <c r="BX153" s="36"/>
      <c r="BY153" s="36"/>
      <c r="BZ153" s="36"/>
      <c r="CA153" s="36"/>
      <c r="CB153" s="36"/>
      <c r="CC153" s="36"/>
      <c r="CD153" s="36"/>
      <c r="CE153" s="36"/>
      <c r="CF153" s="36"/>
      <c r="CG153" s="36"/>
      <c r="CH153" s="36"/>
      <c r="CI153" s="36"/>
      <c r="CJ153" s="36"/>
      <c r="CK153" s="36"/>
      <c r="CL153" s="36"/>
      <c r="CM153" s="36"/>
      <c r="CN153" s="36"/>
      <c r="CO153" s="36"/>
    </row>
    <row r="154">
      <c r="A154" s="36"/>
      <c r="B154" s="47"/>
      <c r="C154" s="50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  <c r="CD154" s="36"/>
      <c r="CE154" s="36"/>
      <c r="CF154" s="36"/>
      <c r="CG154" s="36"/>
      <c r="CH154" s="36"/>
      <c r="CI154" s="36"/>
      <c r="CJ154" s="36"/>
      <c r="CK154" s="36"/>
      <c r="CL154" s="36"/>
      <c r="CM154" s="36"/>
      <c r="CN154" s="36"/>
      <c r="CO154" s="36"/>
    </row>
    <row r="155">
      <c r="A155" s="36"/>
      <c r="B155" s="47"/>
      <c r="C155" s="50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  <c r="BK155" s="36"/>
      <c r="BL155" s="36"/>
      <c r="BM155" s="36"/>
      <c r="BN155" s="36"/>
      <c r="BO155" s="36"/>
      <c r="BP155" s="36"/>
      <c r="BQ155" s="36"/>
      <c r="BR155" s="36"/>
      <c r="BS155" s="36"/>
      <c r="BT155" s="36"/>
      <c r="BU155" s="36"/>
      <c r="BV155" s="36"/>
      <c r="BW155" s="36"/>
      <c r="BX155" s="36"/>
      <c r="BY155" s="36"/>
      <c r="BZ155" s="36"/>
      <c r="CA155" s="36"/>
      <c r="CB155" s="36"/>
      <c r="CC155" s="36"/>
      <c r="CD155" s="36"/>
      <c r="CE155" s="36"/>
      <c r="CF155" s="36"/>
      <c r="CG155" s="36"/>
      <c r="CH155" s="36"/>
      <c r="CI155" s="36"/>
      <c r="CJ155" s="36"/>
      <c r="CK155" s="36"/>
      <c r="CL155" s="36"/>
      <c r="CM155" s="36"/>
      <c r="CN155" s="36"/>
      <c r="CO155" s="36"/>
    </row>
    <row r="156">
      <c r="A156" s="36"/>
      <c r="B156" s="47"/>
      <c r="C156" s="50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  <c r="CD156" s="36"/>
      <c r="CE156" s="36"/>
      <c r="CF156" s="36"/>
      <c r="CG156" s="36"/>
      <c r="CH156" s="36"/>
      <c r="CI156" s="36"/>
      <c r="CJ156" s="36"/>
      <c r="CK156" s="36"/>
      <c r="CL156" s="36"/>
      <c r="CM156" s="36"/>
      <c r="CN156" s="36"/>
      <c r="CO156" s="36"/>
    </row>
    <row r="157">
      <c r="A157" s="36"/>
      <c r="B157" s="47"/>
      <c r="C157" s="50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  <c r="BK157" s="36"/>
      <c r="BL157" s="36"/>
      <c r="BM157" s="36"/>
      <c r="BN157" s="36"/>
      <c r="BO157" s="36"/>
      <c r="BP157" s="36"/>
      <c r="BQ157" s="36"/>
      <c r="BR157" s="36"/>
      <c r="BS157" s="36"/>
      <c r="BT157" s="36"/>
      <c r="BU157" s="36"/>
      <c r="BV157" s="36"/>
      <c r="BW157" s="36"/>
      <c r="BX157" s="36"/>
      <c r="BY157" s="36"/>
      <c r="BZ157" s="36"/>
      <c r="CA157" s="36"/>
      <c r="CB157" s="36"/>
      <c r="CC157" s="36"/>
      <c r="CD157" s="36"/>
      <c r="CE157" s="36"/>
      <c r="CF157" s="36"/>
      <c r="CG157" s="36"/>
      <c r="CH157" s="36"/>
      <c r="CI157" s="36"/>
      <c r="CJ157" s="36"/>
      <c r="CK157" s="36"/>
      <c r="CL157" s="36"/>
      <c r="CM157" s="36"/>
      <c r="CN157" s="36"/>
      <c r="CO157" s="36"/>
    </row>
    <row r="158">
      <c r="A158" s="36"/>
      <c r="B158" s="47"/>
      <c r="C158" s="50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  <c r="CD158" s="36"/>
      <c r="CE158" s="36"/>
      <c r="CF158" s="36"/>
      <c r="CG158" s="36"/>
      <c r="CH158" s="36"/>
      <c r="CI158" s="36"/>
      <c r="CJ158" s="36"/>
      <c r="CK158" s="36"/>
      <c r="CL158" s="36"/>
      <c r="CM158" s="36"/>
      <c r="CN158" s="36"/>
      <c r="CO158" s="36"/>
    </row>
    <row r="159">
      <c r="A159" s="36"/>
      <c r="B159" s="47"/>
      <c r="C159" s="50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  <c r="BK159" s="36"/>
      <c r="BL159" s="36"/>
      <c r="BM159" s="36"/>
      <c r="BN159" s="36"/>
      <c r="BO159" s="36"/>
      <c r="BP159" s="36"/>
      <c r="BQ159" s="36"/>
      <c r="BR159" s="36"/>
      <c r="BS159" s="36"/>
      <c r="BT159" s="36"/>
      <c r="BU159" s="36"/>
      <c r="BV159" s="36"/>
      <c r="BW159" s="36"/>
      <c r="BX159" s="36"/>
      <c r="BY159" s="36"/>
      <c r="BZ159" s="36"/>
      <c r="CA159" s="36"/>
      <c r="CB159" s="36"/>
      <c r="CC159" s="36"/>
      <c r="CD159" s="36"/>
      <c r="CE159" s="36"/>
      <c r="CF159" s="36"/>
      <c r="CG159" s="36"/>
      <c r="CH159" s="36"/>
      <c r="CI159" s="36"/>
      <c r="CJ159" s="36"/>
      <c r="CK159" s="36"/>
      <c r="CL159" s="36"/>
      <c r="CM159" s="36"/>
      <c r="CN159" s="36"/>
      <c r="CO159" s="36"/>
    </row>
    <row r="160">
      <c r="A160" s="36"/>
      <c r="B160" s="47"/>
      <c r="C160" s="50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/>
      <c r="CJ160" s="36"/>
      <c r="CK160" s="36"/>
      <c r="CL160" s="36"/>
      <c r="CM160" s="36"/>
      <c r="CN160" s="36"/>
      <c r="CO160" s="36"/>
    </row>
    <row r="161">
      <c r="A161" s="36"/>
      <c r="B161" s="47"/>
      <c r="C161" s="50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  <c r="BK161" s="36"/>
      <c r="BL161" s="36"/>
      <c r="BM161" s="36"/>
      <c r="BN161" s="36"/>
      <c r="BO161" s="36"/>
      <c r="BP161" s="36"/>
      <c r="BQ161" s="36"/>
      <c r="BR161" s="36"/>
      <c r="BS161" s="36"/>
      <c r="BT161" s="36"/>
      <c r="BU161" s="36"/>
      <c r="BV161" s="36"/>
      <c r="BW161" s="36"/>
      <c r="BX161" s="36"/>
      <c r="BY161" s="36"/>
      <c r="BZ161" s="36"/>
      <c r="CA161" s="36"/>
      <c r="CB161" s="36"/>
      <c r="CC161" s="36"/>
      <c r="CD161" s="36"/>
      <c r="CE161" s="36"/>
      <c r="CF161" s="36"/>
      <c r="CG161" s="36"/>
      <c r="CH161" s="36"/>
      <c r="CI161" s="36"/>
      <c r="CJ161" s="36"/>
      <c r="CK161" s="36"/>
      <c r="CL161" s="36"/>
      <c r="CM161" s="36"/>
      <c r="CN161" s="36"/>
      <c r="CO161" s="36"/>
    </row>
    <row r="162">
      <c r="A162" s="36"/>
      <c r="B162" s="47"/>
      <c r="C162" s="50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  <c r="CD162" s="36"/>
      <c r="CE162" s="36"/>
      <c r="CF162" s="36"/>
      <c r="CG162" s="36"/>
      <c r="CH162" s="36"/>
      <c r="CI162" s="36"/>
      <c r="CJ162" s="36"/>
      <c r="CK162" s="36"/>
      <c r="CL162" s="36"/>
      <c r="CM162" s="36"/>
      <c r="CN162" s="36"/>
      <c r="CO162" s="36"/>
    </row>
    <row r="163">
      <c r="A163" s="36"/>
      <c r="B163" s="47"/>
      <c r="C163" s="50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  <c r="BK163" s="36"/>
      <c r="BL163" s="36"/>
      <c r="BM163" s="36"/>
      <c r="BN163" s="36"/>
      <c r="BO163" s="36"/>
      <c r="BP163" s="36"/>
      <c r="BQ163" s="36"/>
      <c r="BR163" s="36"/>
      <c r="BS163" s="36"/>
      <c r="BT163" s="36"/>
      <c r="BU163" s="36"/>
      <c r="BV163" s="36"/>
      <c r="BW163" s="36"/>
      <c r="BX163" s="36"/>
      <c r="BY163" s="36"/>
      <c r="BZ163" s="36"/>
      <c r="CA163" s="36"/>
      <c r="CB163" s="36"/>
      <c r="CC163" s="36"/>
      <c r="CD163" s="36"/>
      <c r="CE163" s="36"/>
      <c r="CF163" s="36"/>
      <c r="CG163" s="36"/>
      <c r="CH163" s="36"/>
      <c r="CI163" s="36"/>
      <c r="CJ163" s="36"/>
      <c r="CK163" s="36"/>
      <c r="CL163" s="36"/>
      <c r="CM163" s="36"/>
      <c r="CN163" s="36"/>
      <c r="CO163" s="36"/>
    </row>
    <row r="164">
      <c r="A164" s="36"/>
      <c r="B164" s="47"/>
      <c r="C164" s="50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  <c r="CD164" s="36"/>
      <c r="CE164" s="36"/>
      <c r="CF164" s="36"/>
      <c r="CG164" s="36"/>
      <c r="CH164" s="36"/>
      <c r="CI164" s="36"/>
      <c r="CJ164" s="36"/>
      <c r="CK164" s="36"/>
      <c r="CL164" s="36"/>
      <c r="CM164" s="36"/>
      <c r="CN164" s="36"/>
      <c r="CO164" s="36"/>
    </row>
    <row r="165">
      <c r="A165" s="36"/>
      <c r="B165" s="47"/>
      <c r="C165" s="50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  <c r="BK165" s="36"/>
      <c r="BL165" s="36"/>
      <c r="BM165" s="36"/>
      <c r="BN165" s="36"/>
      <c r="BO165" s="36"/>
      <c r="BP165" s="36"/>
      <c r="BQ165" s="36"/>
      <c r="BR165" s="36"/>
      <c r="BS165" s="36"/>
      <c r="BT165" s="36"/>
      <c r="BU165" s="36"/>
      <c r="BV165" s="36"/>
      <c r="BW165" s="36"/>
      <c r="BX165" s="36"/>
      <c r="BY165" s="36"/>
      <c r="BZ165" s="36"/>
      <c r="CA165" s="36"/>
      <c r="CB165" s="36"/>
      <c r="CC165" s="36"/>
      <c r="CD165" s="36"/>
      <c r="CE165" s="36"/>
      <c r="CF165" s="36"/>
      <c r="CG165" s="36"/>
      <c r="CH165" s="36"/>
      <c r="CI165" s="36"/>
      <c r="CJ165" s="36"/>
      <c r="CK165" s="36"/>
      <c r="CL165" s="36"/>
      <c r="CM165" s="36"/>
      <c r="CN165" s="36"/>
      <c r="CO165" s="36"/>
    </row>
    <row r="166">
      <c r="A166" s="36"/>
      <c r="B166" s="47"/>
      <c r="C166" s="50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  <c r="CD166" s="36"/>
      <c r="CE166" s="36"/>
      <c r="CF166" s="36"/>
      <c r="CG166" s="36"/>
      <c r="CH166" s="36"/>
      <c r="CI166" s="36"/>
      <c r="CJ166" s="36"/>
      <c r="CK166" s="36"/>
      <c r="CL166" s="36"/>
      <c r="CM166" s="36"/>
      <c r="CN166" s="36"/>
      <c r="CO166" s="36"/>
    </row>
    <row r="167">
      <c r="A167" s="36"/>
      <c r="B167" s="47"/>
      <c r="C167" s="50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  <c r="BK167" s="36"/>
      <c r="BL167" s="36"/>
      <c r="BM167" s="36"/>
      <c r="BN167" s="36"/>
      <c r="BO167" s="36"/>
      <c r="BP167" s="36"/>
      <c r="BQ167" s="36"/>
      <c r="BR167" s="36"/>
      <c r="BS167" s="36"/>
      <c r="BT167" s="36"/>
      <c r="BU167" s="36"/>
      <c r="BV167" s="36"/>
      <c r="BW167" s="36"/>
      <c r="BX167" s="36"/>
      <c r="BY167" s="36"/>
      <c r="BZ167" s="36"/>
      <c r="CA167" s="36"/>
      <c r="CB167" s="36"/>
      <c r="CC167" s="36"/>
      <c r="CD167" s="36"/>
      <c r="CE167" s="36"/>
      <c r="CF167" s="36"/>
      <c r="CG167" s="36"/>
      <c r="CH167" s="36"/>
      <c r="CI167" s="36"/>
      <c r="CJ167" s="36"/>
      <c r="CK167" s="36"/>
      <c r="CL167" s="36"/>
      <c r="CM167" s="36"/>
      <c r="CN167" s="36"/>
      <c r="CO167" s="36"/>
    </row>
    <row r="168">
      <c r="A168" s="36"/>
      <c r="B168" s="47"/>
      <c r="C168" s="50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  <c r="CD168" s="36"/>
      <c r="CE168" s="36"/>
      <c r="CF168" s="36"/>
      <c r="CG168" s="36"/>
      <c r="CH168" s="36"/>
      <c r="CI168" s="36"/>
      <c r="CJ168" s="36"/>
      <c r="CK168" s="36"/>
      <c r="CL168" s="36"/>
      <c r="CM168" s="36"/>
      <c r="CN168" s="36"/>
      <c r="CO168" s="36"/>
    </row>
    <row r="169">
      <c r="A169" s="36"/>
      <c r="B169" s="47"/>
      <c r="C169" s="50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  <c r="BK169" s="36"/>
      <c r="BL169" s="36"/>
      <c r="BM169" s="36"/>
      <c r="BN169" s="36"/>
      <c r="BO169" s="36"/>
      <c r="BP169" s="36"/>
      <c r="BQ169" s="36"/>
      <c r="BR169" s="36"/>
      <c r="BS169" s="36"/>
      <c r="BT169" s="36"/>
      <c r="BU169" s="36"/>
      <c r="BV169" s="36"/>
      <c r="BW169" s="36"/>
      <c r="BX169" s="36"/>
      <c r="BY169" s="36"/>
      <c r="BZ169" s="36"/>
      <c r="CA169" s="36"/>
      <c r="CB169" s="36"/>
      <c r="CC169" s="36"/>
      <c r="CD169" s="36"/>
      <c r="CE169" s="36"/>
      <c r="CF169" s="36"/>
      <c r="CG169" s="36"/>
      <c r="CH169" s="36"/>
      <c r="CI169" s="36"/>
      <c r="CJ169" s="36"/>
      <c r="CK169" s="36"/>
      <c r="CL169" s="36"/>
      <c r="CM169" s="36"/>
      <c r="CN169" s="36"/>
      <c r="CO169" s="36"/>
    </row>
    <row r="170">
      <c r="A170" s="36"/>
      <c r="B170" s="47"/>
      <c r="C170" s="50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  <c r="CD170" s="36"/>
      <c r="CE170" s="36"/>
      <c r="CF170" s="36"/>
      <c r="CG170" s="36"/>
      <c r="CH170" s="36"/>
      <c r="CI170" s="36"/>
      <c r="CJ170" s="36"/>
      <c r="CK170" s="36"/>
      <c r="CL170" s="36"/>
      <c r="CM170" s="36"/>
      <c r="CN170" s="36"/>
      <c r="CO170" s="36"/>
    </row>
    <row r="171">
      <c r="A171" s="36"/>
      <c r="B171" s="47"/>
      <c r="C171" s="50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  <c r="BK171" s="36"/>
      <c r="BL171" s="36"/>
      <c r="BM171" s="36"/>
      <c r="BN171" s="36"/>
      <c r="BO171" s="36"/>
      <c r="BP171" s="36"/>
      <c r="BQ171" s="36"/>
      <c r="BR171" s="36"/>
      <c r="BS171" s="36"/>
      <c r="BT171" s="36"/>
      <c r="BU171" s="36"/>
      <c r="BV171" s="36"/>
      <c r="BW171" s="36"/>
      <c r="BX171" s="36"/>
      <c r="BY171" s="36"/>
      <c r="BZ171" s="36"/>
      <c r="CA171" s="36"/>
      <c r="CB171" s="36"/>
      <c r="CC171" s="36"/>
      <c r="CD171" s="36"/>
      <c r="CE171" s="36"/>
      <c r="CF171" s="36"/>
      <c r="CG171" s="36"/>
      <c r="CH171" s="36"/>
      <c r="CI171" s="36"/>
      <c r="CJ171" s="36"/>
      <c r="CK171" s="36"/>
      <c r="CL171" s="36"/>
      <c r="CM171" s="36"/>
      <c r="CN171" s="36"/>
      <c r="CO171" s="36"/>
    </row>
    <row r="172">
      <c r="A172" s="36"/>
      <c r="B172" s="47"/>
      <c r="C172" s="50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</row>
    <row r="173">
      <c r="A173" s="36"/>
      <c r="B173" s="47"/>
      <c r="C173" s="50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  <c r="BK173" s="36"/>
      <c r="BL173" s="36"/>
      <c r="BM173" s="36"/>
      <c r="BN173" s="36"/>
      <c r="BO173" s="36"/>
      <c r="BP173" s="36"/>
      <c r="BQ173" s="36"/>
      <c r="BR173" s="36"/>
      <c r="BS173" s="36"/>
      <c r="BT173" s="36"/>
      <c r="BU173" s="36"/>
      <c r="BV173" s="36"/>
      <c r="BW173" s="36"/>
      <c r="BX173" s="36"/>
      <c r="BY173" s="36"/>
      <c r="BZ173" s="36"/>
      <c r="CA173" s="36"/>
      <c r="CB173" s="36"/>
      <c r="CC173" s="36"/>
      <c r="CD173" s="36"/>
      <c r="CE173" s="36"/>
      <c r="CF173" s="36"/>
      <c r="CG173" s="36"/>
      <c r="CH173" s="36"/>
      <c r="CI173" s="36"/>
      <c r="CJ173" s="36"/>
      <c r="CK173" s="36"/>
      <c r="CL173" s="36"/>
      <c r="CM173" s="36"/>
      <c r="CN173" s="36"/>
      <c r="CO173" s="36"/>
    </row>
    <row r="174">
      <c r="A174" s="36"/>
      <c r="B174" s="47"/>
      <c r="C174" s="50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  <c r="CD174" s="36"/>
      <c r="CE174" s="36"/>
      <c r="CF174" s="36"/>
      <c r="CG174" s="36"/>
      <c r="CH174" s="36"/>
      <c r="CI174" s="36"/>
      <c r="CJ174" s="36"/>
      <c r="CK174" s="36"/>
      <c r="CL174" s="36"/>
      <c r="CM174" s="36"/>
      <c r="CN174" s="36"/>
      <c r="CO174" s="36"/>
    </row>
    <row r="175">
      <c r="A175" s="36"/>
      <c r="B175" s="47"/>
      <c r="C175" s="50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  <c r="BK175" s="36"/>
      <c r="BL175" s="36"/>
      <c r="BM175" s="36"/>
      <c r="BN175" s="36"/>
      <c r="BO175" s="36"/>
      <c r="BP175" s="36"/>
      <c r="BQ175" s="36"/>
      <c r="BR175" s="36"/>
      <c r="BS175" s="36"/>
      <c r="BT175" s="36"/>
      <c r="BU175" s="36"/>
      <c r="BV175" s="36"/>
      <c r="BW175" s="36"/>
      <c r="BX175" s="36"/>
      <c r="BY175" s="36"/>
      <c r="BZ175" s="36"/>
      <c r="CA175" s="36"/>
      <c r="CB175" s="36"/>
      <c r="CC175" s="36"/>
      <c r="CD175" s="36"/>
      <c r="CE175" s="36"/>
      <c r="CF175" s="36"/>
      <c r="CG175" s="36"/>
      <c r="CH175" s="36"/>
      <c r="CI175" s="36"/>
      <c r="CJ175" s="36"/>
      <c r="CK175" s="36"/>
      <c r="CL175" s="36"/>
      <c r="CM175" s="36"/>
      <c r="CN175" s="36"/>
      <c r="CO175" s="36"/>
    </row>
    <row r="176">
      <c r="A176" s="36"/>
      <c r="B176" s="47"/>
      <c r="C176" s="50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  <c r="CD176" s="36"/>
      <c r="CE176" s="36"/>
      <c r="CF176" s="36"/>
      <c r="CG176" s="36"/>
      <c r="CH176" s="36"/>
      <c r="CI176" s="36"/>
      <c r="CJ176" s="36"/>
      <c r="CK176" s="36"/>
      <c r="CL176" s="36"/>
      <c r="CM176" s="36"/>
      <c r="CN176" s="36"/>
      <c r="CO176" s="36"/>
    </row>
    <row r="177">
      <c r="A177" s="36"/>
      <c r="B177" s="47"/>
      <c r="C177" s="50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  <c r="BK177" s="36"/>
      <c r="BL177" s="36"/>
      <c r="BM177" s="36"/>
      <c r="BN177" s="36"/>
      <c r="BO177" s="36"/>
      <c r="BP177" s="36"/>
      <c r="BQ177" s="36"/>
      <c r="BR177" s="36"/>
      <c r="BS177" s="36"/>
      <c r="BT177" s="36"/>
      <c r="BU177" s="36"/>
      <c r="BV177" s="36"/>
      <c r="BW177" s="36"/>
      <c r="BX177" s="36"/>
      <c r="BY177" s="36"/>
      <c r="BZ177" s="36"/>
      <c r="CA177" s="36"/>
      <c r="CB177" s="36"/>
      <c r="CC177" s="36"/>
      <c r="CD177" s="36"/>
      <c r="CE177" s="36"/>
      <c r="CF177" s="36"/>
      <c r="CG177" s="36"/>
      <c r="CH177" s="36"/>
      <c r="CI177" s="36"/>
      <c r="CJ177" s="36"/>
      <c r="CK177" s="36"/>
      <c r="CL177" s="36"/>
      <c r="CM177" s="36"/>
      <c r="CN177" s="36"/>
      <c r="CO177" s="36"/>
    </row>
    <row r="178">
      <c r="A178" s="36"/>
      <c r="B178" s="47"/>
      <c r="C178" s="50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  <c r="CD178" s="36"/>
      <c r="CE178" s="36"/>
      <c r="CF178" s="36"/>
      <c r="CG178" s="36"/>
      <c r="CH178" s="36"/>
      <c r="CI178" s="36"/>
      <c r="CJ178" s="36"/>
      <c r="CK178" s="36"/>
      <c r="CL178" s="36"/>
      <c r="CM178" s="36"/>
      <c r="CN178" s="36"/>
      <c r="CO178" s="36"/>
    </row>
    <row r="179">
      <c r="A179" s="36"/>
      <c r="B179" s="47"/>
      <c r="C179" s="50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  <c r="BK179" s="36"/>
      <c r="BL179" s="36"/>
      <c r="BM179" s="36"/>
      <c r="BN179" s="36"/>
      <c r="BO179" s="36"/>
      <c r="BP179" s="36"/>
      <c r="BQ179" s="36"/>
      <c r="BR179" s="36"/>
      <c r="BS179" s="36"/>
      <c r="BT179" s="36"/>
      <c r="BU179" s="36"/>
      <c r="BV179" s="36"/>
      <c r="BW179" s="36"/>
      <c r="BX179" s="36"/>
      <c r="BY179" s="36"/>
      <c r="BZ179" s="36"/>
      <c r="CA179" s="36"/>
      <c r="CB179" s="36"/>
      <c r="CC179" s="36"/>
      <c r="CD179" s="36"/>
      <c r="CE179" s="36"/>
      <c r="CF179" s="36"/>
      <c r="CG179" s="36"/>
      <c r="CH179" s="36"/>
      <c r="CI179" s="36"/>
      <c r="CJ179" s="36"/>
      <c r="CK179" s="36"/>
      <c r="CL179" s="36"/>
      <c r="CM179" s="36"/>
      <c r="CN179" s="36"/>
      <c r="CO179" s="36"/>
    </row>
    <row r="180">
      <c r="A180" s="36"/>
      <c r="B180" s="47"/>
      <c r="C180" s="50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  <c r="CD180" s="36"/>
      <c r="CE180" s="36"/>
      <c r="CF180" s="36"/>
      <c r="CG180" s="36"/>
      <c r="CH180" s="36"/>
      <c r="CI180" s="36"/>
      <c r="CJ180" s="36"/>
      <c r="CK180" s="36"/>
      <c r="CL180" s="36"/>
      <c r="CM180" s="36"/>
      <c r="CN180" s="36"/>
      <c r="CO180" s="36"/>
    </row>
    <row r="181">
      <c r="A181" s="36"/>
      <c r="B181" s="47"/>
      <c r="C181" s="50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  <c r="BK181" s="36"/>
      <c r="BL181" s="36"/>
      <c r="BM181" s="36"/>
      <c r="BN181" s="36"/>
      <c r="BO181" s="36"/>
      <c r="BP181" s="36"/>
      <c r="BQ181" s="36"/>
      <c r="BR181" s="36"/>
      <c r="BS181" s="36"/>
      <c r="BT181" s="36"/>
      <c r="BU181" s="36"/>
      <c r="BV181" s="36"/>
      <c r="BW181" s="36"/>
      <c r="BX181" s="36"/>
      <c r="BY181" s="36"/>
      <c r="BZ181" s="36"/>
      <c r="CA181" s="36"/>
      <c r="CB181" s="36"/>
      <c r="CC181" s="36"/>
      <c r="CD181" s="36"/>
      <c r="CE181" s="36"/>
      <c r="CF181" s="36"/>
      <c r="CG181" s="36"/>
      <c r="CH181" s="36"/>
      <c r="CI181" s="36"/>
      <c r="CJ181" s="36"/>
      <c r="CK181" s="36"/>
      <c r="CL181" s="36"/>
      <c r="CM181" s="36"/>
      <c r="CN181" s="36"/>
      <c r="CO181" s="36"/>
    </row>
    <row r="182">
      <c r="A182" s="36"/>
      <c r="B182" s="47"/>
      <c r="C182" s="50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  <c r="CD182" s="36"/>
      <c r="CE182" s="36"/>
      <c r="CF182" s="36"/>
      <c r="CG182" s="36"/>
      <c r="CH182" s="36"/>
      <c r="CI182" s="36"/>
      <c r="CJ182" s="36"/>
      <c r="CK182" s="36"/>
      <c r="CL182" s="36"/>
      <c r="CM182" s="36"/>
      <c r="CN182" s="36"/>
      <c r="CO182" s="36"/>
    </row>
    <row r="183">
      <c r="A183" s="36"/>
      <c r="B183" s="47"/>
      <c r="C183" s="50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  <c r="BK183" s="36"/>
      <c r="BL183" s="36"/>
      <c r="BM183" s="36"/>
      <c r="BN183" s="36"/>
      <c r="BO183" s="36"/>
      <c r="BP183" s="36"/>
      <c r="BQ183" s="36"/>
      <c r="BR183" s="36"/>
      <c r="BS183" s="36"/>
      <c r="BT183" s="36"/>
      <c r="BU183" s="36"/>
      <c r="BV183" s="36"/>
      <c r="BW183" s="36"/>
      <c r="BX183" s="36"/>
      <c r="BY183" s="36"/>
      <c r="BZ183" s="36"/>
      <c r="CA183" s="36"/>
      <c r="CB183" s="36"/>
      <c r="CC183" s="36"/>
      <c r="CD183" s="36"/>
      <c r="CE183" s="36"/>
      <c r="CF183" s="36"/>
      <c r="CG183" s="36"/>
      <c r="CH183" s="36"/>
      <c r="CI183" s="36"/>
      <c r="CJ183" s="36"/>
      <c r="CK183" s="36"/>
      <c r="CL183" s="36"/>
      <c r="CM183" s="36"/>
      <c r="CN183" s="36"/>
      <c r="CO183" s="36"/>
    </row>
    <row r="184">
      <c r="A184" s="36"/>
      <c r="B184" s="47"/>
      <c r="C184" s="50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  <c r="CD184" s="36"/>
      <c r="CE184" s="36"/>
      <c r="CF184" s="36"/>
      <c r="CG184" s="36"/>
      <c r="CH184" s="36"/>
      <c r="CI184" s="36"/>
      <c r="CJ184" s="36"/>
      <c r="CK184" s="36"/>
      <c r="CL184" s="36"/>
      <c r="CM184" s="36"/>
      <c r="CN184" s="36"/>
      <c r="CO184" s="36"/>
    </row>
    <row r="185">
      <c r="A185" s="36"/>
      <c r="B185" s="47"/>
      <c r="C185" s="50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  <c r="BK185" s="36"/>
      <c r="BL185" s="36"/>
      <c r="BM185" s="36"/>
      <c r="BN185" s="36"/>
      <c r="BO185" s="36"/>
      <c r="BP185" s="36"/>
      <c r="BQ185" s="36"/>
      <c r="BR185" s="36"/>
      <c r="BS185" s="36"/>
      <c r="BT185" s="36"/>
      <c r="BU185" s="36"/>
      <c r="BV185" s="36"/>
      <c r="BW185" s="36"/>
      <c r="BX185" s="36"/>
      <c r="BY185" s="36"/>
      <c r="BZ185" s="36"/>
      <c r="CA185" s="36"/>
      <c r="CB185" s="36"/>
      <c r="CC185" s="36"/>
      <c r="CD185" s="36"/>
      <c r="CE185" s="36"/>
      <c r="CF185" s="36"/>
      <c r="CG185" s="36"/>
      <c r="CH185" s="36"/>
      <c r="CI185" s="36"/>
      <c r="CJ185" s="36"/>
      <c r="CK185" s="36"/>
      <c r="CL185" s="36"/>
      <c r="CM185" s="36"/>
      <c r="CN185" s="36"/>
      <c r="CO185" s="36"/>
    </row>
    <row r="186">
      <c r="A186" s="36"/>
      <c r="B186" s="47"/>
      <c r="C186" s="50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  <c r="CD186" s="36"/>
      <c r="CE186" s="36"/>
      <c r="CF186" s="36"/>
      <c r="CG186" s="36"/>
      <c r="CH186" s="36"/>
      <c r="CI186" s="36"/>
      <c r="CJ186" s="36"/>
      <c r="CK186" s="36"/>
      <c r="CL186" s="36"/>
      <c r="CM186" s="36"/>
      <c r="CN186" s="36"/>
      <c r="CO186" s="36"/>
    </row>
    <row r="187">
      <c r="A187" s="36"/>
      <c r="B187" s="47"/>
      <c r="C187" s="50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  <c r="BK187" s="36"/>
      <c r="BL187" s="36"/>
      <c r="BM187" s="36"/>
      <c r="BN187" s="36"/>
      <c r="BO187" s="36"/>
      <c r="BP187" s="36"/>
      <c r="BQ187" s="36"/>
      <c r="BR187" s="36"/>
      <c r="BS187" s="36"/>
      <c r="BT187" s="36"/>
      <c r="BU187" s="36"/>
      <c r="BV187" s="36"/>
      <c r="BW187" s="36"/>
      <c r="BX187" s="36"/>
      <c r="BY187" s="36"/>
      <c r="BZ187" s="36"/>
      <c r="CA187" s="36"/>
      <c r="CB187" s="36"/>
      <c r="CC187" s="36"/>
      <c r="CD187" s="36"/>
      <c r="CE187" s="36"/>
      <c r="CF187" s="36"/>
      <c r="CG187" s="36"/>
      <c r="CH187" s="36"/>
      <c r="CI187" s="36"/>
      <c r="CJ187" s="36"/>
      <c r="CK187" s="36"/>
      <c r="CL187" s="36"/>
      <c r="CM187" s="36"/>
      <c r="CN187" s="36"/>
      <c r="CO187" s="36"/>
    </row>
    <row r="188">
      <c r="A188" s="36"/>
      <c r="B188" s="47"/>
      <c r="C188" s="50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  <c r="CD188" s="36"/>
      <c r="CE188" s="36"/>
      <c r="CF188" s="36"/>
      <c r="CG188" s="36"/>
      <c r="CH188" s="36"/>
      <c r="CI188" s="36"/>
      <c r="CJ188" s="36"/>
      <c r="CK188" s="36"/>
      <c r="CL188" s="36"/>
      <c r="CM188" s="36"/>
      <c r="CN188" s="36"/>
      <c r="CO188" s="36"/>
    </row>
    <row r="189">
      <c r="A189" s="36"/>
      <c r="B189" s="47"/>
      <c r="C189" s="50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  <c r="BK189" s="36"/>
      <c r="BL189" s="36"/>
      <c r="BM189" s="36"/>
      <c r="BN189" s="36"/>
      <c r="BO189" s="36"/>
      <c r="BP189" s="36"/>
      <c r="BQ189" s="36"/>
      <c r="BR189" s="36"/>
      <c r="BS189" s="36"/>
      <c r="BT189" s="36"/>
      <c r="BU189" s="36"/>
      <c r="BV189" s="36"/>
      <c r="BW189" s="36"/>
      <c r="BX189" s="36"/>
      <c r="BY189" s="36"/>
      <c r="BZ189" s="36"/>
      <c r="CA189" s="36"/>
      <c r="CB189" s="36"/>
      <c r="CC189" s="36"/>
      <c r="CD189" s="36"/>
      <c r="CE189" s="36"/>
      <c r="CF189" s="36"/>
      <c r="CG189" s="36"/>
      <c r="CH189" s="36"/>
      <c r="CI189" s="36"/>
      <c r="CJ189" s="36"/>
      <c r="CK189" s="36"/>
      <c r="CL189" s="36"/>
      <c r="CM189" s="36"/>
      <c r="CN189" s="36"/>
      <c r="CO189" s="36"/>
    </row>
    <row r="190">
      <c r="A190" s="36"/>
      <c r="B190" s="47"/>
      <c r="C190" s="50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  <c r="CD190" s="36"/>
      <c r="CE190" s="36"/>
      <c r="CF190" s="36"/>
      <c r="CG190" s="36"/>
      <c r="CH190" s="36"/>
      <c r="CI190" s="36"/>
      <c r="CJ190" s="36"/>
      <c r="CK190" s="36"/>
      <c r="CL190" s="36"/>
      <c r="CM190" s="36"/>
      <c r="CN190" s="36"/>
      <c r="CO190" s="36"/>
    </row>
    <row r="191">
      <c r="A191" s="36"/>
      <c r="B191" s="47"/>
      <c r="C191" s="50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  <c r="BK191" s="36"/>
      <c r="BL191" s="36"/>
      <c r="BM191" s="36"/>
      <c r="BN191" s="36"/>
      <c r="BO191" s="36"/>
      <c r="BP191" s="36"/>
      <c r="BQ191" s="36"/>
      <c r="BR191" s="36"/>
      <c r="BS191" s="36"/>
      <c r="BT191" s="36"/>
      <c r="BU191" s="36"/>
      <c r="BV191" s="36"/>
      <c r="BW191" s="36"/>
      <c r="BX191" s="36"/>
      <c r="BY191" s="36"/>
      <c r="BZ191" s="36"/>
      <c r="CA191" s="36"/>
      <c r="CB191" s="36"/>
      <c r="CC191" s="36"/>
      <c r="CD191" s="36"/>
      <c r="CE191" s="36"/>
      <c r="CF191" s="36"/>
      <c r="CG191" s="36"/>
      <c r="CH191" s="36"/>
      <c r="CI191" s="36"/>
      <c r="CJ191" s="36"/>
      <c r="CK191" s="36"/>
      <c r="CL191" s="36"/>
      <c r="CM191" s="36"/>
      <c r="CN191" s="36"/>
      <c r="CO191" s="36"/>
    </row>
    <row r="192">
      <c r="A192" s="36"/>
      <c r="B192" s="47"/>
      <c r="C192" s="50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  <c r="CD192" s="36"/>
      <c r="CE192" s="36"/>
      <c r="CF192" s="36"/>
      <c r="CG192" s="36"/>
      <c r="CH192" s="36"/>
      <c r="CI192" s="36"/>
      <c r="CJ192" s="36"/>
      <c r="CK192" s="36"/>
      <c r="CL192" s="36"/>
      <c r="CM192" s="36"/>
      <c r="CN192" s="36"/>
      <c r="CO192" s="36"/>
    </row>
    <row r="193">
      <c r="A193" s="36"/>
      <c r="B193" s="47"/>
      <c r="C193" s="50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  <c r="BK193" s="36"/>
      <c r="BL193" s="36"/>
      <c r="BM193" s="36"/>
      <c r="BN193" s="36"/>
      <c r="BO193" s="36"/>
      <c r="BP193" s="36"/>
      <c r="BQ193" s="36"/>
      <c r="BR193" s="36"/>
      <c r="BS193" s="36"/>
      <c r="BT193" s="36"/>
      <c r="BU193" s="36"/>
      <c r="BV193" s="36"/>
      <c r="BW193" s="36"/>
      <c r="BX193" s="36"/>
      <c r="BY193" s="36"/>
      <c r="BZ193" s="36"/>
      <c r="CA193" s="36"/>
      <c r="CB193" s="36"/>
      <c r="CC193" s="36"/>
      <c r="CD193" s="36"/>
      <c r="CE193" s="36"/>
      <c r="CF193" s="36"/>
      <c r="CG193" s="36"/>
      <c r="CH193" s="36"/>
      <c r="CI193" s="36"/>
      <c r="CJ193" s="36"/>
      <c r="CK193" s="36"/>
      <c r="CL193" s="36"/>
      <c r="CM193" s="36"/>
      <c r="CN193" s="36"/>
      <c r="CO193" s="36"/>
    </row>
    <row r="194">
      <c r="A194" s="36"/>
      <c r="B194" s="47"/>
      <c r="C194" s="50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  <c r="CD194" s="36"/>
      <c r="CE194" s="36"/>
      <c r="CF194" s="36"/>
      <c r="CG194" s="36"/>
      <c r="CH194" s="36"/>
      <c r="CI194" s="36"/>
      <c r="CJ194" s="36"/>
      <c r="CK194" s="36"/>
      <c r="CL194" s="36"/>
      <c r="CM194" s="36"/>
      <c r="CN194" s="36"/>
      <c r="CO194" s="36"/>
    </row>
    <row r="195">
      <c r="A195" s="36"/>
      <c r="B195" s="47"/>
      <c r="C195" s="50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  <c r="BK195" s="36"/>
      <c r="BL195" s="36"/>
      <c r="BM195" s="36"/>
      <c r="BN195" s="36"/>
      <c r="BO195" s="36"/>
      <c r="BP195" s="36"/>
      <c r="BQ195" s="36"/>
      <c r="BR195" s="36"/>
      <c r="BS195" s="36"/>
      <c r="BT195" s="36"/>
      <c r="BU195" s="36"/>
      <c r="BV195" s="36"/>
      <c r="BW195" s="36"/>
      <c r="BX195" s="36"/>
      <c r="BY195" s="36"/>
      <c r="BZ195" s="36"/>
      <c r="CA195" s="36"/>
      <c r="CB195" s="36"/>
      <c r="CC195" s="36"/>
      <c r="CD195" s="36"/>
      <c r="CE195" s="36"/>
      <c r="CF195" s="36"/>
      <c r="CG195" s="36"/>
      <c r="CH195" s="36"/>
      <c r="CI195" s="36"/>
      <c r="CJ195" s="36"/>
      <c r="CK195" s="36"/>
      <c r="CL195" s="36"/>
      <c r="CM195" s="36"/>
      <c r="CN195" s="36"/>
      <c r="CO195" s="36"/>
    </row>
    <row r="196">
      <c r="A196" s="36"/>
      <c r="B196" s="47"/>
      <c r="C196" s="50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  <c r="CD196" s="36"/>
      <c r="CE196" s="36"/>
      <c r="CF196" s="36"/>
      <c r="CG196" s="36"/>
      <c r="CH196" s="36"/>
      <c r="CI196" s="36"/>
      <c r="CJ196" s="36"/>
      <c r="CK196" s="36"/>
      <c r="CL196" s="36"/>
      <c r="CM196" s="36"/>
      <c r="CN196" s="36"/>
      <c r="CO196" s="36"/>
    </row>
    <row r="197">
      <c r="A197" s="36"/>
      <c r="B197" s="47"/>
      <c r="C197" s="50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  <c r="BK197" s="36"/>
      <c r="BL197" s="36"/>
      <c r="BM197" s="36"/>
      <c r="BN197" s="36"/>
      <c r="BO197" s="36"/>
      <c r="BP197" s="36"/>
      <c r="BQ197" s="36"/>
      <c r="BR197" s="36"/>
      <c r="BS197" s="36"/>
      <c r="BT197" s="36"/>
      <c r="BU197" s="36"/>
      <c r="BV197" s="36"/>
      <c r="BW197" s="36"/>
      <c r="BX197" s="36"/>
      <c r="BY197" s="36"/>
      <c r="BZ197" s="36"/>
      <c r="CA197" s="36"/>
      <c r="CB197" s="36"/>
      <c r="CC197" s="36"/>
      <c r="CD197" s="36"/>
      <c r="CE197" s="36"/>
      <c r="CF197" s="36"/>
      <c r="CG197" s="36"/>
      <c r="CH197" s="36"/>
      <c r="CI197" s="36"/>
      <c r="CJ197" s="36"/>
      <c r="CK197" s="36"/>
      <c r="CL197" s="36"/>
      <c r="CM197" s="36"/>
      <c r="CN197" s="36"/>
      <c r="CO197" s="36"/>
    </row>
    <row r="198">
      <c r="A198" s="36"/>
      <c r="B198" s="47"/>
      <c r="C198" s="50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  <c r="CD198" s="36"/>
      <c r="CE198" s="36"/>
      <c r="CF198" s="36"/>
      <c r="CG198" s="36"/>
      <c r="CH198" s="36"/>
      <c r="CI198" s="36"/>
      <c r="CJ198" s="36"/>
      <c r="CK198" s="36"/>
      <c r="CL198" s="36"/>
      <c r="CM198" s="36"/>
      <c r="CN198" s="36"/>
      <c r="CO198" s="36"/>
    </row>
    <row r="199">
      <c r="A199" s="36"/>
      <c r="B199" s="47"/>
      <c r="C199" s="50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  <c r="BK199" s="36"/>
      <c r="BL199" s="36"/>
      <c r="BM199" s="36"/>
      <c r="BN199" s="36"/>
      <c r="BO199" s="36"/>
      <c r="BP199" s="36"/>
      <c r="BQ199" s="36"/>
      <c r="BR199" s="36"/>
      <c r="BS199" s="36"/>
      <c r="BT199" s="36"/>
      <c r="BU199" s="36"/>
      <c r="BV199" s="36"/>
      <c r="BW199" s="36"/>
      <c r="BX199" s="36"/>
      <c r="BY199" s="36"/>
      <c r="BZ199" s="36"/>
      <c r="CA199" s="36"/>
      <c r="CB199" s="36"/>
      <c r="CC199" s="36"/>
      <c r="CD199" s="36"/>
      <c r="CE199" s="36"/>
      <c r="CF199" s="36"/>
      <c r="CG199" s="36"/>
      <c r="CH199" s="36"/>
      <c r="CI199" s="36"/>
      <c r="CJ199" s="36"/>
      <c r="CK199" s="36"/>
      <c r="CL199" s="36"/>
      <c r="CM199" s="36"/>
      <c r="CN199" s="36"/>
      <c r="CO199" s="36"/>
    </row>
    <row r="200">
      <c r="A200" s="36"/>
      <c r="B200" s="47"/>
      <c r="C200" s="50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  <c r="CD200" s="36"/>
      <c r="CE200" s="36"/>
      <c r="CF200" s="36"/>
      <c r="CG200" s="36"/>
      <c r="CH200" s="36"/>
      <c r="CI200" s="36"/>
      <c r="CJ200" s="36"/>
      <c r="CK200" s="36"/>
      <c r="CL200" s="36"/>
      <c r="CM200" s="36"/>
      <c r="CN200" s="36"/>
      <c r="CO200" s="36"/>
    </row>
    <row r="201">
      <c r="A201" s="36"/>
      <c r="B201" s="47"/>
      <c r="C201" s="50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  <c r="BK201" s="36"/>
      <c r="BL201" s="36"/>
      <c r="BM201" s="36"/>
      <c r="BN201" s="36"/>
      <c r="BO201" s="36"/>
      <c r="BP201" s="36"/>
      <c r="BQ201" s="36"/>
      <c r="BR201" s="36"/>
      <c r="BS201" s="36"/>
      <c r="BT201" s="36"/>
      <c r="BU201" s="36"/>
      <c r="BV201" s="36"/>
      <c r="BW201" s="36"/>
      <c r="BX201" s="36"/>
      <c r="BY201" s="36"/>
      <c r="BZ201" s="36"/>
      <c r="CA201" s="36"/>
      <c r="CB201" s="36"/>
      <c r="CC201" s="36"/>
      <c r="CD201" s="36"/>
      <c r="CE201" s="36"/>
      <c r="CF201" s="36"/>
      <c r="CG201" s="36"/>
      <c r="CH201" s="36"/>
      <c r="CI201" s="36"/>
      <c r="CJ201" s="36"/>
      <c r="CK201" s="36"/>
      <c r="CL201" s="36"/>
      <c r="CM201" s="36"/>
      <c r="CN201" s="36"/>
      <c r="CO201" s="36"/>
    </row>
    <row r="202">
      <c r="A202" s="36"/>
      <c r="B202" s="47"/>
      <c r="C202" s="50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  <c r="CD202" s="36"/>
      <c r="CE202" s="36"/>
      <c r="CF202" s="36"/>
      <c r="CG202" s="36"/>
      <c r="CH202" s="36"/>
      <c r="CI202" s="36"/>
      <c r="CJ202" s="36"/>
      <c r="CK202" s="36"/>
      <c r="CL202" s="36"/>
      <c r="CM202" s="36"/>
      <c r="CN202" s="36"/>
      <c r="CO202" s="36"/>
    </row>
    <row r="203">
      <c r="A203" s="36"/>
      <c r="B203" s="47"/>
      <c r="C203" s="50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  <c r="BK203" s="36"/>
      <c r="BL203" s="36"/>
      <c r="BM203" s="36"/>
      <c r="BN203" s="36"/>
      <c r="BO203" s="36"/>
      <c r="BP203" s="36"/>
      <c r="BQ203" s="36"/>
      <c r="BR203" s="36"/>
      <c r="BS203" s="36"/>
      <c r="BT203" s="36"/>
      <c r="BU203" s="36"/>
      <c r="BV203" s="36"/>
      <c r="BW203" s="36"/>
      <c r="BX203" s="36"/>
      <c r="BY203" s="36"/>
      <c r="BZ203" s="36"/>
      <c r="CA203" s="36"/>
      <c r="CB203" s="36"/>
      <c r="CC203" s="36"/>
      <c r="CD203" s="36"/>
      <c r="CE203" s="36"/>
      <c r="CF203" s="36"/>
      <c r="CG203" s="36"/>
      <c r="CH203" s="36"/>
      <c r="CI203" s="36"/>
      <c r="CJ203" s="36"/>
      <c r="CK203" s="36"/>
      <c r="CL203" s="36"/>
      <c r="CM203" s="36"/>
      <c r="CN203" s="36"/>
      <c r="CO203" s="36"/>
    </row>
    <row r="204">
      <c r="A204" s="36"/>
      <c r="B204" s="47"/>
      <c r="C204" s="50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  <c r="CD204" s="36"/>
      <c r="CE204" s="36"/>
      <c r="CF204" s="36"/>
      <c r="CG204" s="36"/>
      <c r="CH204" s="36"/>
      <c r="CI204" s="36"/>
      <c r="CJ204" s="36"/>
      <c r="CK204" s="36"/>
      <c r="CL204" s="36"/>
      <c r="CM204" s="36"/>
      <c r="CN204" s="36"/>
      <c r="CO204" s="36"/>
    </row>
    <row r="205">
      <c r="A205" s="36"/>
      <c r="B205" s="47"/>
      <c r="C205" s="50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  <c r="BK205" s="36"/>
      <c r="BL205" s="36"/>
      <c r="BM205" s="36"/>
      <c r="BN205" s="36"/>
      <c r="BO205" s="36"/>
      <c r="BP205" s="36"/>
      <c r="BQ205" s="36"/>
      <c r="BR205" s="36"/>
      <c r="BS205" s="36"/>
      <c r="BT205" s="36"/>
      <c r="BU205" s="36"/>
      <c r="BV205" s="36"/>
      <c r="BW205" s="36"/>
      <c r="BX205" s="36"/>
      <c r="BY205" s="36"/>
      <c r="BZ205" s="36"/>
      <c r="CA205" s="36"/>
      <c r="CB205" s="36"/>
      <c r="CC205" s="36"/>
      <c r="CD205" s="36"/>
      <c r="CE205" s="36"/>
      <c r="CF205" s="36"/>
      <c r="CG205" s="36"/>
      <c r="CH205" s="36"/>
      <c r="CI205" s="36"/>
      <c r="CJ205" s="36"/>
      <c r="CK205" s="36"/>
      <c r="CL205" s="36"/>
      <c r="CM205" s="36"/>
      <c r="CN205" s="36"/>
      <c r="CO205" s="36"/>
    </row>
    <row r="206">
      <c r="A206" s="36"/>
      <c r="B206" s="47"/>
      <c r="C206" s="50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</row>
    <row r="207">
      <c r="A207" s="36"/>
      <c r="B207" s="47"/>
      <c r="C207" s="50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</row>
    <row r="208">
      <c r="A208" s="36"/>
      <c r="B208" s="47"/>
      <c r="C208" s="50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</row>
    <row r="209">
      <c r="A209" s="36"/>
      <c r="B209" s="47"/>
      <c r="C209" s="50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</row>
    <row r="210">
      <c r="A210" s="36"/>
      <c r="B210" s="47"/>
      <c r="C210" s="50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</row>
    <row r="211">
      <c r="A211" s="36"/>
      <c r="B211" s="47"/>
      <c r="C211" s="50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</row>
    <row r="212">
      <c r="A212" s="36"/>
      <c r="B212" s="47"/>
      <c r="C212" s="50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</row>
    <row r="213">
      <c r="A213" s="36"/>
      <c r="B213" s="47"/>
      <c r="C213" s="50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</row>
    <row r="214">
      <c r="A214" s="36"/>
      <c r="B214" s="47"/>
      <c r="C214" s="50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</row>
    <row r="215">
      <c r="A215" s="36"/>
      <c r="B215" s="47"/>
      <c r="C215" s="50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</row>
    <row r="216">
      <c r="A216" s="36"/>
      <c r="B216" s="47"/>
      <c r="C216" s="50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</row>
    <row r="217">
      <c r="A217" s="36"/>
      <c r="B217" s="47"/>
      <c r="C217" s="50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</row>
    <row r="218">
      <c r="A218" s="36"/>
      <c r="B218" s="47"/>
      <c r="C218" s="50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</row>
    <row r="219">
      <c r="A219" s="36"/>
      <c r="B219" s="47"/>
      <c r="C219" s="50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</row>
    <row r="220">
      <c r="A220" s="36"/>
      <c r="B220" s="47"/>
      <c r="C220" s="50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</row>
    <row r="221">
      <c r="A221" s="36"/>
      <c r="B221" s="47"/>
      <c r="C221" s="50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</row>
    <row r="222">
      <c r="A222" s="36"/>
      <c r="B222" s="47"/>
      <c r="C222" s="50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</row>
    <row r="223">
      <c r="A223" s="36"/>
      <c r="B223" s="47"/>
      <c r="C223" s="50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</row>
    <row r="224">
      <c r="A224" s="36"/>
      <c r="B224" s="47"/>
      <c r="C224" s="50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</row>
    <row r="225">
      <c r="A225" s="36"/>
      <c r="B225" s="47"/>
      <c r="C225" s="50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</row>
    <row r="226">
      <c r="A226" s="36"/>
      <c r="B226" s="47"/>
      <c r="C226" s="50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</row>
    <row r="227">
      <c r="A227" s="36"/>
      <c r="B227" s="47"/>
      <c r="C227" s="50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</row>
    <row r="228">
      <c r="A228" s="36"/>
      <c r="B228" s="47"/>
      <c r="C228" s="50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</row>
    <row r="229">
      <c r="A229" s="36"/>
      <c r="B229" s="47"/>
      <c r="C229" s="50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</row>
    <row r="230">
      <c r="A230" s="36"/>
      <c r="B230" s="47"/>
      <c r="C230" s="50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</row>
    <row r="231">
      <c r="A231" s="36"/>
      <c r="B231" s="47"/>
      <c r="C231" s="50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</row>
    <row r="232">
      <c r="A232" s="36"/>
      <c r="B232" s="47"/>
      <c r="C232" s="50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</row>
    <row r="233">
      <c r="A233" s="36"/>
      <c r="B233" s="47"/>
      <c r="C233" s="50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</row>
    <row r="234">
      <c r="A234" s="36"/>
      <c r="B234" s="47"/>
      <c r="C234" s="50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</row>
    <row r="235">
      <c r="A235" s="36"/>
      <c r="B235" s="47"/>
      <c r="C235" s="50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</row>
    <row r="236">
      <c r="A236" s="36"/>
      <c r="B236" s="47"/>
      <c r="C236" s="50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</row>
    <row r="237">
      <c r="A237" s="36"/>
      <c r="B237" s="47"/>
      <c r="C237" s="50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</row>
    <row r="238">
      <c r="A238" s="36"/>
      <c r="B238" s="47"/>
      <c r="C238" s="50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</row>
    <row r="239">
      <c r="A239" s="36"/>
      <c r="B239" s="47"/>
      <c r="C239" s="50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</row>
    <row r="240">
      <c r="A240" s="36"/>
      <c r="B240" s="47"/>
      <c r="C240" s="50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</row>
    <row r="241">
      <c r="A241" s="36"/>
      <c r="B241" s="47"/>
      <c r="C241" s="50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</row>
    <row r="242">
      <c r="A242" s="36"/>
      <c r="B242" s="47"/>
      <c r="C242" s="50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</row>
    <row r="243">
      <c r="A243" s="36"/>
      <c r="B243" s="47"/>
      <c r="C243" s="50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</row>
    <row r="244">
      <c r="A244" s="36"/>
      <c r="B244" s="47"/>
      <c r="C244" s="50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</row>
    <row r="245">
      <c r="A245" s="36"/>
      <c r="B245" s="47"/>
      <c r="C245" s="50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</row>
    <row r="246">
      <c r="A246" s="36"/>
      <c r="B246" s="47"/>
      <c r="C246" s="50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</row>
    <row r="247">
      <c r="A247" s="36"/>
      <c r="B247" s="47"/>
      <c r="C247" s="50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</row>
    <row r="248">
      <c r="A248" s="36"/>
      <c r="B248" s="47"/>
      <c r="C248" s="50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</row>
    <row r="249">
      <c r="A249" s="36"/>
      <c r="B249" s="47"/>
      <c r="C249" s="50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</row>
    <row r="250">
      <c r="A250" s="36"/>
      <c r="B250" s="47"/>
      <c r="C250" s="50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</row>
    <row r="251">
      <c r="A251" s="36"/>
      <c r="B251" s="47"/>
      <c r="C251" s="50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</row>
    <row r="252">
      <c r="A252" s="36"/>
      <c r="B252" s="47"/>
      <c r="C252" s="50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</row>
    <row r="253">
      <c r="A253" s="36"/>
      <c r="B253" s="47"/>
      <c r="C253" s="50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</row>
    <row r="254">
      <c r="A254" s="36"/>
      <c r="B254" s="47"/>
      <c r="C254" s="50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</row>
    <row r="255">
      <c r="A255" s="36"/>
      <c r="B255" s="47"/>
      <c r="C255" s="50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</row>
    <row r="256">
      <c r="A256" s="36"/>
      <c r="B256" s="47"/>
      <c r="C256" s="50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</row>
    <row r="257">
      <c r="A257" s="36"/>
      <c r="B257" s="47"/>
      <c r="C257" s="50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</row>
    <row r="258">
      <c r="A258" s="36"/>
      <c r="B258" s="47"/>
      <c r="C258" s="50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</row>
    <row r="259">
      <c r="A259" s="36"/>
      <c r="B259" s="47"/>
      <c r="C259" s="50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</row>
    <row r="260">
      <c r="A260" s="36"/>
      <c r="B260" s="47"/>
      <c r="C260" s="50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</row>
    <row r="261">
      <c r="A261" s="36"/>
      <c r="B261" s="47"/>
      <c r="C261" s="50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</row>
    <row r="262">
      <c r="A262" s="36"/>
      <c r="B262" s="47"/>
      <c r="C262" s="50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</row>
    <row r="263">
      <c r="A263" s="36"/>
      <c r="B263" s="47"/>
      <c r="C263" s="50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</row>
    <row r="264">
      <c r="A264" s="36"/>
      <c r="B264" s="47"/>
      <c r="C264" s="50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</row>
    <row r="265">
      <c r="A265" s="36"/>
      <c r="B265" s="47"/>
      <c r="C265" s="50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</row>
    <row r="266">
      <c r="A266" s="36"/>
      <c r="B266" s="47"/>
      <c r="C266" s="50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</row>
    <row r="267">
      <c r="A267" s="36"/>
      <c r="B267" s="47"/>
      <c r="C267" s="50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</row>
    <row r="268">
      <c r="A268" s="36"/>
      <c r="B268" s="47"/>
      <c r="C268" s="50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</row>
    <row r="269">
      <c r="A269" s="36"/>
      <c r="B269" s="47"/>
      <c r="C269" s="50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</row>
    <row r="270">
      <c r="A270" s="36"/>
      <c r="B270" s="47"/>
      <c r="C270" s="50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</row>
    <row r="271">
      <c r="A271" s="36"/>
      <c r="B271" s="47"/>
      <c r="C271" s="50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</row>
    <row r="272">
      <c r="A272" s="36"/>
      <c r="B272" s="47"/>
      <c r="C272" s="50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</row>
    <row r="273">
      <c r="A273" s="36"/>
      <c r="B273" s="47"/>
      <c r="C273" s="50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</row>
    <row r="274">
      <c r="A274" s="36"/>
      <c r="B274" s="47"/>
      <c r="C274" s="50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</row>
    <row r="275">
      <c r="A275" s="36"/>
      <c r="B275" s="47"/>
      <c r="C275" s="50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</row>
    <row r="276">
      <c r="A276" s="36"/>
      <c r="B276" s="47"/>
      <c r="C276" s="50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</row>
    <row r="277">
      <c r="A277" s="36"/>
      <c r="B277" s="47"/>
      <c r="C277" s="50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</row>
    <row r="278">
      <c r="A278" s="36"/>
      <c r="B278" s="47"/>
      <c r="C278" s="50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</row>
    <row r="279">
      <c r="A279" s="36"/>
      <c r="B279" s="47"/>
      <c r="C279" s="50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</row>
    <row r="280">
      <c r="A280" s="36"/>
      <c r="B280" s="47"/>
      <c r="C280" s="50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</row>
    <row r="281">
      <c r="A281" s="36"/>
      <c r="B281" s="47"/>
      <c r="C281" s="50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</row>
    <row r="282">
      <c r="A282" s="36"/>
      <c r="B282" s="47"/>
      <c r="C282" s="50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</row>
    <row r="283">
      <c r="A283" s="36"/>
      <c r="B283" s="47"/>
      <c r="C283" s="50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</row>
    <row r="284">
      <c r="A284" s="36"/>
      <c r="B284" s="47"/>
      <c r="C284" s="50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</row>
    <row r="285">
      <c r="A285" s="36"/>
      <c r="B285" s="47"/>
      <c r="C285" s="50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</row>
    <row r="286">
      <c r="A286" s="36"/>
      <c r="B286" s="47"/>
      <c r="C286" s="50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</row>
    <row r="287">
      <c r="A287" s="36"/>
      <c r="B287" s="47"/>
      <c r="C287" s="50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</row>
    <row r="288">
      <c r="A288" s="36"/>
      <c r="B288" s="47"/>
      <c r="C288" s="50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</row>
    <row r="289">
      <c r="A289" s="36"/>
      <c r="B289" s="47"/>
      <c r="C289" s="50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</row>
    <row r="290">
      <c r="A290" s="36"/>
      <c r="B290" s="47"/>
      <c r="C290" s="50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</row>
    <row r="291">
      <c r="A291" s="36"/>
      <c r="B291" s="47"/>
      <c r="C291" s="50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</row>
    <row r="292">
      <c r="A292" s="36"/>
      <c r="B292" s="47"/>
      <c r="C292" s="50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</row>
    <row r="293">
      <c r="A293" s="36"/>
      <c r="B293" s="47"/>
      <c r="C293" s="50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</row>
    <row r="294">
      <c r="A294" s="36"/>
      <c r="B294" s="47"/>
      <c r="C294" s="50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</row>
    <row r="295">
      <c r="A295" s="36"/>
      <c r="B295" s="47"/>
      <c r="C295" s="50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</row>
    <row r="296">
      <c r="A296" s="36"/>
      <c r="B296" s="47"/>
      <c r="C296" s="50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</row>
    <row r="297">
      <c r="A297" s="36"/>
      <c r="B297" s="47"/>
      <c r="C297" s="50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</row>
    <row r="298">
      <c r="A298" s="36"/>
      <c r="B298" s="47"/>
      <c r="C298" s="50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</row>
    <row r="299">
      <c r="A299" s="36"/>
      <c r="B299" s="47"/>
      <c r="C299" s="50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</row>
    <row r="300">
      <c r="A300" s="36"/>
      <c r="B300" s="47"/>
      <c r="C300" s="50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</row>
    <row r="301">
      <c r="A301" s="36"/>
      <c r="B301" s="47"/>
      <c r="C301" s="50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</row>
    <row r="302">
      <c r="A302" s="36"/>
      <c r="B302" s="47"/>
      <c r="C302" s="50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</row>
    <row r="303">
      <c r="A303" s="36"/>
      <c r="B303" s="47"/>
      <c r="C303" s="50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</row>
    <row r="304">
      <c r="A304" s="36"/>
      <c r="B304" s="47"/>
      <c r="C304" s="50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</row>
    <row r="305">
      <c r="A305" s="36"/>
      <c r="B305" s="47"/>
      <c r="C305" s="50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</row>
    <row r="306">
      <c r="A306" s="36"/>
      <c r="B306" s="47"/>
      <c r="C306" s="50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</row>
    <row r="307">
      <c r="A307" s="36"/>
      <c r="B307" s="47"/>
      <c r="C307" s="50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</row>
    <row r="308">
      <c r="A308" s="36"/>
      <c r="B308" s="47"/>
      <c r="C308" s="50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</row>
    <row r="309">
      <c r="A309" s="36"/>
      <c r="B309" s="47"/>
      <c r="C309" s="50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</row>
    <row r="310">
      <c r="A310" s="36"/>
      <c r="B310" s="47"/>
      <c r="C310" s="50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</row>
    <row r="311">
      <c r="A311" s="36"/>
      <c r="B311" s="47"/>
      <c r="C311" s="50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</row>
    <row r="312">
      <c r="A312" s="36"/>
      <c r="B312" s="47"/>
      <c r="C312" s="50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</row>
    <row r="313">
      <c r="A313" s="36"/>
      <c r="B313" s="47"/>
      <c r="C313" s="50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</row>
    <row r="314">
      <c r="A314" s="36"/>
      <c r="B314" s="47"/>
      <c r="C314" s="50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</row>
    <row r="315">
      <c r="A315" s="36"/>
      <c r="B315" s="47"/>
      <c r="C315" s="50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</row>
    <row r="316">
      <c r="A316" s="36"/>
      <c r="B316" s="47"/>
      <c r="C316" s="50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</row>
    <row r="317">
      <c r="A317" s="36"/>
      <c r="B317" s="47"/>
      <c r="C317" s="50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</row>
    <row r="318">
      <c r="A318" s="36"/>
      <c r="B318" s="47"/>
      <c r="C318" s="50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</row>
    <row r="319">
      <c r="A319" s="36"/>
      <c r="B319" s="47"/>
      <c r="C319" s="50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</row>
    <row r="320">
      <c r="A320" s="36"/>
      <c r="B320" s="47"/>
      <c r="C320" s="50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</row>
    <row r="321">
      <c r="A321" s="36"/>
      <c r="B321" s="47"/>
      <c r="C321" s="50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</row>
    <row r="322">
      <c r="A322" s="36"/>
      <c r="B322" s="47"/>
      <c r="C322" s="50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</row>
    <row r="323">
      <c r="A323" s="36"/>
      <c r="B323" s="47"/>
      <c r="C323" s="50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</row>
    <row r="324">
      <c r="A324" s="36"/>
      <c r="B324" s="47"/>
      <c r="C324" s="50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</row>
    <row r="325">
      <c r="A325" s="36"/>
      <c r="B325" s="47"/>
      <c r="C325" s="50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</row>
    <row r="326">
      <c r="A326" s="36"/>
      <c r="B326" s="47"/>
      <c r="C326" s="50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</row>
    <row r="327">
      <c r="A327" s="36"/>
      <c r="B327" s="47"/>
      <c r="C327" s="50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</row>
    <row r="328">
      <c r="A328" s="36"/>
      <c r="B328" s="47"/>
      <c r="C328" s="50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</row>
    <row r="329">
      <c r="A329" s="36"/>
      <c r="B329" s="47"/>
      <c r="C329" s="50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</row>
    <row r="330">
      <c r="A330" s="36"/>
      <c r="B330" s="47"/>
      <c r="C330" s="50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</row>
    <row r="331">
      <c r="A331" s="36"/>
      <c r="B331" s="47"/>
      <c r="C331" s="50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</row>
    <row r="332">
      <c r="A332" s="36"/>
      <c r="B332" s="47"/>
      <c r="C332" s="50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</row>
    <row r="333">
      <c r="A333" s="36"/>
      <c r="B333" s="47"/>
      <c r="C333" s="50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</row>
    <row r="334">
      <c r="A334" s="36"/>
      <c r="B334" s="47"/>
      <c r="C334" s="50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</row>
    <row r="335">
      <c r="A335" s="36"/>
      <c r="B335" s="47"/>
      <c r="C335" s="50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</row>
    <row r="336">
      <c r="A336" s="36"/>
      <c r="B336" s="47"/>
      <c r="C336" s="50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</row>
    <row r="337">
      <c r="A337" s="36"/>
      <c r="B337" s="47"/>
      <c r="C337" s="50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</row>
    <row r="338">
      <c r="A338" s="36"/>
      <c r="B338" s="47"/>
      <c r="C338" s="50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</row>
    <row r="339">
      <c r="A339" s="36"/>
      <c r="B339" s="47"/>
      <c r="C339" s="50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</row>
    <row r="340">
      <c r="A340" s="36"/>
      <c r="B340" s="47"/>
      <c r="C340" s="50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</row>
    <row r="341">
      <c r="A341" s="36"/>
      <c r="B341" s="47"/>
      <c r="C341" s="50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</row>
    <row r="342">
      <c r="A342" s="36"/>
      <c r="B342" s="47"/>
      <c r="C342" s="50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</row>
    <row r="343">
      <c r="A343" s="36"/>
      <c r="B343" s="47"/>
      <c r="C343" s="50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</row>
    <row r="344">
      <c r="A344" s="36"/>
      <c r="B344" s="47"/>
      <c r="C344" s="50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</row>
    <row r="345">
      <c r="A345" s="36"/>
      <c r="B345" s="47"/>
      <c r="C345" s="50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</row>
    <row r="346">
      <c r="A346" s="36"/>
      <c r="B346" s="47"/>
      <c r="C346" s="50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</row>
    <row r="347">
      <c r="A347" s="36"/>
      <c r="B347" s="47"/>
      <c r="C347" s="50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</row>
    <row r="348">
      <c r="A348" s="36"/>
      <c r="B348" s="47"/>
      <c r="C348" s="50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</row>
    <row r="349">
      <c r="A349" s="36"/>
      <c r="B349" s="47"/>
      <c r="C349" s="50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</row>
    <row r="350">
      <c r="A350" s="36"/>
      <c r="B350" s="47"/>
      <c r="C350" s="50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  <c r="BK350" s="36"/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36"/>
      <c r="CC350" s="36"/>
      <c r="CD350" s="36"/>
      <c r="CE350" s="36"/>
      <c r="CF350" s="36"/>
      <c r="CG350" s="36"/>
      <c r="CH350" s="36"/>
      <c r="CI350" s="36"/>
      <c r="CJ350" s="36"/>
      <c r="CK350" s="36"/>
      <c r="CL350" s="36"/>
      <c r="CM350" s="36"/>
      <c r="CN350" s="36"/>
      <c r="CO350" s="36"/>
    </row>
    <row r="351">
      <c r="A351" s="36"/>
      <c r="B351" s="47"/>
      <c r="C351" s="50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  <c r="BK351" s="36"/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36"/>
      <c r="CC351" s="36"/>
      <c r="CD351" s="36"/>
      <c r="CE351" s="36"/>
      <c r="CF351" s="36"/>
      <c r="CG351" s="36"/>
      <c r="CH351" s="36"/>
      <c r="CI351" s="36"/>
      <c r="CJ351" s="36"/>
      <c r="CK351" s="36"/>
      <c r="CL351" s="36"/>
      <c r="CM351" s="36"/>
      <c r="CN351" s="36"/>
      <c r="CO351" s="36"/>
    </row>
    <row r="352">
      <c r="A352" s="36"/>
      <c r="B352" s="47"/>
      <c r="C352" s="50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  <c r="BK352" s="36"/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36"/>
      <c r="CC352" s="36"/>
      <c r="CD352" s="36"/>
      <c r="CE352" s="36"/>
      <c r="CF352" s="36"/>
      <c r="CG352" s="36"/>
      <c r="CH352" s="36"/>
      <c r="CI352" s="36"/>
      <c r="CJ352" s="36"/>
      <c r="CK352" s="36"/>
      <c r="CL352" s="36"/>
      <c r="CM352" s="36"/>
      <c r="CN352" s="36"/>
      <c r="CO352" s="36"/>
    </row>
    <row r="353">
      <c r="A353" s="36"/>
      <c r="B353" s="47"/>
      <c r="C353" s="50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  <c r="BK353" s="36"/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36"/>
      <c r="CC353" s="36"/>
      <c r="CD353" s="36"/>
      <c r="CE353" s="36"/>
      <c r="CF353" s="36"/>
      <c r="CG353" s="36"/>
      <c r="CH353" s="36"/>
      <c r="CI353" s="36"/>
      <c r="CJ353" s="36"/>
      <c r="CK353" s="36"/>
      <c r="CL353" s="36"/>
      <c r="CM353" s="36"/>
      <c r="CN353" s="36"/>
      <c r="CO353" s="36"/>
    </row>
    <row r="354">
      <c r="A354" s="36"/>
      <c r="B354" s="47"/>
      <c r="C354" s="50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  <c r="BK354" s="36"/>
      <c r="BL354" s="36"/>
      <c r="BM354" s="36"/>
      <c r="BN354" s="36"/>
      <c r="BO354" s="36"/>
      <c r="BP354" s="36"/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36"/>
      <c r="CC354" s="36"/>
      <c r="CD354" s="36"/>
      <c r="CE354" s="36"/>
      <c r="CF354" s="36"/>
      <c r="CG354" s="36"/>
      <c r="CH354" s="36"/>
      <c r="CI354" s="36"/>
      <c r="CJ354" s="36"/>
      <c r="CK354" s="36"/>
      <c r="CL354" s="36"/>
      <c r="CM354" s="36"/>
      <c r="CN354" s="36"/>
      <c r="CO354" s="36"/>
    </row>
    <row r="355">
      <c r="A355" s="36"/>
      <c r="B355" s="47"/>
      <c r="C355" s="50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  <c r="BK355" s="36"/>
      <c r="BL355" s="36"/>
      <c r="BM355" s="36"/>
      <c r="BN355" s="36"/>
      <c r="BO355" s="36"/>
      <c r="BP355" s="36"/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36"/>
      <c r="CC355" s="36"/>
      <c r="CD355" s="36"/>
      <c r="CE355" s="36"/>
      <c r="CF355" s="36"/>
      <c r="CG355" s="36"/>
      <c r="CH355" s="36"/>
      <c r="CI355" s="36"/>
      <c r="CJ355" s="36"/>
      <c r="CK355" s="36"/>
      <c r="CL355" s="36"/>
      <c r="CM355" s="36"/>
      <c r="CN355" s="36"/>
      <c r="CO355" s="36"/>
    </row>
    <row r="356">
      <c r="A356" s="36"/>
      <c r="B356" s="47"/>
      <c r="C356" s="50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  <c r="BK356" s="36"/>
      <c r="BL356" s="36"/>
      <c r="BM356" s="36"/>
      <c r="BN356" s="36"/>
      <c r="BO356" s="36"/>
      <c r="BP356" s="36"/>
      <c r="BQ356" s="36"/>
      <c r="BR356" s="36"/>
      <c r="BS356" s="36"/>
      <c r="BT356" s="36"/>
      <c r="BU356" s="36"/>
      <c r="BV356" s="36"/>
      <c r="BW356" s="36"/>
      <c r="BX356" s="36"/>
      <c r="BY356" s="36"/>
      <c r="BZ356" s="36"/>
      <c r="CA356" s="36"/>
      <c r="CB356" s="36"/>
      <c r="CC356" s="36"/>
      <c r="CD356" s="36"/>
      <c r="CE356" s="36"/>
      <c r="CF356" s="36"/>
      <c r="CG356" s="36"/>
      <c r="CH356" s="36"/>
      <c r="CI356" s="36"/>
      <c r="CJ356" s="36"/>
      <c r="CK356" s="36"/>
      <c r="CL356" s="36"/>
      <c r="CM356" s="36"/>
      <c r="CN356" s="36"/>
      <c r="CO356" s="36"/>
    </row>
    <row r="357">
      <c r="A357" s="36"/>
      <c r="B357" s="47"/>
      <c r="C357" s="50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  <c r="AO357" s="36"/>
      <c r="AP357" s="36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  <c r="BK357" s="36"/>
      <c r="BL357" s="36"/>
      <c r="BM357" s="36"/>
      <c r="BN357" s="36"/>
      <c r="BO357" s="36"/>
      <c r="BP357" s="36"/>
      <c r="BQ357" s="36"/>
      <c r="BR357" s="36"/>
      <c r="BS357" s="36"/>
      <c r="BT357" s="36"/>
      <c r="BU357" s="36"/>
      <c r="BV357" s="36"/>
      <c r="BW357" s="36"/>
      <c r="BX357" s="36"/>
      <c r="BY357" s="36"/>
      <c r="BZ357" s="36"/>
      <c r="CA357" s="36"/>
      <c r="CB357" s="36"/>
      <c r="CC357" s="36"/>
      <c r="CD357" s="36"/>
      <c r="CE357" s="36"/>
      <c r="CF357" s="36"/>
      <c r="CG357" s="36"/>
      <c r="CH357" s="36"/>
      <c r="CI357" s="36"/>
      <c r="CJ357" s="36"/>
      <c r="CK357" s="36"/>
      <c r="CL357" s="36"/>
      <c r="CM357" s="36"/>
      <c r="CN357" s="36"/>
      <c r="CO357" s="36"/>
    </row>
    <row r="358">
      <c r="A358" s="36"/>
      <c r="B358" s="47"/>
      <c r="C358" s="50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  <c r="BK358" s="36"/>
      <c r="BL358" s="36"/>
      <c r="BM358" s="36"/>
      <c r="BN358" s="36"/>
      <c r="BO358" s="36"/>
      <c r="BP358" s="36"/>
      <c r="BQ358" s="36"/>
      <c r="BR358" s="36"/>
      <c r="BS358" s="36"/>
      <c r="BT358" s="36"/>
      <c r="BU358" s="36"/>
      <c r="BV358" s="36"/>
      <c r="BW358" s="36"/>
      <c r="BX358" s="36"/>
      <c r="BY358" s="36"/>
      <c r="BZ358" s="36"/>
      <c r="CA358" s="36"/>
      <c r="CB358" s="36"/>
      <c r="CC358" s="36"/>
      <c r="CD358" s="36"/>
      <c r="CE358" s="36"/>
      <c r="CF358" s="36"/>
      <c r="CG358" s="36"/>
      <c r="CH358" s="36"/>
      <c r="CI358" s="36"/>
      <c r="CJ358" s="36"/>
      <c r="CK358" s="36"/>
      <c r="CL358" s="36"/>
      <c r="CM358" s="36"/>
      <c r="CN358" s="36"/>
      <c r="CO358" s="36"/>
    </row>
    <row r="359">
      <c r="A359" s="36"/>
      <c r="B359" s="47"/>
      <c r="C359" s="50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  <c r="AO359" s="36"/>
      <c r="AP359" s="36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  <c r="BK359" s="36"/>
      <c r="BL359" s="36"/>
      <c r="BM359" s="36"/>
      <c r="BN359" s="36"/>
      <c r="BO359" s="36"/>
      <c r="BP359" s="36"/>
      <c r="BQ359" s="36"/>
      <c r="BR359" s="36"/>
      <c r="BS359" s="36"/>
      <c r="BT359" s="36"/>
      <c r="BU359" s="36"/>
      <c r="BV359" s="36"/>
      <c r="BW359" s="36"/>
      <c r="BX359" s="36"/>
      <c r="BY359" s="36"/>
      <c r="BZ359" s="36"/>
      <c r="CA359" s="36"/>
      <c r="CB359" s="36"/>
      <c r="CC359" s="36"/>
      <c r="CD359" s="36"/>
      <c r="CE359" s="36"/>
      <c r="CF359" s="36"/>
      <c r="CG359" s="36"/>
      <c r="CH359" s="36"/>
      <c r="CI359" s="36"/>
      <c r="CJ359" s="36"/>
      <c r="CK359" s="36"/>
      <c r="CL359" s="36"/>
      <c r="CM359" s="36"/>
      <c r="CN359" s="36"/>
      <c r="CO359" s="36"/>
    </row>
    <row r="360">
      <c r="A360" s="36"/>
      <c r="B360" s="47"/>
      <c r="C360" s="50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  <c r="AO360" s="36"/>
      <c r="AP360" s="36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  <c r="BK360" s="36"/>
      <c r="BL360" s="36"/>
      <c r="BM360" s="36"/>
      <c r="BN360" s="36"/>
      <c r="BO360" s="36"/>
      <c r="BP360" s="36"/>
      <c r="BQ360" s="36"/>
      <c r="BR360" s="36"/>
      <c r="BS360" s="36"/>
      <c r="BT360" s="36"/>
      <c r="BU360" s="36"/>
      <c r="BV360" s="36"/>
      <c r="BW360" s="36"/>
      <c r="BX360" s="36"/>
      <c r="BY360" s="36"/>
      <c r="BZ360" s="36"/>
      <c r="CA360" s="36"/>
      <c r="CB360" s="36"/>
      <c r="CC360" s="36"/>
      <c r="CD360" s="36"/>
      <c r="CE360" s="36"/>
      <c r="CF360" s="36"/>
      <c r="CG360" s="36"/>
      <c r="CH360" s="36"/>
      <c r="CI360" s="36"/>
      <c r="CJ360" s="36"/>
      <c r="CK360" s="36"/>
      <c r="CL360" s="36"/>
      <c r="CM360" s="36"/>
      <c r="CN360" s="36"/>
      <c r="CO360" s="36"/>
    </row>
    <row r="361">
      <c r="A361" s="36"/>
      <c r="B361" s="47"/>
      <c r="C361" s="50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  <c r="AO361" s="36"/>
      <c r="AP361" s="36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  <c r="BK361" s="36"/>
      <c r="BL361" s="36"/>
      <c r="BM361" s="36"/>
      <c r="BN361" s="36"/>
      <c r="BO361" s="36"/>
      <c r="BP361" s="36"/>
      <c r="BQ361" s="36"/>
      <c r="BR361" s="36"/>
      <c r="BS361" s="36"/>
      <c r="BT361" s="36"/>
      <c r="BU361" s="36"/>
      <c r="BV361" s="36"/>
      <c r="BW361" s="36"/>
      <c r="BX361" s="36"/>
      <c r="BY361" s="36"/>
      <c r="BZ361" s="36"/>
      <c r="CA361" s="36"/>
      <c r="CB361" s="36"/>
      <c r="CC361" s="36"/>
      <c r="CD361" s="36"/>
      <c r="CE361" s="36"/>
      <c r="CF361" s="36"/>
      <c r="CG361" s="36"/>
      <c r="CH361" s="36"/>
      <c r="CI361" s="36"/>
      <c r="CJ361" s="36"/>
      <c r="CK361" s="36"/>
      <c r="CL361" s="36"/>
      <c r="CM361" s="36"/>
      <c r="CN361" s="36"/>
      <c r="CO361" s="36"/>
    </row>
    <row r="362">
      <c r="A362" s="36"/>
      <c r="B362" s="47"/>
      <c r="C362" s="50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36"/>
      <c r="AO362" s="36"/>
      <c r="AP362" s="36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  <c r="BK362" s="36"/>
      <c r="BL362" s="36"/>
      <c r="BM362" s="36"/>
      <c r="BN362" s="36"/>
      <c r="BO362" s="36"/>
      <c r="BP362" s="36"/>
      <c r="BQ362" s="36"/>
      <c r="BR362" s="36"/>
      <c r="BS362" s="36"/>
      <c r="BT362" s="36"/>
      <c r="BU362" s="36"/>
      <c r="BV362" s="36"/>
      <c r="BW362" s="36"/>
      <c r="BX362" s="36"/>
      <c r="BY362" s="36"/>
      <c r="BZ362" s="36"/>
      <c r="CA362" s="36"/>
      <c r="CB362" s="36"/>
      <c r="CC362" s="36"/>
      <c r="CD362" s="36"/>
      <c r="CE362" s="36"/>
      <c r="CF362" s="36"/>
      <c r="CG362" s="36"/>
      <c r="CH362" s="36"/>
      <c r="CI362" s="36"/>
      <c r="CJ362" s="36"/>
      <c r="CK362" s="36"/>
      <c r="CL362" s="36"/>
      <c r="CM362" s="36"/>
      <c r="CN362" s="36"/>
      <c r="CO362" s="36"/>
    </row>
    <row r="363">
      <c r="A363" s="36"/>
      <c r="B363" s="47"/>
      <c r="C363" s="50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  <c r="BK363" s="36"/>
      <c r="BL363" s="36"/>
      <c r="BM363" s="36"/>
      <c r="BN363" s="36"/>
      <c r="BO363" s="36"/>
      <c r="BP363" s="36"/>
      <c r="BQ363" s="36"/>
      <c r="BR363" s="36"/>
      <c r="BS363" s="36"/>
      <c r="BT363" s="36"/>
      <c r="BU363" s="36"/>
      <c r="BV363" s="36"/>
      <c r="BW363" s="36"/>
      <c r="BX363" s="36"/>
      <c r="BY363" s="36"/>
      <c r="BZ363" s="36"/>
      <c r="CA363" s="36"/>
      <c r="CB363" s="36"/>
      <c r="CC363" s="36"/>
      <c r="CD363" s="36"/>
      <c r="CE363" s="36"/>
      <c r="CF363" s="36"/>
      <c r="CG363" s="36"/>
      <c r="CH363" s="36"/>
      <c r="CI363" s="36"/>
      <c r="CJ363" s="36"/>
      <c r="CK363" s="36"/>
      <c r="CL363" s="36"/>
      <c r="CM363" s="36"/>
      <c r="CN363" s="36"/>
      <c r="CO363" s="36"/>
    </row>
    <row r="364">
      <c r="A364" s="36"/>
      <c r="B364" s="47"/>
      <c r="C364" s="50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  <c r="AO364" s="36"/>
      <c r="AP364" s="36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  <c r="BK364" s="36"/>
      <c r="BL364" s="36"/>
      <c r="BM364" s="36"/>
      <c r="BN364" s="36"/>
      <c r="BO364" s="36"/>
      <c r="BP364" s="36"/>
      <c r="BQ364" s="36"/>
      <c r="BR364" s="36"/>
      <c r="BS364" s="36"/>
      <c r="BT364" s="36"/>
      <c r="BU364" s="36"/>
      <c r="BV364" s="36"/>
      <c r="BW364" s="36"/>
      <c r="BX364" s="36"/>
      <c r="BY364" s="36"/>
      <c r="BZ364" s="36"/>
      <c r="CA364" s="36"/>
      <c r="CB364" s="36"/>
      <c r="CC364" s="36"/>
      <c r="CD364" s="36"/>
      <c r="CE364" s="36"/>
      <c r="CF364" s="36"/>
      <c r="CG364" s="36"/>
      <c r="CH364" s="36"/>
      <c r="CI364" s="36"/>
      <c r="CJ364" s="36"/>
      <c r="CK364" s="36"/>
      <c r="CL364" s="36"/>
      <c r="CM364" s="36"/>
      <c r="CN364" s="36"/>
      <c r="CO364" s="36"/>
    </row>
    <row r="365">
      <c r="A365" s="36"/>
      <c r="B365" s="47"/>
      <c r="C365" s="50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  <c r="BK365" s="36"/>
      <c r="BL365" s="36"/>
      <c r="BM365" s="36"/>
      <c r="BN365" s="36"/>
      <c r="BO365" s="36"/>
      <c r="BP365" s="36"/>
      <c r="BQ365" s="36"/>
      <c r="BR365" s="36"/>
      <c r="BS365" s="36"/>
      <c r="BT365" s="36"/>
      <c r="BU365" s="36"/>
      <c r="BV365" s="36"/>
      <c r="BW365" s="36"/>
      <c r="BX365" s="36"/>
      <c r="BY365" s="36"/>
      <c r="BZ365" s="36"/>
      <c r="CA365" s="36"/>
      <c r="CB365" s="36"/>
      <c r="CC365" s="36"/>
      <c r="CD365" s="36"/>
      <c r="CE365" s="36"/>
      <c r="CF365" s="36"/>
      <c r="CG365" s="36"/>
      <c r="CH365" s="36"/>
      <c r="CI365" s="36"/>
      <c r="CJ365" s="36"/>
      <c r="CK365" s="36"/>
      <c r="CL365" s="36"/>
      <c r="CM365" s="36"/>
      <c r="CN365" s="36"/>
      <c r="CO365" s="36"/>
    </row>
    <row r="366">
      <c r="A366" s="36"/>
      <c r="B366" s="47"/>
      <c r="C366" s="50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  <c r="BK366" s="36"/>
      <c r="BL366" s="36"/>
      <c r="BM366" s="36"/>
      <c r="BN366" s="36"/>
      <c r="BO366" s="36"/>
      <c r="BP366" s="36"/>
      <c r="BQ366" s="36"/>
      <c r="BR366" s="36"/>
      <c r="BS366" s="36"/>
      <c r="BT366" s="36"/>
      <c r="BU366" s="36"/>
      <c r="BV366" s="36"/>
      <c r="BW366" s="36"/>
      <c r="BX366" s="36"/>
      <c r="BY366" s="36"/>
      <c r="BZ366" s="36"/>
      <c r="CA366" s="36"/>
      <c r="CB366" s="36"/>
      <c r="CC366" s="36"/>
      <c r="CD366" s="36"/>
      <c r="CE366" s="36"/>
      <c r="CF366" s="36"/>
      <c r="CG366" s="36"/>
      <c r="CH366" s="36"/>
      <c r="CI366" s="36"/>
      <c r="CJ366" s="36"/>
      <c r="CK366" s="36"/>
      <c r="CL366" s="36"/>
      <c r="CM366" s="36"/>
      <c r="CN366" s="36"/>
      <c r="CO366" s="36"/>
    </row>
    <row r="367">
      <c r="A367" s="36"/>
      <c r="B367" s="47"/>
      <c r="C367" s="50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  <c r="BK367" s="36"/>
      <c r="BL367" s="36"/>
      <c r="BM367" s="36"/>
      <c r="BN367" s="36"/>
      <c r="BO367" s="36"/>
      <c r="BP367" s="36"/>
      <c r="BQ367" s="36"/>
      <c r="BR367" s="36"/>
      <c r="BS367" s="36"/>
      <c r="BT367" s="36"/>
      <c r="BU367" s="36"/>
      <c r="BV367" s="36"/>
      <c r="BW367" s="36"/>
      <c r="BX367" s="36"/>
      <c r="BY367" s="36"/>
      <c r="BZ367" s="36"/>
      <c r="CA367" s="36"/>
      <c r="CB367" s="36"/>
      <c r="CC367" s="36"/>
      <c r="CD367" s="36"/>
      <c r="CE367" s="36"/>
      <c r="CF367" s="36"/>
      <c r="CG367" s="36"/>
      <c r="CH367" s="36"/>
      <c r="CI367" s="36"/>
      <c r="CJ367" s="36"/>
      <c r="CK367" s="36"/>
      <c r="CL367" s="36"/>
      <c r="CM367" s="36"/>
      <c r="CN367" s="36"/>
      <c r="CO367" s="36"/>
    </row>
    <row r="368">
      <c r="A368" s="36"/>
      <c r="B368" s="47"/>
      <c r="C368" s="50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  <c r="AO368" s="36"/>
      <c r="AP368" s="36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  <c r="BK368" s="36"/>
      <c r="BL368" s="36"/>
      <c r="BM368" s="36"/>
      <c r="BN368" s="36"/>
      <c r="BO368" s="36"/>
      <c r="BP368" s="36"/>
      <c r="BQ368" s="36"/>
      <c r="BR368" s="36"/>
      <c r="BS368" s="36"/>
      <c r="BT368" s="36"/>
      <c r="BU368" s="36"/>
      <c r="BV368" s="36"/>
      <c r="BW368" s="36"/>
      <c r="BX368" s="36"/>
      <c r="BY368" s="36"/>
      <c r="BZ368" s="36"/>
      <c r="CA368" s="36"/>
      <c r="CB368" s="36"/>
      <c r="CC368" s="36"/>
      <c r="CD368" s="36"/>
      <c r="CE368" s="36"/>
      <c r="CF368" s="36"/>
      <c r="CG368" s="36"/>
      <c r="CH368" s="36"/>
      <c r="CI368" s="36"/>
      <c r="CJ368" s="36"/>
      <c r="CK368" s="36"/>
      <c r="CL368" s="36"/>
      <c r="CM368" s="36"/>
      <c r="CN368" s="36"/>
      <c r="CO368" s="36"/>
    </row>
    <row r="369">
      <c r="A369" s="36"/>
      <c r="B369" s="47"/>
      <c r="C369" s="50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  <c r="AO369" s="36"/>
      <c r="AP369" s="36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  <c r="BK369" s="36"/>
      <c r="BL369" s="36"/>
      <c r="BM369" s="36"/>
      <c r="BN369" s="36"/>
      <c r="BO369" s="36"/>
      <c r="BP369" s="36"/>
      <c r="BQ369" s="36"/>
      <c r="BR369" s="36"/>
      <c r="BS369" s="36"/>
      <c r="BT369" s="36"/>
      <c r="BU369" s="36"/>
      <c r="BV369" s="36"/>
      <c r="BW369" s="36"/>
      <c r="BX369" s="36"/>
      <c r="BY369" s="36"/>
      <c r="BZ369" s="36"/>
      <c r="CA369" s="36"/>
      <c r="CB369" s="36"/>
      <c r="CC369" s="36"/>
      <c r="CD369" s="36"/>
      <c r="CE369" s="36"/>
      <c r="CF369" s="36"/>
      <c r="CG369" s="36"/>
      <c r="CH369" s="36"/>
      <c r="CI369" s="36"/>
      <c r="CJ369" s="36"/>
      <c r="CK369" s="36"/>
      <c r="CL369" s="36"/>
      <c r="CM369" s="36"/>
      <c r="CN369" s="36"/>
      <c r="CO369" s="36"/>
    </row>
    <row r="370">
      <c r="A370" s="36"/>
      <c r="B370" s="47"/>
      <c r="C370" s="50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  <c r="AO370" s="36"/>
      <c r="AP370" s="36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  <c r="BK370" s="36"/>
      <c r="BL370" s="36"/>
      <c r="BM370" s="36"/>
      <c r="BN370" s="36"/>
      <c r="BO370" s="36"/>
      <c r="BP370" s="36"/>
      <c r="BQ370" s="36"/>
      <c r="BR370" s="36"/>
      <c r="BS370" s="36"/>
      <c r="BT370" s="36"/>
      <c r="BU370" s="36"/>
      <c r="BV370" s="36"/>
      <c r="BW370" s="36"/>
      <c r="BX370" s="36"/>
      <c r="BY370" s="36"/>
      <c r="BZ370" s="36"/>
      <c r="CA370" s="36"/>
      <c r="CB370" s="36"/>
      <c r="CC370" s="36"/>
      <c r="CD370" s="36"/>
      <c r="CE370" s="36"/>
      <c r="CF370" s="36"/>
      <c r="CG370" s="36"/>
      <c r="CH370" s="36"/>
      <c r="CI370" s="36"/>
      <c r="CJ370" s="36"/>
      <c r="CK370" s="36"/>
      <c r="CL370" s="36"/>
      <c r="CM370" s="36"/>
      <c r="CN370" s="36"/>
      <c r="CO370" s="36"/>
    </row>
    <row r="371">
      <c r="A371" s="36"/>
      <c r="B371" s="47"/>
      <c r="C371" s="50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  <c r="BK371" s="36"/>
      <c r="BL371" s="36"/>
      <c r="BM371" s="36"/>
      <c r="BN371" s="36"/>
      <c r="BO371" s="36"/>
      <c r="BP371" s="36"/>
      <c r="BQ371" s="36"/>
      <c r="BR371" s="36"/>
      <c r="BS371" s="36"/>
      <c r="BT371" s="36"/>
      <c r="BU371" s="36"/>
      <c r="BV371" s="36"/>
      <c r="BW371" s="36"/>
      <c r="BX371" s="36"/>
      <c r="BY371" s="36"/>
      <c r="BZ371" s="36"/>
      <c r="CA371" s="36"/>
      <c r="CB371" s="36"/>
      <c r="CC371" s="36"/>
      <c r="CD371" s="36"/>
      <c r="CE371" s="36"/>
      <c r="CF371" s="36"/>
      <c r="CG371" s="36"/>
      <c r="CH371" s="36"/>
      <c r="CI371" s="36"/>
      <c r="CJ371" s="36"/>
      <c r="CK371" s="36"/>
      <c r="CL371" s="36"/>
      <c r="CM371" s="36"/>
      <c r="CN371" s="36"/>
      <c r="CO371" s="36"/>
    </row>
    <row r="372">
      <c r="A372" s="36"/>
      <c r="B372" s="47"/>
      <c r="C372" s="50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  <c r="AO372" s="36"/>
      <c r="AP372" s="36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  <c r="BK372" s="36"/>
      <c r="BL372" s="36"/>
      <c r="BM372" s="36"/>
      <c r="BN372" s="36"/>
      <c r="BO372" s="36"/>
      <c r="BP372" s="36"/>
      <c r="BQ372" s="36"/>
      <c r="BR372" s="36"/>
      <c r="BS372" s="36"/>
      <c r="BT372" s="36"/>
      <c r="BU372" s="36"/>
      <c r="BV372" s="36"/>
      <c r="BW372" s="36"/>
      <c r="BX372" s="36"/>
      <c r="BY372" s="36"/>
      <c r="BZ372" s="36"/>
      <c r="CA372" s="36"/>
      <c r="CB372" s="36"/>
      <c r="CC372" s="36"/>
      <c r="CD372" s="36"/>
      <c r="CE372" s="36"/>
      <c r="CF372" s="36"/>
      <c r="CG372" s="36"/>
      <c r="CH372" s="36"/>
      <c r="CI372" s="36"/>
      <c r="CJ372" s="36"/>
      <c r="CK372" s="36"/>
      <c r="CL372" s="36"/>
      <c r="CM372" s="36"/>
      <c r="CN372" s="36"/>
      <c r="CO372" s="36"/>
    </row>
    <row r="373">
      <c r="A373" s="36"/>
      <c r="B373" s="47"/>
      <c r="C373" s="50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  <c r="BK373" s="36"/>
      <c r="BL373" s="36"/>
      <c r="BM373" s="36"/>
      <c r="BN373" s="36"/>
      <c r="BO373" s="36"/>
      <c r="BP373" s="36"/>
      <c r="BQ373" s="36"/>
      <c r="BR373" s="36"/>
      <c r="BS373" s="36"/>
      <c r="BT373" s="36"/>
      <c r="BU373" s="36"/>
      <c r="BV373" s="36"/>
      <c r="BW373" s="36"/>
      <c r="BX373" s="36"/>
      <c r="BY373" s="36"/>
      <c r="BZ373" s="36"/>
      <c r="CA373" s="36"/>
      <c r="CB373" s="36"/>
      <c r="CC373" s="36"/>
      <c r="CD373" s="36"/>
      <c r="CE373" s="36"/>
      <c r="CF373" s="36"/>
      <c r="CG373" s="36"/>
      <c r="CH373" s="36"/>
      <c r="CI373" s="36"/>
      <c r="CJ373" s="36"/>
      <c r="CK373" s="36"/>
      <c r="CL373" s="36"/>
      <c r="CM373" s="36"/>
      <c r="CN373" s="36"/>
      <c r="CO373" s="36"/>
    </row>
    <row r="374">
      <c r="A374" s="36"/>
      <c r="B374" s="47"/>
      <c r="C374" s="50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  <c r="AO374" s="36"/>
      <c r="AP374" s="36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  <c r="BK374" s="36"/>
      <c r="BL374" s="36"/>
      <c r="BM374" s="36"/>
      <c r="BN374" s="36"/>
      <c r="BO374" s="36"/>
      <c r="BP374" s="36"/>
      <c r="BQ374" s="36"/>
      <c r="BR374" s="36"/>
      <c r="BS374" s="36"/>
      <c r="BT374" s="36"/>
      <c r="BU374" s="36"/>
      <c r="BV374" s="36"/>
      <c r="BW374" s="36"/>
      <c r="BX374" s="36"/>
      <c r="BY374" s="36"/>
      <c r="BZ374" s="36"/>
      <c r="CA374" s="36"/>
      <c r="CB374" s="36"/>
      <c r="CC374" s="36"/>
      <c r="CD374" s="36"/>
      <c r="CE374" s="36"/>
      <c r="CF374" s="36"/>
      <c r="CG374" s="36"/>
      <c r="CH374" s="36"/>
      <c r="CI374" s="36"/>
      <c r="CJ374" s="36"/>
      <c r="CK374" s="36"/>
      <c r="CL374" s="36"/>
      <c r="CM374" s="36"/>
      <c r="CN374" s="36"/>
      <c r="CO374" s="36"/>
    </row>
    <row r="375">
      <c r="A375" s="36"/>
      <c r="B375" s="47"/>
      <c r="C375" s="50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  <c r="BK375" s="36"/>
      <c r="BL375" s="36"/>
      <c r="BM375" s="36"/>
      <c r="BN375" s="36"/>
      <c r="BO375" s="36"/>
      <c r="BP375" s="36"/>
      <c r="BQ375" s="36"/>
      <c r="BR375" s="36"/>
      <c r="BS375" s="36"/>
      <c r="BT375" s="36"/>
      <c r="BU375" s="36"/>
      <c r="BV375" s="36"/>
      <c r="BW375" s="36"/>
      <c r="BX375" s="36"/>
      <c r="BY375" s="36"/>
      <c r="BZ375" s="36"/>
      <c r="CA375" s="36"/>
      <c r="CB375" s="36"/>
      <c r="CC375" s="36"/>
      <c r="CD375" s="36"/>
      <c r="CE375" s="36"/>
      <c r="CF375" s="36"/>
      <c r="CG375" s="36"/>
      <c r="CH375" s="36"/>
      <c r="CI375" s="36"/>
      <c r="CJ375" s="36"/>
      <c r="CK375" s="36"/>
      <c r="CL375" s="36"/>
      <c r="CM375" s="36"/>
      <c r="CN375" s="36"/>
      <c r="CO375" s="36"/>
    </row>
    <row r="376">
      <c r="A376" s="36"/>
      <c r="B376" s="47"/>
      <c r="C376" s="50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  <c r="AO376" s="36"/>
      <c r="AP376" s="36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  <c r="BK376" s="36"/>
      <c r="BL376" s="36"/>
      <c r="BM376" s="36"/>
      <c r="BN376" s="36"/>
      <c r="BO376" s="36"/>
      <c r="BP376" s="36"/>
      <c r="BQ376" s="36"/>
      <c r="BR376" s="36"/>
      <c r="BS376" s="36"/>
      <c r="BT376" s="36"/>
      <c r="BU376" s="36"/>
      <c r="BV376" s="36"/>
      <c r="BW376" s="36"/>
      <c r="BX376" s="36"/>
      <c r="BY376" s="36"/>
      <c r="BZ376" s="36"/>
      <c r="CA376" s="36"/>
      <c r="CB376" s="36"/>
      <c r="CC376" s="36"/>
      <c r="CD376" s="36"/>
      <c r="CE376" s="36"/>
      <c r="CF376" s="36"/>
      <c r="CG376" s="36"/>
      <c r="CH376" s="36"/>
      <c r="CI376" s="36"/>
      <c r="CJ376" s="36"/>
      <c r="CK376" s="36"/>
      <c r="CL376" s="36"/>
      <c r="CM376" s="36"/>
      <c r="CN376" s="36"/>
      <c r="CO376" s="36"/>
    </row>
    <row r="377">
      <c r="A377" s="36"/>
      <c r="B377" s="47"/>
      <c r="C377" s="50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  <c r="AL377" s="36"/>
      <c r="AM377" s="36"/>
      <c r="AN377" s="36"/>
      <c r="AO377" s="36"/>
      <c r="AP377" s="36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  <c r="BK377" s="36"/>
      <c r="BL377" s="36"/>
      <c r="BM377" s="36"/>
      <c r="BN377" s="36"/>
      <c r="BO377" s="36"/>
      <c r="BP377" s="36"/>
      <c r="BQ377" s="36"/>
      <c r="BR377" s="36"/>
      <c r="BS377" s="36"/>
      <c r="BT377" s="36"/>
      <c r="BU377" s="36"/>
      <c r="BV377" s="36"/>
      <c r="BW377" s="36"/>
      <c r="BX377" s="36"/>
      <c r="BY377" s="36"/>
      <c r="BZ377" s="36"/>
      <c r="CA377" s="36"/>
      <c r="CB377" s="36"/>
      <c r="CC377" s="36"/>
      <c r="CD377" s="36"/>
      <c r="CE377" s="36"/>
      <c r="CF377" s="36"/>
      <c r="CG377" s="36"/>
      <c r="CH377" s="36"/>
      <c r="CI377" s="36"/>
      <c r="CJ377" s="36"/>
      <c r="CK377" s="36"/>
      <c r="CL377" s="36"/>
      <c r="CM377" s="36"/>
      <c r="CN377" s="36"/>
      <c r="CO377" s="36"/>
    </row>
    <row r="378">
      <c r="A378" s="36"/>
      <c r="B378" s="47"/>
      <c r="C378" s="50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  <c r="AO378" s="36"/>
      <c r="AP378" s="36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  <c r="BK378" s="36"/>
      <c r="BL378" s="36"/>
      <c r="BM378" s="36"/>
      <c r="BN378" s="36"/>
      <c r="BO378" s="36"/>
      <c r="BP378" s="36"/>
      <c r="BQ378" s="36"/>
      <c r="BR378" s="36"/>
      <c r="BS378" s="36"/>
      <c r="BT378" s="36"/>
      <c r="BU378" s="36"/>
      <c r="BV378" s="36"/>
      <c r="BW378" s="36"/>
      <c r="BX378" s="36"/>
      <c r="BY378" s="36"/>
      <c r="BZ378" s="36"/>
      <c r="CA378" s="36"/>
      <c r="CB378" s="36"/>
      <c r="CC378" s="36"/>
      <c r="CD378" s="36"/>
      <c r="CE378" s="36"/>
      <c r="CF378" s="36"/>
      <c r="CG378" s="36"/>
      <c r="CH378" s="36"/>
      <c r="CI378" s="36"/>
      <c r="CJ378" s="36"/>
      <c r="CK378" s="36"/>
      <c r="CL378" s="36"/>
      <c r="CM378" s="36"/>
      <c r="CN378" s="36"/>
      <c r="CO378" s="36"/>
    </row>
    <row r="379">
      <c r="A379" s="36"/>
      <c r="B379" s="47"/>
      <c r="C379" s="50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  <c r="AO379" s="36"/>
      <c r="AP379" s="36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  <c r="BK379" s="36"/>
      <c r="BL379" s="36"/>
      <c r="BM379" s="36"/>
      <c r="BN379" s="36"/>
      <c r="BO379" s="36"/>
      <c r="BP379" s="36"/>
      <c r="BQ379" s="36"/>
      <c r="BR379" s="36"/>
      <c r="BS379" s="36"/>
      <c r="BT379" s="36"/>
      <c r="BU379" s="36"/>
      <c r="BV379" s="36"/>
      <c r="BW379" s="36"/>
      <c r="BX379" s="36"/>
      <c r="BY379" s="36"/>
      <c r="BZ379" s="36"/>
      <c r="CA379" s="36"/>
      <c r="CB379" s="36"/>
      <c r="CC379" s="36"/>
      <c r="CD379" s="36"/>
      <c r="CE379" s="36"/>
      <c r="CF379" s="36"/>
      <c r="CG379" s="36"/>
      <c r="CH379" s="36"/>
      <c r="CI379" s="36"/>
      <c r="CJ379" s="36"/>
      <c r="CK379" s="36"/>
      <c r="CL379" s="36"/>
      <c r="CM379" s="36"/>
      <c r="CN379" s="36"/>
      <c r="CO379" s="36"/>
    </row>
    <row r="380">
      <c r="A380" s="36"/>
      <c r="B380" s="47"/>
      <c r="C380" s="50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  <c r="AO380" s="36"/>
      <c r="AP380" s="36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  <c r="BK380" s="36"/>
      <c r="BL380" s="36"/>
      <c r="BM380" s="36"/>
      <c r="BN380" s="36"/>
      <c r="BO380" s="36"/>
      <c r="BP380" s="36"/>
      <c r="BQ380" s="36"/>
      <c r="BR380" s="36"/>
      <c r="BS380" s="36"/>
      <c r="BT380" s="36"/>
      <c r="BU380" s="36"/>
      <c r="BV380" s="36"/>
      <c r="BW380" s="36"/>
      <c r="BX380" s="36"/>
      <c r="BY380" s="36"/>
      <c r="BZ380" s="36"/>
      <c r="CA380" s="36"/>
      <c r="CB380" s="36"/>
      <c r="CC380" s="36"/>
      <c r="CD380" s="36"/>
      <c r="CE380" s="36"/>
      <c r="CF380" s="36"/>
      <c r="CG380" s="36"/>
      <c r="CH380" s="36"/>
      <c r="CI380" s="36"/>
      <c r="CJ380" s="36"/>
      <c r="CK380" s="36"/>
      <c r="CL380" s="36"/>
      <c r="CM380" s="36"/>
      <c r="CN380" s="36"/>
      <c r="CO380" s="36"/>
    </row>
    <row r="381">
      <c r="A381" s="36"/>
      <c r="B381" s="47"/>
      <c r="C381" s="50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  <c r="AO381" s="36"/>
      <c r="AP381" s="36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  <c r="BK381" s="36"/>
      <c r="BL381" s="36"/>
      <c r="BM381" s="36"/>
      <c r="BN381" s="36"/>
      <c r="BO381" s="36"/>
      <c r="BP381" s="36"/>
      <c r="BQ381" s="36"/>
      <c r="BR381" s="36"/>
      <c r="BS381" s="36"/>
      <c r="BT381" s="36"/>
      <c r="BU381" s="36"/>
      <c r="BV381" s="36"/>
      <c r="BW381" s="36"/>
      <c r="BX381" s="36"/>
      <c r="BY381" s="36"/>
      <c r="BZ381" s="36"/>
      <c r="CA381" s="36"/>
      <c r="CB381" s="36"/>
      <c r="CC381" s="36"/>
      <c r="CD381" s="36"/>
      <c r="CE381" s="36"/>
      <c r="CF381" s="36"/>
      <c r="CG381" s="36"/>
      <c r="CH381" s="36"/>
      <c r="CI381" s="36"/>
      <c r="CJ381" s="36"/>
      <c r="CK381" s="36"/>
      <c r="CL381" s="36"/>
      <c r="CM381" s="36"/>
      <c r="CN381" s="36"/>
      <c r="CO381" s="36"/>
    </row>
    <row r="382">
      <c r="A382" s="36"/>
      <c r="B382" s="47"/>
      <c r="C382" s="50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  <c r="AO382" s="36"/>
      <c r="AP382" s="36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  <c r="BK382" s="36"/>
      <c r="BL382" s="36"/>
      <c r="BM382" s="36"/>
      <c r="BN382" s="36"/>
      <c r="BO382" s="36"/>
      <c r="BP382" s="36"/>
      <c r="BQ382" s="36"/>
      <c r="BR382" s="36"/>
      <c r="BS382" s="36"/>
      <c r="BT382" s="36"/>
      <c r="BU382" s="36"/>
      <c r="BV382" s="36"/>
      <c r="BW382" s="36"/>
      <c r="BX382" s="36"/>
      <c r="BY382" s="36"/>
      <c r="BZ382" s="36"/>
      <c r="CA382" s="36"/>
      <c r="CB382" s="36"/>
      <c r="CC382" s="36"/>
      <c r="CD382" s="36"/>
      <c r="CE382" s="36"/>
      <c r="CF382" s="36"/>
      <c r="CG382" s="36"/>
      <c r="CH382" s="36"/>
      <c r="CI382" s="36"/>
      <c r="CJ382" s="36"/>
      <c r="CK382" s="36"/>
      <c r="CL382" s="36"/>
      <c r="CM382" s="36"/>
      <c r="CN382" s="36"/>
      <c r="CO382" s="36"/>
    </row>
    <row r="383">
      <c r="A383" s="36"/>
      <c r="B383" s="47"/>
      <c r="C383" s="50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  <c r="AO383" s="36"/>
      <c r="AP383" s="36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  <c r="BK383" s="36"/>
      <c r="BL383" s="36"/>
      <c r="BM383" s="36"/>
      <c r="BN383" s="36"/>
      <c r="BO383" s="36"/>
      <c r="BP383" s="36"/>
      <c r="BQ383" s="36"/>
      <c r="BR383" s="36"/>
      <c r="BS383" s="36"/>
      <c r="BT383" s="36"/>
      <c r="BU383" s="36"/>
      <c r="BV383" s="36"/>
      <c r="BW383" s="36"/>
      <c r="BX383" s="36"/>
      <c r="BY383" s="36"/>
      <c r="BZ383" s="36"/>
      <c r="CA383" s="36"/>
      <c r="CB383" s="36"/>
      <c r="CC383" s="36"/>
      <c r="CD383" s="36"/>
      <c r="CE383" s="36"/>
      <c r="CF383" s="36"/>
      <c r="CG383" s="36"/>
      <c r="CH383" s="36"/>
      <c r="CI383" s="36"/>
      <c r="CJ383" s="36"/>
      <c r="CK383" s="36"/>
      <c r="CL383" s="36"/>
      <c r="CM383" s="36"/>
      <c r="CN383" s="36"/>
      <c r="CO383" s="36"/>
    </row>
    <row r="384">
      <c r="A384" s="36"/>
      <c r="B384" s="47"/>
      <c r="C384" s="50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  <c r="AO384" s="36"/>
      <c r="AP384" s="36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  <c r="BK384" s="36"/>
      <c r="BL384" s="36"/>
      <c r="BM384" s="36"/>
      <c r="BN384" s="36"/>
      <c r="BO384" s="36"/>
      <c r="BP384" s="36"/>
      <c r="BQ384" s="36"/>
      <c r="BR384" s="36"/>
      <c r="BS384" s="36"/>
      <c r="BT384" s="36"/>
      <c r="BU384" s="36"/>
      <c r="BV384" s="36"/>
      <c r="BW384" s="36"/>
      <c r="BX384" s="36"/>
      <c r="BY384" s="36"/>
      <c r="BZ384" s="36"/>
      <c r="CA384" s="36"/>
      <c r="CB384" s="36"/>
      <c r="CC384" s="36"/>
      <c r="CD384" s="36"/>
      <c r="CE384" s="36"/>
      <c r="CF384" s="36"/>
      <c r="CG384" s="36"/>
      <c r="CH384" s="36"/>
      <c r="CI384" s="36"/>
      <c r="CJ384" s="36"/>
      <c r="CK384" s="36"/>
      <c r="CL384" s="36"/>
      <c r="CM384" s="36"/>
      <c r="CN384" s="36"/>
      <c r="CO384" s="36"/>
    </row>
    <row r="385">
      <c r="A385" s="36"/>
      <c r="B385" s="47"/>
      <c r="C385" s="50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  <c r="AO385" s="36"/>
      <c r="AP385" s="36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  <c r="BK385" s="36"/>
      <c r="BL385" s="36"/>
      <c r="BM385" s="36"/>
      <c r="BN385" s="36"/>
      <c r="BO385" s="36"/>
      <c r="BP385" s="36"/>
      <c r="BQ385" s="36"/>
      <c r="BR385" s="36"/>
      <c r="BS385" s="36"/>
      <c r="BT385" s="36"/>
      <c r="BU385" s="36"/>
      <c r="BV385" s="36"/>
      <c r="BW385" s="36"/>
      <c r="BX385" s="36"/>
      <c r="BY385" s="36"/>
      <c r="BZ385" s="36"/>
      <c r="CA385" s="36"/>
      <c r="CB385" s="36"/>
      <c r="CC385" s="36"/>
      <c r="CD385" s="36"/>
      <c r="CE385" s="36"/>
      <c r="CF385" s="36"/>
      <c r="CG385" s="36"/>
      <c r="CH385" s="36"/>
      <c r="CI385" s="36"/>
      <c r="CJ385" s="36"/>
      <c r="CK385" s="36"/>
      <c r="CL385" s="36"/>
      <c r="CM385" s="36"/>
      <c r="CN385" s="36"/>
      <c r="CO385" s="36"/>
    </row>
    <row r="386">
      <c r="A386" s="36"/>
      <c r="B386" s="47"/>
      <c r="C386" s="50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  <c r="AO386" s="36"/>
      <c r="AP386" s="36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  <c r="BK386" s="36"/>
      <c r="BL386" s="36"/>
      <c r="BM386" s="36"/>
      <c r="BN386" s="36"/>
      <c r="BO386" s="36"/>
      <c r="BP386" s="36"/>
      <c r="BQ386" s="36"/>
      <c r="BR386" s="36"/>
      <c r="BS386" s="36"/>
      <c r="BT386" s="36"/>
      <c r="BU386" s="36"/>
      <c r="BV386" s="36"/>
      <c r="BW386" s="36"/>
      <c r="BX386" s="36"/>
      <c r="BY386" s="36"/>
      <c r="BZ386" s="36"/>
      <c r="CA386" s="36"/>
      <c r="CB386" s="36"/>
      <c r="CC386" s="36"/>
      <c r="CD386" s="36"/>
      <c r="CE386" s="36"/>
      <c r="CF386" s="36"/>
      <c r="CG386" s="36"/>
      <c r="CH386" s="36"/>
      <c r="CI386" s="36"/>
      <c r="CJ386" s="36"/>
      <c r="CK386" s="36"/>
      <c r="CL386" s="36"/>
      <c r="CM386" s="36"/>
      <c r="CN386" s="36"/>
      <c r="CO386" s="36"/>
    </row>
    <row r="387">
      <c r="A387" s="36"/>
      <c r="B387" s="47"/>
      <c r="C387" s="50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  <c r="AO387" s="36"/>
      <c r="AP387" s="36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  <c r="BK387" s="36"/>
      <c r="BL387" s="36"/>
      <c r="BM387" s="36"/>
      <c r="BN387" s="36"/>
      <c r="BO387" s="36"/>
      <c r="BP387" s="36"/>
      <c r="BQ387" s="36"/>
      <c r="BR387" s="36"/>
      <c r="BS387" s="36"/>
      <c r="BT387" s="36"/>
      <c r="BU387" s="36"/>
      <c r="BV387" s="36"/>
      <c r="BW387" s="36"/>
      <c r="BX387" s="36"/>
      <c r="BY387" s="36"/>
      <c r="BZ387" s="36"/>
      <c r="CA387" s="36"/>
      <c r="CB387" s="36"/>
      <c r="CC387" s="36"/>
      <c r="CD387" s="36"/>
      <c r="CE387" s="36"/>
      <c r="CF387" s="36"/>
      <c r="CG387" s="36"/>
      <c r="CH387" s="36"/>
      <c r="CI387" s="36"/>
      <c r="CJ387" s="36"/>
      <c r="CK387" s="36"/>
      <c r="CL387" s="36"/>
      <c r="CM387" s="36"/>
      <c r="CN387" s="36"/>
      <c r="CO387" s="36"/>
    </row>
    <row r="388">
      <c r="A388" s="36"/>
      <c r="B388" s="47"/>
      <c r="C388" s="50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  <c r="AO388" s="36"/>
      <c r="AP388" s="36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  <c r="BK388" s="36"/>
      <c r="BL388" s="36"/>
      <c r="BM388" s="36"/>
      <c r="BN388" s="36"/>
      <c r="BO388" s="36"/>
      <c r="BP388" s="36"/>
      <c r="BQ388" s="36"/>
      <c r="BR388" s="36"/>
      <c r="BS388" s="36"/>
      <c r="BT388" s="36"/>
      <c r="BU388" s="36"/>
      <c r="BV388" s="36"/>
      <c r="BW388" s="36"/>
      <c r="BX388" s="36"/>
      <c r="BY388" s="36"/>
      <c r="BZ388" s="36"/>
      <c r="CA388" s="36"/>
      <c r="CB388" s="36"/>
      <c r="CC388" s="36"/>
      <c r="CD388" s="36"/>
      <c r="CE388" s="36"/>
      <c r="CF388" s="36"/>
      <c r="CG388" s="36"/>
      <c r="CH388" s="36"/>
      <c r="CI388" s="36"/>
      <c r="CJ388" s="36"/>
      <c r="CK388" s="36"/>
      <c r="CL388" s="36"/>
      <c r="CM388" s="36"/>
      <c r="CN388" s="36"/>
      <c r="CO388" s="36"/>
    </row>
    <row r="389">
      <c r="A389" s="36"/>
      <c r="B389" s="47"/>
      <c r="C389" s="50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  <c r="AO389" s="36"/>
      <c r="AP389" s="36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  <c r="BK389" s="36"/>
      <c r="BL389" s="36"/>
      <c r="BM389" s="36"/>
      <c r="BN389" s="36"/>
      <c r="BO389" s="36"/>
      <c r="BP389" s="36"/>
      <c r="BQ389" s="36"/>
      <c r="BR389" s="36"/>
      <c r="BS389" s="36"/>
      <c r="BT389" s="36"/>
      <c r="BU389" s="36"/>
      <c r="BV389" s="36"/>
      <c r="BW389" s="36"/>
      <c r="BX389" s="36"/>
      <c r="BY389" s="36"/>
      <c r="BZ389" s="36"/>
      <c r="CA389" s="36"/>
      <c r="CB389" s="36"/>
      <c r="CC389" s="36"/>
      <c r="CD389" s="36"/>
      <c r="CE389" s="36"/>
      <c r="CF389" s="36"/>
      <c r="CG389" s="36"/>
      <c r="CH389" s="36"/>
      <c r="CI389" s="36"/>
      <c r="CJ389" s="36"/>
      <c r="CK389" s="36"/>
      <c r="CL389" s="36"/>
      <c r="CM389" s="36"/>
      <c r="CN389" s="36"/>
      <c r="CO389" s="36"/>
    </row>
    <row r="390">
      <c r="A390" s="36"/>
      <c r="B390" s="47"/>
      <c r="C390" s="50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  <c r="AO390" s="36"/>
      <c r="AP390" s="36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  <c r="BK390" s="36"/>
      <c r="BL390" s="36"/>
      <c r="BM390" s="36"/>
      <c r="BN390" s="36"/>
      <c r="BO390" s="36"/>
      <c r="BP390" s="36"/>
      <c r="BQ390" s="36"/>
      <c r="BR390" s="36"/>
      <c r="BS390" s="36"/>
      <c r="BT390" s="36"/>
      <c r="BU390" s="36"/>
      <c r="BV390" s="36"/>
      <c r="BW390" s="36"/>
      <c r="BX390" s="36"/>
      <c r="BY390" s="36"/>
      <c r="BZ390" s="36"/>
      <c r="CA390" s="36"/>
      <c r="CB390" s="36"/>
      <c r="CC390" s="36"/>
      <c r="CD390" s="36"/>
      <c r="CE390" s="36"/>
      <c r="CF390" s="36"/>
      <c r="CG390" s="36"/>
      <c r="CH390" s="36"/>
      <c r="CI390" s="36"/>
      <c r="CJ390" s="36"/>
      <c r="CK390" s="36"/>
      <c r="CL390" s="36"/>
      <c r="CM390" s="36"/>
      <c r="CN390" s="36"/>
      <c r="CO390" s="36"/>
    </row>
    <row r="391">
      <c r="A391" s="36"/>
      <c r="B391" s="47"/>
      <c r="C391" s="50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  <c r="AO391" s="36"/>
      <c r="AP391" s="36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  <c r="BK391" s="36"/>
      <c r="BL391" s="36"/>
      <c r="BM391" s="36"/>
      <c r="BN391" s="36"/>
      <c r="BO391" s="36"/>
      <c r="BP391" s="36"/>
      <c r="BQ391" s="36"/>
      <c r="BR391" s="36"/>
      <c r="BS391" s="36"/>
      <c r="BT391" s="36"/>
      <c r="BU391" s="36"/>
      <c r="BV391" s="36"/>
      <c r="BW391" s="36"/>
      <c r="BX391" s="36"/>
      <c r="BY391" s="36"/>
      <c r="BZ391" s="36"/>
      <c r="CA391" s="36"/>
      <c r="CB391" s="36"/>
      <c r="CC391" s="36"/>
      <c r="CD391" s="36"/>
      <c r="CE391" s="36"/>
      <c r="CF391" s="36"/>
      <c r="CG391" s="36"/>
      <c r="CH391" s="36"/>
      <c r="CI391" s="36"/>
      <c r="CJ391" s="36"/>
      <c r="CK391" s="36"/>
      <c r="CL391" s="36"/>
      <c r="CM391" s="36"/>
      <c r="CN391" s="36"/>
      <c r="CO391" s="36"/>
    </row>
    <row r="392">
      <c r="A392" s="36"/>
      <c r="B392" s="47"/>
      <c r="C392" s="50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36"/>
      <c r="AO392" s="36"/>
      <c r="AP392" s="36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  <c r="BK392" s="36"/>
      <c r="BL392" s="36"/>
      <c r="BM392" s="36"/>
      <c r="BN392" s="36"/>
      <c r="BO392" s="36"/>
      <c r="BP392" s="36"/>
      <c r="BQ392" s="36"/>
      <c r="BR392" s="36"/>
      <c r="BS392" s="36"/>
      <c r="BT392" s="36"/>
      <c r="BU392" s="36"/>
      <c r="BV392" s="36"/>
      <c r="BW392" s="36"/>
      <c r="BX392" s="36"/>
      <c r="BY392" s="36"/>
      <c r="BZ392" s="36"/>
      <c r="CA392" s="36"/>
      <c r="CB392" s="36"/>
      <c r="CC392" s="36"/>
      <c r="CD392" s="36"/>
      <c r="CE392" s="36"/>
      <c r="CF392" s="36"/>
      <c r="CG392" s="36"/>
      <c r="CH392" s="36"/>
      <c r="CI392" s="36"/>
      <c r="CJ392" s="36"/>
      <c r="CK392" s="36"/>
      <c r="CL392" s="36"/>
      <c r="CM392" s="36"/>
      <c r="CN392" s="36"/>
      <c r="CO392" s="36"/>
    </row>
    <row r="393">
      <c r="A393" s="36"/>
      <c r="B393" s="47"/>
      <c r="C393" s="50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  <c r="AO393" s="36"/>
      <c r="AP393" s="36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  <c r="BK393" s="36"/>
      <c r="BL393" s="36"/>
      <c r="BM393" s="36"/>
      <c r="BN393" s="36"/>
      <c r="BO393" s="36"/>
      <c r="BP393" s="36"/>
      <c r="BQ393" s="36"/>
      <c r="BR393" s="36"/>
      <c r="BS393" s="36"/>
      <c r="BT393" s="36"/>
      <c r="BU393" s="36"/>
      <c r="BV393" s="36"/>
      <c r="BW393" s="36"/>
      <c r="BX393" s="36"/>
      <c r="BY393" s="36"/>
      <c r="BZ393" s="36"/>
      <c r="CA393" s="36"/>
      <c r="CB393" s="36"/>
      <c r="CC393" s="36"/>
      <c r="CD393" s="36"/>
      <c r="CE393" s="36"/>
      <c r="CF393" s="36"/>
      <c r="CG393" s="36"/>
      <c r="CH393" s="36"/>
      <c r="CI393" s="36"/>
      <c r="CJ393" s="36"/>
      <c r="CK393" s="36"/>
      <c r="CL393" s="36"/>
      <c r="CM393" s="36"/>
      <c r="CN393" s="36"/>
      <c r="CO393" s="36"/>
    </row>
    <row r="394">
      <c r="A394" s="36"/>
      <c r="B394" s="47"/>
      <c r="C394" s="50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  <c r="AO394" s="36"/>
      <c r="AP394" s="36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  <c r="BK394" s="36"/>
      <c r="BL394" s="36"/>
      <c r="BM394" s="36"/>
      <c r="BN394" s="36"/>
      <c r="BO394" s="36"/>
      <c r="BP394" s="36"/>
      <c r="BQ394" s="36"/>
      <c r="BR394" s="36"/>
      <c r="BS394" s="36"/>
      <c r="BT394" s="36"/>
      <c r="BU394" s="36"/>
      <c r="BV394" s="36"/>
      <c r="BW394" s="36"/>
      <c r="BX394" s="36"/>
      <c r="BY394" s="36"/>
      <c r="BZ394" s="36"/>
      <c r="CA394" s="36"/>
      <c r="CB394" s="36"/>
      <c r="CC394" s="36"/>
      <c r="CD394" s="36"/>
      <c r="CE394" s="36"/>
      <c r="CF394" s="36"/>
      <c r="CG394" s="36"/>
      <c r="CH394" s="36"/>
      <c r="CI394" s="36"/>
      <c r="CJ394" s="36"/>
      <c r="CK394" s="36"/>
      <c r="CL394" s="36"/>
      <c r="CM394" s="36"/>
      <c r="CN394" s="36"/>
      <c r="CO394" s="36"/>
    </row>
    <row r="395">
      <c r="A395" s="36"/>
      <c r="B395" s="47"/>
      <c r="C395" s="50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  <c r="AO395" s="36"/>
      <c r="AP395" s="36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  <c r="BK395" s="36"/>
      <c r="BL395" s="36"/>
      <c r="BM395" s="36"/>
      <c r="BN395" s="36"/>
      <c r="BO395" s="36"/>
      <c r="BP395" s="36"/>
      <c r="BQ395" s="36"/>
      <c r="BR395" s="36"/>
      <c r="BS395" s="36"/>
      <c r="BT395" s="36"/>
      <c r="BU395" s="36"/>
      <c r="BV395" s="36"/>
      <c r="BW395" s="36"/>
      <c r="BX395" s="36"/>
      <c r="BY395" s="36"/>
      <c r="BZ395" s="36"/>
      <c r="CA395" s="36"/>
      <c r="CB395" s="36"/>
      <c r="CC395" s="36"/>
      <c r="CD395" s="36"/>
      <c r="CE395" s="36"/>
      <c r="CF395" s="36"/>
      <c r="CG395" s="36"/>
      <c r="CH395" s="36"/>
      <c r="CI395" s="36"/>
      <c r="CJ395" s="36"/>
      <c r="CK395" s="36"/>
      <c r="CL395" s="36"/>
      <c r="CM395" s="36"/>
      <c r="CN395" s="36"/>
      <c r="CO395" s="36"/>
    </row>
    <row r="396">
      <c r="A396" s="36"/>
      <c r="B396" s="47"/>
      <c r="C396" s="50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  <c r="AO396" s="36"/>
      <c r="AP396" s="36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  <c r="BK396" s="36"/>
      <c r="BL396" s="36"/>
      <c r="BM396" s="36"/>
      <c r="BN396" s="36"/>
      <c r="BO396" s="36"/>
      <c r="BP396" s="36"/>
      <c r="BQ396" s="36"/>
      <c r="BR396" s="36"/>
      <c r="BS396" s="36"/>
      <c r="BT396" s="36"/>
      <c r="BU396" s="36"/>
      <c r="BV396" s="36"/>
      <c r="BW396" s="36"/>
      <c r="BX396" s="36"/>
      <c r="BY396" s="36"/>
      <c r="BZ396" s="36"/>
      <c r="CA396" s="36"/>
      <c r="CB396" s="36"/>
      <c r="CC396" s="36"/>
      <c r="CD396" s="36"/>
      <c r="CE396" s="36"/>
      <c r="CF396" s="36"/>
      <c r="CG396" s="36"/>
      <c r="CH396" s="36"/>
      <c r="CI396" s="36"/>
      <c r="CJ396" s="36"/>
      <c r="CK396" s="36"/>
      <c r="CL396" s="36"/>
      <c r="CM396" s="36"/>
      <c r="CN396" s="36"/>
      <c r="CO396" s="36"/>
    </row>
    <row r="397">
      <c r="A397" s="36"/>
      <c r="B397" s="47"/>
      <c r="C397" s="50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  <c r="AO397" s="36"/>
      <c r="AP397" s="36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  <c r="BK397" s="36"/>
      <c r="BL397" s="36"/>
      <c r="BM397" s="36"/>
      <c r="BN397" s="36"/>
      <c r="BO397" s="36"/>
      <c r="BP397" s="36"/>
      <c r="BQ397" s="36"/>
      <c r="BR397" s="36"/>
      <c r="BS397" s="36"/>
      <c r="BT397" s="36"/>
      <c r="BU397" s="36"/>
      <c r="BV397" s="36"/>
      <c r="BW397" s="36"/>
      <c r="BX397" s="36"/>
      <c r="BY397" s="36"/>
      <c r="BZ397" s="36"/>
      <c r="CA397" s="36"/>
      <c r="CB397" s="36"/>
      <c r="CC397" s="36"/>
      <c r="CD397" s="36"/>
      <c r="CE397" s="36"/>
      <c r="CF397" s="36"/>
      <c r="CG397" s="36"/>
      <c r="CH397" s="36"/>
      <c r="CI397" s="36"/>
      <c r="CJ397" s="36"/>
      <c r="CK397" s="36"/>
      <c r="CL397" s="36"/>
      <c r="CM397" s="36"/>
      <c r="CN397" s="36"/>
      <c r="CO397" s="36"/>
    </row>
    <row r="398">
      <c r="A398" s="36"/>
      <c r="B398" s="47"/>
      <c r="C398" s="50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  <c r="AN398" s="36"/>
      <c r="AO398" s="36"/>
      <c r="AP398" s="36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  <c r="BK398" s="36"/>
      <c r="BL398" s="36"/>
      <c r="BM398" s="36"/>
      <c r="BN398" s="36"/>
      <c r="BO398" s="36"/>
      <c r="BP398" s="36"/>
      <c r="BQ398" s="36"/>
      <c r="BR398" s="36"/>
      <c r="BS398" s="36"/>
      <c r="BT398" s="36"/>
      <c r="BU398" s="36"/>
      <c r="BV398" s="36"/>
      <c r="BW398" s="36"/>
      <c r="BX398" s="36"/>
      <c r="BY398" s="36"/>
      <c r="BZ398" s="36"/>
      <c r="CA398" s="36"/>
      <c r="CB398" s="36"/>
      <c r="CC398" s="36"/>
      <c r="CD398" s="36"/>
      <c r="CE398" s="36"/>
      <c r="CF398" s="36"/>
      <c r="CG398" s="36"/>
      <c r="CH398" s="36"/>
      <c r="CI398" s="36"/>
      <c r="CJ398" s="36"/>
      <c r="CK398" s="36"/>
      <c r="CL398" s="36"/>
      <c r="CM398" s="36"/>
      <c r="CN398" s="36"/>
      <c r="CO398" s="36"/>
    </row>
    <row r="399">
      <c r="A399" s="36"/>
      <c r="B399" s="47"/>
      <c r="C399" s="50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  <c r="AN399" s="36"/>
      <c r="AO399" s="36"/>
      <c r="AP399" s="36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  <c r="BK399" s="36"/>
      <c r="BL399" s="36"/>
      <c r="BM399" s="36"/>
      <c r="BN399" s="36"/>
      <c r="BO399" s="36"/>
      <c r="BP399" s="36"/>
      <c r="BQ399" s="36"/>
      <c r="BR399" s="36"/>
      <c r="BS399" s="36"/>
      <c r="BT399" s="36"/>
      <c r="BU399" s="36"/>
      <c r="BV399" s="36"/>
      <c r="BW399" s="36"/>
      <c r="BX399" s="36"/>
      <c r="BY399" s="36"/>
      <c r="BZ399" s="36"/>
      <c r="CA399" s="36"/>
      <c r="CB399" s="36"/>
      <c r="CC399" s="36"/>
      <c r="CD399" s="36"/>
      <c r="CE399" s="36"/>
      <c r="CF399" s="36"/>
      <c r="CG399" s="36"/>
      <c r="CH399" s="36"/>
      <c r="CI399" s="36"/>
      <c r="CJ399" s="36"/>
      <c r="CK399" s="36"/>
      <c r="CL399" s="36"/>
      <c r="CM399" s="36"/>
      <c r="CN399" s="36"/>
      <c r="CO399" s="36"/>
    </row>
    <row r="400">
      <c r="A400" s="36"/>
      <c r="B400" s="47"/>
      <c r="C400" s="50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  <c r="AN400" s="36"/>
      <c r="AO400" s="36"/>
      <c r="AP400" s="36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  <c r="BK400" s="36"/>
      <c r="BL400" s="36"/>
      <c r="BM400" s="36"/>
      <c r="BN400" s="36"/>
      <c r="BO400" s="36"/>
      <c r="BP400" s="36"/>
      <c r="BQ400" s="36"/>
      <c r="BR400" s="36"/>
      <c r="BS400" s="36"/>
      <c r="BT400" s="36"/>
      <c r="BU400" s="36"/>
      <c r="BV400" s="36"/>
      <c r="BW400" s="36"/>
      <c r="BX400" s="36"/>
      <c r="BY400" s="36"/>
      <c r="BZ400" s="36"/>
      <c r="CA400" s="36"/>
      <c r="CB400" s="36"/>
      <c r="CC400" s="36"/>
      <c r="CD400" s="36"/>
      <c r="CE400" s="36"/>
      <c r="CF400" s="36"/>
      <c r="CG400" s="36"/>
      <c r="CH400" s="36"/>
      <c r="CI400" s="36"/>
      <c r="CJ400" s="36"/>
      <c r="CK400" s="36"/>
      <c r="CL400" s="36"/>
      <c r="CM400" s="36"/>
      <c r="CN400" s="36"/>
      <c r="CO400" s="36"/>
    </row>
    <row r="401">
      <c r="A401" s="36"/>
      <c r="B401" s="47"/>
      <c r="C401" s="50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  <c r="AL401" s="36"/>
      <c r="AM401" s="36"/>
      <c r="AN401" s="36"/>
      <c r="AO401" s="36"/>
      <c r="AP401" s="36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  <c r="BK401" s="36"/>
      <c r="BL401" s="36"/>
      <c r="BM401" s="36"/>
      <c r="BN401" s="36"/>
      <c r="BO401" s="36"/>
      <c r="BP401" s="36"/>
      <c r="BQ401" s="36"/>
      <c r="BR401" s="36"/>
      <c r="BS401" s="36"/>
      <c r="BT401" s="36"/>
      <c r="BU401" s="36"/>
      <c r="BV401" s="36"/>
      <c r="BW401" s="36"/>
      <c r="BX401" s="36"/>
      <c r="BY401" s="36"/>
      <c r="BZ401" s="36"/>
      <c r="CA401" s="36"/>
      <c r="CB401" s="36"/>
      <c r="CC401" s="36"/>
      <c r="CD401" s="36"/>
      <c r="CE401" s="36"/>
      <c r="CF401" s="36"/>
      <c r="CG401" s="36"/>
      <c r="CH401" s="36"/>
      <c r="CI401" s="36"/>
      <c r="CJ401" s="36"/>
      <c r="CK401" s="36"/>
      <c r="CL401" s="36"/>
      <c r="CM401" s="36"/>
      <c r="CN401" s="36"/>
      <c r="CO401" s="36"/>
    </row>
    <row r="402">
      <c r="A402" s="36"/>
      <c r="B402" s="47"/>
      <c r="C402" s="50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  <c r="AN402" s="36"/>
      <c r="AO402" s="36"/>
      <c r="AP402" s="36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  <c r="BK402" s="36"/>
      <c r="BL402" s="36"/>
      <c r="BM402" s="36"/>
      <c r="BN402" s="36"/>
      <c r="BO402" s="36"/>
      <c r="BP402" s="36"/>
      <c r="BQ402" s="36"/>
      <c r="BR402" s="36"/>
      <c r="BS402" s="36"/>
      <c r="BT402" s="36"/>
      <c r="BU402" s="36"/>
      <c r="BV402" s="36"/>
      <c r="BW402" s="36"/>
      <c r="BX402" s="36"/>
      <c r="BY402" s="36"/>
      <c r="BZ402" s="36"/>
      <c r="CA402" s="36"/>
      <c r="CB402" s="36"/>
      <c r="CC402" s="36"/>
      <c r="CD402" s="36"/>
      <c r="CE402" s="36"/>
      <c r="CF402" s="36"/>
      <c r="CG402" s="36"/>
      <c r="CH402" s="36"/>
      <c r="CI402" s="36"/>
      <c r="CJ402" s="36"/>
      <c r="CK402" s="36"/>
      <c r="CL402" s="36"/>
      <c r="CM402" s="36"/>
      <c r="CN402" s="36"/>
      <c r="CO402" s="36"/>
    </row>
    <row r="403">
      <c r="A403" s="36"/>
      <c r="B403" s="47"/>
      <c r="C403" s="50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  <c r="AO403" s="36"/>
      <c r="AP403" s="36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  <c r="BK403" s="36"/>
      <c r="BL403" s="36"/>
      <c r="BM403" s="36"/>
      <c r="BN403" s="36"/>
      <c r="BO403" s="36"/>
      <c r="BP403" s="36"/>
      <c r="BQ403" s="36"/>
      <c r="BR403" s="36"/>
      <c r="BS403" s="36"/>
      <c r="BT403" s="36"/>
      <c r="BU403" s="36"/>
      <c r="BV403" s="36"/>
      <c r="BW403" s="36"/>
      <c r="BX403" s="36"/>
      <c r="BY403" s="36"/>
      <c r="BZ403" s="36"/>
      <c r="CA403" s="36"/>
      <c r="CB403" s="36"/>
      <c r="CC403" s="36"/>
      <c r="CD403" s="36"/>
      <c r="CE403" s="36"/>
      <c r="CF403" s="36"/>
      <c r="CG403" s="36"/>
      <c r="CH403" s="36"/>
      <c r="CI403" s="36"/>
      <c r="CJ403" s="36"/>
      <c r="CK403" s="36"/>
      <c r="CL403" s="36"/>
      <c r="CM403" s="36"/>
      <c r="CN403" s="36"/>
      <c r="CO403" s="36"/>
    </row>
    <row r="404">
      <c r="A404" s="36"/>
      <c r="B404" s="47"/>
      <c r="C404" s="50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  <c r="AL404" s="36"/>
      <c r="AM404" s="36"/>
      <c r="AN404" s="36"/>
      <c r="AO404" s="36"/>
      <c r="AP404" s="36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  <c r="BK404" s="36"/>
      <c r="BL404" s="36"/>
      <c r="BM404" s="36"/>
      <c r="BN404" s="36"/>
      <c r="BO404" s="36"/>
      <c r="BP404" s="36"/>
      <c r="BQ404" s="36"/>
      <c r="BR404" s="36"/>
      <c r="BS404" s="36"/>
      <c r="BT404" s="36"/>
      <c r="BU404" s="36"/>
      <c r="BV404" s="36"/>
      <c r="BW404" s="36"/>
      <c r="BX404" s="36"/>
      <c r="BY404" s="36"/>
      <c r="BZ404" s="36"/>
      <c r="CA404" s="36"/>
      <c r="CB404" s="36"/>
      <c r="CC404" s="36"/>
      <c r="CD404" s="36"/>
      <c r="CE404" s="36"/>
      <c r="CF404" s="36"/>
      <c r="CG404" s="36"/>
      <c r="CH404" s="36"/>
      <c r="CI404" s="36"/>
      <c r="CJ404" s="36"/>
      <c r="CK404" s="36"/>
      <c r="CL404" s="36"/>
      <c r="CM404" s="36"/>
      <c r="CN404" s="36"/>
      <c r="CO404" s="36"/>
    </row>
    <row r="405">
      <c r="A405" s="36"/>
      <c r="B405" s="47"/>
      <c r="C405" s="50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  <c r="AL405" s="36"/>
      <c r="AM405" s="36"/>
      <c r="AN405" s="36"/>
      <c r="AO405" s="36"/>
      <c r="AP405" s="36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  <c r="BK405" s="36"/>
      <c r="BL405" s="36"/>
      <c r="BM405" s="36"/>
      <c r="BN405" s="36"/>
      <c r="BO405" s="36"/>
      <c r="BP405" s="36"/>
      <c r="BQ405" s="36"/>
      <c r="BR405" s="36"/>
      <c r="BS405" s="36"/>
      <c r="BT405" s="36"/>
      <c r="BU405" s="36"/>
      <c r="BV405" s="36"/>
      <c r="BW405" s="36"/>
      <c r="BX405" s="36"/>
      <c r="BY405" s="36"/>
      <c r="BZ405" s="36"/>
      <c r="CA405" s="36"/>
      <c r="CB405" s="36"/>
      <c r="CC405" s="36"/>
      <c r="CD405" s="36"/>
      <c r="CE405" s="36"/>
      <c r="CF405" s="36"/>
      <c r="CG405" s="36"/>
      <c r="CH405" s="36"/>
      <c r="CI405" s="36"/>
      <c r="CJ405" s="36"/>
      <c r="CK405" s="36"/>
      <c r="CL405" s="36"/>
      <c r="CM405" s="36"/>
      <c r="CN405" s="36"/>
      <c r="CO405" s="36"/>
    </row>
    <row r="406">
      <c r="A406" s="36"/>
      <c r="B406" s="47"/>
      <c r="C406" s="50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  <c r="AO406" s="36"/>
      <c r="AP406" s="36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  <c r="BK406" s="36"/>
      <c r="BL406" s="36"/>
      <c r="BM406" s="36"/>
      <c r="BN406" s="36"/>
      <c r="BO406" s="36"/>
      <c r="BP406" s="36"/>
      <c r="BQ406" s="36"/>
      <c r="BR406" s="36"/>
      <c r="BS406" s="36"/>
      <c r="BT406" s="36"/>
      <c r="BU406" s="36"/>
      <c r="BV406" s="36"/>
      <c r="BW406" s="36"/>
      <c r="BX406" s="36"/>
      <c r="BY406" s="36"/>
      <c r="BZ406" s="36"/>
      <c r="CA406" s="36"/>
      <c r="CB406" s="36"/>
      <c r="CC406" s="36"/>
      <c r="CD406" s="36"/>
      <c r="CE406" s="36"/>
      <c r="CF406" s="36"/>
      <c r="CG406" s="36"/>
      <c r="CH406" s="36"/>
      <c r="CI406" s="36"/>
      <c r="CJ406" s="36"/>
      <c r="CK406" s="36"/>
      <c r="CL406" s="36"/>
      <c r="CM406" s="36"/>
      <c r="CN406" s="36"/>
      <c r="CO406" s="36"/>
    </row>
    <row r="407">
      <c r="A407" s="36"/>
      <c r="B407" s="47"/>
      <c r="C407" s="50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36"/>
      <c r="AO407" s="36"/>
      <c r="AP407" s="36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  <c r="BK407" s="36"/>
      <c r="BL407" s="36"/>
      <c r="BM407" s="36"/>
      <c r="BN407" s="36"/>
      <c r="BO407" s="36"/>
      <c r="BP407" s="36"/>
      <c r="BQ407" s="36"/>
      <c r="BR407" s="36"/>
      <c r="BS407" s="36"/>
      <c r="BT407" s="36"/>
      <c r="BU407" s="36"/>
      <c r="BV407" s="36"/>
      <c r="BW407" s="36"/>
      <c r="BX407" s="36"/>
      <c r="BY407" s="36"/>
      <c r="BZ407" s="36"/>
      <c r="CA407" s="36"/>
      <c r="CB407" s="36"/>
      <c r="CC407" s="36"/>
      <c r="CD407" s="36"/>
      <c r="CE407" s="36"/>
      <c r="CF407" s="36"/>
      <c r="CG407" s="36"/>
      <c r="CH407" s="36"/>
      <c r="CI407" s="36"/>
      <c r="CJ407" s="36"/>
      <c r="CK407" s="36"/>
      <c r="CL407" s="36"/>
      <c r="CM407" s="36"/>
      <c r="CN407" s="36"/>
      <c r="CO407" s="36"/>
    </row>
    <row r="408">
      <c r="A408" s="36"/>
      <c r="B408" s="47"/>
      <c r="C408" s="50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  <c r="AO408" s="36"/>
      <c r="AP408" s="36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  <c r="BK408" s="36"/>
      <c r="BL408" s="36"/>
      <c r="BM408" s="36"/>
      <c r="BN408" s="36"/>
      <c r="BO408" s="36"/>
      <c r="BP408" s="36"/>
      <c r="BQ408" s="36"/>
      <c r="BR408" s="36"/>
      <c r="BS408" s="36"/>
      <c r="BT408" s="36"/>
      <c r="BU408" s="36"/>
      <c r="BV408" s="36"/>
      <c r="BW408" s="36"/>
      <c r="BX408" s="36"/>
      <c r="BY408" s="36"/>
      <c r="BZ408" s="36"/>
      <c r="CA408" s="36"/>
      <c r="CB408" s="36"/>
      <c r="CC408" s="36"/>
      <c r="CD408" s="36"/>
      <c r="CE408" s="36"/>
      <c r="CF408" s="36"/>
      <c r="CG408" s="36"/>
      <c r="CH408" s="36"/>
      <c r="CI408" s="36"/>
      <c r="CJ408" s="36"/>
      <c r="CK408" s="36"/>
      <c r="CL408" s="36"/>
      <c r="CM408" s="36"/>
      <c r="CN408" s="36"/>
      <c r="CO408" s="36"/>
    </row>
    <row r="409">
      <c r="A409" s="36"/>
      <c r="B409" s="47"/>
      <c r="C409" s="50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  <c r="AO409" s="36"/>
      <c r="AP409" s="36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  <c r="BK409" s="36"/>
      <c r="BL409" s="36"/>
      <c r="BM409" s="36"/>
      <c r="BN409" s="36"/>
      <c r="BO409" s="36"/>
      <c r="BP409" s="36"/>
      <c r="BQ409" s="36"/>
      <c r="BR409" s="36"/>
      <c r="BS409" s="36"/>
      <c r="BT409" s="36"/>
      <c r="BU409" s="36"/>
      <c r="BV409" s="36"/>
      <c r="BW409" s="36"/>
      <c r="BX409" s="36"/>
      <c r="BY409" s="36"/>
      <c r="BZ409" s="36"/>
      <c r="CA409" s="36"/>
      <c r="CB409" s="36"/>
      <c r="CC409" s="36"/>
      <c r="CD409" s="36"/>
      <c r="CE409" s="36"/>
      <c r="CF409" s="36"/>
      <c r="CG409" s="36"/>
      <c r="CH409" s="36"/>
      <c r="CI409" s="36"/>
      <c r="CJ409" s="36"/>
      <c r="CK409" s="36"/>
      <c r="CL409" s="36"/>
      <c r="CM409" s="36"/>
      <c r="CN409" s="36"/>
      <c r="CO409" s="36"/>
    </row>
    <row r="410">
      <c r="A410" s="36"/>
      <c r="B410" s="47"/>
      <c r="C410" s="50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  <c r="AO410" s="36"/>
      <c r="AP410" s="36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  <c r="BK410" s="36"/>
      <c r="BL410" s="36"/>
      <c r="BM410" s="36"/>
      <c r="BN410" s="36"/>
      <c r="BO410" s="36"/>
      <c r="BP410" s="36"/>
      <c r="BQ410" s="36"/>
      <c r="BR410" s="36"/>
      <c r="BS410" s="36"/>
      <c r="BT410" s="36"/>
      <c r="BU410" s="36"/>
      <c r="BV410" s="36"/>
      <c r="BW410" s="36"/>
      <c r="BX410" s="36"/>
      <c r="BY410" s="36"/>
      <c r="BZ410" s="36"/>
      <c r="CA410" s="36"/>
      <c r="CB410" s="36"/>
      <c r="CC410" s="36"/>
      <c r="CD410" s="36"/>
      <c r="CE410" s="36"/>
      <c r="CF410" s="36"/>
      <c r="CG410" s="36"/>
      <c r="CH410" s="36"/>
      <c r="CI410" s="36"/>
      <c r="CJ410" s="36"/>
      <c r="CK410" s="36"/>
      <c r="CL410" s="36"/>
      <c r="CM410" s="36"/>
      <c r="CN410" s="36"/>
      <c r="CO410" s="36"/>
    </row>
    <row r="411">
      <c r="A411" s="36"/>
      <c r="B411" s="47"/>
      <c r="C411" s="50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  <c r="AO411" s="36"/>
      <c r="AP411" s="36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  <c r="BK411" s="36"/>
      <c r="BL411" s="36"/>
      <c r="BM411" s="36"/>
      <c r="BN411" s="36"/>
      <c r="BO411" s="36"/>
      <c r="BP411" s="36"/>
      <c r="BQ411" s="36"/>
      <c r="BR411" s="36"/>
      <c r="BS411" s="36"/>
      <c r="BT411" s="36"/>
      <c r="BU411" s="36"/>
      <c r="BV411" s="36"/>
      <c r="BW411" s="36"/>
      <c r="BX411" s="36"/>
      <c r="BY411" s="36"/>
      <c r="BZ411" s="36"/>
      <c r="CA411" s="36"/>
      <c r="CB411" s="36"/>
      <c r="CC411" s="36"/>
      <c r="CD411" s="36"/>
      <c r="CE411" s="36"/>
      <c r="CF411" s="36"/>
      <c r="CG411" s="36"/>
      <c r="CH411" s="36"/>
      <c r="CI411" s="36"/>
      <c r="CJ411" s="36"/>
      <c r="CK411" s="36"/>
      <c r="CL411" s="36"/>
      <c r="CM411" s="36"/>
      <c r="CN411" s="36"/>
      <c r="CO411" s="36"/>
    </row>
    <row r="412">
      <c r="A412" s="36"/>
      <c r="B412" s="47"/>
      <c r="C412" s="50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  <c r="AN412" s="36"/>
      <c r="AO412" s="36"/>
      <c r="AP412" s="36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  <c r="BK412" s="36"/>
      <c r="BL412" s="36"/>
      <c r="BM412" s="36"/>
      <c r="BN412" s="36"/>
      <c r="BO412" s="36"/>
      <c r="BP412" s="36"/>
      <c r="BQ412" s="36"/>
      <c r="BR412" s="36"/>
      <c r="BS412" s="36"/>
      <c r="BT412" s="36"/>
      <c r="BU412" s="36"/>
      <c r="BV412" s="36"/>
      <c r="BW412" s="36"/>
      <c r="BX412" s="36"/>
      <c r="BY412" s="36"/>
      <c r="BZ412" s="36"/>
      <c r="CA412" s="36"/>
      <c r="CB412" s="36"/>
      <c r="CC412" s="36"/>
      <c r="CD412" s="36"/>
      <c r="CE412" s="36"/>
      <c r="CF412" s="36"/>
      <c r="CG412" s="36"/>
      <c r="CH412" s="36"/>
      <c r="CI412" s="36"/>
      <c r="CJ412" s="36"/>
      <c r="CK412" s="36"/>
      <c r="CL412" s="36"/>
      <c r="CM412" s="36"/>
      <c r="CN412" s="36"/>
      <c r="CO412" s="36"/>
    </row>
    <row r="413">
      <c r="A413" s="36"/>
      <c r="B413" s="47"/>
      <c r="C413" s="50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  <c r="AO413" s="36"/>
      <c r="AP413" s="36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  <c r="BK413" s="36"/>
      <c r="BL413" s="36"/>
      <c r="BM413" s="36"/>
      <c r="BN413" s="36"/>
      <c r="BO413" s="36"/>
      <c r="BP413" s="36"/>
      <c r="BQ413" s="36"/>
      <c r="BR413" s="36"/>
      <c r="BS413" s="36"/>
      <c r="BT413" s="36"/>
      <c r="BU413" s="36"/>
      <c r="BV413" s="36"/>
      <c r="BW413" s="36"/>
      <c r="BX413" s="36"/>
      <c r="BY413" s="36"/>
      <c r="BZ413" s="36"/>
      <c r="CA413" s="36"/>
      <c r="CB413" s="36"/>
      <c r="CC413" s="36"/>
      <c r="CD413" s="36"/>
      <c r="CE413" s="36"/>
      <c r="CF413" s="36"/>
      <c r="CG413" s="36"/>
      <c r="CH413" s="36"/>
      <c r="CI413" s="36"/>
      <c r="CJ413" s="36"/>
      <c r="CK413" s="36"/>
      <c r="CL413" s="36"/>
      <c r="CM413" s="36"/>
      <c r="CN413" s="36"/>
      <c r="CO413" s="36"/>
    </row>
    <row r="414">
      <c r="A414" s="36"/>
      <c r="B414" s="47"/>
      <c r="C414" s="50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  <c r="AO414" s="36"/>
      <c r="AP414" s="36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  <c r="BK414" s="36"/>
      <c r="BL414" s="36"/>
      <c r="BM414" s="36"/>
      <c r="BN414" s="36"/>
      <c r="BO414" s="36"/>
      <c r="BP414" s="36"/>
      <c r="BQ414" s="36"/>
      <c r="BR414" s="36"/>
      <c r="BS414" s="36"/>
      <c r="BT414" s="36"/>
      <c r="BU414" s="36"/>
      <c r="BV414" s="36"/>
      <c r="BW414" s="36"/>
      <c r="BX414" s="36"/>
      <c r="BY414" s="36"/>
      <c r="BZ414" s="36"/>
      <c r="CA414" s="36"/>
      <c r="CB414" s="36"/>
      <c r="CC414" s="36"/>
      <c r="CD414" s="36"/>
      <c r="CE414" s="36"/>
      <c r="CF414" s="36"/>
      <c r="CG414" s="36"/>
      <c r="CH414" s="36"/>
      <c r="CI414" s="36"/>
      <c r="CJ414" s="36"/>
      <c r="CK414" s="36"/>
      <c r="CL414" s="36"/>
      <c r="CM414" s="36"/>
      <c r="CN414" s="36"/>
      <c r="CO414" s="36"/>
    </row>
    <row r="415">
      <c r="A415" s="36"/>
      <c r="B415" s="47"/>
      <c r="C415" s="50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  <c r="AO415" s="36"/>
      <c r="AP415" s="36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  <c r="BK415" s="36"/>
      <c r="BL415" s="36"/>
      <c r="BM415" s="36"/>
      <c r="BN415" s="36"/>
      <c r="BO415" s="36"/>
      <c r="BP415" s="36"/>
      <c r="BQ415" s="36"/>
      <c r="BR415" s="36"/>
      <c r="BS415" s="36"/>
      <c r="BT415" s="36"/>
      <c r="BU415" s="36"/>
      <c r="BV415" s="36"/>
      <c r="BW415" s="36"/>
      <c r="BX415" s="36"/>
      <c r="BY415" s="36"/>
      <c r="BZ415" s="36"/>
      <c r="CA415" s="36"/>
      <c r="CB415" s="36"/>
      <c r="CC415" s="36"/>
      <c r="CD415" s="36"/>
      <c r="CE415" s="36"/>
      <c r="CF415" s="36"/>
      <c r="CG415" s="36"/>
      <c r="CH415" s="36"/>
      <c r="CI415" s="36"/>
      <c r="CJ415" s="36"/>
      <c r="CK415" s="36"/>
      <c r="CL415" s="36"/>
      <c r="CM415" s="36"/>
      <c r="CN415" s="36"/>
      <c r="CO415" s="36"/>
    </row>
    <row r="416">
      <c r="A416" s="36"/>
      <c r="B416" s="47"/>
      <c r="C416" s="50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  <c r="AO416" s="36"/>
      <c r="AP416" s="36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  <c r="BK416" s="36"/>
      <c r="BL416" s="36"/>
      <c r="BM416" s="36"/>
      <c r="BN416" s="36"/>
      <c r="BO416" s="36"/>
      <c r="BP416" s="36"/>
      <c r="BQ416" s="36"/>
      <c r="BR416" s="36"/>
      <c r="BS416" s="36"/>
      <c r="BT416" s="36"/>
      <c r="BU416" s="36"/>
      <c r="BV416" s="36"/>
      <c r="BW416" s="36"/>
      <c r="BX416" s="36"/>
      <c r="BY416" s="36"/>
      <c r="BZ416" s="36"/>
      <c r="CA416" s="36"/>
      <c r="CB416" s="36"/>
      <c r="CC416" s="36"/>
      <c r="CD416" s="36"/>
      <c r="CE416" s="36"/>
      <c r="CF416" s="36"/>
      <c r="CG416" s="36"/>
      <c r="CH416" s="36"/>
      <c r="CI416" s="36"/>
      <c r="CJ416" s="36"/>
      <c r="CK416" s="36"/>
      <c r="CL416" s="36"/>
      <c r="CM416" s="36"/>
      <c r="CN416" s="36"/>
      <c r="CO416" s="36"/>
    </row>
    <row r="417">
      <c r="A417" s="36"/>
      <c r="B417" s="47"/>
      <c r="C417" s="50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36"/>
      <c r="AO417" s="36"/>
      <c r="AP417" s="36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  <c r="BK417" s="36"/>
      <c r="BL417" s="36"/>
      <c r="BM417" s="36"/>
      <c r="BN417" s="36"/>
      <c r="BO417" s="36"/>
      <c r="BP417" s="36"/>
      <c r="BQ417" s="36"/>
      <c r="BR417" s="36"/>
      <c r="BS417" s="36"/>
      <c r="BT417" s="36"/>
      <c r="BU417" s="36"/>
      <c r="BV417" s="36"/>
      <c r="BW417" s="36"/>
      <c r="BX417" s="36"/>
      <c r="BY417" s="36"/>
      <c r="BZ417" s="36"/>
      <c r="CA417" s="36"/>
      <c r="CB417" s="36"/>
      <c r="CC417" s="36"/>
      <c r="CD417" s="36"/>
      <c r="CE417" s="36"/>
      <c r="CF417" s="36"/>
      <c r="CG417" s="36"/>
      <c r="CH417" s="36"/>
      <c r="CI417" s="36"/>
      <c r="CJ417" s="36"/>
      <c r="CK417" s="36"/>
      <c r="CL417" s="36"/>
      <c r="CM417" s="36"/>
      <c r="CN417" s="36"/>
      <c r="CO417" s="36"/>
    </row>
    <row r="418">
      <c r="A418" s="36"/>
      <c r="B418" s="47"/>
      <c r="C418" s="50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  <c r="AL418" s="36"/>
      <c r="AM418" s="36"/>
      <c r="AN418" s="36"/>
      <c r="AO418" s="36"/>
      <c r="AP418" s="36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  <c r="BK418" s="36"/>
      <c r="BL418" s="36"/>
      <c r="BM418" s="36"/>
      <c r="BN418" s="36"/>
      <c r="BO418" s="36"/>
      <c r="BP418" s="36"/>
      <c r="BQ418" s="36"/>
      <c r="BR418" s="36"/>
      <c r="BS418" s="36"/>
      <c r="BT418" s="36"/>
      <c r="BU418" s="36"/>
      <c r="BV418" s="36"/>
      <c r="BW418" s="36"/>
      <c r="BX418" s="36"/>
      <c r="BY418" s="36"/>
      <c r="BZ418" s="36"/>
      <c r="CA418" s="36"/>
      <c r="CB418" s="36"/>
      <c r="CC418" s="36"/>
      <c r="CD418" s="36"/>
      <c r="CE418" s="36"/>
      <c r="CF418" s="36"/>
      <c r="CG418" s="36"/>
      <c r="CH418" s="36"/>
      <c r="CI418" s="36"/>
      <c r="CJ418" s="36"/>
      <c r="CK418" s="36"/>
      <c r="CL418" s="36"/>
      <c r="CM418" s="36"/>
      <c r="CN418" s="36"/>
      <c r="CO418" s="36"/>
    </row>
    <row r="419">
      <c r="A419" s="36"/>
      <c r="B419" s="47"/>
      <c r="C419" s="50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36"/>
      <c r="AO419" s="36"/>
      <c r="AP419" s="36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  <c r="BK419" s="36"/>
      <c r="BL419" s="36"/>
      <c r="BM419" s="36"/>
      <c r="BN419" s="36"/>
      <c r="BO419" s="36"/>
      <c r="BP419" s="36"/>
      <c r="BQ419" s="36"/>
      <c r="BR419" s="36"/>
      <c r="BS419" s="36"/>
      <c r="BT419" s="36"/>
      <c r="BU419" s="36"/>
      <c r="BV419" s="36"/>
      <c r="BW419" s="36"/>
      <c r="BX419" s="36"/>
      <c r="BY419" s="36"/>
      <c r="BZ419" s="36"/>
      <c r="CA419" s="36"/>
      <c r="CB419" s="36"/>
      <c r="CC419" s="36"/>
      <c r="CD419" s="36"/>
      <c r="CE419" s="36"/>
      <c r="CF419" s="36"/>
      <c r="CG419" s="36"/>
      <c r="CH419" s="36"/>
      <c r="CI419" s="36"/>
      <c r="CJ419" s="36"/>
      <c r="CK419" s="36"/>
      <c r="CL419" s="36"/>
      <c r="CM419" s="36"/>
      <c r="CN419" s="36"/>
      <c r="CO419" s="36"/>
    </row>
    <row r="420">
      <c r="A420" s="36"/>
      <c r="B420" s="47"/>
      <c r="C420" s="50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36"/>
      <c r="AO420" s="36"/>
      <c r="AP420" s="36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  <c r="BK420" s="36"/>
      <c r="BL420" s="36"/>
      <c r="BM420" s="36"/>
      <c r="BN420" s="36"/>
      <c r="BO420" s="36"/>
      <c r="BP420" s="36"/>
      <c r="BQ420" s="36"/>
      <c r="BR420" s="36"/>
      <c r="BS420" s="36"/>
      <c r="BT420" s="36"/>
      <c r="BU420" s="36"/>
      <c r="BV420" s="36"/>
      <c r="BW420" s="36"/>
      <c r="BX420" s="36"/>
      <c r="BY420" s="36"/>
      <c r="BZ420" s="36"/>
      <c r="CA420" s="36"/>
      <c r="CB420" s="36"/>
      <c r="CC420" s="36"/>
      <c r="CD420" s="36"/>
      <c r="CE420" s="36"/>
      <c r="CF420" s="36"/>
      <c r="CG420" s="36"/>
      <c r="CH420" s="36"/>
      <c r="CI420" s="36"/>
      <c r="CJ420" s="36"/>
      <c r="CK420" s="36"/>
      <c r="CL420" s="36"/>
      <c r="CM420" s="36"/>
      <c r="CN420" s="36"/>
      <c r="CO420" s="36"/>
    </row>
    <row r="421">
      <c r="A421" s="36"/>
      <c r="B421" s="47"/>
      <c r="C421" s="50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  <c r="AO421" s="36"/>
      <c r="AP421" s="36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  <c r="BK421" s="36"/>
      <c r="BL421" s="36"/>
      <c r="BM421" s="36"/>
      <c r="BN421" s="36"/>
      <c r="BO421" s="36"/>
      <c r="BP421" s="36"/>
      <c r="BQ421" s="36"/>
      <c r="BR421" s="36"/>
      <c r="BS421" s="36"/>
      <c r="BT421" s="36"/>
      <c r="BU421" s="36"/>
      <c r="BV421" s="36"/>
      <c r="BW421" s="36"/>
      <c r="BX421" s="36"/>
      <c r="BY421" s="36"/>
      <c r="BZ421" s="36"/>
      <c r="CA421" s="36"/>
      <c r="CB421" s="36"/>
      <c r="CC421" s="36"/>
      <c r="CD421" s="36"/>
      <c r="CE421" s="36"/>
      <c r="CF421" s="36"/>
      <c r="CG421" s="36"/>
      <c r="CH421" s="36"/>
      <c r="CI421" s="36"/>
      <c r="CJ421" s="36"/>
      <c r="CK421" s="36"/>
      <c r="CL421" s="36"/>
      <c r="CM421" s="36"/>
      <c r="CN421" s="36"/>
      <c r="CO421" s="36"/>
    </row>
    <row r="422">
      <c r="A422" s="36"/>
      <c r="B422" s="47"/>
      <c r="C422" s="50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  <c r="AO422" s="36"/>
      <c r="AP422" s="36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  <c r="BK422" s="36"/>
      <c r="BL422" s="36"/>
      <c r="BM422" s="36"/>
      <c r="BN422" s="36"/>
      <c r="BO422" s="36"/>
      <c r="BP422" s="36"/>
      <c r="BQ422" s="36"/>
      <c r="BR422" s="36"/>
      <c r="BS422" s="36"/>
      <c r="BT422" s="36"/>
      <c r="BU422" s="36"/>
      <c r="BV422" s="36"/>
      <c r="BW422" s="36"/>
      <c r="BX422" s="36"/>
      <c r="BY422" s="36"/>
      <c r="BZ422" s="36"/>
      <c r="CA422" s="36"/>
      <c r="CB422" s="36"/>
      <c r="CC422" s="36"/>
      <c r="CD422" s="36"/>
      <c r="CE422" s="36"/>
      <c r="CF422" s="36"/>
      <c r="CG422" s="36"/>
      <c r="CH422" s="36"/>
      <c r="CI422" s="36"/>
      <c r="CJ422" s="36"/>
      <c r="CK422" s="36"/>
      <c r="CL422" s="36"/>
      <c r="CM422" s="36"/>
      <c r="CN422" s="36"/>
      <c r="CO422" s="36"/>
    </row>
    <row r="423">
      <c r="A423" s="36"/>
      <c r="B423" s="47"/>
      <c r="C423" s="50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  <c r="AL423" s="36"/>
      <c r="AM423" s="36"/>
      <c r="AN423" s="36"/>
      <c r="AO423" s="36"/>
      <c r="AP423" s="36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  <c r="BK423" s="36"/>
      <c r="BL423" s="36"/>
      <c r="BM423" s="36"/>
      <c r="BN423" s="36"/>
      <c r="BO423" s="36"/>
      <c r="BP423" s="36"/>
      <c r="BQ423" s="36"/>
      <c r="BR423" s="36"/>
      <c r="BS423" s="36"/>
      <c r="BT423" s="36"/>
      <c r="BU423" s="36"/>
      <c r="BV423" s="36"/>
      <c r="BW423" s="36"/>
      <c r="BX423" s="36"/>
      <c r="BY423" s="36"/>
      <c r="BZ423" s="36"/>
      <c r="CA423" s="36"/>
      <c r="CB423" s="36"/>
      <c r="CC423" s="36"/>
      <c r="CD423" s="36"/>
      <c r="CE423" s="36"/>
      <c r="CF423" s="36"/>
      <c r="CG423" s="36"/>
      <c r="CH423" s="36"/>
      <c r="CI423" s="36"/>
      <c r="CJ423" s="36"/>
      <c r="CK423" s="36"/>
      <c r="CL423" s="36"/>
      <c r="CM423" s="36"/>
      <c r="CN423" s="36"/>
      <c r="CO423" s="36"/>
    </row>
    <row r="424">
      <c r="A424" s="36"/>
      <c r="B424" s="47"/>
      <c r="C424" s="50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  <c r="AL424" s="36"/>
      <c r="AM424" s="36"/>
      <c r="AN424" s="36"/>
      <c r="AO424" s="36"/>
      <c r="AP424" s="36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  <c r="BK424" s="36"/>
      <c r="BL424" s="36"/>
      <c r="BM424" s="36"/>
      <c r="BN424" s="36"/>
      <c r="BO424" s="36"/>
      <c r="BP424" s="36"/>
      <c r="BQ424" s="36"/>
      <c r="BR424" s="36"/>
      <c r="BS424" s="36"/>
      <c r="BT424" s="36"/>
      <c r="BU424" s="36"/>
      <c r="BV424" s="36"/>
      <c r="BW424" s="36"/>
      <c r="BX424" s="36"/>
      <c r="BY424" s="36"/>
      <c r="BZ424" s="36"/>
      <c r="CA424" s="36"/>
      <c r="CB424" s="36"/>
      <c r="CC424" s="36"/>
      <c r="CD424" s="36"/>
      <c r="CE424" s="36"/>
      <c r="CF424" s="36"/>
      <c r="CG424" s="36"/>
      <c r="CH424" s="36"/>
      <c r="CI424" s="36"/>
      <c r="CJ424" s="36"/>
      <c r="CK424" s="36"/>
      <c r="CL424" s="36"/>
      <c r="CM424" s="36"/>
      <c r="CN424" s="36"/>
      <c r="CO424" s="36"/>
    </row>
    <row r="425">
      <c r="A425" s="36"/>
      <c r="B425" s="47"/>
      <c r="C425" s="50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  <c r="AL425" s="36"/>
      <c r="AM425" s="36"/>
      <c r="AN425" s="36"/>
      <c r="AO425" s="36"/>
      <c r="AP425" s="36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  <c r="BK425" s="36"/>
      <c r="BL425" s="36"/>
      <c r="BM425" s="36"/>
      <c r="BN425" s="36"/>
      <c r="BO425" s="36"/>
      <c r="BP425" s="36"/>
      <c r="BQ425" s="36"/>
      <c r="BR425" s="36"/>
      <c r="BS425" s="36"/>
      <c r="BT425" s="36"/>
      <c r="BU425" s="36"/>
      <c r="BV425" s="36"/>
      <c r="BW425" s="36"/>
      <c r="BX425" s="36"/>
      <c r="BY425" s="36"/>
      <c r="BZ425" s="36"/>
      <c r="CA425" s="36"/>
      <c r="CB425" s="36"/>
      <c r="CC425" s="36"/>
      <c r="CD425" s="36"/>
      <c r="CE425" s="36"/>
      <c r="CF425" s="36"/>
      <c r="CG425" s="36"/>
      <c r="CH425" s="36"/>
      <c r="CI425" s="36"/>
      <c r="CJ425" s="36"/>
      <c r="CK425" s="36"/>
      <c r="CL425" s="36"/>
      <c r="CM425" s="36"/>
      <c r="CN425" s="36"/>
      <c r="CO425" s="36"/>
    </row>
    <row r="426">
      <c r="A426" s="36"/>
      <c r="B426" s="47"/>
      <c r="C426" s="50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  <c r="AL426" s="36"/>
      <c r="AM426" s="36"/>
      <c r="AN426" s="36"/>
      <c r="AO426" s="36"/>
      <c r="AP426" s="36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  <c r="BK426" s="36"/>
      <c r="BL426" s="36"/>
      <c r="BM426" s="36"/>
      <c r="BN426" s="36"/>
      <c r="BO426" s="36"/>
      <c r="BP426" s="36"/>
      <c r="BQ426" s="36"/>
      <c r="BR426" s="36"/>
      <c r="BS426" s="36"/>
      <c r="BT426" s="36"/>
      <c r="BU426" s="36"/>
      <c r="BV426" s="36"/>
      <c r="BW426" s="36"/>
      <c r="BX426" s="36"/>
      <c r="BY426" s="36"/>
      <c r="BZ426" s="36"/>
      <c r="CA426" s="36"/>
      <c r="CB426" s="36"/>
      <c r="CC426" s="36"/>
      <c r="CD426" s="36"/>
      <c r="CE426" s="36"/>
      <c r="CF426" s="36"/>
      <c r="CG426" s="36"/>
      <c r="CH426" s="36"/>
      <c r="CI426" s="36"/>
      <c r="CJ426" s="36"/>
      <c r="CK426" s="36"/>
      <c r="CL426" s="36"/>
      <c r="CM426" s="36"/>
      <c r="CN426" s="36"/>
      <c r="CO426" s="36"/>
    </row>
    <row r="427">
      <c r="A427" s="36"/>
      <c r="B427" s="47"/>
      <c r="C427" s="50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  <c r="AL427" s="36"/>
      <c r="AM427" s="36"/>
      <c r="AN427" s="36"/>
      <c r="AO427" s="36"/>
      <c r="AP427" s="36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  <c r="BK427" s="36"/>
      <c r="BL427" s="36"/>
      <c r="BM427" s="36"/>
      <c r="BN427" s="36"/>
      <c r="BO427" s="36"/>
      <c r="BP427" s="36"/>
      <c r="BQ427" s="36"/>
      <c r="BR427" s="36"/>
      <c r="BS427" s="36"/>
      <c r="BT427" s="36"/>
      <c r="BU427" s="36"/>
      <c r="BV427" s="36"/>
      <c r="BW427" s="36"/>
      <c r="BX427" s="36"/>
      <c r="BY427" s="36"/>
      <c r="BZ427" s="36"/>
      <c r="CA427" s="36"/>
      <c r="CB427" s="36"/>
      <c r="CC427" s="36"/>
      <c r="CD427" s="36"/>
      <c r="CE427" s="36"/>
      <c r="CF427" s="36"/>
      <c r="CG427" s="36"/>
      <c r="CH427" s="36"/>
      <c r="CI427" s="36"/>
      <c r="CJ427" s="36"/>
      <c r="CK427" s="36"/>
      <c r="CL427" s="36"/>
      <c r="CM427" s="36"/>
      <c r="CN427" s="36"/>
      <c r="CO427" s="36"/>
    </row>
    <row r="428">
      <c r="A428" s="36"/>
      <c r="B428" s="47"/>
      <c r="C428" s="50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  <c r="AL428" s="36"/>
      <c r="AM428" s="36"/>
      <c r="AN428" s="36"/>
      <c r="AO428" s="36"/>
      <c r="AP428" s="36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  <c r="BK428" s="36"/>
      <c r="BL428" s="36"/>
      <c r="BM428" s="36"/>
      <c r="BN428" s="36"/>
      <c r="BO428" s="36"/>
      <c r="BP428" s="36"/>
      <c r="BQ428" s="36"/>
      <c r="BR428" s="36"/>
      <c r="BS428" s="36"/>
      <c r="BT428" s="36"/>
      <c r="BU428" s="36"/>
      <c r="BV428" s="36"/>
      <c r="BW428" s="36"/>
      <c r="BX428" s="36"/>
      <c r="BY428" s="36"/>
      <c r="BZ428" s="36"/>
      <c r="CA428" s="36"/>
      <c r="CB428" s="36"/>
      <c r="CC428" s="36"/>
      <c r="CD428" s="36"/>
      <c r="CE428" s="36"/>
      <c r="CF428" s="36"/>
      <c r="CG428" s="36"/>
      <c r="CH428" s="36"/>
      <c r="CI428" s="36"/>
      <c r="CJ428" s="36"/>
      <c r="CK428" s="36"/>
      <c r="CL428" s="36"/>
      <c r="CM428" s="36"/>
      <c r="CN428" s="36"/>
      <c r="CO428" s="36"/>
    </row>
    <row r="429">
      <c r="A429" s="36"/>
      <c r="B429" s="47"/>
      <c r="C429" s="50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  <c r="AL429" s="36"/>
      <c r="AM429" s="36"/>
      <c r="AN429" s="36"/>
      <c r="AO429" s="36"/>
      <c r="AP429" s="36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  <c r="BK429" s="36"/>
      <c r="BL429" s="36"/>
      <c r="BM429" s="36"/>
      <c r="BN429" s="36"/>
      <c r="BO429" s="36"/>
      <c r="BP429" s="36"/>
      <c r="BQ429" s="36"/>
      <c r="BR429" s="36"/>
      <c r="BS429" s="36"/>
      <c r="BT429" s="36"/>
      <c r="BU429" s="36"/>
      <c r="BV429" s="36"/>
      <c r="BW429" s="36"/>
      <c r="BX429" s="36"/>
      <c r="BY429" s="36"/>
      <c r="BZ429" s="36"/>
      <c r="CA429" s="36"/>
      <c r="CB429" s="36"/>
      <c r="CC429" s="36"/>
      <c r="CD429" s="36"/>
      <c r="CE429" s="36"/>
      <c r="CF429" s="36"/>
      <c r="CG429" s="36"/>
      <c r="CH429" s="36"/>
      <c r="CI429" s="36"/>
      <c r="CJ429" s="36"/>
      <c r="CK429" s="36"/>
      <c r="CL429" s="36"/>
      <c r="CM429" s="36"/>
      <c r="CN429" s="36"/>
      <c r="CO429" s="36"/>
    </row>
    <row r="430">
      <c r="A430" s="36"/>
      <c r="B430" s="47"/>
      <c r="C430" s="50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  <c r="AL430" s="36"/>
      <c r="AM430" s="36"/>
      <c r="AN430" s="36"/>
      <c r="AO430" s="36"/>
      <c r="AP430" s="36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  <c r="BK430" s="36"/>
      <c r="BL430" s="36"/>
      <c r="BM430" s="36"/>
      <c r="BN430" s="36"/>
      <c r="BO430" s="36"/>
      <c r="BP430" s="36"/>
      <c r="BQ430" s="36"/>
      <c r="BR430" s="36"/>
      <c r="BS430" s="36"/>
      <c r="BT430" s="36"/>
      <c r="BU430" s="36"/>
      <c r="BV430" s="36"/>
      <c r="BW430" s="36"/>
      <c r="BX430" s="36"/>
      <c r="BY430" s="36"/>
      <c r="BZ430" s="36"/>
      <c r="CA430" s="36"/>
      <c r="CB430" s="36"/>
      <c r="CC430" s="36"/>
      <c r="CD430" s="36"/>
      <c r="CE430" s="36"/>
      <c r="CF430" s="36"/>
      <c r="CG430" s="36"/>
      <c r="CH430" s="36"/>
      <c r="CI430" s="36"/>
      <c r="CJ430" s="36"/>
      <c r="CK430" s="36"/>
      <c r="CL430" s="36"/>
      <c r="CM430" s="36"/>
      <c r="CN430" s="36"/>
      <c r="CO430" s="36"/>
    </row>
    <row r="431">
      <c r="A431" s="36"/>
      <c r="B431" s="47"/>
      <c r="C431" s="50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  <c r="AL431" s="36"/>
      <c r="AM431" s="36"/>
      <c r="AN431" s="36"/>
      <c r="AO431" s="36"/>
      <c r="AP431" s="36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  <c r="BK431" s="36"/>
      <c r="BL431" s="36"/>
      <c r="BM431" s="36"/>
      <c r="BN431" s="36"/>
      <c r="BO431" s="36"/>
      <c r="BP431" s="36"/>
      <c r="BQ431" s="36"/>
      <c r="BR431" s="36"/>
      <c r="BS431" s="36"/>
      <c r="BT431" s="36"/>
      <c r="BU431" s="36"/>
      <c r="BV431" s="36"/>
      <c r="BW431" s="36"/>
      <c r="BX431" s="36"/>
      <c r="BY431" s="36"/>
      <c r="BZ431" s="36"/>
      <c r="CA431" s="36"/>
      <c r="CB431" s="36"/>
      <c r="CC431" s="36"/>
      <c r="CD431" s="36"/>
      <c r="CE431" s="36"/>
      <c r="CF431" s="36"/>
      <c r="CG431" s="36"/>
      <c r="CH431" s="36"/>
      <c r="CI431" s="36"/>
      <c r="CJ431" s="36"/>
      <c r="CK431" s="36"/>
      <c r="CL431" s="36"/>
      <c r="CM431" s="36"/>
      <c r="CN431" s="36"/>
      <c r="CO431" s="36"/>
    </row>
    <row r="432">
      <c r="A432" s="36"/>
      <c r="B432" s="47"/>
      <c r="C432" s="50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  <c r="AL432" s="36"/>
      <c r="AM432" s="36"/>
      <c r="AN432" s="36"/>
      <c r="AO432" s="36"/>
      <c r="AP432" s="36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  <c r="BK432" s="36"/>
      <c r="BL432" s="36"/>
      <c r="BM432" s="36"/>
      <c r="BN432" s="36"/>
      <c r="BO432" s="36"/>
      <c r="BP432" s="36"/>
      <c r="BQ432" s="36"/>
      <c r="BR432" s="36"/>
      <c r="BS432" s="36"/>
      <c r="BT432" s="36"/>
      <c r="BU432" s="36"/>
      <c r="BV432" s="36"/>
      <c r="BW432" s="36"/>
      <c r="BX432" s="36"/>
      <c r="BY432" s="36"/>
      <c r="BZ432" s="36"/>
      <c r="CA432" s="36"/>
      <c r="CB432" s="36"/>
      <c r="CC432" s="36"/>
      <c r="CD432" s="36"/>
      <c r="CE432" s="36"/>
      <c r="CF432" s="36"/>
      <c r="CG432" s="36"/>
      <c r="CH432" s="36"/>
      <c r="CI432" s="36"/>
      <c r="CJ432" s="36"/>
      <c r="CK432" s="36"/>
      <c r="CL432" s="36"/>
      <c r="CM432" s="36"/>
      <c r="CN432" s="36"/>
      <c r="CO432" s="36"/>
    </row>
    <row r="433">
      <c r="A433" s="36"/>
      <c r="B433" s="47"/>
      <c r="C433" s="50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  <c r="AL433" s="36"/>
      <c r="AM433" s="36"/>
      <c r="AN433" s="36"/>
      <c r="AO433" s="36"/>
      <c r="AP433" s="36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  <c r="BK433" s="36"/>
      <c r="BL433" s="36"/>
      <c r="BM433" s="36"/>
      <c r="BN433" s="36"/>
      <c r="BO433" s="36"/>
      <c r="BP433" s="36"/>
      <c r="BQ433" s="36"/>
      <c r="BR433" s="36"/>
      <c r="BS433" s="36"/>
      <c r="BT433" s="36"/>
      <c r="BU433" s="36"/>
      <c r="BV433" s="36"/>
      <c r="BW433" s="36"/>
      <c r="BX433" s="36"/>
      <c r="BY433" s="36"/>
      <c r="BZ433" s="36"/>
      <c r="CA433" s="36"/>
      <c r="CB433" s="36"/>
      <c r="CC433" s="36"/>
      <c r="CD433" s="36"/>
      <c r="CE433" s="36"/>
      <c r="CF433" s="36"/>
      <c r="CG433" s="36"/>
      <c r="CH433" s="36"/>
      <c r="CI433" s="36"/>
      <c r="CJ433" s="36"/>
      <c r="CK433" s="36"/>
      <c r="CL433" s="36"/>
      <c r="CM433" s="36"/>
      <c r="CN433" s="36"/>
      <c r="CO433" s="36"/>
    </row>
    <row r="434">
      <c r="A434" s="36"/>
      <c r="B434" s="47"/>
      <c r="C434" s="50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  <c r="AL434" s="36"/>
      <c r="AM434" s="36"/>
      <c r="AN434" s="36"/>
      <c r="AO434" s="36"/>
      <c r="AP434" s="36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  <c r="BK434" s="36"/>
      <c r="BL434" s="36"/>
      <c r="BM434" s="36"/>
      <c r="BN434" s="36"/>
      <c r="BO434" s="36"/>
      <c r="BP434" s="36"/>
      <c r="BQ434" s="36"/>
      <c r="BR434" s="36"/>
      <c r="BS434" s="36"/>
      <c r="BT434" s="36"/>
      <c r="BU434" s="36"/>
      <c r="BV434" s="36"/>
      <c r="BW434" s="36"/>
      <c r="BX434" s="36"/>
      <c r="BY434" s="36"/>
      <c r="BZ434" s="36"/>
      <c r="CA434" s="36"/>
      <c r="CB434" s="36"/>
      <c r="CC434" s="36"/>
      <c r="CD434" s="36"/>
      <c r="CE434" s="36"/>
      <c r="CF434" s="36"/>
      <c r="CG434" s="36"/>
      <c r="CH434" s="36"/>
      <c r="CI434" s="36"/>
      <c r="CJ434" s="36"/>
      <c r="CK434" s="36"/>
      <c r="CL434" s="36"/>
      <c r="CM434" s="36"/>
      <c r="CN434" s="36"/>
      <c r="CO434" s="36"/>
    </row>
    <row r="435">
      <c r="A435" s="36"/>
      <c r="B435" s="47"/>
      <c r="C435" s="50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  <c r="AL435" s="36"/>
      <c r="AM435" s="36"/>
      <c r="AN435" s="36"/>
      <c r="AO435" s="36"/>
      <c r="AP435" s="36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  <c r="BK435" s="36"/>
      <c r="BL435" s="36"/>
      <c r="BM435" s="36"/>
      <c r="BN435" s="36"/>
      <c r="BO435" s="36"/>
      <c r="BP435" s="36"/>
      <c r="BQ435" s="36"/>
      <c r="BR435" s="36"/>
      <c r="BS435" s="36"/>
      <c r="BT435" s="36"/>
      <c r="BU435" s="36"/>
      <c r="BV435" s="36"/>
      <c r="BW435" s="36"/>
      <c r="BX435" s="36"/>
      <c r="BY435" s="36"/>
      <c r="BZ435" s="36"/>
      <c r="CA435" s="36"/>
      <c r="CB435" s="36"/>
      <c r="CC435" s="36"/>
      <c r="CD435" s="36"/>
      <c r="CE435" s="36"/>
      <c r="CF435" s="36"/>
      <c r="CG435" s="36"/>
      <c r="CH435" s="36"/>
      <c r="CI435" s="36"/>
      <c r="CJ435" s="36"/>
      <c r="CK435" s="36"/>
      <c r="CL435" s="36"/>
      <c r="CM435" s="36"/>
      <c r="CN435" s="36"/>
      <c r="CO435" s="36"/>
    </row>
    <row r="436">
      <c r="A436" s="36"/>
      <c r="B436" s="47"/>
      <c r="C436" s="50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  <c r="AL436" s="36"/>
      <c r="AM436" s="36"/>
      <c r="AN436" s="36"/>
      <c r="AO436" s="36"/>
      <c r="AP436" s="36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  <c r="BK436" s="36"/>
      <c r="BL436" s="36"/>
      <c r="BM436" s="36"/>
      <c r="BN436" s="36"/>
      <c r="BO436" s="36"/>
      <c r="BP436" s="36"/>
      <c r="BQ436" s="36"/>
      <c r="BR436" s="36"/>
      <c r="BS436" s="36"/>
      <c r="BT436" s="36"/>
      <c r="BU436" s="36"/>
      <c r="BV436" s="36"/>
      <c r="BW436" s="36"/>
      <c r="BX436" s="36"/>
      <c r="BY436" s="36"/>
      <c r="BZ436" s="36"/>
      <c r="CA436" s="36"/>
      <c r="CB436" s="36"/>
      <c r="CC436" s="36"/>
      <c r="CD436" s="36"/>
      <c r="CE436" s="36"/>
      <c r="CF436" s="36"/>
      <c r="CG436" s="36"/>
      <c r="CH436" s="36"/>
      <c r="CI436" s="36"/>
      <c r="CJ436" s="36"/>
      <c r="CK436" s="36"/>
      <c r="CL436" s="36"/>
      <c r="CM436" s="36"/>
      <c r="CN436" s="36"/>
      <c r="CO436" s="36"/>
    </row>
    <row r="437">
      <c r="A437" s="36"/>
      <c r="B437" s="47"/>
      <c r="C437" s="50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  <c r="AL437" s="36"/>
      <c r="AM437" s="36"/>
      <c r="AN437" s="36"/>
      <c r="AO437" s="36"/>
      <c r="AP437" s="36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  <c r="BK437" s="36"/>
      <c r="BL437" s="36"/>
      <c r="BM437" s="36"/>
      <c r="BN437" s="36"/>
      <c r="BO437" s="36"/>
      <c r="BP437" s="36"/>
      <c r="BQ437" s="36"/>
      <c r="BR437" s="36"/>
      <c r="BS437" s="36"/>
      <c r="BT437" s="36"/>
      <c r="BU437" s="36"/>
      <c r="BV437" s="36"/>
      <c r="BW437" s="36"/>
      <c r="BX437" s="36"/>
      <c r="BY437" s="36"/>
      <c r="BZ437" s="36"/>
      <c r="CA437" s="36"/>
      <c r="CB437" s="36"/>
      <c r="CC437" s="36"/>
      <c r="CD437" s="36"/>
      <c r="CE437" s="36"/>
      <c r="CF437" s="36"/>
      <c r="CG437" s="36"/>
      <c r="CH437" s="36"/>
      <c r="CI437" s="36"/>
      <c r="CJ437" s="36"/>
      <c r="CK437" s="36"/>
      <c r="CL437" s="36"/>
      <c r="CM437" s="36"/>
      <c r="CN437" s="36"/>
      <c r="CO437" s="36"/>
    </row>
    <row r="438">
      <c r="A438" s="36"/>
      <c r="B438" s="47"/>
      <c r="C438" s="50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  <c r="AN438" s="36"/>
      <c r="AO438" s="36"/>
      <c r="AP438" s="36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  <c r="BK438" s="36"/>
      <c r="BL438" s="36"/>
      <c r="BM438" s="36"/>
      <c r="BN438" s="36"/>
      <c r="BO438" s="36"/>
      <c r="BP438" s="36"/>
      <c r="BQ438" s="36"/>
      <c r="BR438" s="36"/>
      <c r="BS438" s="36"/>
      <c r="BT438" s="36"/>
      <c r="BU438" s="36"/>
      <c r="BV438" s="36"/>
      <c r="BW438" s="36"/>
      <c r="BX438" s="36"/>
      <c r="BY438" s="36"/>
      <c r="BZ438" s="36"/>
      <c r="CA438" s="36"/>
      <c r="CB438" s="36"/>
      <c r="CC438" s="36"/>
      <c r="CD438" s="36"/>
      <c r="CE438" s="36"/>
      <c r="CF438" s="36"/>
      <c r="CG438" s="36"/>
      <c r="CH438" s="36"/>
      <c r="CI438" s="36"/>
      <c r="CJ438" s="36"/>
      <c r="CK438" s="36"/>
      <c r="CL438" s="36"/>
      <c r="CM438" s="36"/>
      <c r="CN438" s="36"/>
      <c r="CO438" s="36"/>
    </row>
    <row r="439">
      <c r="A439" s="36"/>
      <c r="B439" s="47"/>
      <c r="C439" s="50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  <c r="AN439" s="36"/>
      <c r="AO439" s="36"/>
      <c r="AP439" s="36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  <c r="BK439" s="36"/>
      <c r="BL439" s="36"/>
      <c r="BM439" s="36"/>
      <c r="BN439" s="36"/>
      <c r="BO439" s="36"/>
      <c r="BP439" s="36"/>
      <c r="BQ439" s="36"/>
      <c r="BR439" s="36"/>
      <c r="BS439" s="36"/>
      <c r="BT439" s="36"/>
      <c r="BU439" s="36"/>
      <c r="BV439" s="36"/>
      <c r="BW439" s="36"/>
      <c r="BX439" s="36"/>
      <c r="BY439" s="36"/>
      <c r="BZ439" s="36"/>
      <c r="CA439" s="36"/>
      <c r="CB439" s="36"/>
      <c r="CC439" s="36"/>
      <c r="CD439" s="36"/>
      <c r="CE439" s="36"/>
      <c r="CF439" s="36"/>
      <c r="CG439" s="36"/>
      <c r="CH439" s="36"/>
      <c r="CI439" s="36"/>
      <c r="CJ439" s="36"/>
      <c r="CK439" s="36"/>
      <c r="CL439" s="36"/>
      <c r="CM439" s="36"/>
      <c r="CN439" s="36"/>
      <c r="CO439" s="36"/>
    </row>
    <row r="440">
      <c r="A440" s="36"/>
      <c r="B440" s="47"/>
      <c r="C440" s="50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  <c r="AN440" s="36"/>
      <c r="AO440" s="36"/>
      <c r="AP440" s="36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  <c r="BK440" s="36"/>
      <c r="BL440" s="36"/>
      <c r="BM440" s="36"/>
      <c r="BN440" s="36"/>
      <c r="BO440" s="36"/>
      <c r="BP440" s="36"/>
      <c r="BQ440" s="36"/>
      <c r="BR440" s="36"/>
      <c r="BS440" s="36"/>
      <c r="BT440" s="36"/>
      <c r="BU440" s="36"/>
      <c r="BV440" s="36"/>
      <c r="BW440" s="36"/>
      <c r="BX440" s="36"/>
      <c r="BY440" s="36"/>
      <c r="BZ440" s="36"/>
      <c r="CA440" s="36"/>
      <c r="CB440" s="36"/>
      <c r="CC440" s="36"/>
      <c r="CD440" s="36"/>
      <c r="CE440" s="36"/>
      <c r="CF440" s="36"/>
      <c r="CG440" s="36"/>
      <c r="CH440" s="36"/>
      <c r="CI440" s="36"/>
      <c r="CJ440" s="36"/>
      <c r="CK440" s="36"/>
      <c r="CL440" s="36"/>
      <c r="CM440" s="36"/>
      <c r="CN440" s="36"/>
      <c r="CO440" s="36"/>
    </row>
    <row r="441">
      <c r="A441" s="36"/>
      <c r="B441" s="47"/>
      <c r="C441" s="50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  <c r="AN441" s="36"/>
      <c r="AO441" s="36"/>
      <c r="AP441" s="36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  <c r="BK441" s="36"/>
      <c r="BL441" s="36"/>
      <c r="BM441" s="36"/>
      <c r="BN441" s="36"/>
      <c r="BO441" s="36"/>
      <c r="BP441" s="36"/>
      <c r="BQ441" s="36"/>
      <c r="BR441" s="36"/>
      <c r="BS441" s="36"/>
      <c r="BT441" s="36"/>
      <c r="BU441" s="36"/>
      <c r="BV441" s="36"/>
      <c r="BW441" s="36"/>
      <c r="BX441" s="36"/>
      <c r="BY441" s="36"/>
      <c r="BZ441" s="36"/>
      <c r="CA441" s="36"/>
      <c r="CB441" s="36"/>
      <c r="CC441" s="36"/>
      <c r="CD441" s="36"/>
      <c r="CE441" s="36"/>
      <c r="CF441" s="36"/>
      <c r="CG441" s="36"/>
      <c r="CH441" s="36"/>
      <c r="CI441" s="36"/>
      <c r="CJ441" s="36"/>
      <c r="CK441" s="36"/>
      <c r="CL441" s="36"/>
      <c r="CM441" s="36"/>
      <c r="CN441" s="36"/>
      <c r="CO441" s="36"/>
    </row>
    <row r="442">
      <c r="A442" s="36"/>
      <c r="B442" s="47"/>
      <c r="C442" s="50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  <c r="AN442" s="36"/>
      <c r="AO442" s="36"/>
      <c r="AP442" s="36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  <c r="BK442" s="36"/>
      <c r="BL442" s="36"/>
      <c r="BM442" s="36"/>
      <c r="BN442" s="36"/>
      <c r="BO442" s="36"/>
      <c r="BP442" s="36"/>
      <c r="BQ442" s="36"/>
      <c r="BR442" s="36"/>
      <c r="BS442" s="36"/>
      <c r="BT442" s="36"/>
      <c r="BU442" s="36"/>
      <c r="BV442" s="36"/>
      <c r="BW442" s="36"/>
      <c r="BX442" s="36"/>
      <c r="BY442" s="36"/>
      <c r="BZ442" s="36"/>
      <c r="CA442" s="36"/>
      <c r="CB442" s="36"/>
      <c r="CC442" s="36"/>
      <c r="CD442" s="36"/>
      <c r="CE442" s="36"/>
      <c r="CF442" s="36"/>
      <c r="CG442" s="36"/>
      <c r="CH442" s="36"/>
      <c r="CI442" s="36"/>
      <c r="CJ442" s="36"/>
      <c r="CK442" s="36"/>
      <c r="CL442" s="36"/>
      <c r="CM442" s="36"/>
      <c r="CN442" s="36"/>
      <c r="CO442" s="36"/>
    </row>
    <row r="443">
      <c r="A443" s="36"/>
      <c r="B443" s="47"/>
      <c r="C443" s="50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  <c r="AN443" s="36"/>
      <c r="AO443" s="36"/>
      <c r="AP443" s="36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  <c r="BK443" s="36"/>
      <c r="BL443" s="36"/>
      <c r="BM443" s="36"/>
      <c r="BN443" s="36"/>
      <c r="BO443" s="36"/>
      <c r="BP443" s="36"/>
      <c r="BQ443" s="36"/>
      <c r="BR443" s="36"/>
      <c r="BS443" s="36"/>
      <c r="BT443" s="36"/>
      <c r="BU443" s="36"/>
      <c r="BV443" s="36"/>
      <c r="BW443" s="36"/>
      <c r="BX443" s="36"/>
      <c r="BY443" s="36"/>
      <c r="BZ443" s="36"/>
      <c r="CA443" s="36"/>
      <c r="CB443" s="36"/>
      <c r="CC443" s="36"/>
      <c r="CD443" s="36"/>
      <c r="CE443" s="36"/>
      <c r="CF443" s="36"/>
      <c r="CG443" s="36"/>
      <c r="CH443" s="36"/>
      <c r="CI443" s="36"/>
      <c r="CJ443" s="36"/>
      <c r="CK443" s="36"/>
      <c r="CL443" s="36"/>
      <c r="CM443" s="36"/>
      <c r="CN443" s="36"/>
      <c r="CO443" s="36"/>
    </row>
    <row r="444">
      <c r="A444" s="36"/>
      <c r="B444" s="47"/>
      <c r="C444" s="50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  <c r="AN444" s="36"/>
      <c r="AO444" s="36"/>
      <c r="AP444" s="36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  <c r="BK444" s="36"/>
      <c r="BL444" s="36"/>
      <c r="BM444" s="36"/>
      <c r="BN444" s="36"/>
      <c r="BO444" s="36"/>
      <c r="BP444" s="36"/>
      <c r="BQ444" s="36"/>
      <c r="BR444" s="36"/>
      <c r="BS444" s="36"/>
      <c r="BT444" s="36"/>
      <c r="BU444" s="36"/>
      <c r="BV444" s="36"/>
      <c r="BW444" s="36"/>
      <c r="BX444" s="36"/>
      <c r="BY444" s="36"/>
      <c r="BZ444" s="36"/>
      <c r="CA444" s="36"/>
      <c r="CB444" s="36"/>
      <c r="CC444" s="36"/>
      <c r="CD444" s="36"/>
      <c r="CE444" s="36"/>
      <c r="CF444" s="36"/>
      <c r="CG444" s="36"/>
      <c r="CH444" s="36"/>
      <c r="CI444" s="36"/>
      <c r="CJ444" s="36"/>
      <c r="CK444" s="36"/>
      <c r="CL444" s="36"/>
      <c r="CM444" s="36"/>
      <c r="CN444" s="36"/>
      <c r="CO444" s="36"/>
    </row>
    <row r="445">
      <c r="A445" s="36"/>
      <c r="B445" s="47"/>
      <c r="C445" s="50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  <c r="AN445" s="36"/>
      <c r="AO445" s="36"/>
      <c r="AP445" s="36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  <c r="BK445" s="36"/>
      <c r="BL445" s="36"/>
      <c r="BM445" s="36"/>
      <c r="BN445" s="36"/>
      <c r="BO445" s="36"/>
      <c r="BP445" s="36"/>
      <c r="BQ445" s="36"/>
      <c r="BR445" s="36"/>
      <c r="BS445" s="36"/>
      <c r="BT445" s="36"/>
      <c r="BU445" s="36"/>
      <c r="BV445" s="36"/>
      <c r="BW445" s="36"/>
      <c r="BX445" s="36"/>
      <c r="BY445" s="36"/>
      <c r="BZ445" s="36"/>
      <c r="CA445" s="36"/>
      <c r="CB445" s="36"/>
      <c r="CC445" s="36"/>
      <c r="CD445" s="36"/>
      <c r="CE445" s="36"/>
      <c r="CF445" s="36"/>
      <c r="CG445" s="36"/>
      <c r="CH445" s="36"/>
      <c r="CI445" s="36"/>
      <c r="CJ445" s="36"/>
      <c r="CK445" s="36"/>
      <c r="CL445" s="36"/>
      <c r="CM445" s="36"/>
      <c r="CN445" s="36"/>
      <c r="CO445" s="36"/>
    </row>
    <row r="446">
      <c r="A446" s="36"/>
      <c r="B446" s="47"/>
      <c r="C446" s="50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  <c r="AL446" s="36"/>
      <c r="AM446" s="36"/>
      <c r="AN446" s="36"/>
      <c r="AO446" s="36"/>
      <c r="AP446" s="36"/>
      <c r="AQ446" s="36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  <c r="BK446" s="36"/>
      <c r="BL446" s="36"/>
      <c r="BM446" s="36"/>
      <c r="BN446" s="36"/>
      <c r="BO446" s="36"/>
      <c r="BP446" s="36"/>
      <c r="BQ446" s="36"/>
      <c r="BR446" s="36"/>
      <c r="BS446" s="36"/>
      <c r="BT446" s="36"/>
      <c r="BU446" s="36"/>
      <c r="BV446" s="36"/>
      <c r="BW446" s="36"/>
      <c r="BX446" s="36"/>
      <c r="BY446" s="36"/>
      <c r="BZ446" s="36"/>
      <c r="CA446" s="36"/>
      <c r="CB446" s="36"/>
      <c r="CC446" s="36"/>
      <c r="CD446" s="36"/>
      <c r="CE446" s="36"/>
      <c r="CF446" s="36"/>
      <c r="CG446" s="36"/>
      <c r="CH446" s="36"/>
      <c r="CI446" s="36"/>
      <c r="CJ446" s="36"/>
      <c r="CK446" s="36"/>
      <c r="CL446" s="36"/>
      <c r="CM446" s="36"/>
      <c r="CN446" s="36"/>
      <c r="CO446" s="36"/>
    </row>
    <row r="447">
      <c r="A447" s="36"/>
      <c r="B447" s="47"/>
      <c r="C447" s="50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  <c r="AN447" s="36"/>
      <c r="AO447" s="36"/>
      <c r="AP447" s="36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  <c r="BK447" s="36"/>
      <c r="BL447" s="36"/>
      <c r="BM447" s="36"/>
      <c r="BN447" s="36"/>
      <c r="BO447" s="36"/>
      <c r="BP447" s="36"/>
      <c r="BQ447" s="36"/>
      <c r="BR447" s="36"/>
      <c r="BS447" s="36"/>
      <c r="BT447" s="36"/>
      <c r="BU447" s="36"/>
      <c r="BV447" s="36"/>
      <c r="BW447" s="36"/>
      <c r="BX447" s="36"/>
      <c r="BY447" s="36"/>
      <c r="BZ447" s="36"/>
      <c r="CA447" s="36"/>
      <c r="CB447" s="36"/>
      <c r="CC447" s="36"/>
      <c r="CD447" s="36"/>
      <c r="CE447" s="36"/>
      <c r="CF447" s="36"/>
      <c r="CG447" s="36"/>
      <c r="CH447" s="36"/>
      <c r="CI447" s="36"/>
      <c r="CJ447" s="36"/>
      <c r="CK447" s="36"/>
      <c r="CL447" s="36"/>
      <c r="CM447" s="36"/>
      <c r="CN447" s="36"/>
      <c r="CO447" s="36"/>
    </row>
    <row r="448">
      <c r="A448" s="36"/>
      <c r="B448" s="47"/>
      <c r="C448" s="50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  <c r="AL448" s="36"/>
      <c r="AM448" s="36"/>
      <c r="AN448" s="36"/>
      <c r="AO448" s="36"/>
      <c r="AP448" s="36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  <c r="BK448" s="36"/>
      <c r="BL448" s="36"/>
      <c r="BM448" s="36"/>
      <c r="BN448" s="36"/>
      <c r="BO448" s="36"/>
      <c r="BP448" s="36"/>
      <c r="BQ448" s="36"/>
      <c r="BR448" s="36"/>
      <c r="BS448" s="36"/>
      <c r="BT448" s="36"/>
      <c r="BU448" s="36"/>
      <c r="BV448" s="36"/>
      <c r="BW448" s="36"/>
      <c r="BX448" s="36"/>
      <c r="BY448" s="36"/>
      <c r="BZ448" s="36"/>
      <c r="CA448" s="36"/>
      <c r="CB448" s="36"/>
      <c r="CC448" s="36"/>
      <c r="CD448" s="36"/>
      <c r="CE448" s="36"/>
      <c r="CF448" s="36"/>
      <c r="CG448" s="36"/>
      <c r="CH448" s="36"/>
      <c r="CI448" s="36"/>
      <c r="CJ448" s="36"/>
      <c r="CK448" s="36"/>
      <c r="CL448" s="36"/>
      <c r="CM448" s="36"/>
      <c r="CN448" s="36"/>
      <c r="CO448" s="36"/>
    </row>
    <row r="449">
      <c r="A449" s="36"/>
      <c r="B449" s="47"/>
      <c r="C449" s="50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  <c r="AL449" s="36"/>
      <c r="AM449" s="36"/>
      <c r="AN449" s="36"/>
      <c r="AO449" s="36"/>
      <c r="AP449" s="36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  <c r="BK449" s="36"/>
      <c r="BL449" s="36"/>
      <c r="BM449" s="36"/>
      <c r="BN449" s="36"/>
      <c r="BO449" s="36"/>
      <c r="BP449" s="36"/>
      <c r="BQ449" s="36"/>
      <c r="BR449" s="36"/>
      <c r="BS449" s="36"/>
      <c r="BT449" s="36"/>
      <c r="BU449" s="36"/>
      <c r="BV449" s="36"/>
      <c r="BW449" s="36"/>
      <c r="BX449" s="36"/>
      <c r="BY449" s="36"/>
      <c r="BZ449" s="36"/>
      <c r="CA449" s="36"/>
      <c r="CB449" s="36"/>
      <c r="CC449" s="36"/>
      <c r="CD449" s="36"/>
      <c r="CE449" s="36"/>
      <c r="CF449" s="36"/>
      <c r="CG449" s="36"/>
      <c r="CH449" s="36"/>
      <c r="CI449" s="36"/>
      <c r="CJ449" s="36"/>
      <c r="CK449" s="36"/>
      <c r="CL449" s="36"/>
      <c r="CM449" s="36"/>
      <c r="CN449" s="36"/>
      <c r="CO449" s="36"/>
    </row>
    <row r="450">
      <c r="A450" s="36"/>
      <c r="B450" s="47"/>
      <c r="C450" s="50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  <c r="AL450" s="36"/>
      <c r="AM450" s="36"/>
      <c r="AN450" s="36"/>
      <c r="AO450" s="36"/>
      <c r="AP450" s="36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  <c r="BK450" s="36"/>
      <c r="BL450" s="36"/>
      <c r="BM450" s="36"/>
      <c r="BN450" s="36"/>
      <c r="BO450" s="36"/>
      <c r="BP450" s="36"/>
      <c r="BQ450" s="36"/>
      <c r="BR450" s="36"/>
      <c r="BS450" s="36"/>
      <c r="BT450" s="36"/>
      <c r="BU450" s="36"/>
      <c r="BV450" s="36"/>
      <c r="BW450" s="36"/>
      <c r="BX450" s="36"/>
      <c r="BY450" s="36"/>
      <c r="BZ450" s="36"/>
      <c r="CA450" s="36"/>
      <c r="CB450" s="36"/>
      <c r="CC450" s="36"/>
      <c r="CD450" s="36"/>
      <c r="CE450" s="36"/>
      <c r="CF450" s="36"/>
      <c r="CG450" s="36"/>
      <c r="CH450" s="36"/>
      <c r="CI450" s="36"/>
      <c r="CJ450" s="36"/>
      <c r="CK450" s="36"/>
      <c r="CL450" s="36"/>
      <c r="CM450" s="36"/>
      <c r="CN450" s="36"/>
      <c r="CO450" s="36"/>
    </row>
    <row r="451">
      <c r="A451" s="36"/>
      <c r="B451" s="47"/>
      <c r="C451" s="50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  <c r="AL451" s="36"/>
      <c r="AM451" s="36"/>
      <c r="AN451" s="36"/>
      <c r="AO451" s="36"/>
      <c r="AP451" s="36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  <c r="BK451" s="36"/>
      <c r="BL451" s="36"/>
      <c r="BM451" s="36"/>
      <c r="BN451" s="36"/>
      <c r="BO451" s="36"/>
      <c r="BP451" s="36"/>
      <c r="BQ451" s="36"/>
      <c r="BR451" s="36"/>
      <c r="BS451" s="36"/>
      <c r="BT451" s="36"/>
      <c r="BU451" s="36"/>
      <c r="BV451" s="36"/>
      <c r="BW451" s="36"/>
      <c r="BX451" s="36"/>
      <c r="BY451" s="36"/>
      <c r="BZ451" s="36"/>
      <c r="CA451" s="36"/>
      <c r="CB451" s="36"/>
      <c r="CC451" s="36"/>
      <c r="CD451" s="36"/>
      <c r="CE451" s="36"/>
      <c r="CF451" s="36"/>
      <c r="CG451" s="36"/>
      <c r="CH451" s="36"/>
      <c r="CI451" s="36"/>
      <c r="CJ451" s="36"/>
      <c r="CK451" s="36"/>
      <c r="CL451" s="36"/>
      <c r="CM451" s="36"/>
      <c r="CN451" s="36"/>
      <c r="CO451" s="36"/>
    </row>
    <row r="452">
      <c r="A452" s="36"/>
      <c r="B452" s="47"/>
      <c r="C452" s="50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  <c r="AL452" s="36"/>
      <c r="AM452" s="36"/>
      <c r="AN452" s="36"/>
      <c r="AO452" s="36"/>
      <c r="AP452" s="36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  <c r="BK452" s="36"/>
      <c r="BL452" s="36"/>
      <c r="BM452" s="36"/>
      <c r="BN452" s="36"/>
      <c r="BO452" s="36"/>
      <c r="BP452" s="36"/>
      <c r="BQ452" s="36"/>
      <c r="BR452" s="36"/>
      <c r="BS452" s="36"/>
      <c r="BT452" s="36"/>
      <c r="BU452" s="36"/>
      <c r="BV452" s="36"/>
      <c r="BW452" s="36"/>
      <c r="BX452" s="36"/>
      <c r="BY452" s="36"/>
      <c r="BZ452" s="36"/>
      <c r="CA452" s="36"/>
      <c r="CB452" s="36"/>
      <c r="CC452" s="36"/>
      <c r="CD452" s="36"/>
      <c r="CE452" s="36"/>
      <c r="CF452" s="36"/>
      <c r="CG452" s="36"/>
      <c r="CH452" s="36"/>
      <c r="CI452" s="36"/>
      <c r="CJ452" s="36"/>
      <c r="CK452" s="36"/>
      <c r="CL452" s="36"/>
      <c r="CM452" s="36"/>
      <c r="CN452" s="36"/>
      <c r="CO452" s="36"/>
    </row>
    <row r="453">
      <c r="A453" s="36"/>
      <c r="B453" s="47"/>
      <c r="C453" s="50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  <c r="AL453" s="36"/>
      <c r="AM453" s="36"/>
      <c r="AN453" s="36"/>
      <c r="AO453" s="36"/>
      <c r="AP453" s="36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  <c r="BK453" s="36"/>
      <c r="BL453" s="36"/>
      <c r="BM453" s="36"/>
      <c r="BN453" s="36"/>
      <c r="BO453" s="36"/>
      <c r="BP453" s="36"/>
      <c r="BQ453" s="36"/>
      <c r="BR453" s="36"/>
      <c r="BS453" s="36"/>
      <c r="BT453" s="36"/>
      <c r="BU453" s="36"/>
      <c r="BV453" s="36"/>
      <c r="BW453" s="36"/>
      <c r="BX453" s="36"/>
      <c r="BY453" s="36"/>
      <c r="BZ453" s="36"/>
      <c r="CA453" s="36"/>
      <c r="CB453" s="36"/>
      <c r="CC453" s="36"/>
      <c r="CD453" s="36"/>
      <c r="CE453" s="36"/>
      <c r="CF453" s="36"/>
      <c r="CG453" s="36"/>
      <c r="CH453" s="36"/>
      <c r="CI453" s="36"/>
      <c r="CJ453" s="36"/>
      <c r="CK453" s="36"/>
      <c r="CL453" s="36"/>
      <c r="CM453" s="36"/>
      <c r="CN453" s="36"/>
      <c r="CO453" s="36"/>
    </row>
    <row r="454">
      <c r="A454" s="36"/>
      <c r="B454" s="47"/>
      <c r="C454" s="50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  <c r="AL454" s="36"/>
      <c r="AM454" s="36"/>
      <c r="AN454" s="36"/>
      <c r="AO454" s="36"/>
      <c r="AP454" s="36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  <c r="BK454" s="36"/>
      <c r="BL454" s="36"/>
      <c r="BM454" s="36"/>
      <c r="BN454" s="36"/>
      <c r="BO454" s="36"/>
      <c r="BP454" s="36"/>
      <c r="BQ454" s="36"/>
      <c r="BR454" s="36"/>
      <c r="BS454" s="36"/>
      <c r="BT454" s="36"/>
      <c r="BU454" s="36"/>
      <c r="BV454" s="36"/>
      <c r="BW454" s="36"/>
      <c r="BX454" s="36"/>
      <c r="BY454" s="36"/>
      <c r="BZ454" s="36"/>
      <c r="CA454" s="36"/>
      <c r="CB454" s="36"/>
      <c r="CC454" s="36"/>
      <c r="CD454" s="36"/>
      <c r="CE454" s="36"/>
      <c r="CF454" s="36"/>
      <c r="CG454" s="36"/>
      <c r="CH454" s="36"/>
      <c r="CI454" s="36"/>
      <c r="CJ454" s="36"/>
      <c r="CK454" s="36"/>
      <c r="CL454" s="36"/>
      <c r="CM454" s="36"/>
      <c r="CN454" s="36"/>
      <c r="CO454" s="36"/>
    </row>
    <row r="455">
      <c r="A455" s="36"/>
      <c r="B455" s="47"/>
      <c r="C455" s="50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  <c r="AL455" s="36"/>
      <c r="AM455" s="36"/>
      <c r="AN455" s="36"/>
      <c r="AO455" s="36"/>
      <c r="AP455" s="36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  <c r="BK455" s="36"/>
      <c r="BL455" s="36"/>
      <c r="BM455" s="36"/>
      <c r="BN455" s="36"/>
      <c r="BO455" s="36"/>
      <c r="BP455" s="36"/>
      <c r="BQ455" s="36"/>
      <c r="BR455" s="36"/>
      <c r="BS455" s="36"/>
      <c r="BT455" s="36"/>
      <c r="BU455" s="36"/>
      <c r="BV455" s="36"/>
      <c r="BW455" s="36"/>
      <c r="BX455" s="36"/>
      <c r="BY455" s="36"/>
      <c r="BZ455" s="36"/>
      <c r="CA455" s="36"/>
      <c r="CB455" s="36"/>
      <c r="CC455" s="36"/>
      <c r="CD455" s="36"/>
      <c r="CE455" s="36"/>
      <c r="CF455" s="36"/>
      <c r="CG455" s="36"/>
      <c r="CH455" s="36"/>
      <c r="CI455" s="36"/>
      <c r="CJ455" s="36"/>
      <c r="CK455" s="36"/>
      <c r="CL455" s="36"/>
      <c r="CM455" s="36"/>
      <c r="CN455" s="36"/>
      <c r="CO455" s="36"/>
    </row>
    <row r="456">
      <c r="A456" s="36"/>
      <c r="B456" s="47"/>
      <c r="C456" s="50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  <c r="AL456" s="36"/>
      <c r="AM456" s="36"/>
      <c r="AN456" s="36"/>
      <c r="AO456" s="36"/>
      <c r="AP456" s="36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  <c r="BK456" s="36"/>
      <c r="BL456" s="36"/>
      <c r="BM456" s="36"/>
      <c r="BN456" s="36"/>
      <c r="BO456" s="36"/>
      <c r="BP456" s="36"/>
      <c r="BQ456" s="36"/>
      <c r="BR456" s="36"/>
      <c r="BS456" s="36"/>
      <c r="BT456" s="36"/>
      <c r="BU456" s="36"/>
      <c r="BV456" s="36"/>
      <c r="BW456" s="36"/>
      <c r="BX456" s="36"/>
      <c r="BY456" s="36"/>
      <c r="BZ456" s="36"/>
      <c r="CA456" s="36"/>
      <c r="CB456" s="36"/>
      <c r="CC456" s="36"/>
      <c r="CD456" s="36"/>
      <c r="CE456" s="36"/>
      <c r="CF456" s="36"/>
      <c r="CG456" s="36"/>
      <c r="CH456" s="36"/>
      <c r="CI456" s="36"/>
      <c r="CJ456" s="36"/>
      <c r="CK456" s="36"/>
      <c r="CL456" s="36"/>
      <c r="CM456" s="36"/>
      <c r="CN456" s="36"/>
      <c r="CO456" s="36"/>
    </row>
    <row r="457">
      <c r="A457" s="36"/>
      <c r="B457" s="47"/>
      <c r="C457" s="50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  <c r="AL457" s="36"/>
      <c r="AM457" s="36"/>
      <c r="AN457" s="36"/>
      <c r="AO457" s="36"/>
      <c r="AP457" s="36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  <c r="BK457" s="36"/>
      <c r="BL457" s="36"/>
      <c r="BM457" s="36"/>
      <c r="BN457" s="36"/>
      <c r="BO457" s="36"/>
      <c r="BP457" s="36"/>
      <c r="BQ457" s="36"/>
      <c r="BR457" s="36"/>
      <c r="BS457" s="36"/>
      <c r="BT457" s="36"/>
      <c r="BU457" s="36"/>
      <c r="BV457" s="36"/>
      <c r="BW457" s="36"/>
      <c r="BX457" s="36"/>
      <c r="BY457" s="36"/>
      <c r="BZ457" s="36"/>
      <c r="CA457" s="36"/>
      <c r="CB457" s="36"/>
      <c r="CC457" s="36"/>
      <c r="CD457" s="36"/>
      <c r="CE457" s="36"/>
      <c r="CF457" s="36"/>
      <c r="CG457" s="36"/>
      <c r="CH457" s="36"/>
      <c r="CI457" s="36"/>
      <c r="CJ457" s="36"/>
      <c r="CK457" s="36"/>
      <c r="CL457" s="36"/>
      <c r="CM457" s="36"/>
      <c r="CN457" s="36"/>
      <c r="CO457" s="36"/>
    </row>
    <row r="458">
      <c r="A458" s="36"/>
      <c r="B458" s="47"/>
      <c r="C458" s="50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  <c r="AL458" s="36"/>
      <c r="AM458" s="36"/>
      <c r="AN458" s="36"/>
      <c r="AO458" s="36"/>
      <c r="AP458" s="36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  <c r="BK458" s="36"/>
      <c r="BL458" s="36"/>
      <c r="BM458" s="36"/>
      <c r="BN458" s="36"/>
      <c r="BO458" s="36"/>
      <c r="BP458" s="36"/>
      <c r="BQ458" s="36"/>
      <c r="BR458" s="36"/>
      <c r="BS458" s="36"/>
      <c r="BT458" s="36"/>
      <c r="BU458" s="36"/>
      <c r="BV458" s="36"/>
      <c r="BW458" s="36"/>
      <c r="BX458" s="36"/>
      <c r="BY458" s="36"/>
      <c r="BZ458" s="36"/>
      <c r="CA458" s="36"/>
      <c r="CB458" s="36"/>
      <c r="CC458" s="36"/>
      <c r="CD458" s="36"/>
      <c r="CE458" s="36"/>
      <c r="CF458" s="36"/>
      <c r="CG458" s="36"/>
      <c r="CH458" s="36"/>
      <c r="CI458" s="36"/>
      <c r="CJ458" s="36"/>
      <c r="CK458" s="36"/>
      <c r="CL458" s="36"/>
      <c r="CM458" s="36"/>
      <c r="CN458" s="36"/>
      <c r="CO458" s="36"/>
    </row>
    <row r="459">
      <c r="A459" s="36"/>
      <c r="B459" s="47"/>
      <c r="C459" s="50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  <c r="AL459" s="36"/>
      <c r="AM459" s="36"/>
      <c r="AN459" s="36"/>
      <c r="AO459" s="36"/>
      <c r="AP459" s="36"/>
      <c r="AQ459" s="36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  <c r="BK459" s="36"/>
      <c r="BL459" s="36"/>
      <c r="BM459" s="36"/>
      <c r="BN459" s="36"/>
      <c r="BO459" s="36"/>
      <c r="BP459" s="36"/>
      <c r="BQ459" s="36"/>
      <c r="BR459" s="36"/>
      <c r="BS459" s="36"/>
      <c r="BT459" s="36"/>
      <c r="BU459" s="36"/>
      <c r="BV459" s="36"/>
      <c r="BW459" s="36"/>
      <c r="BX459" s="36"/>
      <c r="BY459" s="36"/>
      <c r="BZ459" s="36"/>
      <c r="CA459" s="36"/>
      <c r="CB459" s="36"/>
      <c r="CC459" s="36"/>
      <c r="CD459" s="36"/>
      <c r="CE459" s="36"/>
      <c r="CF459" s="36"/>
      <c r="CG459" s="36"/>
      <c r="CH459" s="36"/>
      <c r="CI459" s="36"/>
      <c r="CJ459" s="36"/>
      <c r="CK459" s="36"/>
      <c r="CL459" s="36"/>
      <c r="CM459" s="36"/>
      <c r="CN459" s="36"/>
      <c r="CO459" s="36"/>
    </row>
    <row r="460">
      <c r="A460" s="36"/>
      <c r="B460" s="47"/>
      <c r="C460" s="50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  <c r="AL460" s="36"/>
      <c r="AM460" s="36"/>
      <c r="AN460" s="36"/>
      <c r="AO460" s="36"/>
      <c r="AP460" s="36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  <c r="BK460" s="36"/>
      <c r="BL460" s="36"/>
      <c r="BM460" s="36"/>
      <c r="BN460" s="36"/>
      <c r="BO460" s="36"/>
      <c r="BP460" s="36"/>
      <c r="BQ460" s="36"/>
      <c r="BR460" s="36"/>
      <c r="BS460" s="36"/>
      <c r="BT460" s="36"/>
      <c r="BU460" s="36"/>
      <c r="BV460" s="36"/>
      <c r="BW460" s="36"/>
      <c r="BX460" s="36"/>
      <c r="BY460" s="36"/>
      <c r="BZ460" s="36"/>
      <c r="CA460" s="36"/>
      <c r="CB460" s="36"/>
      <c r="CC460" s="36"/>
      <c r="CD460" s="36"/>
      <c r="CE460" s="36"/>
      <c r="CF460" s="36"/>
      <c r="CG460" s="36"/>
      <c r="CH460" s="36"/>
      <c r="CI460" s="36"/>
      <c r="CJ460" s="36"/>
      <c r="CK460" s="36"/>
      <c r="CL460" s="36"/>
      <c r="CM460" s="36"/>
      <c r="CN460" s="36"/>
      <c r="CO460" s="36"/>
    </row>
    <row r="461">
      <c r="A461" s="36"/>
      <c r="B461" s="47"/>
      <c r="C461" s="50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  <c r="AL461" s="36"/>
      <c r="AM461" s="36"/>
      <c r="AN461" s="36"/>
      <c r="AO461" s="36"/>
      <c r="AP461" s="36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  <c r="BK461" s="36"/>
      <c r="BL461" s="36"/>
      <c r="BM461" s="36"/>
      <c r="BN461" s="36"/>
      <c r="BO461" s="36"/>
      <c r="BP461" s="36"/>
      <c r="BQ461" s="36"/>
      <c r="BR461" s="36"/>
      <c r="BS461" s="36"/>
      <c r="BT461" s="36"/>
      <c r="BU461" s="36"/>
      <c r="BV461" s="36"/>
      <c r="BW461" s="36"/>
      <c r="BX461" s="36"/>
      <c r="BY461" s="36"/>
      <c r="BZ461" s="36"/>
      <c r="CA461" s="36"/>
      <c r="CB461" s="36"/>
      <c r="CC461" s="36"/>
      <c r="CD461" s="36"/>
      <c r="CE461" s="36"/>
      <c r="CF461" s="36"/>
      <c r="CG461" s="36"/>
      <c r="CH461" s="36"/>
      <c r="CI461" s="36"/>
      <c r="CJ461" s="36"/>
      <c r="CK461" s="36"/>
      <c r="CL461" s="36"/>
      <c r="CM461" s="36"/>
      <c r="CN461" s="36"/>
      <c r="CO461" s="36"/>
    </row>
    <row r="462">
      <c r="A462" s="36"/>
      <c r="B462" s="47"/>
      <c r="C462" s="50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  <c r="AL462" s="36"/>
      <c r="AM462" s="36"/>
      <c r="AN462" s="36"/>
      <c r="AO462" s="36"/>
      <c r="AP462" s="36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  <c r="BK462" s="36"/>
      <c r="BL462" s="36"/>
      <c r="BM462" s="36"/>
      <c r="BN462" s="36"/>
      <c r="BO462" s="36"/>
      <c r="BP462" s="36"/>
      <c r="BQ462" s="36"/>
      <c r="BR462" s="36"/>
      <c r="BS462" s="36"/>
      <c r="BT462" s="36"/>
      <c r="BU462" s="36"/>
      <c r="BV462" s="36"/>
      <c r="BW462" s="36"/>
      <c r="BX462" s="36"/>
      <c r="BY462" s="36"/>
      <c r="BZ462" s="36"/>
      <c r="CA462" s="36"/>
      <c r="CB462" s="36"/>
      <c r="CC462" s="36"/>
      <c r="CD462" s="36"/>
      <c r="CE462" s="36"/>
      <c r="CF462" s="36"/>
      <c r="CG462" s="36"/>
      <c r="CH462" s="36"/>
      <c r="CI462" s="36"/>
      <c r="CJ462" s="36"/>
      <c r="CK462" s="36"/>
      <c r="CL462" s="36"/>
      <c r="CM462" s="36"/>
      <c r="CN462" s="36"/>
      <c r="CO462" s="36"/>
    </row>
    <row r="463">
      <c r="A463" s="36"/>
      <c r="B463" s="47"/>
      <c r="C463" s="50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  <c r="AL463" s="36"/>
      <c r="AM463" s="36"/>
      <c r="AN463" s="36"/>
      <c r="AO463" s="36"/>
      <c r="AP463" s="36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  <c r="BK463" s="36"/>
      <c r="BL463" s="36"/>
      <c r="BM463" s="36"/>
      <c r="BN463" s="36"/>
      <c r="BO463" s="36"/>
      <c r="BP463" s="36"/>
      <c r="BQ463" s="36"/>
      <c r="BR463" s="36"/>
      <c r="BS463" s="36"/>
      <c r="BT463" s="36"/>
      <c r="BU463" s="36"/>
      <c r="BV463" s="36"/>
      <c r="BW463" s="36"/>
      <c r="BX463" s="36"/>
      <c r="BY463" s="36"/>
      <c r="BZ463" s="36"/>
      <c r="CA463" s="36"/>
      <c r="CB463" s="36"/>
      <c r="CC463" s="36"/>
      <c r="CD463" s="36"/>
      <c r="CE463" s="36"/>
      <c r="CF463" s="36"/>
      <c r="CG463" s="36"/>
      <c r="CH463" s="36"/>
      <c r="CI463" s="36"/>
      <c r="CJ463" s="36"/>
      <c r="CK463" s="36"/>
      <c r="CL463" s="36"/>
      <c r="CM463" s="36"/>
      <c r="CN463" s="36"/>
      <c r="CO463" s="36"/>
    </row>
    <row r="464">
      <c r="A464" s="36"/>
      <c r="B464" s="47"/>
      <c r="C464" s="50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  <c r="AL464" s="36"/>
      <c r="AM464" s="36"/>
      <c r="AN464" s="36"/>
      <c r="AO464" s="36"/>
      <c r="AP464" s="36"/>
      <c r="AQ464" s="36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  <c r="BK464" s="36"/>
      <c r="BL464" s="36"/>
      <c r="BM464" s="36"/>
      <c r="BN464" s="36"/>
      <c r="BO464" s="36"/>
      <c r="BP464" s="36"/>
      <c r="BQ464" s="36"/>
      <c r="BR464" s="36"/>
      <c r="BS464" s="36"/>
      <c r="BT464" s="36"/>
      <c r="BU464" s="36"/>
      <c r="BV464" s="36"/>
      <c r="BW464" s="36"/>
      <c r="BX464" s="36"/>
      <c r="BY464" s="36"/>
      <c r="BZ464" s="36"/>
      <c r="CA464" s="36"/>
      <c r="CB464" s="36"/>
      <c r="CC464" s="36"/>
      <c r="CD464" s="36"/>
      <c r="CE464" s="36"/>
      <c r="CF464" s="36"/>
      <c r="CG464" s="36"/>
      <c r="CH464" s="36"/>
      <c r="CI464" s="36"/>
      <c r="CJ464" s="36"/>
      <c r="CK464" s="36"/>
      <c r="CL464" s="36"/>
      <c r="CM464" s="36"/>
      <c r="CN464" s="36"/>
      <c r="CO464" s="36"/>
    </row>
    <row r="465">
      <c r="A465" s="36"/>
      <c r="B465" s="47"/>
      <c r="C465" s="50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  <c r="AL465" s="36"/>
      <c r="AM465" s="36"/>
      <c r="AN465" s="36"/>
      <c r="AO465" s="36"/>
      <c r="AP465" s="36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  <c r="BK465" s="36"/>
      <c r="BL465" s="36"/>
      <c r="BM465" s="36"/>
      <c r="BN465" s="36"/>
      <c r="BO465" s="36"/>
      <c r="BP465" s="36"/>
      <c r="BQ465" s="36"/>
      <c r="BR465" s="36"/>
      <c r="BS465" s="36"/>
      <c r="BT465" s="36"/>
      <c r="BU465" s="36"/>
      <c r="BV465" s="36"/>
      <c r="BW465" s="36"/>
      <c r="BX465" s="36"/>
      <c r="BY465" s="36"/>
      <c r="BZ465" s="36"/>
      <c r="CA465" s="36"/>
      <c r="CB465" s="36"/>
      <c r="CC465" s="36"/>
      <c r="CD465" s="36"/>
      <c r="CE465" s="36"/>
      <c r="CF465" s="36"/>
      <c r="CG465" s="36"/>
      <c r="CH465" s="36"/>
      <c r="CI465" s="36"/>
      <c r="CJ465" s="36"/>
      <c r="CK465" s="36"/>
      <c r="CL465" s="36"/>
      <c r="CM465" s="36"/>
      <c r="CN465" s="36"/>
      <c r="CO465" s="36"/>
    </row>
    <row r="466">
      <c r="A466" s="36"/>
      <c r="B466" s="47"/>
      <c r="C466" s="50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  <c r="AL466" s="36"/>
      <c r="AM466" s="36"/>
      <c r="AN466" s="36"/>
      <c r="AO466" s="36"/>
      <c r="AP466" s="36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  <c r="BK466" s="36"/>
      <c r="BL466" s="36"/>
      <c r="BM466" s="36"/>
      <c r="BN466" s="36"/>
      <c r="BO466" s="36"/>
      <c r="BP466" s="36"/>
      <c r="BQ466" s="36"/>
      <c r="BR466" s="36"/>
      <c r="BS466" s="36"/>
      <c r="BT466" s="36"/>
      <c r="BU466" s="36"/>
      <c r="BV466" s="36"/>
      <c r="BW466" s="36"/>
      <c r="BX466" s="36"/>
      <c r="BY466" s="36"/>
      <c r="BZ466" s="36"/>
      <c r="CA466" s="36"/>
      <c r="CB466" s="36"/>
      <c r="CC466" s="36"/>
      <c r="CD466" s="36"/>
      <c r="CE466" s="36"/>
      <c r="CF466" s="36"/>
      <c r="CG466" s="36"/>
      <c r="CH466" s="36"/>
      <c r="CI466" s="36"/>
      <c r="CJ466" s="36"/>
      <c r="CK466" s="36"/>
      <c r="CL466" s="36"/>
      <c r="CM466" s="36"/>
      <c r="CN466" s="36"/>
      <c r="CO466" s="36"/>
    </row>
    <row r="467">
      <c r="A467" s="36"/>
      <c r="B467" s="47"/>
      <c r="C467" s="50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  <c r="AL467" s="36"/>
      <c r="AM467" s="36"/>
      <c r="AN467" s="36"/>
      <c r="AO467" s="36"/>
      <c r="AP467" s="36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  <c r="BK467" s="36"/>
      <c r="BL467" s="36"/>
      <c r="BM467" s="36"/>
      <c r="BN467" s="36"/>
      <c r="BO467" s="36"/>
      <c r="BP467" s="36"/>
      <c r="BQ467" s="36"/>
      <c r="BR467" s="36"/>
      <c r="BS467" s="36"/>
      <c r="BT467" s="36"/>
      <c r="BU467" s="36"/>
      <c r="BV467" s="36"/>
      <c r="BW467" s="36"/>
      <c r="BX467" s="36"/>
      <c r="BY467" s="36"/>
      <c r="BZ467" s="36"/>
      <c r="CA467" s="36"/>
      <c r="CB467" s="36"/>
      <c r="CC467" s="36"/>
      <c r="CD467" s="36"/>
      <c r="CE467" s="36"/>
      <c r="CF467" s="36"/>
      <c r="CG467" s="36"/>
      <c r="CH467" s="36"/>
      <c r="CI467" s="36"/>
      <c r="CJ467" s="36"/>
      <c r="CK467" s="36"/>
      <c r="CL467" s="36"/>
      <c r="CM467" s="36"/>
      <c r="CN467" s="36"/>
      <c r="CO467" s="36"/>
    </row>
    <row r="468">
      <c r="A468" s="36"/>
      <c r="B468" s="47"/>
      <c r="C468" s="50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  <c r="AL468" s="36"/>
      <c r="AM468" s="36"/>
      <c r="AN468" s="36"/>
      <c r="AO468" s="36"/>
      <c r="AP468" s="36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  <c r="BK468" s="36"/>
      <c r="BL468" s="36"/>
      <c r="BM468" s="36"/>
      <c r="BN468" s="36"/>
      <c r="BO468" s="36"/>
      <c r="BP468" s="36"/>
      <c r="BQ468" s="36"/>
      <c r="BR468" s="36"/>
      <c r="BS468" s="36"/>
      <c r="BT468" s="36"/>
      <c r="BU468" s="36"/>
      <c r="BV468" s="36"/>
      <c r="BW468" s="36"/>
      <c r="BX468" s="36"/>
      <c r="BY468" s="36"/>
      <c r="BZ468" s="36"/>
      <c r="CA468" s="36"/>
      <c r="CB468" s="36"/>
      <c r="CC468" s="36"/>
      <c r="CD468" s="36"/>
      <c r="CE468" s="36"/>
      <c r="CF468" s="36"/>
      <c r="CG468" s="36"/>
      <c r="CH468" s="36"/>
      <c r="CI468" s="36"/>
      <c r="CJ468" s="36"/>
      <c r="CK468" s="36"/>
      <c r="CL468" s="36"/>
      <c r="CM468" s="36"/>
      <c r="CN468" s="36"/>
      <c r="CO468" s="36"/>
    </row>
    <row r="469">
      <c r="A469" s="36"/>
      <c r="B469" s="47"/>
      <c r="C469" s="50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  <c r="AL469" s="36"/>
      <c r="AM469" s="36"/>
      <c r="AN469" s="36"/>
      <c r="AO469" s="36"/>
      <c r="AP469" s="36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  <c r="BK469" s="36"/>
      <c r="BL469" s="36"/>
      <c r="BM469" s="36"/>
      <c r="BN469" s="36"/>
      <c r="BO469" s="36"/>
      <c r="BP469" s="36"/>
      <c r="BQ469" s="36"/>
      <c r="BR469" s="36"/>
      <c r="BS469" s="36"/>
      <c r="BT469" s="36"/>
      <c r="BU469" s="36"/>
      <c r="BV469" s="36"/>
      <c r="BW469" s="36"/>
      <c r="BX469" s="36"/>
      <c r="BY469" s="36"/>
      <c r="BZ469" s="36"/>
      <c r="CA469" s="36"/>
      <c r="CB469" s="36"/>
      <c r="CC469" s="36"/>
      <c r="CD469" s="36"/>
      <c r="CE469" s="36"/>
      <c r="CF469" s="36"/>
      <c r="CG469" s="36"/>
      <c r="CH469" s="36"/>
      <c r="CI469" s="36"/>
      <c r="CJ469" s="36"/>
      <c r="CK469" s="36"/>
      <c r="CL469" s="36"/>
      <c r="CM469" s="36"/>
      <c r="CN469" s="36"/>
      <c r="CO469" s="36"/>
    </row>
    <row r="470">
      <c r="A470" s="36"/>
      <c r="B470" s="47"/>
      <c r="C470" s="50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  <c r="AL470" s="36"/>
      <c r="AM470" s="36"/>
      <c r="AN470" s="36"/>
      <c r="AO470" s="36"/>
      <c r="AP470" s="36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  <c r="BK470" s="36"/>
      <c r="BL470" s="36"/>
      <c r="BM470" s="36"/>
      <c r="BN470" s="36"/>
      <c r="BO470" s="36"/>
      <c r="BP470" s="36"/>
      <c r="BQ470" s="36"/>
      <c r="BR470" s="36"/>
      <c r="BS470" s="36"/>
      <c r="BT470" s="36"/>
      <c r="BU470" s="36"/>
      <c r="BV470" s="36"/>
      <c r="BW470" s="36"/>
      <c r="BX470" s="36"/>
      <c r="BY470" s="36"/>
      <c r="BZ470" s="36"/>
      <c r="CA470" s="36"/>
      <c r="CB470" s="36"/>
      <c r="CC470" s="36"/>
      <c r="CD470" s="36"/>
      <c r="CE470" s="36"/>
      <c r="CF470" s="36"/>
      <c r="CG470" s="36"/>
      <c r="CH470" s="36"/>
      <c r="CI470" s="36"/>
      <c r="CJ470" s="36"/>
      <c r="CK470" s="36"/>
      <c r="CL470" s="36"/>
      <c r="CM470" s="36"/>
      <c r="CN470" s="36"/>
      <c r="CO470" s="36"/>
    </row>
    <row r="471">
      <c r="A471" s="36"/>
      <c r="B471" s="47"/>
      <c r="C471" s="50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  <c r="AL471" s="36"/>
      <c r="AM471" s="36"/>
      <c r="AN471" s="36"/>
      <c r="AO471" s="36"/>
      <c r="AP471" s="36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  <c r="BK471" s="36"/>
      <c r="BL471" s="36"/>
      <c r="BM471" s="36"/>
      <c r="BN471" s="36"/>
      <c r="BO471" s="36"/>
      <c r="BP471" s="36"/>
      <c r="BQ471" s="36"/>
      <c r="BR471" s="36"/>
      <c r="BS471" s="36"/>
      <c r="BT471" s="36"/>
      <c r="BU471" s="36"/>
      <c r="BV471" s="36"/>
      <c r="BW471" s="36"/>
      <c r="BX471" s="36"/>
      <c r="BY471" s="36"/>
      <c r="BZ471" s="36"/>
      <c r="CA471" s="36"/>
      <c r="CB471" s="36"/>
      <c r="CC471" s="36"/>
      <c r="CD471" s="36"/>
      <c r="CE471" s="36"/>
      <c r="CF471" s="36"/>
      <c r="CG471" s="36"/>
      <c r="CH471" s="36"/>
      <c r="CI471" s="36"/>
      <c r="CJ471" s="36"/>
      <c r="CK471" s="36"/>
      <c r="CL471" s="36"/>
      <c r="CM471" s="36"/>
      <c r="CN471" s="36"/>
      <c r="CO471" s="36"/>
    </row>
    <row r="472">
      <c r="A472" s="36"/>
      <c r="B472" s="47"/>
      <c r="C472" s="50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  <c r="AL472" s="36"/>
      <c r="AM472" s="36"/>
      <c r="AN472" s="36"/>
      <c r="AO472" s="36"/>
      <c r="AP472" s="36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  <c r="BK472" s="36"/>
      <c r="BL472" s="36"/>
      <c r="BM472" s="36"/>
      <c r="BN472" s="36"/>
      <c r="BO472" s="36"/>
      <c r="BP472" s="36"/>
      <c r="BQ472" s="36"/>
      <c r="BR472" s="36"/>
      <c r="BS472" s="36"/>
      <c r="BT472" s="36"/>
      <c r="BU472" s="36"/>
      <c r="BV472" s="36"/>
      <c r="BW472" s="36"/>
      <c r="BX472" s="36"/>
      <c r="BY472" s="36"/>
      <c r="BZ472" s="36"/>
      <c r="CA472" s="36"/>
      <c r="CB472" s="36"/>
      <c r="CC472" s="36"/>
      <c r="CD472" s="36"/>
      <c r="CE472" s="36"/>
      <c r="CF472" s="36"/>
      <c r="CG472" s="36"/>
      <c r="CH472" s="36"/>
      <c r="CI472" s="36"/>
      <c r="CJ472" s="36"/>
      <c r="CK472" s="36"/>
      <c r="CL472" s="36"/>
      <c r="CM472" s="36"/>
      <c r="CN472" s="36"/>
      <c r="CO472" s="36"/>
    </row>
    <row r="473">
      <c r="A473" s="36"/>
      <c r="B473" s="47"/>
      <c r="C473" s="50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  <c r="AL473" s="36"/>
      <c r="AM473" s="36"/>
      <c r="AN473" s="36"/>
      <c r="AO473" s="36"/>
      <c r="AP473" s="36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  <c r="BK473" s="36"/>
      <c r="BL473" s="36"/>
      <c r="BM473" s="36"/>
      <c r="BN473" s="36"/>
      <c r="BO473" s="36"/>
      <c r="BP473" s="36"/>
      <c r="BQ473" s="36"/>
      <c r="BR473" s="36"/>
      <c r="BS473" s="36"/>
      <c r="BT473" s="36"/>
      <c r="BU473" s="36"/>
      <c r="BV473" s="36"/>
      <c r="BW473" s="36"/>
      <c r="BX473" s="36"/>
      <c r="BY473" s="36"/>
      <c r="BZ473" s="36"/>
      <c r="CA473" s="36"/>
      <c r="CB473" s="36"/>
      <c r="CC473" s="36"/>
      <c r="CD473" s="36"/>
      <c r="CE473" s="36"/>
      <c r="CF473" s="36"/>
      <c r="CG473" s="36"/>
      <c r="CH473" s="36"/>
      <c r="CI473" s="36"/>
      <c r="CJ473" s="36"/>
      <c r="CK473" s="36"/>
      <c r="CL473" s="36"/>
      <c r="CM473" s="36"/>
      <c r="CN473" s="36"/>
      <c r="CO473" s="36"/>
    </row>
    <row r="474">
      <c r="A474" s="36"/>
      <c r="B474" s="47"/>
      <c r="C474" s="50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  <c r="AL474" s="36"/>
      <c r="AM474" s="36"/>
      <c r="AN474" s="36"/>
      <c r="AO474" s="36"/>
      <c r="AP474" s="36"/>
      <c r="AQ474" s="36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  <c r="BK474" s="36"/>
      <c r="BL474" s="36"/>
      <c r="BM474" s="36"/>
      <c r="BN474" s="36"/>
      <c r="BO474" s="36"/>
      <c r="BP474" s="36"/>
      <c r="BQ474" s="36"/>
      <c r="BR474" s="36"/>
      <c r="BS474" s="36"/>
      <c r="BT474" s="36"/>
      <c r="BU474" s="36"/>
      <c r="BV474" s="36"/>
      <c r="BW474" s="36"/>
      <c r="BX474" s="36"/>
      <c r="BY474" s="36"/>
      <c r="BZ474" s="36"/>
      <c r="CA474" s="36"/>
      <c r="CB474" s="36"/>
      <c r="CC474" s="36"/>
      <c r="CD474" s="36"/>
      <c r="CE474" s="36"/>
      <c r="CF474" s="36"/>
      <c r="CG474" s="36"/>
      <c r="CH474" s="36"/>
      <c r="CI474" s="36"/>
      <c r="CJ474" s="36"/>
      <c r="CK474" s="36"/>
      <c r="CL474" s="36"/>
      <c r="CM474" s="36"/>
      <c r="CN474" s="36"/>
      <c r="CO474" s="36"/>
    </row>
    <row r="475">
      <c r="A475" s="36"/>
      <c r="B475" s="47"/>
      <c r="C475" s="50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  <c r="AL475" s="36"/>
      <c r="AM475" s="36"/>
      <c r="AN475" s="36"/>
      <c r="AO475" s="36"/>
      <c r="AP475" s="36"/>
      <c r="AQ475" s="36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  <c r="BK475" s="36"/>
      <c r="BL475" s="36"/>
      <c r="BM475" s="36"/>
      <c r="BN475" s="36"/>
      <c r="BO475" s="36"/>
      <c r="BP475" s="36"/>
      <c r="BQ475" s="36"/>
      <c r="BR475" s="36"/>
      <c r="BS475" s="36"/>
      <c r="BT475" s="36"/>
      <c r="BU475" s="36"/>
      <c r="BV475" s="36"/>
      <c r="BW475" s="36"/>
      <c r="BX475" s="36"/>
      <c r="BY475" s="36"/>
      <c r="BZ475" s="36"/>
      <c r="CA475" s="36"/>
      <c r="CB475" s="36"/>
      <c r="CC475" s="36"/>
      <c r="CD475" s="36"/>
      <c r="CE475" s="36"/>
      <c r="CF475" s="36"/>
      <c r="CG475" s="36"/>
      <c r="CH475" s="36"/>
      <c r="CI475" s="36"/>
      <c r="CJ475" s="36"/>
      <c r="CK475" s="36"/>
      <c r="CL475" s="36"/>
      <c r="CM475" s="36"/>
      <c r="CN475" s="36"/>
      <c r="CO475" s="36"/>
    </row>
    <row r="476">
      <c r="A476" s="36"/>
      <c r="B476" s="47"/>
      <c r="C476" s="50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  <c r="AL476" s="36"/>
      <c r="AM476" s="36"/>
      <c r="AN476" s="36"/>
      <c r="AO476" s="36"/>
      <c r="AP476" s="36"/>
      <c r="AQ476" s="36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  <c r="BK476" s="36"/>
      <c r="BL476" s="36"/>
      <c r="BM476" s="36"/>
      <c r="BN476" s="36"/>
      <c r="BO476" s="36"/>
      <c r="BP476" s="36"/>
      <c r="BQ476" s="36"/>
      <c r="BR476" s="36"/>
      <c r="BS476" s="36"/>
      <c r="BT476" s="36"/>
      <c r="BU476" s="36"/>
      <c r="BV476" s="36"/>
      <c r="BW476" s="36"/>
      <c r="BX476" s="36"/>
      <c r="BY476" s="36"/>
      <c r="BZ476" s="36"/>
      <c r="CA476" s="36"/>
      <c r="CB476" s="36"/>
      <c r="CC476" s="36"/>
      <c r="CD476" s="36"/>
      <c r="CE476" s="36"/>
      <c r="CF476" s="36"/>
      <c r="CG476" s="36"/>
      <c r="CH476" s="36"/>
      <c r="CI476" s="36"/>
      <c r="CJ476" s="36"/>
      <c r="CK476" s="36"/>
      <c r="CL476" s="36"/>
      <c r="CM476" s="36"/>
      <c r="CN476" s="36"/>
      <c r="CO476" s="36"/>
    </row>
    <row r="477">
      <c r="A477" s="36"/>
      <c r="B477" s="47"/>
      <c r="C477" s="50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  <c r="AL477" s="36"/>
      <c r="AM477" s="36"/>
      <c r="AN477" s="36"/>
      <c r="AO477" s="36"/>
      <c r="AP477" s="36"/>
      <c r="AQ477" s="36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  <c r="BK477" s="36"/>
      <c r="BL477" s="36"/>
      <c r="BM477" s="36"/>
      <c r="BN477" s="36"/>
      <c r="BO477" s="36"/>
      <c r="BP477" s="36"/>
      <c r="BQ477" s="36"/>
      <c r="BR477" s="36"/>
      <c r="BS477" s="36"/>
      <c r="BT477" s="36"/>
      <c r="BU477" s="36"/>
      <c r="BV477" s="36"/>
      <c r="BW477" s="36"/>
      <c r="BX477" s="36"/>
      <c r="BY477" s="36"/>
      <c r="BZ477" s="36"/>
      <c r="CA477" s="36"/>
      <c r="CB477" s="36"/>
      <c r="CC477" s="36"/>
      <c r="CD477" s="36"/>
      <c r="CE477" s="36"/>
      <c r="CF477" s="36"/>
      <c r="CG477" s="36"/>
      <c r="CH477" s="36"/>
      <c r="CI477" s="36"/>
      <c r="CJ477" s="36"/>
      <c r="CK477" s="36"/>
      <c r="CL477" s="36"/>
      <c r="CM477" s="36"/>
      <c r="CN477" s="36"/>
      <c r="CO477" s="36"/>
    </row>
    <row r="478">
      <c r="A478" s="36"/>
      <c r="B478" s="47"/>
      <c r="C478" s="50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  <c r="AL478" s="36"/>
      <c r="AM478" s="36"/>
      <c r="AN478" s="36"/>
      <c r="AO478" s="36"/>
      <c r="AP478" s="36"/>
      <c r="AQ478" s="36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  <c r="BK478" s="36"/>
      <c r="BL478" s="36"/>
      <c r="BM478" s="36"/>
      <c r="BN478" s="36"/>
      <c r="BO478" s="36"/>
      <c r="BP478" s="36"/>
      <c r="BQ478" s="36"/>
      <c r="BR478" s="36"/>
      <c r="BS478" s="36"/>
      <c r="BT478" s="36"/>
      <c r="BU478" s="36"/>
      <c r="BV478" s="36"/>
      <c r="BW478" s="36"/>
      <c r="BX478" s="36"/>
      <c r="BY478" s="36"/>
      <c r="BZ478" s="36"/>
      <c r="CA478" s="36"/>
      <c r="CB478" s="36"/>
      <c r="CC478" s="36"/>
      <c r="CD478" s="36"/>
      <c r="CE478" s="36"/>
      <c r="CF478" s="36"/>
      <c r="CG478" s="36"/>
      <c r="CH478" s="36"/>
      <c r="CI478" s="36"/>
      <c r="CJ478" s="36"/>
      <c r="CK478" s="36"/>
      <c r="CL478" s="36"/>
      <c r="CM478" s="36"/>
      <c r="CN478" s="36"/>
      <c r="CO478" s="36"/>
    </row>
    <row r="479">
      <c r="A479" s="36"/>
      <c r="B479" s="47"/>
      <c r="C479" s="50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  <c r="AK479" s="36"/>
      <c r="AL479" s="36"/>
      <c r="AM479" s="36"/>
      <c r="AN479" s="36"/>
      <c r="AO479" s="36"/>
      <c r="AP479" s="36"/>
      <c r="AQ479" s="36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  <c r="BK479" s="36"/>
      <c r="BL479" s="36"/>
      <c r="BM479" s="36"/>
      <c r="BN479" s="36"/>
      <c r="BO479" s="36"/>
      <c r="BP479" s="36"/>
      <c r="BQ479" s="36"/>
      <c r="BR479" s="36"/>
      <c r="BS479" s="36"/>
      <c r="BT479" s="36"/>
      <c r="BU479" s="36"/>
      <c r="BV479" s="36"/>
      <c r="BW479" s="36"/>
      <c r="BX479" s="36"/>
      <c r="BY479" s="36"/>
      <c r="BZ479" s="36"/>
      <c r="CA479" s="36"/>
      <c r="CB479" s="36"/>
      <c r="CC479" s="36"/>
      <c r="CD479" s="36"/>
      <c r="CE479" s="36"/>
      <c r="CF479" s="36"/>
      <c r="CG479" s="36"/>
      <c r="CH479" s="36"/>
      <c r="CI479" s="36"/>
      <c r="CJ479" s="36"/>
      <c r="CK479" s="36"/>
      <c r="CL479" s="36"/>
      <c r="CM479" s="36"/>
      <c r="CN479" s="36"/>
      <c r="CO479" s="36"/>
    </row>
    <row r="480">
      <c r="A480" s="36"/>
      <c r="B480" s="47"/>
      <c r="C480" s="50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  <c r="AL480" s="36"/>
      <c r="AM480" s="36"/>
      <c r="AN480" s="36"/>
      <c r="AO480" s="36"/>
      <c r="AP480" s="36"/>
      <c r="AQ480" s="36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  <c r="BK480" s="36"/>
      <c r="BL480" s="36"/>
      <c r="BM480" s="36"/>
      <c r="BN480" s="36"/>
      <c r="BO480" s="36"/>
      <c r="BP480" s="36"/>
      <c r="BQ480" s="36"/>
      <c r="BR480" s="36"/>
      <c r="BS480" s="36"/>
      <c r="BT480" s="36"/>
      <c r="BU480" s="36"/>
      <c r="BV480" s="36"/>
      <c r="BW480" s="36"/>
      <c r="BX480" s="36"/>
      <c r="BY480" s="36"/>
      <c r="BZ480" s="36"/>
      <c r="CA480" s="36"/>
      <c r="CB480" s="36"/>
      <c r="CC480" s="36"/>
      <c r="CD480" s="36"/>
      <c r="CE480" s="36"/>
      <c r="CF480" s="36"/>
      <c r="CG480" s="36"/>
      <c r="CH480" s="36"/>
      <c r="CI480" s="36"/>
      <c r="CJ480" s="36"/>
      <c r="CK480" s="36"/>
      <c r="CL480" s="36"/>
      <c r="CM480" s="36"/>
      <c r="CN480" s="36"/>
      <c r="CO480" s="36"/>
    </row>
    <row r="481">
      <c r="A481" s="36"/>
      <c r="B481" s="47"/>
      <c r="C481" s="50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  <c r="AL481" s="36"/>
      <c r="AM481" s="36"/>
      <c r="AN481" s="36"/>
      <c r="AO481" s="36"/>
      <c r="AP481" s="36"/>
      <c r="AQ481" s="36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  <c r="BK481" s="36"/>
      <c r="BL481" s="36"/>
      <c r="BM481" s="36"/>
      <c r="BN481" s="36"/>
      <c r="BO481" s="36"/>
      <c r="BP481" s="36"/>
      <c r="BQ481" s="36"/>
      <c r="BR481" s="36"/>
      <c r="BS481" s="36"/>
      <c r="BT481" s="36"/>
      <c r="BU481" s="36"/>
      <c r="BV481" s="36"/>
      <c r="BW481" s="36"/>
      <c r="BX481" s="36"/>
      <c r="BY481" s="36"/>
      <c r="BZ481" s="36"/>
      <c r="CA481" s="36"/>
      <c r="CB481" s="36"/>
      <c r="CC481" s="36"/>
      <c r="CD481" s="36"/>
      <c r="CE481" s="36"/>
      <c r="CF481" s="36"/>
      <c r="CG481" s="36"/>
      <c r="CH481" s="36"/>
      <c r="CI481" s="36"/>
      <c r="CJ481" s="36"/>
      <c r="CK481" s="36"/>
      <c r="CL481" s="36"/>
      <c r="CM481" s="36"/>
      <c r="CN481" s="36"/>
      <c r="CO481" s="36"/>
    </row>
    <row r="482">
      <c r="A482" s="36"/>
      <c r="B482" s="47"/>
      <c r="C482" s="50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  <c r="AL482" s="36"/>
      <c r="AM482" s="36"/>
      <c r="AN482" s="36"/>
      <c r="AO482" s="36"/>
      <c r="AP482" s="36"/>
      <c r="AQ482" s="36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  <c r="BK482" s="36"/>
      <c r="BL482" s="36"/>
      <c r="BM482" s="36"/>
      <c r="BN482" s="36"/>
      <c r="BO482" s="36"/>
      <c r="BP482" s="36"/>
      <c r="BQ482" s="36"/>
      <c r="BR482" s="36"/>
      <c r="BS482" s="36"/>
      <c r="BT482" s="36"/>
      <c r="BU482" s="36"/>
      <c r="BV482" s="36"/>
      <c r="BW482" s="36"/>
      <c r="BX482" s="36"/>
      <c r="BY482" s="36"/>
      <c r="BZ482" s="36"/>
      <c r="CA482" s="36"/>
      <c r="CB482" s="36"/>
      <c r="CC482" s="36"/>
      <c r="CD482" s="36"/>
      <c r="CE482" s="36"/>
      <c r="CF482" s="36"/>
      <c r="CG482" s="36"/>
      <c r="CH482" s="36"/>
      <c r="CI482" s="36"/>
      <c r="CJ482" s="36"/>
      <c r="CK482" s="36"/>
      <c r="CL482" s="36"/>
      <c r="CM482" s="36"/>
      <c r="CN482" s="36"/>
      <c r="CO482" s="36"/>
    </row>
    <row r="483">
      <c r="A483" s="36"/>
      <c r="B483" s="47"/>
      <c r="C483" s="50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  <c r="AK483" s="36"/>
      <c r="AL483" s="36"/>
      <c r="AM483" s="36"/>
      <c r="AN483" s="36"/>
      <c r="AO483" s="36"/>
      <c r="AP483" s="36"/>
      <c r="AQ483" s="36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  <c r="BK483" s="36"/>
      <c r="BL483" s="36"/>
      <c r="BM483" s="36"/>
      <c r="BN483" s="36"/>
      <c r="BO483" s="36"/>
      <c r="BP483" s="36"/>
      <c r="BQ483" s="36"/>
      <c r="BR483" s="36"/>
      <c r="BS483" s="36"/>
      <c r="BT483" s="36"/>
      <c r="BU483" s="36"/>
      <c r="BV483" s="36"/>
      <c r="BW483" s="36"/>
      <c r="BX483" s="36"/>
      <c r="BY483" s="36"/>
      <c r="BZ483" s="36"/>
      <c r="CA483" s="36"/>
      <c r="CB483" s="36"/>
      <c r="CC483" s="36"/>
      <c r="CD483" s="36"/>
      <c r="CE483" s="36"/>
      <c r="CF483" s="36"/>
      <c r="CG483" s="36"/>
      <c r="CH483" s="36"/>
      <c r="CI483" s="36"/>
      <c r="CJ483" s="36"/>
      <c r="CK483" s="36"/>
      <c r="CL483" s="36"/>
      <c r="CM483" s="36"/>
      <c r="CN483" s="36"/>
      <c r="CO483" s="36"/>
    </row>
    <row r="484">
      <c r="A484" s="36"/>
      <c r="B484" s="47"/>
      <c r="C484" s="50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  <c r="AK484" s="36"/>
      <c r="AL484" s="36"/>
      <c r="AM484" s="36"/>
      <c r="AN484" s="36"/>
      <c r="AO484" s="36"/>
      <c r="AP484" s="36"/>
      <c r="AQ484" s="36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  <c r="BK484" s="36"/>
      <c r="BL484" s="36"/>
      <c r="BM484" s="36"/>
      <c r="BN484" s="36"/>
      <c r="BO484" s="36"/>
      <c r="BP484" s="36"/>
      <c r="BQ484" s="36"/>
      <c r="BR484" s="36"/>
      <c r="BS484" s="36"/>
      <c r="BT484" s="36"/>
      <c r="BU484" s="36"/>
      <c r="BV484" s="36"/>
      <c r="BW484" s="36"/>
      <c r="BX484" s="36"/>
      <c r="BY484" s="36"/>
      <c r="BZ484" s="36"/>
      <c r="CA484" s="36"/>
      <c r="CB484" s="36"/>
      <c r="CC484" s="36"/>
      <c r="CD484" s="36"/>
      <c r="CE484" s="36"/>
      <c r="CF484" s="36"/>
      <c r="CG484" s="36"/>
      <c r="CH484" s="36"/>
      <c r="CI484" s="36"/>
      <c r="CJ484" s="36"/>
      <c r="CK484" s="36"/>
      <c r="CL484" s="36"/>
      <c r="CM484" s="36"/>
      <c r="CN484" s="36"/>
      <c r="CO484" s="36"/>
    </row>
    <row r="485">
      <c r="A485" s="36"/>
      <c r="B485" s="47"/>
      <c r="C485" s="50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  <c r="AK485" s="36"/>
      <c r="AL485" s="36"/>
      <c r="AM485" s="36"/>
      <c r="AN485" s="36"/>
      <c r="AO485" s="36"/>
      <c r="AP485" s="36"/>
      <c r="AQ485" s="36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  <c r="BK485" s="36"/>
      <c r="BL485" s="36"/>
      <c r="BM485" s="36"/>
      <c r="BN485" s="36"/>
      <c r="BO485" s="36"/>
      <c r="BP485" s="36"/>
      <c r="BQ485" s="36"/>
      <c r="BR485" s="36"/>
      <c r="BS485" s="36"/>
      <c r="BT485" s="36"/>
      <c r="BU485" s="36"/>
      <c r="BV485" s="36"/>
      <c r="BW485" s="36"/>
      <c r="BX485" s="36"/>
      <c r="BY485" s="36"/>
      <c r="BZ485" s="36"/>
      <c r="CA485" s="36"/>
      <c r="CB485" s="36"/>
      <c r="CC485" s="36"/>
      <c r="CD485" s="36"/>
      <c r="CE485" s="36"/>
      <c r="CF485" s="36"/>
      <c r="CG485" s="36"/>
      <c r="CH485" s="36"/>
      <c r="CI485" s="36"/>
      <c r="CJ485" s="36"/>
      <c r="CK485" s="36"/>
      <c r="CL485" s="36"/>
      <c r="CM485" s="36"/>
      <c r="CN485" s="36"/>
      <c r="CO485" s="36"/>
    </row>
    <row r="486">
      <c r="A486" s="36"/>
      <c r="B486" s="47"/>
      <c r="C486" s="50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  <c r="AK486" s="36"/>
      <c r="AL486" s="36"/>
      <c r="AM486" s="36"/>
      <c r="AN486" s="36"/>
      <c r="AO486" s="36"/>
      <c r="AP486" s="36"/>
      <c r="AQ486" s="36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  <c r="BK486" s="36"/>
      <c r="BL486" s="36"/>
      <c r="BM486" s="36"/>
      <c r="BN486" s="36"/>
      <c r="BO486" s="36"/>
      <c r="BP486" s="36"/>
      <c r="BQ486" s="36"/>
      <c r="BR486" s="36"/>
      <c r="BS486" s="36"/>
      <c r="BT486" s="36"/>
      <c r="BU486" s="36"/>
      <c r="BV486" s="36"/>
      <c r="BW486" s="36"/>
      <c r="BX486" s="36"/>
      <c r="BY486" s="36"/>
      <c r="BZ486" s="36"/>
      <c r="CA486" s="36"/>
      <c r="CB486" s="36"/>
      <c r="CC486" s="36"/>
      <c r="CD486" s="36"/>
      <c r="CE486" s="36"/>
      <c r="CF486" s="36"/>
      <c r="CG486" s="36"/>
      <c r="CH486" s="36"/>
      <c r="CI486" s="36"/>
      <c r="CJ486" s="36"/>
      <c r="CK486" s="36"/>
      <c r="CL486" s="36"/>
      <c r="CM486" s="36"/>
      <c r="CN486" s="36"/>
      <c r="CO486" s="36"/>
    </row>
    <row r="487">
      <c r="A487" s="36"/>
      <c r="B487" s="47"/>
      <c r="C487" s="50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  <c r="AK487" s="36"/>
      <c r="AL487" s="36"/>
      <c r="AM487" s="36"/>
      <c r="AN487" s="36"/>
      <c r="AO487" s="36"/>
      <c r="AP487" s="36"/>
      <c r="AQ487" s="36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  <c r="BK487" s="36"/>
      <c r="BL487" s="36"/>
      <c r="BM487" s="36"/>
      <c r="BN487" s="36"/>
      <c r="BO487" s="36"/>
      <c r="BP487" s="36"/>
      <c r="BQ487" s="36"/>
      <c r="BR487" s="36"/>
      <c r="BS487" s="36"/>
      <c r="BT487" s="36"/>
      <c r="BU487" s="36"/>
      <c r="BV487" s="36"/>
      <c r="BW487" s="36"/>
      <c r="BX487" s="36"/>
      <c r="BY487" s="36"/>
      <c r="BZ487" s="36"/>
      <c r="CA487" s="36"/>
      <c r="CB487" s="36"/>
      <c r="CC487" s="36"/>
      <c r="CD487" s="36"/>
      <c r="CE487" s="36"/>
      <c r="CF487" s="36"/>
      <c r="CG487" s="36"/>
      <c r="CH487" s="36"/>
      <c r="CI487" s="36"/>
      <c r="CJ487" s="36"/>
      <c r="CK487" s="36"/>
      <c r="CL487" s="36"/>
      <c r="CM487" s="36"/>
      <c r="CN487" s="36"/>
      <c r="CO487" s="36"/>
    </row>
    <row r="488">
      <c r="A488" s="36"/>
      <c r="B488" s="47"/>
      <c r="C488" s="50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  <c r="AK488" s="36"/>
      <c r="AL488" s="36"/>
      <c r="AM488" s="36"/>
      <c r="AN488" s="36"/>
      <c r="AO488" s="36"/>
      <c r="AP488" s="36"/>
      <c r="AQ488" s="36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  <c r="BK488" s="36"/>
      <c r="BL488" s="36"/>
      <c r="BM488" s="36"/>
      <c r="BN488" s="36"/>
      <c r="BO488" s="36"/>
      <c r="BP488" s="36"/>
      <c r="BQ488" s="36"/>
      <c r="BR488" s="36"/>
      <c r="BS488" s="36"/>
      <c r="BT488" s="36"/>
      <c r="BU488" s="36"/>
      <c r="BV488" s="36"/>
      <c r="BW488" s="36"/>
      <c r="BX488" s="36"/>
      <c r="BY488" s="36"/>
      <c r="BZ488" s="36"/>
      <c r="CA488" s="36"/>
      <c r="CB488" s="36"/>
      <c r="CC488" s="36"/>
      <c r="CD488" s="36"/>
      <c r="CE488" s="36"/>
      <c r="CF488" s="36"/>
      <c r="CG488" s="36"/>
      <c r="CH488" s="36"/>
      <c r="CI488" s="36"/>
      <c r="CJ488" s="36"/>
      <c r="CK488" s="36"/>
      <c r="CL488" s="36"/>
      <c r="CM488" s="36"/>
      <c r="CN488" s="36"/>
      <c r="CO488" s="36"/>
    </row>
    <row r="489">
      <c r="A489" s="36"/>
      <c r="B489" s="47"/>
      <c r="C489" s="50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  <c r="AL489" s="36"/>
      <c r="AM489" s="36"/>
      <c r="AN489" s="36"/>
      <c r="AO489" s="36"/>
      <c r="AP489" s="36"/>
      <c r="AQ489" s="36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  <c r="BK489" s="36"/>
      <c r="BL489" s="36"/>
      <c r="BM489" s="36"/>
      <c r="BN489" s="36"/>
      <c r="BO489" s="36"/>
      <c r="BP489" s="36"/>
      <c r="BQ489" s="36"/>
      <c r="BR489" s="36"/>
      <c r="BS489" s="36"/>
      <c r="BT489" s="36"/>
      <c r="BU489" s="36"/>
      <c r="BV489" s="36"/>
      <c r="BW489" s="36"/>
      <c r="BX489" s="36"/>
      <c r="BY489" s="36"/>
      <c r="BZ489" s="36"/>
      <c r="CA489" s="36"/>
      <c r="CB489" s="36"/>
      <c r="CC489" s="36"/>
      <c r="CD489" s="36"/>
      <c r="CE489" s="36"/>
      <c r="CF489" s="36"/>
      <c r="CG489" s="36"/>
      <c r="CH489" s="36"/>
      <c r="CI489" s="36"/>
      <c r="CJ489" s="36"/>
      <c r="CK489" s="36"/>
      <c r="CL489" s="36"/>
      <c r="CM489" s="36"/>
      <c r="CN489" s="36"/>
      <c r="CO489" s="36"/>
    </row>
    <row r="490">
      <c r="A490" s="36"/>
      <c r="B490" s="47"/>
      <c r="C490" s="50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  <c r="AL490" s="36"/>
      <c r="AM490" s="36"/>
      <c r="AN490" s="36"/>
      <c r="AO490" s="36"/>
      <c r="AP490" s="36"/>
      <c r="AQ490" s="36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  <c r="BK490" s="36"/>
      <c r="BL490" s="36"/>
      <c r="BM490" s="36"/>
      <c r="BN490" s="36"/>
      <c r="BO490" s="36"/>
      <c r="BP490" s="36"/>
      <c r="BQ490" s="36"/>
      <c r="BR490" s="36"/>
      <c r="BS490" s="36"/>
      <c r="BT490" s="36"/>
      <c r="BU490" s="36"/>
      <c r="BV490" s="36"/>
      <c r="BW490" s="36"/>
      <c r="BX490" s="36"/>
      <c r="BY490" s="36"/>
      <c r="BZ490" s="36"/>
      <c r="CA490" s="36"/>
      <c r="CB490" s="36"/>
      <c r="CC490" s="36"/>
      <c r="CD490" s="36"/>
      <c r="CE490" s="36"/>
      <c r="CF490" s="36"/>
      <c r="CG490" s="36"/>
      <c r="CH490" s="36"/>
      <c r="CI490" s="36"/>
      <c r="CJ490" s="36"/>
      <c r="CK490" s="36"/>
      <c r="CL490" s="36"/>
      <c r="CM490" s="36"/>
      <c r="CN490" s="36"/>
      <c r="CO490" s="36"/>
    </row>
    <row r="491">
      <c r="A491" s="36"/>
      <c r="B491" s="47"/>
      <c r="C491" s="50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  <c r="AL491" s="36"/>
      <c r="AM491" s="36"/>
      <c r="AN491" s="36"/>
      <c r="AO491" s="36"/>
      <c r="AP491" s="36"/>
      <c r="AQ491" s="36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  <c r="BK491" s="36"/>
      <c r="BL491" s="36"/>
      <c r="BM491" s="36"/>
      <c r="BN491" s="36"/>
      <c r="BO491" s="36"/>
      <c r="BP491" s="36"/>
      <c r="BQ491" s="36"/>
      <c r="BR491" s="36"/>
      <c r="BS491" s="36"/>
      <c r="BT491" s="36"/>
      <c r="BU491" s="36"/>
      <c r="BV491" s="36"/>
      <c r="BW491" s="36"/>
      <c r="BX491" s="36"/>
      <c r="BY491" s="36"/>
      <c r="BZ491" s="36"/>
      <c r="CA491" s="36"/>
      <c r="CB491" s="36"/>
      <c r="CC491" s="36"/>
      <c r="CD491" s="36"/>
      <c r="CE491" s="36"/>
      <c r="CF491" s="36"/>
      <c r="CG491" s="36"/>
      <c r="CH491" s="36"/>
      <c r="CI491" s="36"/>
      <c r="CJ491" s="36"/>
      <c r="CK491" s="36"/>
      <c r="CL491" s="36"/>
      <c r="CM491" s="36"/>
      <c r="CN491" s="36"/>
      <c r="CO491" s="36"/>
    </row>
    <row r="492">
      <c r="A492" s="36"/>
      <c r="B492" s="47"/>
      <c r="C492" s="50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  <c r="AL492" s="36"/>
      <c r="AM492" s="36"/>
      <c r="AN492" s="36"/>
      <c r="AO492" s="36"/>
      <c r="AP492" s="36"/>
      <c r="AQ492" s="36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  <c r="BK492" s="36"/>
      <c r="BL492" s="36"/>
      <c r="BM492" s="36"/>
      <c r="BN492" s="36"/>
      <c r="BO492" s="36"/>
      <c r="BP492" s="36"/>
      <c r="BQ492" s="36"/>
      <c r="BR492" s="36"/>
      <c r="BS492" s="36"/>
      <c r="BT492" s="36"/>
      <c r="BU492" s="36"/>
      <c r="BV492" s="36"/>
      <c r="BW492" s="36"/>
      <c r="BX492" s="36"/>
      <c r="BY492" s="36"/>
      <c r="BZ492" s="36"/>
      <c r="CA492" s="36"/>
      <c r="CB492" s="36"/>
      <c r="CC492" s="36"/>
      <c r="CD492" s="36"/>
      <c r="CE492" s="36"/>
      <c r="CF492" s="36"/>
      <c r="CG492" s="36"/>
      <c r="CH492" s="36"/>
      <c r="CI492" s="36"/>
      <c r="CJ492" s="36"/>
      <c r="CK492" s="36"/>
      <c r="CL492" s="36"/>
      <c r="CM492" s="36"/>
      <c r="CN492" s="36"/>
      <c r="CO492" s="36"/>
    </row>
    <row r="493">
      <c r="A493" s="36"/>
      <c r="B493" s="47"/>
      <c r="C493" s="50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  <c r="AL493" s="36"/>
      <c r="AM493" s="36"/>
      <c r="AN493" s="36"/>
      <c r="AO493" s="36"/>
      <c r="AP493" s="36"/>
      <c r="AQ493" s="36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  <c r="BK493" s="36"/>
      <c r="BL493" s="36"/>
      <c r="BM493" s="36"/>
      <c r="BN493" s="36"/>
      <c r="BO493" s="36"/>
      <c r="BP493" s="36"/>
      <c r="BQ493" s="36"/>
      <c r="BR493" s="36"/>
      <c r="BS493" s="36"/>
      <c r="BT493" s="36"/>
      <c r="BU493" s="36"/>
      <c r="BV493" s="36"/>
      <c r="BW493" s="36"/>
      <c r="BX493" s="36"/>
      <c r="BY493" s="36"/>
      <c r="BZ493" s="36"/>
      <c r="CA493" s="36"/>
      <c r="CB493" s="36"/>
      <c r="CC493" s="36"/>
      <c r="CD493" s="36"/>
      <c r="CE493" s="36"/>
      <c r="CF493" s="36"/>
      <c r="CG493" s="36"/>
      <c r="CH493" s="36"/>
      <c r="CI493" s="36"/>
      <c r="CJ493" s="36"/>
      <c r="CK493" s="36"/>
      <c r="CL493" s="36"/>
      <c r="CM493" s="36"/>
      <c r="CN493" s="36"/>
      <c r="CO493" s="36"/>
    </row>
    <row r="494">
      <c r="A494" s="36"/>
      <c r="B494" s="47"/>
      <c r="C494" s="50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  <c r="AL494" s="36"/>
      <c r="AM494" s="36"/>
      <c r="AN494" s="36"/>
      <c r="AO494" s="36"/>
      <c r="AP494" s="36"/>
      <c r="AQ494" s="36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  <c r="BK494" s="36"/>
      <c r="BL494" s="36"/>
      <c r="BM494" s="36"/>
      <c r="BN494" s="36"/>
      <c r="BO494" s="36"/>
      <c r="BP494" s="36"/>
      <c r="BQ494" s="36"/>
      <c r="BR494" s="36"/>
      <c r="BS494" s="36"/>
      <c r="BT494" s="36"/>
      <c r="BU494" s="36"/>
      <c r="BV494" s="36"/>
      <c r="BW494" s="36"/>
      <c r="BX494" s="36"/>
      <c r="BY494" s="36"/>
      <c r="BZ494" s="36"/>
      <c r="CA494" s="36"/>
      <c r="CB494" s="36"/>
      <c r="CC494" s="36"/>
      <c r="CD494" s="36"/>
      <c r="CE494" s="36"/>
      <c r="CF494" s="36"/>
      <c r="CG494" s="36"/>
      <c r="CH494" s="36"/>
      <c r="CI494" s="36"/>
      <c r="CJ494" s="36"/>
      <c r="CK494" s="36"/>
      <c r="CL494" s="36"/>
      <c r="CM494" s="36"/>
      <c r="CN494" s="36"/>
      <c r="CO494" s="36"/>
    </row>
    <row r="495">
      <c r="A495" s="36"/>
      <c r="B495" s="47"/>
      <c r="C495" s="50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  <c r="AL495" s="36"/>
      <c r="AM495" s="36"/>
      <c r="AN495" s="36"/>
      <c r="AO495" s="36"/>
      <c r="AP495" s="36"/>
      <c r="AQ495" s="36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  <c r="BK495" s="36"/>
      <c r="BL495" s="36"/>
      <c r="BM495" s="36"/>
      <c r="BN495" s="36"/>
      <c r="BO495" s="36"/>
      <c r="BP495" s="36"/>
      <c r="BQ495" s="36"/>
      <c r="BR495" s="36"/>
      <c r="BS495" s="36"/>
      <c r="BT495" s="36"/>
      <c r="BU495" s="36"/>
      <c r="BV495" s="36"/>
      <c r="BW495" s="36"/>
      <c r="BX495" s="36"/>
      <c r="BY495" s="36"/>
      <c r="BZ495" s="36"/>
      <c r="CA495" s="36"/>
      <c r="CB495" s="36"/>
      <c r="CC495" s="36"/>
      <c r="CD495" s="36"/>
      <c r="CE495" s="36"/>
      <c r="CF495" s="36"/>
      <c r="CG495" s="36"/>
      <c r="CH495" s="36"/>
      <c r="CI495" s="36"/>
      <c r="CJ495" s="36"/>
      <c r="CK495" s="36"/>
      <c r="CL495" s="36"/>
      <c r="CM495" s="36"/>
      <c r="CN495" s="36"/>
      <c r="CO495" s="36"/>
    </row>
    <row r="496">
      <c r="A496" s="36"/>
      <c r="B496" s="47"/>
      <c r="C496" s="50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  <c r="AL496" s="36"/>
      <c r="AM496" s="36"/>
      <c r="AN496" s="36"/>
      <c r="AO496" s="36"/>
      <c r="AP496" s="36"/>
      <c r="AQ496" s="36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  <c r="BK496" s="36"/>
      <c r="BL496" s="36"/>
      <c r="BM496" s="36"/>
      <c r="BN496" s="36"/>
      <c r="BO496" s="36"/>
      <c r="BP496" s="36"/>
      <c r="BQ496" s="36"/>
      <c r="BR496" s="36"/>
      <c r="BS496" s="36"/>
      <c r="BT496" s="36"/>
      <c r="BU496" s="36"/>
      <c r="BV496" s="36"/>
      <c r="BW496" s="36"/>
      <c r="BX496" s="36"/>
      <c r="BY496" s="36"/>
      <c r="BZ496" s="36"/>
      <c r="CA496" s="36"/>
      <c r="CB496" s="36"/>
      <c r="CC496" s="36"/>
      <c r="CD496" s="36"/>
      <c r="CE496" s="36"/>
      <c r="CF496" s="36"/>
      <c r="CG496" s="36"/>
      <c r="CH496" s="36"/>
      <c r="CI496" s="36"/>
      <c r="CJ496" s="36"/>
      <c r="CK496" s="36"/>
      <c r="CL496" s="36"/>
      <c r="CM496" s="36"/>
      <c r="CN496" s="36"/>
      <c r="CO496" s="36"/>
    </row>
    <row r="497">
      <c r="A497" s="36"/>
      <c r="B497" s="47"/>
      <c r="C497" s="50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  <c r="AL497" s="36"/>
      <c r="AM497" s="36"/>
      <c r="AN497" s="36"/>
      <c r="AO497" s="36"/>
      <c r="AP497" s="36"/>
      <c r="AQ497" s="36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  <c r="BK497" s="36"/>
      <c r="BL497" s="36"/>
      <c r="BM497" s="36"/>
      <c r="BN497" s="36"/>
      <c r="BO497" s="36"/>
      <c r="BP497" s="36"/>
      <c r="BQ497" s="36"/>
      <c r="BR497" s="36"/>
      <c r="BS497" s="36"/>
      <c r="BT497" s="36"/>
      <c r="BU497" s="36"/>
      <c r="BV497" s="36"/>
      <c r="BW497" s="36"/>
      <c r="BX497" s="36"/>
      <c r="BY497" s="36"/>
      <c r="BZ497" s="36"/>
      <c r="CA497" s="36"/>
      <c r="CB497" s="36"/>
      <c r="CC497" s="36"/>
      <c r="CD497" s="36"/>
      <c r="CE497" s="36"/>
      <c r="CF497" s="36"/>
      <c r="CG497" s="36"/>
      <c r="CH497" s="36"/>
      <c r="CI497" s="36"/>
      <c r="CJ497" s="36"/>
      <c r="CK497" s="36"/>
      <c r="CL497" s="36"/>
      <c r="CM497" s="36"/>
      <c r="CN497" s="36"/>
      <c r="CO497" s="36"/>
    </row>
    <row r="498">
      <c r="A498" s="36"/>
      <c r="B498" s="47"/>
      <c r="C498" s="50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  <c r="AL498" s="36"/>
      <c r="AM498" s="36"/>
      <c r="AN498" s="36"/>
      <c r="AO498" s="36"/>
      <c r="AP498" s="36"/>
      <c r="AQ498" s="36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  <c r="BK498" s="36"/>
      <c r="BL498" s="36"/>
      <c r="BM498" s="36"/>
      <c r="BN498" s="36"/>
      <c r="BO498" s="36"/>
      <c r="BP498" s="36"/>
      <c r="BQ498" s="36"/>
      <c r="BR498" s="36"/>
      <c r="BS498" s="36"/>
      <c r="BT498" s="36"/>
      <c r="BU498" s="36"/>
      <c r="BV498" s="36"/>
      <c r="BW498" s="36"/>
      <c r="BX498" s="36"/>
      <c r="BY498" s="36"/>
      <c r="BZ498" s="36"/>
      <c r="CA498" s="36"/>
      <c r="CB498" s="36"/>
      <c r="CC498" s="36"/>
      <c r="CD498" s="36"/>
      <c r="CE498" s="36"/>
      <c r="CF498" s="36"/>
      <c r="CG498" s="36"/>
      <c r="CH498" s="36"/>
      <c r="CI498" s="36"/>
      <c r="CJ498" s="36"/>
      <c r="CK498" s="36"/>
      <c r="CL498" s="36"/>
      <c r="CM498" s="36"/>
      <c r="CN498" s="36"/>
      <c r="CO498" s="36"/>
    </row>
    <row r="499">
      <c r="A499" s="36"/>
      <c r="B499" s="47"/>
      <c r="C499" s="50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  <c r="AL499" s="36"/>
      <c r="AM499" s="36"/>
      <c r="AN499" s="36"/>
      <c r="AO499" s="36"/>
      <c r="AP499" s="36"/>
      <c r="AQ499" s="36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  <c r="BK499" s="36"/>
      <c r="BL499" s="36"/>
      <c r="BM499" s="36"/>
      <c r="BN499" s="36"/>
      <c r="BO499" s="36"/>
      <c r="BP499" s="36"/>
      <c r="BQ499" s="36"/>
      <c r="BR499" s="36"/>
      <c r="BS499" s="36"/>
      <c r="BT499" s="36"/>
      <c r="BU499" s="36"/>
      <c r="BV499" s="36"/>
      <c r="BW499" s="36"/>
      <c r="BX499" s="36"/>
      <c r="BY499" s="36"/>
      <c r="BZ499" s="36"/>
      <c r="CA499" s="36"/>
      <c r="CB499" s="36"/>
      <c r="CC499" s="36"/>
      <c r="CD499" s="36"/>
      <c r="CE499" s="36"/>
      <c r="CF499" s="36"/>
      <c r="CG499" s="36"/>
      <c r="CH499" s="36"/>
      <c r="CI499" s="36"/>
      <c r="CJ499" s="36"/>
      <c r="CK499" s="36"/>
      <c r="CL499" s="36"/>
      <c r="CM499" s="36"/>
      <c r="CN499" s="36"/>
      <c r="CO499" s="36"/>
    </row>
    <row r="500">
      <c r="A500" s="36"/>
      <c r="B500" s="47"/>
      <c r="C500" s="50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  <c r="AL500" s="36"/>
      <c r="AM500" s="36"/>
      <c r="AN500" s="36"/>
      <c r="AO500" s="36"/>
      <c r="AP500" s="36"/>
      <c r="AQ500" s="36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  <c r="BK500" s="36"/>
      <c r="BL500" s="36"/>
      <c r="BM500" s="36"/>
      <c r="BN500" s="36"/>
      <c r="BO500" s="36"/>
      <c r="BP500" s="36"/>
      <c r="BQ500" s="36"/>
      <c r="BR500" s="36"/>
      <c r="BS500" s="36"/>
      <c r="BT500" s="36"/>
      <c r="BU500" s="36"/>
      <c r="BV500" s="36"/>
      <c r="BW500" s="36"/>
      <c r="BX500" s="36"/>
      <c r="BY500" s="36"/>
      <c r="BZ500" s="36"/>
      <c r="CA500" s="36"/>
      <c r="CB500" s="36"/>
      <c r="CC500" s="36"/>
      <c r="CD500" s="36"/>
      <c r="CE500" s="36"/>
      <c r="CF500" s="36"/>
      <c r="CG500" s="36"/>
      <c r="CH500" s="36"/>
      <c r="CI500" s="36"/>
      <c r="CJ500" s="36"/>
      <c r="CK500" s="36"/>
      <c r="CL500" s="36"/>
      <c r="CM500" s="36"/>
      <c r="CN500" s="36"/>
      <c r="CO500" s="36"/>
    </row>
    <row r="501">
      <c r="A501" s="36"/>
      <c r="B501" s="47"/>
      <c r="C501" s="50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  <c r="AL501" s="36"/>
      <c r="AM501" s="36"/>
      <c r="AN501" s="36"/>
      <c r="AO501" s="36"/>
      <c r="AP501" s="36"/>
      <c r="AQ501" s="36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  <c r="BK501" s="36"/>
      <c r="BL501" s="36"/>
      <c r="BM501" s="36"/>
      <c r="BN501" s="36"/>
      <c r="BO501" s="36"/>
      <c r="BP501" s="36"/>
      <c r="BQ501" s="36"/>
      <c r="BR501" s="36"/>
      <c r="BS501" s="36"/>
      <c r="BT501" s="36"/>
      <c r="BU501" s="36"/>
      <c r="BV501" s="36"/>
      <c r="BW501" s="36"/>
      <c r="BX501" s="36"/>
      <c r="BY501" s="36"/>
      <c r="BZ501" s="36"/>
      <c r="CA501" s="36"/>
      <c r="CB501" s="36"/>
      <c r="CC501" s="36"/>
      <c r="CD501" s="36"/>
      <c r="CE501" s="36"/>
      <c r="CF501" s="36"/>
      <c r="CG501" s="36"/>
      <c r="CH501" s="36"/>
      <c r="CI501" s="36"/>
      <c r="CJ501" s="36"/>
      <c r="CK501" s="36"/>
      <c r="CL501" s="36"/>
      <c r="CM501" s="36"/>
      <c r="CN501" s="36"/>
      <c r="CO501" s="36"/>
    </row>
    <row r="502">
      <c r="A502" s="36"/>
      <c r="B502" s="47"/>
      <c r="C502" s="50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  <c r="AL502" s="36"/>
      <c r="AM502" s="36"/>
      <c r="AN502" s="36"/>
      <c r="AO502" s="36"/>
      <c r="AP502" s="36"/>
      <c r="AQ502" s="36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  <c r="BK502" s="36"/>
      <c r="BL502" s="36"/>
      <c r="BM502" s="36"/>
      <c r="BN502" s="36"/>
      <c r="BO502" s="36"/>
      <c r="BP502" s="36"/>
      <c r="BQ502" s="36"/>
      <c r="BR502" s="36"/>
      <c r="BS502" s="36"/>
      <c r="BT502" s="36"/>
      <c r="BU502" s="36"/>
      <c r="BV502" s="36"/>
      <c r="BW502" s="36"/>
      <c r="BX502" s="36"/>
      <c r="BY502" s="36"/>
      <c r="BZ502" s="36"/>
      <c r="CA502" s="36"/>
      <c r="CB502" s="36"/>
      <c r="CC502" s="36"/>
      <c r="CD502" s="36"/>
      <c r="CE502" s="36"/>
      <c r="CF502" s="36"/>
      <c r="CG502" s="36"/>
      <c r="CH502" s="36"/>
      <c r="CI502" s="36"/>
      <c r="CJ502" s="36"/>
      <c r="CK502" s="36"/>
      <c r="CL502" s="36"/>
      <c r="CM502" s="36"/>
      <c r="CN502" s="36"/>
      <c r="CO502" s="36"/>
    </row>
    <row r="503">
      <c r="A503" s="36"/>
      <c r="B503" s="47"/>
      <c r="C503" s="50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  <c r="AL503" s="36"/>
      <c r="AM503" s="36"/>
      <c r="AN503" s="36"/>
      <c r="AO503" s="36"/>
      <c r="AP503" s="36"/>
      <c r="AQ503" s="36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  <c r="BK503" s="36"/>
      <c r="BL503" s="36"/>
      <c r="BM503" s="36"/>
      <c r="BN503" s="36"/>
      <c r="BO503" s="36"/>
      <c r="BP503" s="36"/>
      <c r="BQ503" s="36"/>
      <c r="BR503" s="36"/>
      <c r="BS503" s="36"/>
      <c r="BT503" s="36"/>
      <c r="BU503" s="36"/>
      <c r="BV503" s="36"/>
      <c r="BW503" s="36"/>
      <c r="BX503" s="36"/>
      <c r="BY503" s="36"/>
      <c r="BZ503" s="36"/>
      <c r="CA503" s="36"/>
      <c r="CB503" s="36"/>
      <c r="CC503" s="36"/>
      <c r="CD503" s="36"/>
      <c r="CE503" s="36"/>
      <c r="CF503" s="36"/>
      <c r="CG503" s="36"/>
      <c r="CH503" s="36"/>
      <c r="CI503" s="36"/>
      <c r="CJ503" s="36"/>
      <c r="CK503" s="36"/>
      <c r="CL503" s="36"/>
      <c r="CM503" s="36"/>
      <c r="CN503" s="36"/>
      <c r="CO503" s="36"/>
    </row>
    <row r="504">
      <c r="A504" s="36"/>
      <c r="B504" s="47"/>
      <c r="C504" s="50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  <c r="AL504" s="36"/>
      <c r="AM504" s="36"/>
      <c r="AN504" s="36"/>
      <c r="AO504" s="36"/>
      <c r="AP504" s="36"/>
      <c r="AQ504" s="36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  <c r="BK504" s="36"/>
      <c r="BL504" s="36"/>
      <c r="BM504" s="36"/>
      <c r="BN504" s="36"/>
      <c r="BO504" s="36"/>
      <c r="BP504" s="36"/>
      <c r="BQ504" s="36"/>
      <c r="BR504" s="36"/>
      <c r="BS504" s="36"/>
      <c r="BT504" s="36"/>
      <c r="BU504" s="36"/>
      <c r="BV504" s="36"/>
      <c r="BW504" s="36"/>
      <c r="BX504" s="36"/>
      <c r="BY504" s="36"/>
      <c r="BZ504" s="36"/>
      <c r="CA504" s="36"/>
      <c r="CB504" s="36"/>
      <c r="CC504" s="36"/>
      <c r="CD504" s="36"/>
      <c r="CE504" s="36"/>
      <c r="CF504" s="36"/>
      <c r="CG504" s="36"/>
      <c r="CH504" s="36"/>
      <c r="CI504" s="36"/>
      <c r="CJ504" s="36"/>
      <c r="CK504" s="36"/>
      <c r="CL504" s="36"/>
      <c r="CM504" s="36"/>
      <c r="CN504" s="36"/>
      <c r="CO504" s="36"/>
    </row>
    <row r="505">
      <c r="A505" s="36"/>
      <c r="B505" s="47"/>
      <c r="C505" s="50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  <c r="AL505" s="36"/>
      <c r="AM505" s="36"/>
      <c r="AN505" s="36"/>
      <c r="AO505" s="36"/>
      <c r="AP505" s="36"/>
      <c r="AQ505" s="36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  <c r="BK505" s="36"/>
      <c r="BL505" s="36"/>
      <c r="BM505" s="36"/>
      <c r="BN505" s="36"/>
      <c r="BO505" s="36"/>
      <c r="BP505" s="36"/>
      <c r="BQ505" s="36"/>
      <c r="BR505" s="36"/>
      <c r="BS505" s="36"/>
      <c r="BT505" s="36"/>
      <c r="BU505" s="36"/>
      <c r="BV505" s="36"/>
      <c r="BW505" s="36"/>
      <c r="BX505" s="36"/>
      <c r="BY505" s="36"/>
      <c r="BZ505" s="36"/>
      <c r="CA505" s="36"/>
      <c r="CB505" s="36"/>
      <c r="CC505" s="36"/>
      <c r="CD505" s="36"/>
      <c r="CE505" s="36"/>
      <c r="CF505" s="36"/>
      <c r="CG505" s="36"/>
      <c r="CH505" s="36"/>
      <c r="CI505" s="36"/>
      <c r="CJ505" s="36"/>
      <c r="CK505" s="36"/>
      <c r="CL505" s="36"/>
      <c r="CM505" s="36"/>
      <c r="CN505" s="36"/>
      <c r="CO505" s="36"/>
    </row>
    <row r="506">
      <c r="A506" s="36"/>
      <c r="B506" s="47"/>
      <c r="C506" s="50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  <c r="AL506" s="36"/>
      <c r="AM506" s="36"/>
      <c r="AN506" s="36"/>
      <c r="AO506" s="36"/>
      <c r="AP506" s="36"/>
      <c r="AQ506" s="36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  <c r="BK506" s="36"/>
      <c r="BL506" s="36"/>
      <c r="BM506" s="36"/>
      <c r="BN506" s="36"/>
      <c r="BO506" s="36"/>
      <c r="BP506" s="36"/>
      <c r="BQ506" s="36"/>
      <c r="BR506" s="36"/>
      <c r="BS506" s="36"/>
      <c r="BT506" s="36"/>
      <c r="BU506" s="36"/>
      <c r="BV506" s="36"/>
      <c r="BW506" s="36"/>
      <c r="BX506" s="36"/>
      <c r="BY506" s="36"/>
      <c r="BZ506" s="36"/>
      <c r="CA506" s="36"/>
      <c r="CB506" s="36"/>
      <c r="CC506" s="36"/>
      <c r="CD506" s="36"/>
      <c r="CE506" s="36"/>
      <c r="CF506" s="36"/>
      <c r="CG506" s="36"/>
      <c r="CH506" s="36"/>
      <c r="CI506" s="36"/>
      <c r="CJ506" s="36"/>
      <c r="CK506" s="36"/>
      <c r="CL506" s="36"/>
      <c r="CM506" s="36"/>
      <c r="CN506" s="36"/>
      <c r="CO506" s="36"/>
    </row>
    <row r="507">
      <c r="A507" s="36"/>
      <c r="B507" s="47"/>
      <c r="C507" s="50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  <c r="AL507" s="36"/>
      <c r="AM507" s="36"/>
      <c r="AN507" s="36"/>
      <c r="AO507" s="36"/>
      <c r="AP507" s="36"/>
      <c r="AQ507" s="36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  <c r="BK507" s="36"/>
      <c r="BL507" s="36"/>
      <c r="BM507" s="36"/>
      <c r="BN507" s="36"/>
      <c r="BO507" s="36"/>
      <c r="BP507" s="36"/>
      <c r="BQ507" s="36"/>
      <c r="BR507" s="36"/>
      <c r="BS507" s="36"/>
      <c r="BT507" s="36"/>
      <c r="BU507" s="36"/>
      <c r="BV507" s="36"/>
      <c r="BW507" s="36"/>
      <c r="BX507" s="36"/>
      <c r="BY507" s="36"/>
      <c r="BZ507" s="36"/>
      <c r="CA507" s="36"/>
      <c r="CB507" s="36"/>
      <c r="CC507" s="36"/>
      <c r="CD507" s="36"/>
      <c r="CE507" s="36"/>
      <c r="CF507" s="36"/>
      <c r="CG507" s="36"/>
      <c r="CH507" s="36"/>
      <c r="CI507" s="36"/>
      <c r="CJ507" s="36"/>
      <c r="CK507" s="36"/>
      <c r="CL507" s="36"/>
      <c r="CM507" s="36"/>
      <c r="CN507" s="36"/>
      <c r="CO507" s="36"/>
    </row>
    <row r="508">
      <c r="A508" s="36"/>
      <c r="B508" s="47"/>
      <c r="C508" s="50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  <c r="AL508" s="36"/>
      <c r="AM508" s="36"/>
      <c r="AN508" s="36"/>
      <c r="AO508" s="36"/>
      <c r="AP508" s="36"/>
      <c r="AQ508" s="36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  <c r="BK508" s="36"/>
      <c r="BL508" s="36"/>
      <c r="BM508" s="36"/>
      <c r="BN508" s="36"/>
      <c r="BO508" s="36"/>
      <c r="BP508" s="36"/>
      <c r="BQ508" s="36"/>
      <c r="BR508" s="36"/>
      <c r="BS508" s="36"/>
      <c r="BT508" s="36"/>
      <c r="BU508" s="36"/>
      <c r="BV508" s="36"/>
      <c r="BW508" s="36"/>
      <c r="BX508" s="36"/>
      <c r="BY508" s="36"/>
      <c r="BZ508" s="36"/>
      <c r="CA508" s="36"/>
      <c r="CB508" s="36"/>
      <c r="CC508" s="36"/>
      <c r="CD508" s="36"/>
      <c r="CE508" s="36"/>
      <c r="CF508" s="36"/>
      <c r="CG508" s="36"/>
      <c r="CH508" s="36"/>
      <c r="CI508" s="36"/>
      <c r="CJ508" s="36"/>
      <c r="CK508" s="36"/>
      <c r="CL508" s="36"/>
      <c r="CM508" s="36"/>
      <c r="CN508" s="36"/>
      <c r="CO508" s="36"/>
    </row>
    <row r="509">
      <c r="A509" s="36"/>
      <c r="B509" s="47"/>
      <c r="C509" s="50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  <c r="AL509" s="36"/>
      <c r="AM509" s="36"/>
      <c r="AN509" s="36"/>
      <c r="AO509" s="36"/>
      <c r="AP509" s="36"/>
      <c r="AQ509" s="36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  <c r="BK509" s="36"/>
      <c r="BL509" s="36"/>
      <c r="BM509" s="36"/>
      <c r="BN509" s="36"/>
      <c r="BO509" s="36"/>
      <c r="BP509" s="36"/>
      <c r="BQ509" s="36"/>
      <c r="BR509" s="36"/>
      <c r="BS509" s="36"/>
      <c r="BT509" s="36"/>
      <c r="BU509" s="36"/>
      <c r="BV509" s="36"/>
      <c r="BW509" s="36"/>
      <c r="BX509" s="36"/>
      <c r="BY509" s="36"/>
      <c r="BZ509" s="36"/>
      <c r="CA509" s="36"/>
      <c r="CB509" s="36"/>
      <c r="CC509" s="36"/>
      <c r="CD509" s="36"/>
      <c r="CE509" s="36"/>
      <c r="CF509" s="36"/>
      <c r="CG509" s="36"/>
      <c r="CH509" s="36"/>
      <c r="CI509" s="36"/>
      <c r="CJ509" s="36"/>
      <c r="CK509" s="36"/>
      <c r="CL509" s="36"/>
      <c r="CM509" s="36"/>
      <c r="CN509" s="36"/>
      <c r="CO509" s="36"/>
    </row>
    <row r="510">
      <c r="A510" s="36"/>
      <c r="B510" s="47"/>
      <c r="C510" s="50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  <c r="AL510" s="36"/>
      <c r="AM510" s="36"/>
      <c r="AN510" s="36"/>
      <c r="AO510" s="36"/>
      <c r="AP510" s="36"/>
      <c r="AQ510" s="36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  <c r="BK510" s="36"/>
      <c r="BL510" s="36"/>
      <c r="BM510" s="36"/>
      <c r="BN510" s="36"/>
      <c r="BO510" s="36"/>
      <c r="BP510" s="36"/>
      <c r="BQ510" s="36"/>
      <c r="BR510" s="36"/>
      <c r="BS510" s="36"/>
      <c r="BT510" s="36"/>
      <c r="BU510" s="36"/>
      <c r="BV510" s="36"/>
      <c r="BW510" s="36"/>
      <c r="BX510" s="36"/>
      <c r="BY510" s="36"/>
      <c r="BZ510" s="36"/>
      <c r="CA510" s="36"/>
      <c r="CB510" s="36"/>
      <c r="CC510" s="36"/>
      <c r="CD510" s="36"/>
      <c r="CE510" s="36"/>
      <c r="CF510" s="36"/>
      <c r="CG510" s="36"/>
      <c r="CH510" s="36"/>
      <c r="CI510" s="36"/>
      <c r="CJ510" s="36"/>
      <c r="CK510" s="36"/>
      <c r="CL510" s="36"/>
      <c r="CM510" s="36"/>
      <c r="CN510" s="36"/>
      <c r="CO510" s="36"/>
    </row>
    <row r="511">
      <c r="A511" s="36"/>
      <c r="B511" s="47"/>
      <c r="C511" s="50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  <c r="AL511" s="36"/>
      <c r="AM511" s="36"/>
      <c r="AN511" s="36"/>
      <c r="AO511" s="36"/>
      <c r="AP511" s="36"/>
      <c r="AQ511" s="36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  <c r="BK511" s="36"/>
      <c r="BL511" s="36"/>
      <c r="BM511" s="36"/>
      <c r="BN511" s="36"/>
      <c r="BO511" s="36"/>
      <c r="BP511" s="36"/>
      <c r="BQ511" s="36"/>
      <c r="BR511" s="36"/>
      <c r="BS511" s="36"/>
      <c r="BT511" s="36"/>
      <c r="BU511" s="36"/>
      <c r="BV511" s="36"/>
      <c r="BW511" s="36"/>
      <c r="BX511" s="36"/>
      <c r="BY511" s="36"/>
      <c r="BZ511" s="36"/>
      <c r="CA511" s="36"/>
      <c r="CB511" s="36"/>
      <c r="CC511" s="36"/>
      <c r="CD511" s="36"/>
      <c r="CE511" s="36"/>
      <c r="CF511" s="36"/>
      <c r="CG511" s="36"/>
      <c r="CH511" s="36"/>
      <c r="CI511" s="36"/>
      <c r="CJ511" s="36"/>
      <c r="CK511" s="36"/>
      <c r="CL511" s="36"/>
      <c r="CM511" s="36"/>
      <c r="CN511" s="36"/>
      <c r="CO511" s="36"/>
    </row>
    <row r="512">
      <c r="A512" s="36"/>
      <c r="B512" s="47"/>
      <c r="C512" s="50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  <c r="AL512" s="36"/>
      <c r="AM512" s="36"/>
      <c r="AN512" s="36"/>
      <c r="AO512" s="36"/>
      <c r="AP512" s="36"/>
      <c r="AQ512" s="36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  <c r="BK512" s="36"/>
      <c r="BL512" s="36"/>
      <c r="BM512" s="36"/>
      <c r="BN512" s="36"/>
      <c r="BO512" s="36"/>
      <c r="BP512" s="36"/>
      <c r="BQ512" s="36"/>
      <c r="BR512" s="36"/>
      <c r="BS512" s="36"/>
      <c r="BT512" s="36"/>
      <c r="BU512" s="36"/>
      <c r="BV512" s="36"/>
      <c r="BW512" s="36"/>
      <c r="BX512" s="36"/>
      <c r="BY512" s="36"/>
      <c r="BZ512" s="36"/>
      <c r="CA512" s="36"/>
      <c r="CB512" s="36"/>
      <c r="CC512" s="36"/>
      <c r="CD512" s="36"/>
      <c r="CE512" s="36"/>
      <c r="CF512" s="36"/>
      <c r="CG512" s="36"/>
      <c r="CH512" s="36"/>
      <c r="CI512" s="36"/>
      <c r="CJ512" s="36"/>
      <c r="CK512" s="36"/>
      <c r="CL512" s="36"/>
      <c r="CM512" s="36"/>
      <c r="CN512" s="36"/>
      <c r="CO512" s="36"/>
    </row>
    <row r="513">
      <c r="A513" s="36"/>
      <c r="B513" s="47"/>
      <c r="C513" s="50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  <c r="AL513" s="36"/>
      <c r="AM513" s="36"/>
      <c r="AN513" s="36"/>
      <c r="AO513" s="36"/>
      <c r="AP513" s="36"/>
      <c r="AQ513" s="36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  <c r="BK513" s="36"/>
      <c r="BL513" s="36"/>
      <c r="BM513" s="36"/>
      <c r="BN513" s="36"/>
      <c r="BO513" s="36"/>
      <c r="BP513" s="36"/>
      <c r="BQ513" s="36"/>
      <c r="BR513" s="36"/>
      <c r="BS513" s="36"/>
      <c r="BT513" s="36"/>
      <c r="BU513" s="36"/>
      <c r="BV513" s="36"/>
      <c r="BW513" s="36"/>
      <c r="BX513" s="36"/>
      <c r="BY513" s="36"/>
      <c r="BZ513" s="36"/>
      <c r="CA513" s="36"/>
      <c r="CB513" s="36"/>
      <c r="CC513" s="36"/>
      <c r="CD513" s="36"/>
      <c r="CE513" s="36"/>
      <c r="CF513" s="36"/>
      <c r="CG513" s="36"/>
      <c r="CH513" s="36"/>
      <c r="CI513" s="36"/>
      <c r="CJ513" s="36"/>
      <c r="CK513" s="36"/>
      <c r="CL513" s="36"/>
      <c r="CM513" s="36"/>
      <c r="CN513" s="36"/>
      <c r="CO513" s="36"/>
    </row>
    <row r="514">
      <c r="A514" s="36"/>
      <c r="B514" s="47"/>
      <c r="C514" s="50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  <c r="AL514" s="36"/>
      <c r="AM514" s="36"/>
      <c r="AN514" s="36"/>
      <c r="AO514" s="36"/>
      <c r="AP514" s="36"/>
      <c r="AQ514" s="36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  <c r="BK514" s="36"/>
      <c r="BL514" s="36"/>
      <c r="BM514" s="36"/>
      <c r="BN514" s="36"/>
      <c r="BO514" s="36"/>
      <c r="BP514" s="36"/>
      <c r="BQ514" s="36"/>
      <c r="BR514" s="36"/>
      <c r="BS514" s="36"/>
      <c r="BT514" s="36"/>
      <c r="BU514" s="36"/>
      <c r="BV514" s="36"/>
      <c r="BW514" s="36"/>
      <c r="BX514" s="36"/>
      <c r="BY514" s="36"/>
      <c r="BZ514" s="36"/>
      <c r="CA514" s="36"/>
      <c r="CB514" s="36"/>
      <c r="CC514" s="36"/>
      <c r="CD514" s="36"/>
      <c r="CE514" s="36"/>
      <c r="CF514" s="36"/>
      <c r="CG514" s="36"/>
      <c r="CH514" s="36"/>
      <c r="CI514" s="36"/>
      <c r="CJ514" s="36"/>
      <c r="CK514" s="36"/>
      <c r="CL514" s="36"/>
      <c r="CM514" s="36"/>
      <c r="CN514" s="36"/>
      <c r="CO514" s="36"/>
    </row>
    <row r="515">
      <c r="A515" s="36"/>
      <c r="B515" s="47"/>
      <c r="C515" s="50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  <c r="AL515" s="36"/>
      <c r="AM515" s="36"/>
      <c r="AN515" s="36"/>
      <c r="AO515" s="36"/>
      <c r="AP515" s="36"/>
      <c r="AQ515" s="36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  <c r="BK515" s="36"/>
      <c r="BL515" s="36"/>
      <c r="BM515" s="36"/>
      <c r="BN515" s="36"/>
      <c r="BO515" s="36"/>
      <c r="BP515" s="36"/>
      <c r="BQ515" s="36"/>
      <c r="BR515" s="36"/>
      <c r="BS515" s="36"/>
      <c r="BT515" s="36"/>
      <c r="BU515" s="36"/>
      <c r="BV515" s="36"/>
      <c r="BW515" s="36"/>
      <c r="BX515" s="36"/>
      <c r="BY515" s="36"/>
      <c r="BZ515" s="36"/>
      <c r="CA515" s="36"/>
      <c r="CB515" s="36"/>
      <c r="CC515" s="36"/>
      <c r="CD515" s="36"/>
      <c r="CE515" s="36"/>
      <c r="CF515" s="36"/>
      <c r="CG515" s="36"/>
      <c r="CH515" s="36"/>
      <c r="CI515" s="36"/>
      <c r="CJ515" s="36"/>
      <c r="CK515" s="36"/>
      <c r="CL515" s="36"/>
      <c r="CM515" s="36"/>
      <c r="CN515" s="36"/>
      <c r="CO515" s="36"/>
    </row>
    <row r="516">
      <c r="A516" s="36"/>
      <c r="B516" s="47"/>
      <c r="C516" s="50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  <c r="AL516" s="36"/>
      <c r="AM516" s="36"/>
      <c r="AN516" s="36"/>
      <c r="AO516" s="36"/>
      <c r="AP516" s="36"/>
      <c r="AQ516" s="36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  <c r="BK516" s="36"/>
      <c r="BL516" s="36"/>
      <c r="BM516" s="36"/>
      <c r="BN516" s="36"/>
      <c r="BO516" s="36"/>
      <c r="BP516" s="36"/>
      <c r="BQ516" s="36"/>
      <c r="BR516" s="36"/>
      <c r="BS516" s="36"/>
      <c r="BT516" s="36"/>
      <c r="BU516" s="36"/>
      <c r="BV516" s="36"/>
      <c r="BW516" s="36"/>
      <c r="BX516" s="36"/>
      <c r="BY516" s="36"/>
      <c r="BZ516" s="36"/>
      <c r="CA516" s="36"/>
      <c r="CB516" s="36"/>
      <c r="CC516" s="36"/>
      <c r="CD516" s="36"/>
      <c r="CE516" s="36"/>
      <c r="CF516" s="36"/>
      <c r="CG516" s="36"/>
      <c r="CH516" s="36"/>
      <c r="CI516" s="36"/>
      <c r="CJ516" s="36"/>
      <c r="CK516" s="36"/>
      <c r="CL516" s="36"/>
      <c r="CM516" s="36"/>
      <c r="CN516" s="36"/>
      <c r="CO516" s="36"/>
    </row>
    <row r="517">
      <c r="A517" s="36"/>
      <c r="B517" s="47"/>
      <c r="C517" s="50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  <c r="AL517" s="36"/>
      <c r="AM517" s="36"/>
      <c r="AN517" s="36"/>
      <c r="AO517" s="36"/>
      <c r="AP517" s="36"/>
      <c r="AQ517" s="36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  <c r="BK517" s="36"/>
      <c r="BL517" s="36"/>
      <c r="BM517" s="36"/>
      <c r="BN517" s="36"/>
      <c r="BO517" s="36"/>
      <c r="BP517" s="36"/>
      <c r="BQ517" s="36"/>
      <c r="BR517" s="36"/>
      <c r="BS517" s="36"/>
      <c r="BT517" s="36"/>
      <c r="BU517" s="36"/>
      <c r="BV517" s="36"/>
      <c r="BW517" s="36"/>
      <c r="BX517" s="36"/>
      <c r="BY517" s="36"/>
      <c r="BZ517" s="36"/>
      <c r="CA517" s="36"/>
      <c r="CB517" s="36"/>
      <c r="CC517" s="36"/>
      <c r="CD517" s="36"/>
      <c r="CE517" s="36"/>
      <c r="CF517" s="36"/>
      <c r="CG517" s="36"/>
      <c r="CH517" s="36"/>
      <c r="CI517" s="36"/>
      <c r="CJ517" s="36"/>
      <c r="CK517" s="36"/>
      <c r="CL517" s="36"/>
      <c r="CM517" s="36"/>
      <c r="CN517" s="36"/>
      <c r="CO517" s="36"/>
    </row>
    <row r="518">
      <c r="A518" s="36"/>
      <c r="B518" s="47"/>
      <c r="C518" s="50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  <c r="AL518" s="36"/>
      <c r="AM518" s="36"/>
      <c r="AN518" s="36"/>
      <c r="AO518" s="36"/>
      <c r="AP518" s="36"/>
      <c r="AQ518" s="36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  <c r="BK518" s="36"/>
      <c r="BL518" s="36"/>
      <c r="BM518" s="36"/>
      <c r="BN518" s="36"/>
      <c r="BO518" s="36"/>
      <c r="BP518" s="36"/>
      <c r="BQ518" s="36"/>
      <c r="BR518" s="36"/>
      <c r="BS518" s="36"/>
      <c r="BT518" s="36"/>
      <c r="BU518" s="36"/>
      <c r="BV518" s="36"/>
      <c r="BW518" s="36"/>
      <c r="BX518" s="36"/>
      <c r="BY518" s="36"/>
      <c r="BZ518" s="36"/>
      <c r="CA518" s="36"/>
      <c r="CB518" s="36"/>
      <c r="CC518" s="36"/>
      <c r="CD518" s="36"/>
      <c r="CE518" s="36"/>
      <c r="CF518" s="36"/>
      <c r="CG518" s="36"/>
      <c r="CH518" s="36"/>
      <c r="CI518" s="36"/>
      <c r="CJ518" s="36"/>
      <c r="CK518" s="36"/>
      <c r="CL518" s="36"/>
      <c r="CM518" s="36"/>
      <c r="CN518" s="36"/>
      <c r="CO518" s="36"/>
    </row>
    <row r="519">
      <c r="A519" s="36"/>
      <c r="B519" s="47"/>
      <c r="C519" s="50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  <c r="AL519" s="36"/>
      <c r="AM519" s="36"/>
      <c r="AN519" s="36"/>
      <c r="AO519" s="36"/>
      <c r="AP519" s="36"/>
      <c r="AQ519" s="36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  <c r="BK519" s="36"/>
      <c r="BL519" s="36"/>
      <c r="BM519" s="36"/>
      <c r="BN519" s="36"/>
      <c r="BO519" s="36"/>
      <c r="BP519" s="36"/>
      <c r="BQ519" s="36"/>
      <c r="BR519" s="36"/>
      <c r="BS519" s="36"/>
      <c r="BT519" s="36"/>
      <c r="BU519" s="36"/>
      <c r="BV519" s="36"/>
      <c r="BW519" s="36"/>
      <c r="BX519" s="36"/>
      <c r="BY519" s="36"/>
      <c r="BZ519" s="36"/>
      <c r="CA519" s="36"/>
      <c r="CB519" s="36"/>
      <c r="CC519" s="36"/>
      <c r="CD519" s="36"/>
      <c r="CE519" s="36"/>
      <c r="CF519" s="36"/>
      <c r="CG519" s="36"/>
      <c r="CH519" s="36"/>
      <c r="CI519" s="36"/>
      <c r="CJ519" s="36"/>
      <c r="CK519" s="36"/>
      <c r="CL519" s="36"/>
      <c r="CM519" s="36"/>
      <c r="CN519" s="36"/>
      <c r="CO519" s="36"/>
    </row>
    <row r="520">
      <c r="A520" s="36"/>
      <c r="B520" s="47"/>
      <c r="C520" s="50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  <c r="AL520" s="36"/>
      <c r="AM520" s="36"/>
      <c r="AN520" s="36"/>
      <c r="AO520" s="36"/>
      <c r="AP520" s="36"/>
      <c r="AQ520" s="36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  <c r="BK520" s="36"/>
      <c r="BL520" s="36"/>
      <c r="BM520" s="36"/>
      <c r="BN520" s="36"/>
      <c r="BO520" s="36"/>
      <c r="BP520" s="36"/>
      <c r="BQ520" s="36"/>
      <c r="BR520" s="36"/>
      <c r="BS520" s="36"/>
      <c r="BT520" s="36"/>
      <c r="BU520" s="36"/>
      <c r="BV520" s="36"/>
      <c r="BW520" s="36"/>
      <c r="BX520" s="36"/>
      <c r="BY520" s="36"/>
      <c r="BZ520" s="36"/>
      <c r="CA520" s="36"/>
      <c r="CB520" s="36"/>
      <c r="CC520" s="36"/>
      <c r="CD520" s="36"/>
      <c r="CE520" s="36"/>
      <c r="CF520" s="36"/>
      <c r="CG520" s="36"/>
      <c r="CH520" s="36"/>
      <c r="CI520" s="36"/>
      <c r="CJ520" s="36"/>
      <c r="CK520" s="36"/>
      <c r="CL520" s="36"/>
      <c r="CM520" s="36"/>
      <c r="CN520" s="36"/>
      <c r="CO520" s="36"/>
    </row>
    <row r="521">
      <c r="A521" s="36"/>
      <c r="B521" s="47"/>
      <c r="C521" s="50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  <c r="AL521" s="36"/>
      <c r="AM521" s="36"/>
      <c r="AN521" s="36"/>
      <c r="AO521" s="36"/>
      <c r="AP521" s="36"/>
      <c r="AQ521" s="36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  <c r="BK521" s="36"/>
      <c r="BL521" s="36"/>
      <c r="BM521" s="36"/>
      <c r="BN521" s="36"/>
      <c r="BO521" s="36"/>
      <c r="BP521" s="36"/>
      <c r="BQ521" s="36"/>
      <c r="BR521" s="36"/>
      <c r="BS521" s="36"/>
      <c r="BT521" s="36"/>
      <c r="BU521" s="36"/>
      <c r="BV521" s="36"/>
      <c r="BW521" s="36"/>
      <c r="BX521" s="36"/>
      <c r="BY521" s="36"/>
      <c r="BZ521" s="36"/>
      <c r="CA521" s="36"/>
      <c r="CB521" s="36"/>
      <c r="CC521" s="36"/>
      <c r="CD521" s="36"/>
      <c r="CE521" s="36"/>
      <c r="CF521" s="36"/>
      <c r="CG521" s="36"/>
      <c r="CH521" s="36"/>
      <c r="CI521" s="36"/>
      <c r="CJ521" s="36"/>
      <c r="CK521" s="36"/>
      <c r="CL521" s="36"/>
      <c r="CM521" s="36"/>
      <c r="CN521" s="36"/>
      <c r="CO521" s="36"/>
    </row>
    <row r="522">
      <c r="A522" s="36"/>
      <c r="B522" s="47"/>
      <c r="C522" s="50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  <c r="AL522" s="36"/>
      <c r="AM522" s="36"/>
      <c r="AN522" s="36"/>
      <c r="AO522" s="36"/>
      <c r="AP522" s="36"/>
      <c r="AQ522" s="36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  <c r="BK522" s="36"/>
      <c r="BL522" s="36"/>
      <c r="BM522" s="36"/>
      <c r="BN522" s="36"/>
      <c r="BO522" s="36"/>
      <c r="BP522" s="36"/>
      <c r="BQ522" s="36"/>
      <c r="BR522" s="36"/>
      <c r="BS522" s="36"/>
      <c r="BT522" s="36"/>
      <c r="BU522" s="36"/>
      <c r="BV522" s="36"/>
      <c r="BW522" s="36"/>
      <c r="BX522" s="36"/>
      <c r="BY522" s="36"/>
      <c r="BZ522" s="36"/>
      <c r="CA522" s="36"/>
      <c r="CB522" s="36"/>
      <c r="CC522" s="36"/>
      <c r="CD522" s="36"/>
      <c r="CE522" s="36"/>
      <c r="CF522" s="36"/>
      <c r="CG522" s="36"/>
      <c r="CH522" s="36"/>
      <c r="CI522" s="36"/>
      <c r="CJ522" s="36"/>
      <c r="CK522" s="36"/>
      <c r="CL522" s="36"/>
      <c r="CM522" s="36"/>
      <c r="CN522" s="36"/>
      <c r="CO522" s="36"/>
    </row>
    <row r="523">
      <c r="A523" s="36"/>
      <c r="B523" s="47"/>
      <c r="C523" s="50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  <c r="AL523" s="36"/>
      <c r="AM523" s="36"/>
      <c r="AN523" s="36"/>
      <c r="AO523" s="36"/>
      <c r="AP523" s="36"/>
      <c r="AQ523" s="36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  <c r="BK523" s="36"/>
      <c r="BL523" s="36"/>
      <c r="BM523" s="36"/>
      <c r="BN523" s="36"/>
      <c r="BO523" s="36"/>
      <c r="BP523" s="36"/>
      <c r="BQ523" s="36"/>
      <c r="BR523" s="36"/>
      <c r="BS523" s="36"/>
      <c r="BT523" s="36"/>
      <c r="BU523" s="36"/>
      <c r="BV523" s="36"/>
      <c r="BW523" s="36"/>
      <c r="BX523" s="36"/>
      <c r="BY523" s="36"/>
      <c r="BZ523" s="36"/>
      <c r="CA523" s="36"/>
      <c r="CB523" s="36"/>
      <c r="CC523" s="36"/>
      <c r="CD523" s="36"/>
      <c r="CE523" s="36"/>
      <c r="CF523" s="36"/>
      <c r="CG523" s="36"/>
      <c r="CH523" s="36"/>
      <c r="CI523" s="36"/>
      <c r="CJ523" s="36"/>
      <c r="CK523" s="36"/>
      <c r="CL523" s="36"/>
      <c r="CM523" s="36"/>
      <c r="CN523" s="36"/>
      <c r="CO523" s="36"/>
    </row>
    <row r="524">
      <c r="A524" s="36"/>
      <c r="B524" s="47"/>
      <c r="C524" s="50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  <c r="AL524" s="36"/>
      <c r="AM524" s="36"/>
      <c r="AN524" s="36"/>
      <c r="AO524" s="36"/>
      <c r="AP524" s="36"/>
      <c r="AQ524" s="36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  <c r="BK524" s="36"/>
      <c r="BL524" s="36"/>
      <c r="BM524" s="36"/>
      <c r="BN524" s="36"/>
      <c r="BO524" s="36"/>
      <c r="BP524" s="36"/>
      <c r="BQ524" s="36"/>
      <c r="BR524" s="36"/>
      <c r="BS524" s="36"/>
      <c r="BT524" s="36"/>
      <c r="BU524" s="36"/>
      <c r="BV524" s="36"/>
      <c r="BW524" s="36"/>
      <c r="BX524" s="36"/>
      <c r="BY524" s="36"/>
      <c r="BZ524" s="36"/>
      <c r="CA524" s="36"/>
      <c r="CB524" s="36"/>
      <c r="CC524" s="36"/>
      <c r="CD524" s="36"/>
      <c r="CE524" s="36"/>
      <c r="CF524" s="36"/>
      <c r="CG524" s="36"/>
      <c r="CH524" s="36"/>
      <c r="CI524" s="36"/>
      <c r="CJ524" s="36"/>
      <c r="CK524" s="36"/>
      <c r="CL524" s="36"/>
      <c r="CM524" s="36"/>
      <c r="CN524" s="36"/>
      <c r="CO524" s="36"/>
    </row>
    <row r="525">
      <c r="A525" s="36"/>
      <c r="B525" s="47"/>
      <c r="C525" s="50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  <c r="AL525" s="36"/>
      <c r="AM525" s="36"/>
      <c r="AN525" s="36"/>
      <c r="AO525" s="36"/>
      <c r="AP525" s="36"/>
      <c r="AQ525" s="36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  <c r="BK525" s="36"/>
      <c r="BL525" s="36"/>
      <c r="BM525" s="36"/>
      <c r="BN525" s="36"/>
      <c r="BO525" s="36"/>
      <c r="BP525" s="36"/>
      <c r="BQ525" s="36"/>
      <c r="BR525" s="36"/>
      <c r="BS525" s="36"/>
      <c r="BT525" s="36"/>
      <c r="BU525" s="36"/>
      <c r="BV525" s="36"/>
      <c r="BW525" s="36"/>
      <c r="BX525" s="36"/>
      <c r="BY525" s="36"/>
      <c r="BZ525" s="36"/>
      <c r="CA525" s="36"/>
      <c r="CB525" s="36"/>
      <c r="CC525" s="36"/>
      <c r="CD525" s="36"/>
      <c r="CE525" s="36"/>
      <c r="CF525" s="36"/>
      <c r="CG525" s="36"/>
      <c r="CH525" s="36"/>
      <c r="CI525" s="36"/>
      <c r="CJ525" s="36"/>
      <c r="CK525" s="36"/>
      <c r="CL525" s="36"/>
      <c r="CM525" s="36"/>
      <c r="CN525" s="36"/>
      <c r="CO525" s="36"/>
    </row>
    <row r="526">
      <c r="A526" s="36"/>
      <c r="B526" s="47"/>
      <c r="C526" s="50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  <c r="AL526" s="36"/>
      <c r="AM526" s="36"/>
      <c r="AN526" s="36"/>
      <c r="AO526" s="36"/>
      <c r="AP526" s="36"/>
      <c r="AQ526" s="36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  <c r="BK526" s="36"/>
      <c r="BL526" s="36"/>
      <c r="BM526" s="36"/>
      <c r="BN526" s="36"/>
      <c r="BO526" s="36"/>
      <c r="BP526" s="36"/>
      <c r="BQ526" s="36"/>
      <c r="BR526" s="36"/>
      <c r="BS526" s="36"/>
      <c r="BT526" s="36"/>
      <c r="BU526" s="36"/>
      <c r="BV526" s="36"/>
      <c r="BW526" s="36"/>
      <c r="BX526" s="36"/>
      <c r="BY526" s="36"/>
      <c r="BZ526" s="36"/>
      <c r="CA526" s="36"/>
      <c r="CB526" s="36"/>
      <c r="CC526" s="36"/>
      <c r="CD526" s="36"/>
      <c r="CE526" s="36"/>
      <c r="CF526" s="36"/>
      <c r="CG526" s="36"/>
      <c r="CH526" s="36"/>
      <c r="CI526" s="36"/>
      <c r="CJ526" s="36"/>
      <c r="CK526" s="36"/>
      <c r="CL526" s="36"/>
      <c r="CM526" s="36"/>
      <c r="CN526" s="36"/>
      <c r="CO526" s="36"/>
    </row>
    <row r="527">
      <c r="A527" s="36"/>
      <c r="B527" s="47"/>
      <c r="C527" s="50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  <c r="AL527" s="36"/>
      <c r="AM527" s="36"/>
      <c r="AN527" s="36"/>
      <c r="AO527" s="36"/>
      <c r="AP527" s="36"/>
      <c r="AQ527" s="36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  <c r="BK527" s="36"/>
      <c r="BL527" s="36"/>
      <c r="BM527" s="36"/>
      <c r="BN527" s="36"/>
      <c r="BO527" s="36"/>
      <c r="BP527" s="36"/>
      <c r="BQ527" s="36"/>
      <c r="BR527" s="36"/>
      <c r="BS527" s="36"/>
      <c r="BT527" s="36"/>
      <c r="BU527" s="36"/>
      <c r="BV527" s="36"/>
      <c r="BW527" s="36"/>
      <c r="BX527" s="36"/>
      <c r="BY527" s="36"/>
      <c r="BZ527" s="36"/>
      <c r="CA527" s="36"/>
      <c r="CB527" s="36"/>
      <c r="CC527" s="36"/>
      <c r="CD527" s="36"/>
      <c r="CE527" s="36"/>
      <c r="CF527" s="36"/>
      <c r="CG527" s="36"/>
      <c r="CH527" s="36"/>
      <c r="CI527" s="36"/>
      <c r="CJ527" s="36"/>
      <c r="CK527" s="36"/>
      <c r="CL527" s="36"/>
      <c r="CM527" s="36"/>
      <c r="CN527" s="36"/>
      <c r="CO527" s="36"/>
    </row>
    <row r="528">
      <c r="A528" s="36"/>
      <c r="B528" s="47"/>
      <c r="C528" s="50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  <c r="AL528" s="36"/>
      <c r="AM528" s="36"/>
      <c r="AN528" s="36"/>
      <c r="AO528" s="36"/>
      <c r="AP528" s="36"/>
      <c r="AQ528" s="36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  <c r="BK528" s="36"/>
      <c r="BL528" s="36"/>
      <c r="BM528" s="36"/>
      <c r="BN528" s="36"/>
      <c r="BO528" s="36"/>
      <c r="BP528" s="36"/>
      <c r="BQ528" s="36"/>
      <c r="BR528" s="36"/>
      <c r="BS528" s="36"/>
      <c r="BT528" s="36"/>
      <c r="BU528" s="36"/>
      <c r="BV528" s="36"/>
      <c r="BW528" s="36"/>
      <c r="BX528" s="36"/>
      <c r="BY528" s="36"/>
      <c r="BZ528" s="36"/>
      <c r="CA528" s="36"/>
      <c r="CB528" s="36"/>
      <c r="CC528" s="36"/>
      <c r="CD528" s="36"/>
      <c r="CE528" s="36"/>
      <c r="CF528" s="36"/>
      <c r="CG528" s="36"/>
      <c r="CH528" s="36"/>
      <c r="CI528" s="36"/>
      <c r="CJ528" s="36"/>
      <c r="CK528" s="36"/>
      <c r="CL528" s="36"/>
      <c r="CM528" s="36"/>
      <c r="CN528" s="36"/>
      <c r="CO528" s="36"/>
    </row>
    <row r="529">
      <c r="A529" s="36"/>
      <c r="B529" s="47"/>
      <c r="C529" s="50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  <c r="AL529" s="36"/>
      <c r="AM529" s="36"/>
      <c r="AN529" s="36"/>
      <c r="AO529" s="36"/>
      <c r="AP529" s="36"/>
      <c r="AQ529" s="36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  <c r="BK529" s="36"/>
      <c r="BL529" s="36"/>
      <c r="BM529" s="36"/>
      <c r="BN529" s="36"/>
      <c r="BO529" s="36"/>
      <c r="BP529" s="36"/>
      <c r="BQ529" s="36"/>
      <c r="BR529" s="36"/>
      <c r="BS529" s="36"/>
      <c r="BT529" s="36"/>
      <c r="BU529" s="36"/>
      <c r="BV529" s="36"/>
      <c r="BW529" s="36"/>
      <c r="BX529" s="36"/>
      <c r="BY529" s="36"/>
      <c r="BZ529" s="36"/>
      <c r="CA529" s="36"/>
      <c r="CB529" s="36"/>
      <c r="CC529" s="36"/>
      <c r="CD529" s="36"/>
      <c r="CE529" s="36"/>
      <c r="CF529" s="36"/>
      <c r="CG529" s="36"/>
      <c r="CH529" s="36"/>
      <c r="CI529" s="36"/>
      <c r="CJ529" s="36"/>
      <c r="CK529" s="36"/>
      <c r="CL529" s="36"/>
      <c r="CM529" s="36"/>
      <c r="CN529" s="36"/>
      <c r="CO529" s="36"/>
    </row>
    <row r="530">
      <c r="A530" s="36"/>
      <c r="B530" s="47"/>
      <c r="C530" s="50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  <c r="AL530" s="36"/>
      <c r="AM530" s="36"/>
      <c r="AN530" s="36"/>
      <c r="AO530" s="36"/>
      <c r="AP530" s="36"/>
      <c r="AQ530" s="36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  <c r="BK530" s="36"/>
      <c r="BL530" s="36"/>
      <c r="BM530" s="36"/>
      <c r="BN530" s="36"/>
      <c r="BO530" s="36"/>
      <c r="BP530" s="36"/>
      <c r="BQ530" s="36"/>
      <c r="BR530" s="36"/>
      <c r="BS530" s="36"/>
      <c r="BT530" s="36"/>
      <c r="BU530" s="36"/>
      <c r="BV530" s="36"/>
      <c r="BW530" s="36"/>
      <c r="BX530" s="36"/>
      <c r="BY530" s="36"/>
      <c r="BZ530" s="36"/>
      <c r="CA530" s="36"/>
      <c r="CB530" s="36"/>
      <c r="CC530" s="36"/>
      <c r="CD530" s="36"/>
      <c r="CE530" s="36"/>
      <c r="CF530" s="36"/>
      <c r="CG530" s="36"/>
      <c r="CH530" s="36"/>
      <c r="CI530" s="36"/>
      <c r="CJ530" s="36"/>
      <c r="CK530" s="36"/>
      <c r="CL530" s="36"/>
      <c r="CM530" s="36"/>
      <c r="CN530" s="36"/>
      <c r="CO530" s="36"/>
    </row>
    <row r="531">
      <c r="A531" s="36"/>
      <c r="B531" s="47"/>
      <c r="C531" s="50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  <c r="AL531" s="36"/>
      <c r="AM531" s="36"/>
      <c r="AN531" s="36"/>
      <c r="AO531" s="36"/>
      <c r="AP531" s="36"/>
      <c r="AQ531" s="36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  <c r="BK531" s="36"/>
      <c r="BL531" s="36"/>
      <c r="BM531" s="36"/>
      <c r="BN531" s="36"/>
      <c r="BO531" s="36"/>
      <c r="BP531" s="36"/>
      <c r="BQ531" s="36"/>
      <c r="BR531" s="36"/>
      <c r="BS531" s="36"/>
      <c r="BT531" s="36"/>
      <c r="BU531" s="36"/>
      <c r="BV531" s="36"/>
      <c r="BW531" s="36"/>
      <c r="BX531" s="36"/>
      <c r="BY531" s="36"/>
      <c r="BZ531" s="36"/>
      <c r="CA531" s="36"/>
      <c r="CB531" s="36"/>
      <c r="CC531" s="36"/>
      <c r="CD531" s="36"/>
      <c r="CE531" s="36"/>
      <c r="CF531" s="36"/>
      <c r="CG531" s="36"/>
      <c r="CH531" s="36"/>
      <c r="CI531" s="36"/>
      <c r="CJ531" s="36"/>
      <c r="CK531" s="36"/>
      <c r="CL531" s="36"/>
      <c r="CM531" s="36"/>
      <c r="CN531" s="36"/>
      <c r="CO531" s="36"/>
    </row>
    <row r="532">
      <c r="A532" s="36"/>
      <c r="B532" s="47"/>
      <c r="C532" s="50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  <c r="AL532" s="36"/>
      <c r="AM532" s="36"/>
      <c r="AN532" s="36"/>
      <c r="AO532" s="36"/>
      <c r="AP532" s="36"/>
      <c r="AQ532" s="36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  <c r="BK532" s="36"/>
      <c r="BL532" s="36"/>
      <c r="BM532" s="36"/>
      <c r="BN532" s="36"/>
      <c r="BO532" s="36"/>
      <c r="BP532" s="36"/>
      <c r="BQ532" s="36"/>
      <c r="BR532" s="36"/>
      <c r="BS532" s="36"/>
      <c r="BT532" s="36"/>
      <c r="BU532" s="36"/>
      <c r="BV532" s="36"/>
      <c r="BW532" s="36"/>
      <c r="BX532" s="36"/>
      <c r="BY532" s="36"/>
      <c r="BZ532" s="36"/>
      <c r="CA532" s="36"/>
      <c r="CB532" s="36"/>
      <c r="CC532" s="36"/>
      <c r="CD532" s="36"/>
      <c r="CE532" s="36"/>
      <c r="CF532" s="36"/>
      <c r="CG532" s="36"/>
      <c r="CH532" s="36"/>
      <c r="CI532" s="36"/>
      <c r="CJ532" s="36"/>
      <c r="CK532" s="36"/>
      <c r="CL532" s="36"/>
      <c r="CM532" s="36"/>
      <c r="CN532" s="36"/>
      <c r="CO532" s="36"/>
    </row>
    <row r="533">
      <c r="A533" s="36"/>
      <c r="B533" s="47"/>
      <c r="C533" s="50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  <c r="AL533" s="36"/>
      <c r="AM533" s="36"/>
      <c r="AN533" s="36"/>
      <c r="AO533" s="36"/>
      <c r="AP533" s="36"/>
      <c r="AQ533" s="36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  <c r="BK533" s="36"/>
      <c r="BL533" s="36"/>
      <c r="BM533" s="36"/>
      <c r="BN533" s="36"/>
      <c r="BO533" s="36"/>
      <c r="BP533" s="36"/>
      <c r="BQ533" s="36"/>
      <c r="BR533" s="36"/>
      <c r="BS533" s="36"/>
      <c r="BT533" s="36"/>
      <c r="BU533" s="36"/>
      <c r="BV533" s="36"/>
      <c r="BW533" s="36"/>
      <c r="BX533" s="36"/>
      <c r="BY533" s="36"/>
      <c r="BZ533" s="36"/>
      <c r="CA533" s="36"/>
      <c r="CB533" s="36"/>
      <c r="CC533" s="36"/>
      <c r="CD533" s="36"/>
      <c r="CE533" s="36"/>
      <c r="CF533" s="36"/>
      <c r="CG533" s="36"/>
      <c r="CH533" s="36"/>
      <c r="CI533" s="36"/>
      <c r="CJ533" s="36"/>
      <c r="CK533" s="36"/>
      <c r="CL533" s="36"/>
      <c r="CM533" s="36"/>
      <c r="CN533" s="36"/>
      <c r="CO533" s="36"/>
    </row>
    <row r="534">
      <c r="A534" s="36"/>
      <c r="B534" s="47"/>
      <c r="C534" s="50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  <c r="AL534" s="36"/>
      <c r="AM534" s="36"/>
      <c r="AN534" s="36"/>
      <c r="AO534" s="36"/>
      <c r="AP534" s="36"/>
      <c r="AQ534" s="36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  <c r="BK534" s="36"/>
      <c r="BL534" s="36"/>
      <c r="BM534" s="36"/>
      <c r="BN534" s="36"/>
      <c r="BO534" s="36"/>
      <c r="BP534" s="36"/>
      <c r="BQ534" s="36"/>
      <c r="BR534" s="36"/>
      <c r="BS534" s="36"/>
      <c r="BT534" s="36"/>
      <c r="BU534" s="36"/>
      <c r="BV534" s="36"/>
      <c r="BW534" s="36"/>
      <c r="BX534" s="36"/>
      <c r="BY534" s="36"/>
      <c r="BZ534" s="36"/>
      <c r="CA534" s="36"/>
      <c r="CB534" s="36"/>
      <c r="CC534" s="36"/>
      <c r="CD534" s="36"/>
      <c r="CE534" s="36"/>
      <c r="CF534" s="36"/>
      <c r="CG534" s="36"/>
      <c r="CH534" s="36"/>
      <c r="CI534" s="36"/>
      <c r="CJ534" s="36"/>
      <c r="CK534" s="36"/>
      <c r="CL534" s="36"/>
      <c r="CM534" s="36"/>
      <c r="CN534" s="36"/>
      <c r="CO534" s="36"/>
    </row>
    <row r="535">
      <c r="A535" s="36"/>
      <c r="B535" s="47"/>
      <c r="C535" s="50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  <c r="AL535" s="36"/>
      <c r="AM535" s="36"/>
      <c r="AN535" s="36"/>
      <c r="AO535" s="36"/>
      <c r="AP535" s="36"/>
      <c r="AQ535" s="36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  <c r="BK535" s="36"/>
      <c r="BL535" s="36"/>
      <c r="BM535" s="36"/>
      <c r="BN535" s="36"/>
      <c r="BO535" s="36"/>
      <c r="BP535" s="36"/>
      <c r="BQ535" s="36"/>
      <c r="BR535" s="36"/>
      <c r="BS535" s="36"/>
      <c r="BT535" s="36"/>
      <c r="BU535" s="36"/>
      <c r="BV535" s="36"/>
      <c r="BW535" s="36"/>
      <c r="BX535" s="36"/>
      <c r="BY535" s="36"/>
      <c r="BZ535" s="36"/>
      <c r="CA535" s="36"/>
      <c r="CB535" s="36"/>
      <c r="CC535" s="36"/>
      <c r="CD535" s="36"/>
      <c r="CE535" s="36"/>
      <c r="CF535" s="36"/>
      <c r="CG535" s="36"/>
      <c r="CH535" s="36"/>
      <c r="CI535" s="36"/>
      <c r="CJ535" s="36"/>
      <c r="CK535" s="36"/>
      <c r="CL535" s="36"/>
      <c r="CM535" s="36"/>
      <c r="CN535" s="36"/>
      <c r="CO535" s="36"/>
    </row>
    <row r="536">
      <c r="A536" s="36"/>
      <c r="B536" s="47"/>
      <c r="C536" s="50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  <c r="AL536" s="36"/>
      <c r="AM536" s="36"/>
      <c r="AN536" s="36"/>
      <c r="AO536" s="36"/>
      <c r="AP536" s="36"/>
      <c r="AQ536" s="36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  <c r="BK536" s="36"/>
      <c r="BL536" s="36"/>
      <c r="BM536" s="36"/>
      <c r="BN536" s="36"/>
      <c r="BO536" s="36"/>
      <c r="BP536" s="36"/>
      <c r="BQ536" s="36"/>
      <c r="BR536" s="36"/>
      <c r="BS536" s="36"/>
      <c r="BT536" s="36"/>
      <c r="BU536" s="36"/>
      <c r="BV536" s="36"/>
      <c r="BW536" s="36"/>
      <c r="BX536" s="36"/>
      <c r="BY536" s="36"/>
      <c r="BZ536" s="36"/>
      <c r="CA536" s="36"/>
      <c r="CB536" s="36"/>
      <c r="CC536" s="36"/>
      <c r="CD536" s="36"/>
      <c r="CE536" s="36"/>
      <c r="CF536" s="36"/>
      <c r="CG536" s="36"/>
      <c r="CH536" s="36"/>
      <c r="CI536" s="36"/>
      <c r="CJ536" s="36"/>
      <c r="CK536" s="36"/>
      <c r="CL536" s="36"/>
      <c r="CM536" s="36"/>
      <c r="CN536" s="36"/>
      <c r="CO536" s="36"/>
    </row>
    <row r="537">
      <c r="A537" s="36"/>
      <c r="B537" s="47"/>
      <c r="C537" s="50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  <c r="AL537" s="36"/>
      <c r="AM537" s="36"/>
      <c r="AN537" s="36"/>
      <c r="AO537" s="36"/>
      <c r="AP537" s="36"/>
      <c r="AQ537" s="36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  <c r="BK537" s="36"/>
      <c r="BL537" s="36"/>
      <c r="BM537" s="36"/>
      <c r="BN537" s="36"/>
      <c r="BO537" s="36"/>
      <c r="BP537" s="36"/>
      <c r="BQ537" s="36"/>
      <c r="BR537" s="36"/>
      <c r="BS537" s="36"/>
      <c r="BT537" s="36"/>
      <c r="BU537" s="36"/>
      <c r="BV537" s="36"/>
      <c r="BW537" s="36"/>
      <c r="BX537" s="36"/>
      <c r="BY537" s="36"/>
      <c r="BZ537" s="36"/>
      <c r="CA537" s="36"/>
      <c r="CB537" s="36"/>
      <c r="CC537" s="36"/>
      <c r="CD537" s="36"/>
      <c r="CE537" s="36"/>
      <c r="CF537" s="36"/>
      <c r="CG537" s="36"/>
      <c r="CH537" s="36"/>
      <c r="CI537" s="36"/>
      <c r="CJ537" s="36"/>
      <c r="CK537" s="36"/>
      <c r="CL537" s="36"/>
      <c r="CM537" s="36"/>
      <c r="CN537" s="36"/>
      <c r="CO537" s="36"/>
    </row>
    <row r="538">
      <c r="A538" s="36"/>
      <c r="B538" s="47"/>
      <c r="C538" s="50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  <c r="AL538" s="36"/>
      <c r="AM538" s="36"/>
      <c r="AN538" s="36"/>
      <c r="AO538" s="36"/>
      <c r="AP538" s="36"/>
      <c r="AQ538" s="36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  <c r="BK538" s="36"/>
      <c r="BL538" s="36"/>
      <c r="BM538" s="36"/>
      <c r="BN538" s="36"/>
      <c r="BO538" s="36"/>
      <c r="BP538" s="36"/>
      <c r="BQ538" s="36"/>
      <c r="BR538" s="36"/>
      <c r="BS538" s="36"/>
      <c r="BT538" s="36"/>
      <c r="BU538" s="36"/>
      <c r="BV538" s="36"/>
      <c r="BW538" s="36"/>
      <c r="BX538" s="36"/>
      <c r="BY538" s="36"/>
      <c r="BZ538" s="36"/>
      <c r="CA538" s="36"/>
      <c r="CB538" s="36"/>
      <c r="CC538" s="36"/>
      <c r="CD538" s="36"/>
      <c r="CE538" s="36"/>
      <c r="CF538" s="36"/>
      <c r="CG538" s="36"/>
      <c r="CH538" s="36"/>
      <c r="CI538" s="36"/>
      <c r="CJ538" s="36"/>
      <c r="CK538" s="36"/>
      <c r="CL538" s="36"/>
      <c r="CM538" s="36"/>
      <c r="CN538" s="36"/>
      <c r="CO538" s="36"/>
    </row>
    <row r="539">
      <c r="A539" s="36"/>
      <c r="B539" s="47"/>
      <c r="C539" s="50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  <c r="AL539" s="36"/>
      <c r="AM539" s="36"/>
      <c r="AN539" s="36"/>
      <c r="AO539" s="36"/>
      <c r="AP539" s="36"/>
      <c r="AQ539" s="36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  <c r="BK539" s="36"/>
      <c r="BL539" s="36"/>
      <c r="BM539" s="36"/>
      <c r="BN539" s="36"/>
      <c r="BO539" s="36"/>
      <c r="BP539" s="36"/>
      <c r="BQ539" s="36"/>
      <c r="BR539" s="36"/>
      <c r="BS539" s="36"/>
      <c r="BT539" s="36"/>
      <c r="BU539" s="36"/>
      <c r="BV539" s="36"/>
      <c r="BW539" s="36"/>
      <c r="BX539" s="36"/>
      <c r="BY539" s="36"/>
      <c r="BZ539" s="36"/>
      <c r="CA539" s="36"/>
      <c r="CB539" s="36"/>
      <c r="CC539" s="36"/>
      <c r="CD539" s="36"/>
      <c r="CE539" s="36"/>
      <c r="CF539" s="36"/>
      <c r="CG539" s="36"/>
      <c r="CH539" s="36"/>
      <c r="CI539" s="36"/>
      <c r="CJ539" s="36"/>
      <c r="CK539" s="36"/>
      <c r="CL539" s="36"/>
      <c r="CM539" s="36"/>
      <c r="CN539" s="36"/>
      <c r="CO539" s="36"/>
    </row>
    <row r="540">
      <c r="A540" s="36"/>
      <c r="B540" s="47"/>
      <c r="C540" s="50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  <c r="AL540" s="36"/>
      <c r="AM540" s="36"/>
      <c r="AN540" s="36"/>
      <c r="AO540" s="36"/>
      <c r="AP540" s="36"/>
      <c r="AQ540" s="36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  <c r="BK540" s="36"/>
      <c r="BL540" s="36"/>
      <c r="BM540" s="36"/>
      <c r="BN540" s="36"/>
      <c r="BO540" s="36"/>
      <c r="BP540" s="36"/>
      <c r="BQ540" s="36"/>
      <c r="BR540" s="36"/>
      <c r="BS540" s="36"/>
      <c r="BT540" s="36"/>
      <c r="BU540" s="36"/>
      <c r="BV540" s="36"/>
      <c r="BW540" s="36"/>
      <c r="BX540" s="36"/>
      <c r="BY540" s="36"/>
      <c r="BZ540" s="36"/>
      <c r="CA540" s="36"/>
      <c r="CB540" s="36"/>
      <c r="CC540" s="36"/>
      <c r="CD540" s="36"/>
      <c r="CE540" s="36"/>
      <c r="CF540" s="36"/>
      <c r="CG540" s="36"/>
      <c r="CH540" s="36"/>
      <c r="CI540" s="36"/>
      <c r="CJ540" s="36"/>
      <c r="CK540" s="36"/>
      <c r="CL540" s="36"/>
      <c r="CM540" s="36"/>
      <c r="CN540" s="36"/>
      <c r="CO540" s="36"/>
    </row>
    <row r="541">
      <c r="A541" s="36"/>
      <c r="B541" s="47"/>
      <c r="C541" s="50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  <c r="AL541" s="36"/>
      <c r="AM541" s="36"/>
      <c r="AN541" s="36"/>
      <c r="AO541" s="36"/>
      <c r="AP541" s="36"/>
      <c r="AQ541" s="36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  <c r="BK541" s="36"/>
      <c r="BL541" s="36"/>
      <c r="BM541" s="36"/>
      <c r="BN541" s="36"/>
      <c r="BO541" s="36"/>
      <c r="BP541" s="36"/>
      <c r="BQ541" s="36"/>
      <c r="BR541" s="36"/>
      <c r="BS541" s="36"/>
      <c r="BT541" s="36"/>
      <c r="BU541" s="36"/>
      <c r="BV541" s="36"/>
      <c r="BW541" s="36"/>
      <c r="BX541" s="36"/>
      <c r="BY541" s="36"/>
      <c r="BZ541" s="36"/>
      <c r="CA541" s="36"/>
      <c r="CB541" s="36"/>
      <c r="CC541" s="36"/>
      <c r="CD541" s="36"/>
      <c r="CE541" s="36"/>
      <c r="CF541" s="36"/>
      <c r="CG541" s="36"/>
      <c r="CH541" s="36"/>
      <c r="CI541" s="36"/>
      <c r="CJ541" s="36"/>
      <c r="CK541" s="36"/>
      <c r="CL541" s="36"/>
      <c r="CM541" s="36"/>
      <c r="CN541" s="36"/>
      <c r="CO541" s="36"/>
    </row>
    <row r="542">
      <c r="A542" s="36"/>
      <c r="B542" s="47"/>
      <c r="C542" s="50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  <c r="AL542" s="36"/>
      <c r="AM542" s="36"/>
      <c r="AN542" s="36"/>
      <c r="AO542" s="36"/>
      <c r="AP542" s="36"/>
      <c r="AQ542" s="36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  <c r="BK542" s="36"/>
      <c r="BL542" s="36"/>
      <c r="BM542" s="36"/>
      <c r="BN542" s="36"/>
      <c r="BO542" s="36"/>
      <c r="BP542" s="36"/>
      <c r="BQ542" s="36"/>
      <c r="BR542" s="36"/>
      <c r="BS542" s="36"/>
      <c r="BT542" s="36"/>
      <c r="BU542" s="36"/>
      <c r="BV542" s="36"/>
      <c r="BW542" s="36"/>
      <c r="BX542" s="36"/>
      <c r="BY542" s="36"/>
      <c r="BZ542" s="36"/>
      <c r="CA542" s="36"/>
      <c r="CB542" s="36"/>
      <c r="CC542" s="36"/>
      <c r="CD542" s="36"/>
      <c r="CE542" s="36"/>
      <c r="CF542" s="36"/>
      <c r="CG542" s="36"/>
      <c r="CH542" s="36"/>
      <c r="CI542" s="36"/>
      <c r="CJ542" s="36"/>
      <c r="CK542" s="36"/>
      <c r="CL542" s="36"/>
      <c r="CM542" s="36"/>
      <c r="CN542" s="36"/>
      <c r="CO542" s="36"/>
    </row>
    <row r="543">
      <c r="A543" s="36"/>
      <c r="B543" s="47"/>
      <c r="C543" s="50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  <c r="AL543" s="36"/>
      <c r="AM543" s="36"/>
      <c r="AN543" s="36"/>
      <c r="AO543" s="36"/>
      <c r="AP543" s="36"/>
      <c r="AQ543" s="36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  <c r="BK543" s="36"/>
      <c r="BL543" s="36"/>
      <c r="BM543" s="36"/>
      <c r="BN543" s="36"/>
      <c r="BO543" s="36"/>
      <c r="BP543" s="36"/>
      <c r="BQ543" s="36"/>
      <c r="BR543" s="36"/>
      <c r="BS543" s="36"/>
      <c r="BT543" s="36"/>
      <c r="BU543" s="36"/>
      <c r="BV543" s="36"/>
      <c r="BW543" s="36"/>
      <c r="BX543" s="36"/>
      <c r="BY543" s="36"/>
      <c r="BZ543" s="36"/>
      <c r="CA543" s="36"/>
      <c r="CB543" s="36"/>
      <c r="CC543" s="36"/>
      <c r="CD543" s="36"/>
      <c r="CE543" s="36"/>
      <c r="CF543" s="36"/>
      <c r="CG543" s="36"/>
      <c r="CH543" s="36"/>
      <c r="CI543" s="36"/>
      <c r="CJ543" s="36"/>
      <c r="CK543" s="36"/>
      <c r="CL543" s="36"/>
      <c r="CM543" s="36"/>
      <c r="CN543" s="36"/>
      <c r="CO543" s="36"/>
    </row>
    <row r="544">
      <c r="A544" s="36"/>
      <c r="B544" s="47"/>
      <c r="C544" s="50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  <c r="AL544" s="36"/>
      <c r="AM544" s="36"/>
      <c r="AN544" s="36"/>
      <c r="AO544" s="36"/>
      <c r="AP544" s="36"/>
      <c r="AQ544" s="36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  <c r="BK544" s="36"/>
      <c r="BL544" s="36"/>
      <c r="BM544" s="36"/>
      <c r="BN544" s="36"/>
      <c r="BO544" s="36"/>
      <c r="BP544" s="36"/>
      <c r="BQ544" s="36"/>
      <c r="BR544" s="36"/>
      <c r="BS544" s="36"/>
      <c r="BT544" s="36"/>
      <c r="BU544" s="36"/>
      <c r="BV544" s="36"/>
      <c r="BW544" s="36"/>
      <c r="BX544" s="36"/>
      <c r="BY544" s="36"/>
      <c r="BZ544" s="36"/>
      <c r="CA544" s="36"/>
      <c r="CB544" s="36"/>
      <c r="CC544" s="36"/>
      <c r="CD544" s="36"/>
      <c r="CE544" s="36"/>
      <c r="CF544" s="36"/>
      <c r="CG544" s="36"/>
      <c r="CH544" s="36"/>
      <c r="CI544" s="36"/>
      <c r="CJ544" s="36"/>
      <c r="CK544" s="36"/>
      <c r="CL544" s="36"/>
      <c r="CM544" s="36"/>
      <c r="CN544" s="36"/>
      <c r="CO544" s="36"/>
    </row>
    <row r="545">
      <c r="A545" s="36"/>
      <c r="B545" s="47"/>
      <c r="C545" s="50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  <c r="AL545" s="36"/>
      <c r="AM545" s="36"/>
      <c r="AN545" s="36"/>
      <c r="AO545" s="36"/>
      <c r="AP545" s="36"/>
      <c r="AQ545" s="36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  <c r="BK545" s="36"/>
      <c r="BL545" s="36"/>
      <c r="BM545" s="36"/>
      <c r="BN545" s="36"/>
      <c r="BO545" s="36"/>
      <c r="BP545" s="36"/>
      <c r="BQ545" s="36"/>
      <c r="BR545" s="36"/>
      <c r="BS545" s="36"/>
      <c r="BT545" s="36"/>
      <c r="BU545" s="36"/>
      <c r="BV545" s="36"/>
      <c r="BW545" s="36"/>
      <c r="BX545" s="36"/>
      <c r="BY545" s="36"/>
      <c r="BZ545" s="36"/>
      <c r="CA545" s="36"/>
      <c r="CB545" s="36"/>
      <c r="CC545" s="36"/>
      <c r="CD545" s="36"/>
      <c r="CE545" s="36"/>
      <c r="CF545" s="36"/>
      <c r="CG545" s="36"/>
      <c r="CH545" s="36"/>
      <c r="CI545" s="36"/>
      <c r="CJ545" s="36"/>
      <c r="CK545" s="36"/>
      <c r="CL545" s="36"/>
      <c r="CM545" s="36"/>
      <c r="CN545" s="36"/>
      <c r="CO545" s="36"/>
    </row>
    <row r="546">
      <c r="A546" s="36"/>
      <c r="B546" s="47"/>
      <c r="C546" s="50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  <c r="AL546" s="36"/>
      <c r="AM546" s="36"/>
      <c r="AN546" s="36"/>
      <c r="AO546" s="36"/>
      <c r="AP546" s="36"/>
      <c r="AQ546" s="36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  <c r="BK546" s="36"/>
      <c r="BL546" s="36"/>
      <c r="BM546" s="36"/>
      <c r="BN546" s="36"/>
      <c r="BO546" s="36"/>
      <c r="BP546" s="36"/>
      <c r="BQ546" s="36"/>
      <c r="BR546" s="36"/>
      <c r="BS546" s="36"/>
      <c r="BT546" s="36"/>
      <c r="BU546" s="36"/>
      <c r="BV546" s="36"/>
      <c r="BW546" s="36"/>
      <c r="BX546" s="36"/>
      <c r="BY546" s="36"/>
      <c r="BZ546" s="36"/>
      <c r="CA546" s="36"/>
      <c r="CB546" s="36"/>
      <c r="CC546" s="36"/>
      <c r="CD546" s="36"/>
      <c r="CE546" s="36"/>
      <c r="CF546" s="36"/>
      <c r="CG546" s="36"/>
      <c r="CH546" s="36"/>
      <c r="CI546" s="36"/>
      <c r="CJ546" s="36"/>
      <c r="CK546" s="36"/>
      <c r="CL546" s="36"/>
      <c r="CM546" s="36"/>
      <c r="CN546" s="36"/>
      <c r="CO546" s="36"/>
    </row>
    <row r="547">
      <c r="A547" s="36"/>
      <c r="B547" s="47"/>
      <c r="C547" s="50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  <c r="AL547" s="36"/>
      <c r="AM547" s="36"/>
      <c r="AN547" s="36"/>
      <c r="AO547" s="36"/>
      <c r="AP547" s="36"/>
      <c r="AQ547" s="36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  <c r="BK547" s="36"/>
      <c r="BL547" s="36"/>
      <c r="BM547" s="36"/>
      <c r="BN547" s="36"/>
      <c r="BO547" s="36"/>
      <c r="BP547" s="36"/>
      <c r="BQ547" s="36"/>
      <c r="BR547" s="36"/>
      <c r="BS547" s="36"/>
      <c r="BT547" s="36"/>
      <c r="BU547" s="36"/>
      <c r="BV547" s="36"/>
      <c r="BW547" s="36"/>
      <c r="BX547" s="36"/>
      <c r="BY547" s="36"/>
      <c r="BZ547" s="36"/>
      <c r="CA547" s="36"/>
      <c r="CB547" s="36"/>
      <c r="CC547" s="36"/>
      <c r="CD547" s="36"/>
      <c r="CE547" s="36"/>
      <c r="CF547" s="36"/>
      <c r="CG547" s="36"/>
      <c r="CH547" s="36"/>
      <c r="CI547" s="36"/>
      <c r="CJ547" s="36"/>
      <c r="CK547" s="36"/>
      <c r="CL547" s="36"/>
      <c r="CM547" s="36"/>
      <c r="CN547" s="36"/>
      <c r="CO547" s="36"/>
    </row>
    <row r="548">
      <c r="A548" s="36"/>
      <c r="B548" s="47"/>
      <c r="C548" s="50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  <c r="AL548" s="36"/>
      <c r="AM548" s="36"/>
      <c r="AN548" s="36"/>
      <c r="AO548" s="36"/>
      <c r="AP548" s="36"/>
      <c r="AQ548" s="36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  <c r="BK548" s="36"/>
      <c r="BL548" s="36"/>
      <c r="BM548" s="36"/>
      <c r="BN548" s="36"/>
      <c r="BO548" s="36"/>
      <c r="BP548" s="36"/>
      <c r="BQ548" s="36"/>
      <c r="BR548" s="36"/>
      <c r="BS548" s="36"/>
      <c r="BT548" s="36"/>
      <c r="BU548" s="36"/>
      <c r="BV548" s="36"/>
      <c r="BW548" s="36"/>
      <c r="BX548" s="36"/>
      <c r="BY548" s="36"/>
      <c r="BZ548" s="36"/>
      <c r="CA548" s="36"/>
      <c r="CB548" s="36"/>
      <c r="CC548" s="36"/>
      <c r="CD548" s="36"/>
      <c r="CE548" s="36"/>
      <c r="CF548" s="36"/>
      <c r="CG548" s="36"/>
      <c r="CH548" s="36"/>
      <c r="CI548" s="36"/>
      <c r="CJ548" s="36"/>
      <c r="CK548" s="36"/>
      <c r="CL548" s="36"/>
      <c r="CM548" s="36"/>
      <c r="CN548" s="36"/>
      <c r="CO548" s="36"/>
    </row>
    <row r="549">
      <c r="A549" s="36"/>
      <c r="B549" s="47"/>
      <c r="C549" s="50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  <c r="AL549" s="36"/>
      <c r="AM549" s="36"/>
      <c r="AN549" s="36"/>
      <c r="AO549" s="36"/>
      <c r="AP549" s="36"/>
      <c r="AQ549" s="36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  <c r="BK549" s="36"/>
      <c r="BL549" s="36"/>
      <c r="BM549" s="36"/>
      <c r="BN549" s="36"/>
      <c r="BO549" s="36"/>
      <c r="BP549" s="36"/>
      <c r="BQ549" s="36"/>
      <c r="BR549" s="36"/>
      <c r="BS549" s="36"/>
      <c r="BT549" s="36"/>
      <c r="BU549" s="36"/>
      <c r="BV549" s="36"/>
      <c r="BW549" s="36"/>
      <c r="BX549" s="36"/>
      <c r="BY549" s="36"/>
      <c r="BZ549" s="36"/>
      <c r="CA549" s="36"/>
      <c r="CB549" s="36"/>
      <c r="CC549" s="36"/>
      <c r="CD549" s="36"/>
      <c r="CE549" s="36"/>
      <c r="CF549" s="36"/>
      <c r="CG549" s="36"/>
      <c r="CH549" s="36"/>
      <c r="CI549" s="36"/>
      <c r="CJ549" s="36"/>
      <c r="CK549" s="36"/>
      <c r="CL549" s="36"/>
      <c r="CM549" s="36"/>
      <c r="CN549" s="36"/>
      <c r="CO549" s="36"/>
    </row>
    <row r="550">
      <c r="A550" s="36"/>
      <c r="B550" s="47"/>
      <c r="C550" s="50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  <c r="AL550" s="36"/>
      <c r="AM550" s="36"/>
      <c r="AN550" s="36"/>
      <c r="AO550" s="36"/>
      <c r="AP550" s="36"/>
      <c r="AQ550" s="36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  <c r="BK550" s="36"/>
      <c r="BL550" s="36"/>
      <c r="BM550" s="36"/>
      <c r="BN550" s="36"/>
      <c r="BO550" s="36"/>
      <c r="BP550" s="36"/>
      <c r="BQ550" s="36"/>
      <c r="BR550" s="36"/>
      <c r="BS550" s="36"/>
      <c r="BT550" s="36"/>
      <c r="BU550" s="36"/>
      <c r="BV550" s="36"/>
      <c r="BW550" s="36"/>
      <c r="BX550" s="36"/>
      <c r="BY550" s="36"/>
      <c r="BZ550" s="36"/>
      <c r="CA550" s="36"/>
      <c r="CB550" s="36"/>
      <c r="CC550" s="36"/>
      <c r="CD550" s="36"/>
      <c r="CE550" s="36"/>
      <c r="CF550" s="36"/>
      <c r="CG550" s="36"/>
      <c r="CH550" s="36"/>
      <c r="CI550" s="36"/>
      <c r="CJ550" s="36"/>
      <c r="CK550" s="36"/>
      <c r="CL550" s="36"/>
      <c r="CM550" s="36"/>
      <c r="CN550" s="36"/>
      <c r="CO550" s="36"/>
    </row>
    <row r="551">
      <c r="A551" s="36"/>
      <c r="B551" s="47"/>
      <c r="C551" s="50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  <c r="AL551" s="36"/>
      <c r="AM551" s="36"/>
      <c r="AN551" s="36"/>
      <c r="AO551" s="36"/>
      <c r="AP551" s="36"/>
      <c r="AQ551" s="36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  <c r="BK551" s="36"/>
      <c r="BL551" s="36"/>
      <c r="BM551" s="36"/>
      <c r="BN551" s="36"/>
      <c r="BO551" s="36"/>
      <c r="BP551" s="36"/>
      <c r="BQ551" s="36"/>
      <c r="BR551" s="36"/>
      <c r="BS551" s="36"/>
      <c r="BT551" s="36"/>
      <c r="BU551" s="36"/>
      <c r="BV551" s="36"/>
      <c r="BW551" s="36"/>
      <c r="BX551" s="36"/>
      <c r="BY551" s="36"/>
      <c r="BZ551" s="36"/>
      <c r="CA551" s="36"/>
      <c r="CB551" s="36"/>
      <c r="CC551" s="36"/>
      <c r="CD551" s="36"/>
      <c r="CE551" s="36"/>
      <c r="CF551" s="36"/>
      <c r="CG551" s="36"/>
      <c r="CH551" s="36"/>
      <c r="CI551" s="36"/>
      <c r="CJ551" s="36"/>
      <c r="CK551" s="36"/>
      <c r="CL551" s="36"/>
      <c r="CM551" s="36"/>
      <c r="CN551" s="36"/>
      <c r="CO551" s="36"/>
    </row>
    <row r="552">
      <c r="A552" s="36"/>
      <c r="B552" s="47"/>
      <c r="C552" s="50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  <c r="AL552" s="36"/>
      <c r="AM552" s="36"/>
      <c r="AN552" s="36"/>
      <c r="AO552" s="36"/>
      <c r="AP552" s="36"/>
      <c r="AQ552" s="36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  <c r="BK552" s="36"/>
      <c r="BL552" s="36"/>
      <c r="BM552" s="36"/>
      <c r="BN552" s="36"/>
      <c r="BO552" s="36"/>
      <c r="BP552" s="36"/>
      <c r="BQ552" s="36"/>
      <c r="BR552" s="36"/>
      <c r="BS552" s="36"/>
      <c r="BT552" s="36"/>
      <c r="BU552" s="36"/>
      <c r="BV552" s="36"/>
      <c r="BW552" s="36"/>
      <c r="BX552" s="36"/>
      <c r="BY552" s="36"/>
      <c r="BZ552" s="36"/>
      <c r="CA552" s="36"/>
      <c r="CB552" s="36"/>
      <c r="CC552" s="36"/>
      <c r="CD552" s="36"/>
      <c r="CE552" s="36"/>
      <c r="CF552" s="36"/>
      <c r="CG552" s="36"/>
      <c r="CH552" s="36"/>
      <c r="CI552" s="36"/>
      <c r="CJ552" s="36"/>
      <c r="CK552" s="36"/>
      <c r="CL552" s="36"/>
      <c r="CM552" s="36"/>
      <c r="CN552" s="36"/>
      <c r="CO552" s="36"/>
    </row>
    <row r="553">
      <c r="A553" s="36"/>
      <c r="B553" s="47"/>
      <c r="C553" s="50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  <c r="AL553" s="36"/>
      <c r="AM553" s="36"/>
      <c r="AN553" s="36"/>
      <c r="AO553" s="36"/>
      <c r="AP553" s="36"/>
      <c r="AQ553" s="36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  <c r="BK553" s="36"/>
      <c r="BL553" s="36"/>
      <c r="BM553" s="36"/>
      <c r="BN553" s="36"/>
      <c r="BO553" s="36"/>
      <c r="BP553" s="36"/>
      <c r="BQ553" s="36"/>
      <c r="BR553" s="36"/>
      <c r="BS553" s="36"/>
      <c r="BT553" s="36"/>
      <c r="BU553" s="36"/>
      <c r="BV553" s="36"/>
      <c r="BW553" s="36"/>
      <c r="BX553" s="36"/>
      <c r="BY553" s="36"/>
      <c r="BZ553" s="36"/>
      <c r="CA553" s="36"/>
      <c r="CB553" s="36"/>
      <c r="CC553" s="36"/>
      <c r="CD553" s="36"/>
      <c r="CE553" s="36"/>
      <c r="CF553" s="36"/>
      <c r="CG553" s="36"/>
      <c r="CH553" s="36"/>
      <c r="CI553" s="36"/>
      <c r="CJ553" s="36"/>
      <c r="CK553" s="36"/>
      <c r="CL553" s="36"/>
      <c r="CM553" s="36"/>
      <c r="CN553" s="36"/>
      <c r="CO553" s="36"/>
    </row>
    <row r="554">
      <c r="A554" s="36"/>
      <c r="B554" s="47"/>
      <c r="C554" s="50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  <c r="AL554" s="36"/>
      <c r="AM554" s="36"/>
      <c r="AN554" s="36"/>
      <c r="AO554" s="36"/>
      <c r="AP554" s="36"/>
      <c r="AQ554" s="36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  <c r="BK554" s="36"/>
      <c r="BL554" s="36"/>
      <c r="BM554" s="36"/>
      <c r="BN554" s="36"/>
      <c r="BO554" s="36"/>
      <c r="BP554" s="36"/>
      <c r="BQ554" s="36"/>
      <c r="BR554" s="36"/>
      <c r="BS554" s="36"/>
      <c r="BT554" s="36"/>
      <c r="BU554" s="36"/>
      <c r="BV554" s="36"/>
      <c r="BW554" s="36"/>
      <c r="BX554" s="36"/>
      <c r="BY554" s="36"/>
      <c r="BZ554" s="36"/>
      <c r="CA554" s="36"/>
      <c r="CB554" s="36"/>
      <c r="CC554" s="36"/>
      <c r="CD554" s="36"/>
      <c r="CE554" s="36"/>
      <c r="CF554" s="36"/>
      <c r="CG554" s="36"/>
      <c r="CH554" s="36"/>
      <c r="CI554" s="36"/>
      <c r="CJ554" s="36"/>
      <c r="CK554" s="36"/>
      <c r="CL554" s="36"/>
      <c r="CM554" s="36"/>
      <c r="CN554" s="36"/>
      <c r="CO554" s="36"/>
    </row>
    <row r="555">
      <c r="A555" s="36"/>
      <c r="B555" s="47"/>
      <c r="C555" s="50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  <c r="AL555" s="36"/>
      <c r="AM555" s="36"/>
      <c r="AN555" s="36"/>
      <c r="AO555" s="36"/>
      <c r="AP555" s="36"/>
      <c r="AQ555" s="36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  <c r="BK555" s="36"/>
      <c r="BL555" s="36"/>
      <c r="BM555" s="36"/>
      <c r="BN555" s="36"/>
      <c r="BO555" s="36"/>
      <c r="BP555" s="36"/>
      <c r="BQ555" s="36"/>
      <c r="BR555" s="36"/>
      <c r="BS555" s="36"/>
      <c r="BT555" s="36"/>
      <c r="BU555" s="36"/>
      <c r="BV555" s="36"/>
      <c r="BW555" s="36"/>
      <c r="BX555" s="36"/>
      <c r="BY555" s="36"/>
      <c r="BZ555" s="36"/>
      <c r="CA555" s="36"/>
      <c r="CB555" s="36"/>
      <c r="CC555" s="36"/>
      <c r="CD555" s="36"/>
      <c r="CE555" s="36"/>
      <c r="CF555" s="36"/>
      <c r="CG555" s="36"/>
      <c r="CH555" s="36"/>
      <c r="CI555" s="36"/>
      <c r="CJ555" s="36"/>
      <c r="CK555" s="36"/>
      <c r="CL555" s="36"/>
      <c r="CM555" s="36"/>
      <c r="CN555" s="36"/>
      <c r="CO555" s="36"/>
    </row>
    <row r="556">
      <c r="A556" s="36"/>
      <c r="B556" s="47"/>
      <c r="C556" s="50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  <c r="AL556" s="36"/>
      <c r="AM556" s="36"/>
      <c r="AN556" s="36"/>
      <c r="AO556" s="36"/>
      <c r="AP556" s="36"/>
      <c r="AQ556" s="36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  <c r="BK556" s="36"/>
      <c r="BL556" s="36"/>
      <c r="BM556" s="36"/>
      <c r="BN556" s="36"/>
      <c r="BO556" s="36"/>
      <c r="BP556" s="36"/>
      <c r="BQ556" s="36"/>
      <c r="BR556" s="36"/>
      <c r="BS556" s="36"/>
      <c r="BT556" s="36"/>
      <c r="BU556" s="36"/>
      <c r="BV556" s="36"/>
      <c r="BW556" s="36"/>
      <c r="BX556" s="36"/>
      <c r="BY556" s="36"/>
      <c r="BZ556" s="36"/>
      <c r="CA556" s="36"/>
      <c r="CB556" s="36"/>
      <c r="CC556" s="36"/>
      <c r="CD556" s="36"/>
      <c r="CE556" s="36"/>
      <c r="CF556" s="36"/>
      <c r="CG556" s="36"/>
      <c r="CH556" s="36"/>
      <c r="CI556" s="36"/>
      <c r="CJ556" s="36"/>
      <c r="CK556" s="36"/>
      <c r="CL556" s="36"/>
      <c r="CM556" s="36"/>
      <c r="CN556" s="36"/>
      <c r="CO556" s="36"/>
    </row>
    <row r="557">
      <c r="A557" s="36"/>
      <c r="B557" s="47"/>
      <c r="C557" s="50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  <c r="AL557" s="36"/>
      <c r="AM557" s="36"/>
      <c r="AN557" s="36"/>
      <c r="AO557" s="36"/>
      <c r="AP557" s="36"/>
      <c r="AQ557" s="36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  <c r="BK557" s="36"/>
      <c r="BL557" s="36"/>
      <c r="BM557" s="36"/>
      <c r="BN557" s="36"/>
      <c r="BO557" s="36"/>
      <c r="BP557" s="36"/>
      <c r="BQ557" s="36"/>
      <c r="BR557" s="36"/>
      <c r="BS557" s="36"/>
      <c r="BT557" s="36"/>
      <c r="BU557" s="36"/>
      <c r="BV557" s="36"/>
      <c r="BW557" s="36"/>
      <c r="BX557" s="36"/>
      <c r="BY557" s="36"/>
      <c r="BZ557" s="36"/>
      <c r="CA557" s="36"/>
      <c r="CB557" s="36"/>
      <c r="CC557" s="36"/>
      <c r="CD557" s="36"/>
      <c r="CE557" s="36"/>
      <c r="CF557" s="36"/>
      <c r="CG557" s="36"/>
      <c r="CH557" s="36"/>
      <c r="CI557" s="36"/>
      <c r="CJ557" s="36"/>
      <c r="CK557" s="36"/>
      <c r="CL557" s="36"/>
      <c r="CM557" s="36"/>
      <c r="CN557" s="36"/>
      <c r="CO557" s="36"/>
    </row>
    <row r="558">
      <c r="A558" s="36"/>
      <c r="B558" s="47"/>
      <c r="C558" s="50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  <c r="AL558" s="36"/>
      <c r="AM558" s="36"/>
      <c r="AN558" s="36"/>
      <c r="AO558" s="36"/>
      <c r="AP558" s="36"/>
      <c r="AQ558" s="36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  <c r="BK558" s="36"/>
      <c r="BL558" s="36"/>
      <c r="BM558" s="36"/>
      <c r="BN558" s="36"/>
      <c r="BO558" s="36"/>
      <c r="BP558" s="36"/>
      <c r="BQ558" s="36"/>
      <c r="BR558" s="36"/>
      <c r="BS558" s="36"/>
      <c r="BT558" s="36"/>
      <c r="BU558" s="36"/>
      <c r="BV558" s="36"/>
      <c r="BW558" s="36"/>
      <c r="BX558" s="36"/>
      <c r="BY558" s="36"/>
      <c r="BZ558" s="36"/>
      <c r="CA558" s="36"/>
      <c r="CB558" s="36"/>
      <c r="CC558" s="36"/>
      <c r="CD558" s="36"/>
      <c r="CE558" s="36"/>
      <c r="CF558" s="36"/>
      <c r="CG558" s="36"/>
      <c r="CH558" s="36"/>
      <c r="CI558" s="36"/>
      <c r="CJ558" s="36"/>
      <c r="CK558" s="36"/>
      <c r="CL558" s="36"/>
      <c r="CM558" s="36"/>
      <c r="CN558" s="36"/>
      <c r="CO558" s="36"/>
    </row>
    <row r="559">
      <c r="A559" s="36"/>
      <c r="B559" s="47"/>
      <c r="C559" s="50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  <c r="AL559" s="36"/>
      <c r="AM559" s="36"/>
      <c r="AN559" s="36"/>
      <c r="AO559" s="36"/>
      <c r="AP559" s="36"/>
      <c r="AQ559" s="36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  <c r="BK559" s="36"/>
      <c r="BL559" s="36"/>
      <c r="BM559" s="36"/>
      <c r="BN559" s="36"/>
      <c r="BO559" s="36"/>
      <c r="BP559" s="36"/>
      <c r="BQ559" s="36"/>
      <c r="BR559" s="36"/>
      <c r="BS559" s="36"/>
      <c r="BT559" s="36"/>
      <c r="BU559" s="36"/>
      <c r="BV559" s="36"/>
      <c r="BW559" s="36"/>
      <c r="BX559" s="36"/>
      <c r="BY559" s="36"/>
      <c r="BZ559" s="36"/>
      <c r="CA559" s="36"/>
      <c r="CB559" s="36"/>
      <c r="CC559" s="36"/>
      <c r="CD559" s="36"/>
      <c r="CE559" s="36"/>
      <c r="CF559" s="36"/>
      <c r="CG559" s="36"/>
      <c r="CH559" s="36"/>
      <c r="CI559" s="36"/>
      <c r="CJ559" s="36"/>
      <c r="CK559" s="36"/>
      <c r="CL559" s="36"/>
      <c r="CM559" s="36"/>
      <c r="CN559" s="36"/>
      <c r="CO559" s="36"/>
    </row>
    <row r="560">
      <c r="A560" s="36"/>
      <c r="B560" s="47"/>
      <c r="C560" s="50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  <c r="AL560" s="36"/>
      <c r="AM560" s="36"/>
      <c r="AN560" s="36"/>
      <c r="AO560" s="36"/>
      <c r="AP560" s="36"/>
      <c r="AQ560" s="36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  <c r="BK560" s="36"/>
      <c r="BL560" s="36"/>
      <c r="BM560" s="36"/>
      <c r="BN560" s="36"/>
      <c r="BO560" s="36"/>
      <c r="BP560" s="36"/>
      <c r="BQ560" s="36"/>
      <c r="BR560" s="36"/>
      <c r="BS560" s="36"/>
      <c r="BT560" s="36"/>
      <c r="BU560" s="36"/>
      <c r="BV560" s="36"/>
      <c r="BW560" s="36"/>
      <c r="BX560" s="36"/>
      <c r="BY560" s="36"/>
      <c r="BZ560" s="36"/>
      <c r="CA560" s="36"/>
      <c r="CB560" s="36"/>
      <c r="CC560" s="36"/>
      <c r="CD560" s="36"/>
      <c r="CE560" s="36"/>
      <c r="CF560" s="36"/>
      <c r="CG560" s="36"/>
      <c r="CH560" s="36"/>
      <c r="CI560" s="36"/>
      <c r="CJ560" s="36"/>
      <c r="CK560" s="36"/>
      <c r="CL560" s="36"/>
      <c r="CM560" s="36"/>
      <c r="CN560" s="36"/>
      <c r="CO560" s="36"/>
    </row>
    <row r="561">
      <c r="A561" s="36"/>
      <c r="B561" s="47"/>
      <c r="C561" s="50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  <c r="AL561" s="36"/>
      <c r="AM561" s="36"/>
      <c r="AN561" s="36"/>
      <c r="AO561" s="36"/>
      <c r="AP561" s="36"/>
      <c r="AQ561" s="36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  <c r="BK561" s="36"/>
      <c r="BL561" s="36"/>
      <c r="BM561" s="36"/>
      <c r="BN561" s="36"/>
      <c r="BO561" s="36"/>
      <c r="BP561" s="36"/>
      <c r="BQ561" s="36"/>
      <c r="BR561" s="36"/>
      <c r="BS561" s="36"/>
      <c r="BT561" s="36"/>
      <c r="BU561" s="36"/>
      <c r="BV561" s="36"/>
      <c r="BW561" s="36"/>
      <c r="BX561" s="36"/>
      <c r="BY561" s="36"/>
      <c r="BZ561" s="36"/>
      <c r="CA561" s="36"/>
      <c r="CB561" s="36"/>
      <c r="CC561" s="36"/>
      <c r="CD561" s="36"/>
      <c r="CE561" s="36"/>
      <c r="CF561" s="36"/>
      <c r="CG561" s="36"/>
      <c r="CH561" s="36"/>
      <c r="CI561" s="36"/>
      <c r="CJ561" s="36"/>
      <c r="CK561" s="36"/>
      <c r="CL561" s="36"/>
      <c r="CM561" s="36"/>
      <c r="CN561" s="36"/>
      <c r="CO561" s="36"/>
    </row>
    <row r="562">
      <c r="A562" s="36"/>
      <c r="B562" s="47"/>
      <c r="C562" s="50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  <c r="AL562" s="36"/>
      <c r="AM562" s="36"/>
      <c r="AN562" s="36"/>
      <c r="AO562" s="36"/>
      <c r="AP562" s="36"/>
      <c r="AQ562" s="36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  <c r="BK562" s="36"/>
      <c r="BL562" s="36"/>
      <c r="BM562" s="36"/>
      <c r="BN562" s="36"/>
      <c r="BO562" s="36"/>
      <c r="BP562" s="36"/>
      <c r="BQ562" s="36"/>
      <c r="BR562" s="36"/>
      <c r="BS562" s="36"/>
      <c r="BT562" s="36"/>
      <c r="BU562" s="36"/>
      <c r="BV562" s="36"/>
      <c r="BW562" s="36"/>
      <c r="BX562" s="36"/>
      <c r="BY562" s="36"/>
      <c r="BZ562" s="36"/>
      <c r="CA562" s="36"/>
      <c r="CB562" s="36"/>
      <c r="CC562" s="36"/>
      <c r="CD562" s="36"/>
      <c r="CE562" s="36"/>
      <c r="CF562" s="36"/>
      <c r="CG562" s="36"/>
      <c r="CH562" s="36"/>
      <c r="CI562" s="36"/>
      <c r="CJ562" s="36"/>
      <c r="CK562" s="36"/>
      <c r="CL562" s="36"/>
      <c r="CM562" s="36"/>
      <c r="CN562" s="36"/>
      <c r="CO562" s="36"/>
    </row>
    <row r="563">
      <c r="A563" s="36"/>
      <c r="B563" s="47"/>
      <c r="C563" s="50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  <c r="AL563" s="36"/>
      <c r="AM563" s="36"/>
      <c r="AN563" s="36"/>
      <c r="AO563" s="36"/>
      <c r="AP563" s="36"/>
      <c r="AQ563" s="36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  <c r="BK563" s="36"/>
      <c r="BL563" s="36"/>
      <c r="BM563" s="36"/>
      <c r="BN563" s="36"/>
      <c r="BO563" s="36"/>
      <c r="BP563" s="36"/>
      <c r="BQ563" s="36"/>
      <c r="BR563" s="36"/>
      <c r="BS563" s="36"/>
      <c r="BT563" s="36"/>
      <c r="BU563" s="36"/>
      <c r="BV563" s="36"/>
      <c r="BW563" s="36"/>
      <c r="BX563" s="36"/>
      <c r="BY563" s="36"/>
      <c r="BZ563" s="36"/>
      <c r="CA563" s="36"/>
      <c r="CB563" s="36"/>
      <c r="CC563" s="36"/>
      <c r="CD563" s="36"/>
      <c r="CE563" s="36"/>
      <c r="CF563" s="36"/>
      <c r="CG563" s="36"/>
      <c r="CH563" s="36"/>
      <c r="CI563" s="36"/>
      <c r="CJ563" s="36"/>
      <c r="CK563" s="36"/>
      <c r="CL563" s="36"/>
      <c r="CM563" s="36"/>
      <c r="CN563" s="36"/>
      <c r="CO563" s="36"/>
    </row>
    <row r="564">
      <c r="A564" s="36"/>
      <c r="B564" s="47"/>
      <c r="C564" s="50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36"/>
      <c r="AM564" s="36"/>
      <c r="AN564" s="36"/>
      <c r="AO564" s="36"/>
      <c r="AP564" s="36"/>
      <c r="AQ564" s="36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  <c r="BK564" s="36"/>
      <c r="BL564" s="36"/>
      <c r="BM564" s="36"/>
      <c r="BN564" s="36"/>
      <c r="BO564" s="36"/>
      <c r="BP564" s="36"/>
      <c r="BQ564" s="36"/>
      <c r="BR564" s="36"/>
      <c r="BS564" s="36"/>
      <c r="BT564" s="36"/>
      <c r="BU564" s="36"/>
      <c r="BV564" s="36"/>
      <c r="BW564" s="36"/>
      <c r="BX564" s="36"/>
      <c r="BY564" s="36"/>
      <c r="BZ564" s="36"/>
      <c r="CA564" s="36"/>
      <c r="CB564" s="36"/>
      <c r="CC564" s="36"/>
      <c r="CD564" s="36"/>
      <c r="CE564" s="36"/>
      <c r="CF564" s="36"/>
      <c r="CG564" s="36"/>
      <c r="CH564" s="36"/>
      <c r="CI564" s="36"/>
      <c r="CJ564" s="36"/>
      <c r="CK564" s="36"/>
      <c r="CL564" s="36"/>
      <c r="CM564" s="36"/>
      <c r="CN564" s="36"/>
      <c r="CO564" s="36"/>
    </row>
    <row r="565">
      <c r="A565" s="36"/>
      <c r="B565" s="47"/>
      <c r="C565" s="50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36"/>
      <c r="AM565" s="36"/>
      <c r="AN565" s="36"/>
      <c r="AO565" s="36"/>
      <c r="AP565" s="36"/>
      <c r="AQ565" s="36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  <c r="BK565" s="36"/>
      <c r="BL565" s="36"/>
      <c r="BM565" s="36"/>
      <c r="BN565" s="36"/>
      <c r="BO565" s="36"/>
      <c r="BP565" s="36"/>
      <c r="BQ565" s="36"/>
      <c r="BR565" s="36"/>
      <c r="BS565" s="36"/>
      <c r="BT565" s="36"/>
      <c r="BU565" s="36"/>
      <c r="BV565" s="36"/>
      <c r="BW565" s="36"/>
      <c r="BX565" s="36"/>
      <c r="BY565" s="36"/>
      <c r="BZ565" s="36"/>
      <c r="CA565" s="36"/>
      <c r="CB565" s="36"/>
      <c r="CC565" s="36"/>
      <c r="CD565" s="36"/>
      <c r="CE565" s="36"/>
      <c r="CF565" s="36"/>
      <c r="CG565" s="36"/>
      <c r="CH565" s="36"/>
      <c r="CI565" s="36"/>
      <c r="CJ565" s="36"/>
      <c r="CK565" s="36"/>
      <c r="CL565" s="36"/>
      <c r="CM565" s="36"/>
      <c r="CN565" s="36"/>
      <c r="CO565" s="36"/>
    </row>
    <row r="566">
      <c r="A566" s="36"/>
      <c r="B566" s="47"/>
      <c r="C566" s="50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  <c r="AL566" s="36"/>
      <c r="AM566" s="36"/>
      <c r="AN566" s="36"/>
      <c r="AO566" s="36"/>
      <c r="AP566" s="36"/>
      <c r="AQ566" s="36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  <c r="BK566" s="36"/>
      <c r="BL566" s="36"/>
      <c r="BM566" s="36"/>
      <c r="BN566" s="36"/>
      <c r="BO566" s="36"/>
      <c r="BP566" s="36"/>
      <c r="BQ566" s="36"/>
      <c r="BR566" s="36"/>
      <c r="BS566" s="36"/>
      <c r="BT566" s="36"/>
      <c r="BU566" s="36"/>
      <c r="BV566" s="36"/>
      <c r="BW566" s="36"/>
      <c r="BX566" s="36"/>
      <c r="BY566" s="36"/>
      <c r="BZ566" s="36"/>
      <c r="CA566" s="36"/>
      <c r="CB566" s="36"/>
      <c r="CC566" s="36"/>
      <c r="CD566" s="36"/>
      <c r="CE566" s="36"/>
      <c r="CF566" s="36"/>
      <c r="CG566" s="36"/>
      <c r="CH566" s="36"/>
      <c r="CI566" s="36"/>
      <c r="CJ566" s="36"/>
      <c r="CK566" s="36"/>
      <c r="CL566" s="36"/>
      <c r="CM566" s="36"/>
      <c r="CN566" s="36"/>
      <c r="CO566" s="36"/>
    </row>
    <row r="567">
      <c r="A567" s="36"/>
      <c r="B567" s="47"/>
      <c r="C567" s="50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  <c r="AL567" s="36"/>
      <c r="AM567" s="36"/>
      <c r="AN567" s="36"/>
      <c r="AO567" s="36"/>
      <c r="AP567" s="36"/>
      <c r="AQ567" s="36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  <c r="BK567" s="36"/>
      <c r="BL567" s="36"/>
      <c r="BM567" s="36"/>
      <c r="BN567" s="36"/>
      <c r="BO567" s="36"/>
      <c r="BP567" s="36"/>
      <c r="BQ567" s="36"/>
      <c r="BR567" s="36"/>
      <c r="BS567" s="36"/>
      <c r="BT567" s="36"/>
      <c r="BU567" s="36"/>
      <c r="BV567" s="36"/>
      <c r="BW567" s="36"/>
      <c r="BX567" s="36"/>
      <c r="BY567" s="36"/>
      <c r="BZ567" s="36"/>
      <c r="CA567" s="36"/>
      <c r="CB567" s="36"/>
      <c r="CC567" s="36"/>
      <c r="CD567" s="36"/>
      <c r="CE567" s="36"/>
      <c r="CF567" s="36"/>
      <c r="CG567" s="36"/>
      <c r="CH567" s="36"/>
      <c r="CI567" s="36"/>
      <c r="CJ567" s="36"/>
      <c r="CK567" s="36"/>
      <c r="CL567" s="36"/>
      <c r="CM567" s="36"/>
      <c r="CN567" s="36"/>
      <c r="CO567" s="36"/>
    </row>
    <row r="568">
      <c r="A568" s="36"/>
      <c r="B568" s="47"/>
      <c r="C568" s="50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  <c r="AL568" s="36"/>
      <c r="AM568" s="36"/>
      <c r="AN568" s="36"/>
      <c r="AO568" s="36"/>
      <c r="AP568" s="36"/>
      <c r="AQ568" s="36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  <c r="BK568" s="36"/>
      <c r="BL568" s="36"/>
      <c r="BM568" s="36"/>
      <c r="BN568" s="36"/>
      <c r="BO568" s="36"/>
      <c r="BP568" s="36"/>
      <c r="BQ568" s="36"/>
      <c r="BR568" s="36"/>
      <c r="BS568" s="36"/>
      <c r="BT568" s="36"/>
      <c r="BU568" s="36"/>
      <c r="BV568" s="36"/>
      <c r="BW568" s="36"/>
      <c r="BX568" s="36"/>
      <c r="BY568" s="36"/>
      <c r="BZ568" s="36"/>
      <c r="CA568" s="36"/>
      <c r="CB568" s="36"/>
      <c r="CC568" s="36"/>
      <c r="CD568" s="36"/>
      <c r="CE568" s="36"/>
      <c r="CF568" s="36"/>
      <c r="CG568" s="36"/>
      <c r="CH568" s="36"/>
      <c r="CI568" s="36"/>
      <c r="CJ568" s="36"/>
      <c r="CK568" s="36"/>
      <c r="CL568" s="36"/>
      <c r="CM568" s="36"/>
      <c r="CN568" s="36"/>
      <c r="CO568" s="36"/>
    </row>
    <row r="569">
      <c r="A569" s="36"/>
      <c r="B569" s="47"/>
      <c r="C569" s="50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  <c r="AL569" s="36"/>
      <c r="AM569" s="36"/>
      <c r="AN569" s="36"/>
      <c r="AO569" s="36"/>
      <c r="AP569" s="36"/>
      <c r="AQ569" s="36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  <c r="BK569" s="36"/>
      <c r="BL569" s="36"/>
      <c r="BM569" s="36"/>
      <c r="BN569" s="36"/>
      <c r="BO569" s="36"/>
      <c r="BP569" s="36"/>
      <c r="BQ569" s="36"/>
      <c r="BR569" s="36"/>
      <c r="BS569" s="36"/>
      <c r="BT569" s="36"/>
      <c r="BU569" s="36"/>
      <c r="BV569" s="36"/>
      <c r="BW569" s="36"/>
      <c r="BX569" s="36"/>
      <c r="BY569" s="36"/>
      <c r="BZ569" s="36"/>
      <c r="CA569" s="36"/>
      <c r="CB569" s="36"/>
      <c r="CC569" s="36"/>
      <c r="CD569" s="36"/>
      <c r="CE569" s="36"/>
      <c r="CF569" s="36"/>
      <c r="CG569" s="36"/>
      <c r="CH569" s="36"/>
      <c r="CI569" s="36"/>
      <c r="CJ569" s="36"/>
      <c r="CK569" s="36"/>
      <c r="CL569" s="36"/>
      <c r="CM569" s="36"/>
      <c r="CN569" s="36"/>
      <c r="CO569" s="36"/>
    </row>
    <row r="570">
      <c r="A570" s="36"/>
      <c r="B570" s="47"/>
      <c r="C570" s="50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  <c r="AL570" s="36"/>
      <c r="AM570" s="36"/>
      <c r="AN570" s="36"/>
      <c r="AO570" s="36"/>
      <c r="AP570" s="36"/>
      <c r="AQ570" s="36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  <c r="BK570" s="36"/>
      <c r="BL570" s="36"/>
      <c r="BM570" s="36"/>
      <c r="BN570" s="36"/>
      <c r="BO570" s="36"/>
      <c r="BP570" s="36"/>
      <c r="BQ570" s="36"/>
      <c r="BR570" s="36"/>
      <c r="BS570" s="36"/>
      <c r="BT570" s="36"/>
      <c r="BU570" s="36"/>
      <c r="BV570" s="36"/>
      <c r="BW570" s="36"/>
      <c r="BX570" s="36"/>
      <c r="BY570" s="36"/>
      <c r="BZ570" s="36"/>
      <c r="CA570" s="36"/>
      <c r="CB570" s="36"/>
      <c r="CC570" s="36"/>
      <c r="CD570" s="36"/>
      <c r="CE570" s="36"/>
      <c r="CF570" s="36"/>
      <c r="CG570" s="36"/>
      <c r="CH570" s="36"/>
      <c r="CI570" s="36"/>
      <c r="CJ570" s="36"/>
      <c r="CK570" s="36"/>
      <c r="CL570" s="36"/>
      <c r="CM570" s="36"/>
      <c r="CN570" s="36"/>
      <c r="CO570" s="36"/>
    </row>
    <row r="571">
      <c r="A571" s="36"/>
      <c r="B571" s="47"/>
      <c r="C571" s="50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  <c r="AL571" s="36"/>
      <c r="AM571" s="36"/>
      <c r="AN571" s="36"/>
      <c r="AO571" s="36"/>
      <c r="AP571" s="36"/>
      <c r="AQ571" s="36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  <c r="BK571" s="36"/>
      <c r="BL571" s="36"/>
      <c r="BM571" s="36"/>
      <c r="BN571" s="36"/>
      <c r="BO571" s="36"/>
      <c r="BP571" s="36"/>
      <c r="BQ571" s="36"/>
      <c r="BR571" s="36"/>
      <c r="BS571" s="36"/>
      <c r="BT571" s="36"/>
      <c r="BU571" s="36"/>
      <c r="BV571" s="36"/>
      <c r="BW571" s="36"/>
      <c r="BX571" s="36"/>
      <c r="BY571" s="36"/>
      <c r="BZ571" s="36"/>
      <c r="CA571" s="36"/>
      <c r="CB571" s="36"/>
      <c r="CC571" s="36"/>
      <c r="CD571" s="36"/>
      <c r="CE571" s="36"/>
      <c r="CF571" s="36"/>
      <c r="CG571" s="36"/>
      <c r="CH571" s="36"/>
      <c r="CI571" s="36"/>
      <c r="CJ571" s="36"/>
      <c r="CK571" s="36"/>
      <c r="CL571" s="36"/>
      <c r="CM571" s="36"/>
      <c r="CN571" s="36"/>
      <c r="CO571" s="36"/>
    </row>
    <row r="572">
      <c r="A572" s="36"/>
      <c r="B572" s="47"/>
      <c r="C572" s="50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  <c r="AL572" s="36"/>
      <c r="AM572" s="36"/>
      <c r="AN572" s="36"/>
      <c r="AO572" s="36"/>
      <c r="AP572" s="36"/>
      <c r="AQ572" s="36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  <c r="BK572" s="36"/>
      <c r="BL572" s="36"/>
      <c r="BM572" s="36"/>
      <c r="BN572" s="36"/>
      <c r="BO572" s="36"/>
      <c r="BP572" s="36"/>
      <c r="BQ572" s="36"/>
      <c r="BR572" s="36"/>
      <c r="BS572" s="36"/>
      <c r="BT572" s="36"/>
      <c r="BU572" s="36"/>
      <c r="BV572" s="36"/>
      <c r="BW572" s="36"/>
      <c r="BX572" s="36"/>
      <c r="BY572" s="36"/>
      <c r="BZ572" s="36"/>
      <c r="CA572" s="36"/>
      <c r="CB572" s="36"/>
      <c r="CC572" s="36"/>
      <c r="CD572" s="36"/>
      <c r="CE572" s="36"/>
      <c r="CF572" s="36"/>
      <c r="CG572" s="36"/>
      <c r="CH572" s="36"/>
      <c r="CI572" s="36"/>
      <c r="CJ572" s="36"/>
      <c r="CK572" s="36"/>
      <c r="CL572" s="36"/>
      <c r="CM572" s="36"/>
      <c r="CN572" s="36"/>
      <c r="CO572" s="36"/>
    </row>
    <row r="573">
      <c r="A573" s="36"/>
      <c r="B573" s="47"/>
      <c r="C573" s="50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  <c r="AL573" s="36"/>
      <c r="AM573" s="36"/>
      <c r="AN573" s="36"/>
      <c r="AO573" s="36"/>
      <c r="AP573" s="36"/>
      <c r="AQ573" s="36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  <c r="BK573" s="36"/>
      <c r="BL573" s="36"/>
      <c r="BM573" s="36"/>
      <c r="BN573" s="36"/>
      <c r="BO573" s="36"/>
      <c r="BP573" s="36"/>
      <c r="BQ573" s="36"/>
      <c r="BR573" s="36"/>
      <c r="BS573" s="36"/>
      <c r="BT573" s="36"/>
      <c r="BU573" s="36"/>
      <c r="BV573" s="36"/>
      <c r="BW573" s="36"/>
      <c r="BX573" s="36"/>
      <c r="BY573" s="36"/>
      <c r="BZ573" s="36"/>
      <c r="CA573" s="36"/>
      <c r="CB573" s="36"/>
      <c r="CC573" s="36"/>
      <c r="CD573" s="36"/>
      <c r="CE573" s="36"/>
      <c r="CF573" s="36"/>
      <c r="CG573" s="36"/>
      <c r="CH573" s="36"/>
      <c r="CI573" s="36"/>
      <c r="CJ573" s="36"/>
      <c r="CK573" s="36"/>
      <c r="CL573" s="36"/>
      <c r="CM573" s="36"/>
      <c r="CN573" s="36"/>
      <c r="CO573" s="36"/>
    </row>
    <row r="574">
      <c r="A574" s="36"/>
      <c r="B574" s="47"/>
      <c r="C574" s="50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  <c r="AL574" s="36"/>
      <c r="AM574" s="36"/>
      <c r="AN574" s="36"/>
      <c r="AO574" s="36"/>
      <c r="AP574" s="36"/>
      <c r="AQ574" s="36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  <c r="BK574" s="36"/>
      <c r="BL574" s="36"/>
      <c r="BM574" s="36"/>
      <c r="BN574" s="36"/>
      <c r="BO574" s="36"/>
      <c r="BP574" s="36"/>
      <c r="BQ574" s="36"/>
      <c r="BR574" s="36"/>
      <c r="BS574" s="36"/>
      <c r="BT574" s="36"/>
      <c r="BU574" s="36"/>
      <c r="BV574" s="36"/>
      <c r="BW574" s="36"/>
      <c r="BX574" s="36"/>
      <c r="BY574" s="36"/>
      <c r="BZ574" s="36"/>
      <c r="CA574" s="36"/>
      <c r="CB574" s="36"/>
      <c r="CC574" s="36"/>
      <c r="CD574" s="36"/>
      <c r="CE574" s="36"/>
      <c r="CF574" s="36"/>
      <c r="CG574" s="36"/>
      <c r="CH574" s="36"/>
      <c r="CI574" s="36"/>
      <c r="CJ574" s="36"/>
      <c r="CK574" s="36"/>
      <c r="CL574" s="36"/>
      <c r="CM574" s="36"/>
      <c r="CN574" s="36"/>
      <c r="CO574" s="36"/>
    </row>
    <row r="575">
      <c r="A575" s="36"/>
      <c r="B575" s="47"/>
      <c r="C575" s="50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  <c r="AL575" s="36"/>
      <c r="AM575" s="36"/>
      <c r="AN575" s="36"/>
      <c r="AO575" s="36"/>
      <c r="AP575" s="36"/>
      <c r="AQ575" s="36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  <c r="BK575" s="36"/>
      <c r="BL575" s="36"/>
      <c r="BM575" s="36"/>
      <c r="BN575" s="36"/>
      <c r="BO575" s="36"/>
      <c r="BP575" s="36"/>
      <c r="BQ575" s="36"/>
      <c r="BR575" s="36"/>
      <c r="BS575" s="36"/>
      <c r="BT575" s="36"/>
      <c r="BU575" s="36"/>
      <c r="BV575" s="36"/>
      <c r="BW575" s="36"/>
      <c r="BX575" s="36"/>
      <c r="BY575" s="36"/>
      <c r="BZ575" s="36"/>
      <c r="CA575" s="36"/>
      <c r="CB575" s="36"/>
      <c r="CC575" s="36"/>
      <c r="CD575" s="36"/>
      <c r="CE575" s="36"/>
      <c r="CF575" s="36"/>
      <c r="CG575" s="36"/>
      <c r="CH575" s="36"/>
      <c r="CI575" s="36"/>
      <c r="CJ575" s="36"/>
      <c r="CK575" s="36"/>
      <c r="CL575" s="36"/>
      <c r="CM575" s="36"/>
      <c r="CN575" s="36"/>
      <c r="CO575" s="36"/>
    </row>
    <row r="576">
      <c r="A576" s="36"/>
      <c r="B576" s="47"/>
      <c r="C576" s="50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  <c r="AL576" s="36"/>
      <c r="AM576" s="36"/>
      <c r="AN576" s="36"/>
      <c r="AO576" s="36"/>
      <c r="AP576" s="36"/>
      <c r="AQ576" s="36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  <c r="BK576" s="36"/>
      <c r="BL576" s="36"/>
      <c r="BM576" s="36"/>
      <c r="BN576" s="36"/>
      <c r="BO576" s="36"/>
      <c r="BP576" s="36"/>
      <c r="BQ576" s="36"/>
      <c r="BR576" s="36"/>
      <c r="BS576" s="36"/>
      <c r="BT576" s="36"/>
      <c r="BU576" s="36"/>
      <c r="BV576" s="36"/>
      <c r="BW576" s="36"/>
      <c r="BX576" s="36"/>
      <c r="BY576" s="36"/>
      <c r="BZ576" s="36"/>
      <c r="CA576" s="36"/>
      <c r="CB576" s="36"/>
      <c r="CC576" s="36"/>
      <c r="CD576" s="36"/>
      <c r="CE576" s="36"/>
      <c r="CF576" s="36"/>
      <c r="CG576" s="36"/>
      <c r="CH576" s="36"/>
      <c r="CI576" s="36"/>
      <c r="CJ576" s="36"/>
      <c r="CK576" s="36"/>
      <c r="CL576" s="36"/>
      <c r="CM576" s="36"/>
      <c r="CN576" s="36"/>
      <c r="CO576" s="36"/>
    </row>
    <row r="577">
      <c r="A577" s="36"/>
      <c r="B577" s="47"/>
      <c r="C577" s="50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  <c r="AL577" s="36"/>
      <c r="AM577" s="36"/>
      <c r="AN577" s="36"/>
      <c r="AO577" s="36"/>
      <c r="AP577" s="36"/>
      <c r="AQ577" s="36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  <c r="BK577" s="36"/>
      <c r="BL577" s="36"/>
      <c r="BM577" s="36"/>
      <c r="BN577" s="36"/>
      <c r="BO577" s="36"/>
      <c r="BP577" s="36"/>
      <c r="BQ577" s="36"/>
      <c r="BR577" s="36"/>
      <c r="BS577" s="36"/>
      <c r="BT577" s="36"/>
      <c r="BU577" s="36"/>
      <c r="BV577" s="36"/>
      <c r="BW577" s="36"/>
      <c r="BX577" s="36"/>
      <c r="BY577" s="36"/>
      <c r="BZ577" s="36"/>
      <c r="CA577" s="36"/>
      <c r="CB577" s="36"/>
      <c r="CC577" s="36"/>
      <c r="CD577" s="36"/>
      <c r="CE577" s="36"/>
      <c r="CF577" s="36"/>
      <c r="CG577" s="36"/>
      <c r="CH577" s="36"/>
      <c r="CI577" s="36"/>
      <c r="CJ577" s="36"/>
      <c r="CK577" s="36"/>
      <c r="CL577" s="36"/>
      <c r="CM577" s="36"/>
      <c r="CN577" s="36"/>
      <c r="CO577" s="36"/>
    </row>
    <row r="578">
      <c r="A578" s="36"/>
      <c r="B578" s="47"/>
      <c r="C578" s="50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  <c r="AL578" s="36"/>
      <c r="AM578" s="36"/>
      <c r="AN578" s="36"/>
      <c r="AO578" s="36"/>
      <c r="AP578" s="36"/>
      <c r="AQ578" s="36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  <c r="BK578" s="36"/>
      <c r="BL578" s="36"/>
      <c r="BM578" s="36"/>
      <c r="BN578" s="36"/>
      <c r="BO578" s="36"/>
      <c r="BP578" s="36"/>
      <c r="BQ578" s="36"/>
      <c r="BR578" s="36"/>
      <c r="BS578" s="36"/>
      <c r="BT578" s="36"/>
      <c r="BU578" s="36"/>
      <c r="BV578" s="36"/>
      <c r="BW578" s="36"/>
      <c r="BX578" s="36"/>
      <c r="BY578" s="36"/>
      <c r="BZ578" s="36"/>
      <c r="CA578" s="36"/>
      <c r="CB578" s="36"/>
      <c r="CC578" s="36"/>
      <c r="CD578" s="36"/>
      <c r="CE578" s="36"/>
      <c r="CF578" s="36"/>
      <c r="CG578" s="36"/>
      <c r="CH578" s="36"/>
      <c r="CI578" s="36"/>
      <c r="CJ578" s="36"/>
      <c r="CK578" s="36"/>
      <c r="CL578" s="36"/>
      <c r="CM578" s="36"/>
      <c r="CN578" s="36"/>
      <c r="CO578" s="36"/>
    </row>
    <row r="579">
      <c r="A579" s="36"/>
      <c r="B579" s="47"/>
      <c r="C579" s="50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  <c r="AL579" s="36"/>
      <c r="AM579" s="36"/>
      <c r="AN579" s="36"/>
      <c r="AO579" s="36"/>
      <c r="AP579" s="36"/>
      <c r="AQ579" s="36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  <c r="BK579" s="36"/>
      <c r="BL579" s="36"/>
      <c r="BM579" s="36"/>
      <c r="BN579" s="36"/>
      <c r="BO579" s="36"/>
      <c r="BP579" s="36"/>
      <c r="BQ579" s="36"/>
      <c r="BR579" s="36"/>
      <c r="BS579" s="36"/>
      <c r="BT579" s="36"/>
      <c r="BU579" s="36"/>
      <c r="BV579" s="36"/>
      <c r="BW579" s="36"/>
      <c r="BX579" s="36"/>
      <c r="BY579" s="36"/>
      <c r="BZ579" s="36"/>
      <c r="CA579" s="36"/>
      <c r="CB579" s="36"/>
      <c r="CC579" s="36"/>
      <c r="CD579" s="36"/>
      <c r="CE579" s="36"/>
      <c r="CF579" s="36"/>
      <c r="CG579" s="36"/>
      <c r="CH579" s="36"/>
      <c r="CI579" s="36"/>
      <c r="CJ579" s="36"/>
      <c r="CK579" s="36"/>
      <c r="CL579" s="36"/>
      <c r="CM579" s="36"/>
      <c r="CN579" s="36"/>
      <c r="CO579" s="36"/>
    </row>
    <row r="580">
      <c r="A580" s="36"/>
      <c r="B580" s="47"/>
      <c r="C580" s="50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  <c r="AL580" s="36"/>
      <c r="AM580" s="36"/>
      <c r="AN580" s="36"/>
      <c r="AO580" s="36"/>
      <c r="AP580" s="36"/>
      <c r="AQ580" s="36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  <c r="BK580" s="36"/>
      <c r="BL580" s="36"/>
      <c r="BM580" s="36"/>
      <c r="BN580" s="36"/>
      <c r="BO580" s="36"/>
      <c r="BP580" s="36"/>
      <c r="BQ580" s="36"/>
      <c r="BR580" s="36"/>
      <c r="BS580" s="36"/>
      <c r="BT580" s="36"/>
      <c r="BU580" s="36"/>
      <c r="BV580" s="36"/>
      <c r="BW580" s="36"/>
      <c r="BX580" s="36"/>
      <c r="BY580" s="36"/>
      <c r="BZ580" s="36"/>
      <c r="CA580" s="36"/>
      <c r="CB580" s="36"/>
      <c r="CC580" s="36"/>
      <c r="CD580" s="36"/>
      <c r="CE580" s="36"/>
      <c r="CF580" s="36"/>
      <c r="CG580" s="36"/>
      <c r="CH580" s="36"/>
      <c r="CI580" s="36"/>
      <c r="CJ580" s="36"/>
      <c r="CK580" s="36"/>
      <c r="CL580" s="36"/>
      <c r="CM580" s="36"/>
      <c r="CN580" s="36"/>
      <c r="CO580" s="36"/>
    </row>
    <row r="581">
      <c r="A581" s="36"/>
      <c r="B581" s="47"/>
      <c r="C581" s="50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  <c r="AL581" s="36"/>
      <c r="AM581" s="36"/>
      <c r="AN581" s="36"/>
      <c r="AO581" s="36"/>
      <c r="AP581" s="36"/>
      <c r="AQ581" s="36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  <c r="BK581" s="36"/>
      <c r="BL581" s="36"/>
      <c r="BM581" s="36"/>
      <c r="BN581" s="36"/>
      <c r="BO581" s="36"/>
      <c r="BP581" s="36"/>
      <c r="BQ581" s="36"/>
      <c r="BR581" s="36"/>
      <c r="BS581" s="36"/>
      <c r="BT581" s="36"/>
      <c r="BU581" s="36"/>
      <c r="BV581" s="36"/>
      <c r="BW581" s="36"/>
      <c r="BX581" s="36"/>
      <c r="BY581" s="36"/>
      <c r="BZ581" s="36"/>
      <c r="CA581" s="36"/>
      <c r="CB581" s="36"/>
      <c r="CC581" s="36"/>
      <c r="CD581" s="36"/>
      <c r="CE581" s="36"/>
      <c r="CF581" s="36"/>
      <c r="CG581" s="36"/>
      <c r="CH581" s="36"/>
      <c r="CI581" s="36"/>
      <c r="CJ581" s="36"/>
      <c r="CK581" s="36"/>
      <c r="CL581" s="36"/>
      <c r="CM581" s="36"/>
      <c r="CN581" s="36"/>
      <c r="CO581" s="36"/>
    </row>
    <row r="582">
      <c r="A582" s="36"/>
      <c r="B582" s="47"/>
      <c r="C582" s="50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  <c r="AL582" s="36"/>
      <c r="AM582" s="36"/>
      <c r="AN582" s="36"/>
      <c r="AO582" s="36"/>
      <c r="AP582" s="36"/>
      <c r="AQ582" s="36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  <c r="BK582" s="36"/>
      <c r="BL582" s="36"/>
      <c r="BM582" s="36"/>
      <c r="BN582" s="36"/>
      <c r="BO582" s="36"/>
      <c r="BP582" s="36"/>
      <c r="BQ582" s="36"/>
      <c r="BR582" s="36"/>
      <c r="BS582" s="36"/>
      <c r="BT582" s="36"/>
      <c r="BU582" s="36"/>
      <c r="BV582" s="36"/>
      <c r="BW582" s="36"/>
      <c r="BX582" s="36"/>
      <c r="BY582" s="36"/>
      <c r="BZ582" s="36"/>
      <c r="CA582" s="36"/>
      <c r="CB582" s="36"/>
      <c r="CC582" s="36"/>
      <c r="CD582" s="36"/>
      <c r="CE582" s="36"/>
      <c r="CF582" s="36"/>
      <c r="CG582" s="36"/>
      <c r="CH582" s="36"/>
      <c r="CI582" s="36"/>
      <c r="CJ582" s="36"/>
      <c r="CK582" s="36"/>
      <c r="CL582" s="36"/>
      <c r="CM582" s="36"/>
      <c r="CN582" s="36"/>
      <c r="CO582" s="36"/>
    </row>
    <row r="583">
      <c r="A583" s="36"/>
      <c r="B583" s="47"/>
      <c r="C583" s="50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  <c r="AL583" s="36"/>
      <c r="AM583" s="36"/>
      <c r="AN583" s="36"/>
      <c r="AO583" s="36"/>
      <c r="AP583" s="36"/>
      <c r="AQ583" s="36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  <c r="BK583" s="36"/>
      <c r="BL583" s="36"/>
      <c r="BM583" s="36"/>
      <c r="BN583" s="36"/>
      <c r="BO583" s="36"/>
      <c r="BP583" s="36"/>
      <c r="BQ583" s="36"/>
      <c r="BR583" s="36"/>
      <c r="BS583" s="36"/>
      <c r="BT583" s="36"/>
      <c r="BU583" s="36"/>
      <c r="BV583" s="36"/>
      <c r="BW583" s="36"/>
      <c r="BX583" s="36"/>
      <c r="BY583" s="36"/>
      <c r="BZ583" s="36"/>
      <c r="CA583" s="36"/>
      <c r="CB583" s="36"/>
      <c r="CC583" s="36"/>
      <c r="CD583" s="36"/>
      <c r="CE583" s="36"/>
      <c r="CF583" s="36"/>
      <c r="CG583" s="36"/>
      <c r="CH583" s="36"/>
      <c r="CI583" s="36"/>
      <c r="CJ583" s="36"/>
      <c r="CK583" s="36"/>
      <c r="CL583" s="36"/>
      <c r="CM583" s="36"/>
      <c r="CN583" s="36"/>
      <c r="CO583" s="36"/>
    </row>
    <row r="584">
      <c r="A584" s="36"/>
      <c r="B584" s="47"/>
      <c r="C584" s="50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  <c r="AL584" s="36"/>
      <c r="AM584" s="36"/>
      <c r="AN584" s="36"/>
      <c r="AO584" s="36"/>
      <c r="AP584" s="36"/>
      <c r="AQ584" s="36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  <c r="BK584" s="36"/>
      <c r="BL584" s="36"/>
      <c r="BM584" s="36"/>
      <c r="BN584" s="36"/>
      <c r="BO584" s="36"/>
      <c r="BP584" s="36"/>
      <c r="BQ584" s="36"/>
      <c r="BR584" s="36"/>
      <c r="BS584" s="36"/>
      <c r="BT584" s="36"/>
      <c r="BU584" s="36"/>
      <c r="BV584" s="36"/>
      <c r="BW584" s="36"/>
      <c r="BX584" s="36"/>
      <c r="BY584" s="36"/>
      <c r="BZ584" s="36"/>
      <c r="CA584" s="36"/>
      <c r="CB584" s="36"/>
      <c r="CC584" s="36"/>
      <c r="CD584" s="36"/>
      <c r="CE584" s="36"/>
      <c r="CF584" s="36"/>
      <c r="CG584" s="36"/>
      <c r="CH584" s="36"/>
      <c r="CI584" s="36"/>
      <c r="CJ584" s="36"/>
      <c r="CK584" s="36"/>
      <c r="CL584" s="36"/>
      <c r="CM584" s="36"/>
      <c r="CN584" s="36"/>
      <c r="CO584" s="36"/>
    </row>
    <row r="585">
      <c r="A585" s="36"/>
      <c r="B585" s="47"/>
      <c r="C585" s="50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  <c r="AL585" s="36"/>
      <c r="AM585" s="36"/>
      <c r="AN585" s="36"/>
      <c r="AO585" s="36"/>
      <c r="AP585" s="36"/>
      <c r="AQ585" s="36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  <c r="BK585" s="36"/>
      <c r="BL585" s="36"/>
      <c r="BM585" s="36"/>
      <c r="BN585" s="36"/>
      <c r="BO585" s="36"/>
      <c r="BP585" s="36"/>
      <c r="BQ585" s="36"/>
      <c r="BR585" s="36"/>
      <c r="BS585" s="36"/>
      <c r="BT585" s="36"/>
      <c r="BU585" s="36"/>
      <c r="BV585" s="36"/>
      <c r="BW585" s="36"/>
      <c r="BX585" s="36"/>
      <c r="BY585" s="36"/>
      <c r="BZ585" s="36"/>
      <c r="CA585" s="36"/>
      <c r="CB585" s="36"/>
      <c r="CC585" s="36"/>
      <c r="CD585" s="36"/>
      <c r="CE585" s="36"/>
      <c r="CF585" s="36"/>
      <c r="CG585" s="36"/>
      <c r="CH585" s="36"/>
      <c r="CI585" s="36"/>
      <c r="CJ585" s="36"/>
      <c r="CK585" s="36"/>
      <c r="CL585" s="36"/>
      <c r="CM585" s="36"/>
      <c r="CN585" s="36"/>
      <c r="CO585" s="36"/>
    </row>
    <row r="586">
      <c r="A586" s="36"/>
      <c r="B586" s="47"/>
      <c r="C586" s="50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  <c r="AL586" s="36"/>
      <c r="AM586" s="36"/>
      <c r="AN586" s="36"/>
      <c r="AO586" s="36"/>
      <c r="AP586" s="36"/>
      <c r="AQ586" s="36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  <c r="BK586" s="36"/>
      <c r="BL586" s="36"/>
      <c r="BM586" s="36"/>
      <c r="BN586" s="36"/>
      <c r="BO586" s="36"/>
      <c r="BP586" s="36"/>
      <c r="BQ586" s="36"/>
      <c r="BR586" s="36"/>
      <c r="BS586" s="36"/>
      <c r="BT586" s="36"/>
      <c r="BU586" s="36"/>
      <c r="BV586" s="36"/>
      <c r="BW586" s="36"/>
      <c r="BX586" s="36"/>
      <c r="BY586" s="36"/>
      <c r="BZ586" s="36"/>
      <c r="CA586" s="36"/>
      <c r="CB586" s="36"/>
      <c r="CC586" s="36"/>
      <c r="CD586" s="36"/>
      <c r="CE586" s="36"/>
      <c r="CF586" s="36"/>
      <c r="CG586" s="36"/>
      <c r="CH586" s="36"/>
      <c r="CI586" s="36"/>
      <c r="CJ586" s="36"/>
      <c r="CK586" s="36"/>
      <c r="CL586" s="36"/>
      <c r="CM586" s="36"/>
      <c r="CN586" s="36"/>
      <c r="CO586" s="36"/>
    </row>
    <row r="587">
      <c r="A587" s="36"/>
      <c r="B587" s="47"/>
      <c r="C587" s="50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  <c r="AL587" s="36"/>
      <c r="AM587" s="36"/>
      <c r="AN587" s="36"/>
      <c r="AO587" s="36"/>
      <c r="AP587" s="36"/>
      <c r="AQ587" s="36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  <c r="BK587" s="36"/>
      <c r="BL587" s="36"/>
      <c r="BM587" s="36"/>
      <c r="BN587" s="36"/>
      <c r="BO587" s="36"/>
      <c r="BP587" s="36"/>
      <c r="BQ587" s="36"/>
      <c r="BR587" s="36"/>
      <c r="BS587" s="36"/>
      <c r="BT587" s="36"/>
      <c r="BU587" s="36"/>
      <c r="BV587" s="36"/>
      <c r="BW587" s="36"/>
      <c r="BX587" s="36"/>
      <c r="BY587" s="36"/>
      <c r="BZ587" s="36"/>
      <c r="CA587" s="36"/>
      <c r="CB587" s="36"/>
      <c r="CC587" s="36"/>
      <c r="CD587" s="36"/>
      <c r="CE587" s="36"/>
      <c r="CF587" s="36"/>
      <c r="CG587" s="36"/>
      <c r="CH587" s="36"/>
      <c r="CI587" s="36"/>
      <c r="CJ587" s="36"/>
      <c r="CK587" s="36"/>
      <c r="CL587" s="36"/>
      <c r="CM587" s="36"/>
      <c r="CN587" s="36"/>
      <c r="CO587" s="36"/>
    </row>
    <row r="588">
      <c r="A588" s="36"/>
      <c r="B588" s="47"/>
      <c r="C588" s="50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  <c r="AL588" s="36"/>
      <c r="AM588" s="36"/>
      <c r="AN588" s="36"/>
      <c r="AO588" s="36"/>
      <c r="AP588" s="36"/>
      <c r="AQ588" s="36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  <c r="BK588" s="36"/>
      <c r="BL588" s="36"/>
      <c r="BM588" s="36"/>
      <c r="BN588" s="36"/>
      <c r="BO588" s="36"/>
      <c r="BP588" s="36"/>
      <c r="BQ588" s="36"/>
      <c r="BR588" s="36"/>
      <c r="BS588" s="36"/>
      <c r="BT588" s="36"/>
      <c r="BU588" s="36"/>
      <c r="BV588" s="36"/>
      <c r="BW588" s="36"/>
      <c r="BX588" s="36"/>
      <c r="BY588" s="36"/>
      <c r="BZ588" s="36"/>
      <c r="CA588" s="36"/>
      <c r="CB588" s="36"/>
      <c r="CC588" s="36"/>
      <c r="CD588" s="36"/>
      <c r="CE588" s="36"/>
      <c r="CF588" s="36"/>
      <c r="CG588" s="36"/>
      <c r="CH588" s="36"/>
      <c r="CI588" s="36"/>
      <c r="CJ588" s="36"/>
      <c r="CK588" s="36"/>
      <c r="CL588" s="36"/>
      <c r="CM588" s="36"/>
      <c r="CN588" s="36"/>
      <c r="CO588" s="36"/>
    </row>
    <row r="589">
      <c r="A589" s="36"/>
      <c r="B589" s="47"/>
      <c r="C589" s="50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  <c r="AL589" s="36"/>
      <c r="AM589" s="36"/>
      <c r="AN589" s="36"/>
      <c r="AO589" s="36"/>
      <c r="AP589" s="36"/>
      <c r="AQ589" s="36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  <c r="BK589" s="36"/>
      <c r="BL589" s="36"/>
      <c r="BM589" s="36"/>
      <c r="BN589" s="36"/>
      <c r="BO589" s="36"/>
      <c r="BP589" s="36"/>
      <c r="BQ589" s="36"/>
      <c r="BR589" s="36"/>
      <c r="BS589" s="36"/>
      <c r="BT589" s="36"/>
      <c r="BU589" s="36"/>
      <c r="BV589" s="36"/>
      <c r="BW589" s="36"/>
      <c r="BX589" s="36"/>
      <c r="BY589" s="36"/>
      <c r="BZ589" s="36"/>
      <c r="CA589" s="36"/>
      <c r="CB589" s="36"/>
      <c r="CC589" s="36"/>
      <c r="CD589" s="36"/>
      <c r="CE589" s="36"/>
      <c r="CF589" s="36"/>
      <c r="CG589" s="36"/>
      <c r="CH589" s="36"/>
      <c r="CI589" s="36"/>
      <c r="CJ589" s="36"/>
      <c r="CK589" s="36"/>
      <c r="CL589" s="36"/>
      <c r="CM589" s="36"/>
      <c r="CN589" s="36"/>
      <c r="CO589" s="36"/>
    </row>
    <row r="590">
      <c r="A590" s="36"/>
      <c r="B590" s="47"/>
      <c r="C590" s="50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  <c r="AL590" s="36"/>
      <c r="AM590" s="36"/>
      <c r="AN590" s="36"/>
      <c r="AO590" s="36"/>
      <c r="AP590" s="36"/>
      <c r="AQ590" s="36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  <c r="BK590" s="36"/>
      <c r="BL590" s="36"/>
      <c r="BM590" s="36"/>
      <c r="BN590" s="36"/>
      <c r="BO590" s="36"/>
      <c r="BP590" s="36"/>
      <c r="BQ590" s="36"/>
      <c r="BR590" s="36"/>
      <c r="BS590" s="36"/>
      <c r="BT590" s="36"/>
      <c r="BU590" s="36"/>
      <c r="BV590" s="36"/>
      <c r="BW590" s="36"/>
      <c r="BX590" s="36"/>
      <c r="BY590" s="36"/>
      <c r="BZ590" s="36"/>
      <c r="CA590" s="36"/>
      <c r="CB590" s="36"/>
      <c r="CC590" s="36"/>
      <c r="CD590" s="36"/>
      <c r="CE590" s="36"/>
      <c r="CF590" s="36"/>
      <c r="CG590" s="36"/>
      <c r="CH590" s="36"/>
      <c r="CI590" s="36"/>
      <c r="CJ590" s="36"/>
      <c r="CK590" s="36"/>
      <c r="CL590" s="36"/>
      <c r="CM590" s="36"/>
      <c r="CN590" s="36"/>
      <c r="CO590" s="36"/>
    </row>
    <row r="591">
      <c r="A591" s="36"/>
      <c r="B591" s="47"/>
      <c r="C591" s="50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  <c r="AL591" s="36"/>
      <c r="AM591" s="36"/>
      <c r="AN591" s="36"/>
      <c r="AO591" s="36"/>
      <c r="AP591" s="36"/>
      <c r="AQ591" s="36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  <c r="BK591" s="36"/>
      <c r="BL591" s="36"/>
      <c r="BM591" s="36"/>
      <c r="BN591" s="36"/>
      <c r="BO591" s="36"/>
      <c r="BP591" s="36"/>
      <c r="BQ591" s="36"/>
      <c r="BR591" s="36"/>
      <c r="BS591" s="36"/>
      <c r="BT591" s="36"/>
      <c r="BU591" s="36"/>
      <c r="BV591" s="36"/>
      <c r="BW591" s="36"/>
      <c r="BX591" s="36"/>
      <c r="BY591" s="36"/>
      <c r="BZ591" s="36"/>
      <c r="CA591" s="36"/>
      <c r="CB591" s="36"/>
      <c r="CC591" s="36"/>
      <c r="CD591" s="36"/>
      <c r="CE591" s="36"/>
      <c r="CF591" s="36"/>
      <c r="CG591" s="36"/>
      <c r="CH591" s="36"/>
      <c r="CI591" s="36"/>
      <c r="CJ591" s="36"/>
      <c r="CK591" s="36"/>
      <c r="CL591" s="36"/>
      <c r="CM591" s="36"/>
      <c r="CN591" s="36"/>
      <c r="CO591" s="36"/>
    </row>
    <row r="592">
      <c r="A592" s="36"/>
      <c r="B592" s="47"/>
      <c r="C592" s="50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  <c r="AL592" s="36"/>
      <c r="AM592" s="36"/>
      <c r="AN592" s="36"/>
      <c r="AO592" s="36"/>
      <c r="AP592" s="36"/>
      <c r="AQ592" s="36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  <c r="BK592" s="36"/>
      <c r="BL592" s="36"/>
      <c r="BM592" s="36"/>
      <c r="BN592" s="36"/>
      <c r="BO592" s="36"/>
      <c r="BP592" s="36"/>
      <c r="BQ592" s="36"/>
      <c r="BR592" s="36"/>
      <c r="BS592" s="36"/>
      <c r="BT592" s="36"/>
      <c r="BU592" s="36"/>
      <c r="BV592" s="36"/>
      <c r="BW592" s="36"/>
      <c r="BX592" s="36"/>
      <c r="BY592" s="36"/>
      <c r="BZ592" s="36"/>
      <c r="CA592" s="36"/>
      <c r="CB592" s="36"/>
      <c r="CC592" s="36"/>
      <c r="CD592" s="36"/>
      <c r="CE592" s="36"/>
      <c r="CF592" s="36"/>
      <c r="CG592" s="36"/>
      <c r="CH592" s="36"/>
      <c r="CI592" s="36"/>
      <c r="CJ592" s="36"/>
      <c r="CK592" s="36"/>
      <c r="CL592" s="36"/>
      <c r="CM592" s="36"/>
      <c r="CN592" s="36"/>
      <c r="CO592" s="36"/>
    </row>
    <row r="593">
      <c r="A593" s="36"/>
      <c r="B593" s="47"/>
      <c r="C593" s="50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  <c r="AL593" s="36"/>
      <c r="AM593" s="36"/>
      <c r="AN593" s="36"/>
      <c r="AO593" s="36"/>
      <c r="AP593" s="36"/>
      <c r="AQ593" s="36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  <c r="BK593" s="36"/>
      <c r="BL593" s="36"/>
      <c r="BM593" s="36"/>
      <c r="BN593" s="36"/>
      <c r="BO593" s="36"/>
      <c r="BP593" s="36"/>
      <c r="BQ593" s="36"/>
      <c r="BR593" s="36"/>
      <c r="BS593" s="36"/>
      <c r="BT593" s="36"/>
      <c r="BU593" s="36"/>
      <c r="BV593" s="36"/>
      <c r="BW593" s="36"/>
      <c r="BX593" s="36"/>
      <c r="BY593" s="36"/>
      <c r="BZ593" s="36"/>
      <c r="CA593" s="36"/>
      <c r="CB593" s="36"/>
      <c r="CC593" s="36"/>
      <c r="CD593" s="36"/>
      <c r="CE593" s="36"/>
      <c r="CF593" s="36"/>
      <c r="CG593" s="36"/>
      <c r="CH593" s="36"/>
      <c r="CI593" s="36"/>
      <c r="CJ593" s="36"/>
      <c r="CK593" s="36"/>
      <c r="CL593" s="36"/>
      <c r="CM593" s="36"/>
      <c r="CN593" s="36"/>
      <c r="CO593" s="36"/>
    </row>
    <row r="594">
      <c r="A594" s="36"/>
      <c r="B594" s="47"/>
      <c r="C594" s="50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  <c r="AL594" s="36"/>
      <c r="AM594" s="36"/>
      <c r="AN594" s="36"/>
      <c r="AO594" s="36"/>
      <c r="AP594" s="36"/>
      <c r="AQ594" s="36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  <c r="BK594" s="36"/>
      <c r="BL594" s="36"/>
      <c r="BM594" s="36"/>
      <c r="BN594" s="36"/>
      <c r="BO594" s="36"/>
      <c r="BP594" s="36"/>
      <c r="BQ594" s="36"/>
      <c r="BR594" s="36"/>
      <c r="BS594" s="36"/>
      <c r="BT594" s="36"/>
      <c r="BU594" s="36"/>
      <c r="BV594" s="36"/>
      <c r="BW594" s="36"/>
      <c r="BX594" s="36"/>
      <c r="BY594" s="36"/>
      <c r="BZ594" s="36"/>
      <c r="CA594" s="36"/>
      <c r="CB594" s="36"/>
      <c r="CC594" s="36"/>
      <c r="CD594" s="36"/>
      <c r="CE594" s="36"/>
      <c r="CF594" s="36"/>
      <c r="CG594" s="36"/>
      <c r="CH594" s="36"/>
      <c r="CI594" s="36"/>
      <c r="CJ594" s="36"/>
      <c r="CK594" s="36"/>
      <c r="CL594" s="36"/>
      <c r="CM594" s="36"/>
      <c r="CN594" s="36"/>
      <c r="CO594" s="36"/>
    </row>
    <row r="595">
      <c r="A595" s="36"/>
      <c r="B595" s="47"/>
      <c r="C595" s="50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  <c r="AL595" s="36"/>
      <c r="AM595" s="36"/>
      <c r="AN595" s="36"/>
      <c r="AO595" s="36"/>
      <c r="AP595" s="36"/>
      <c r="AQ595" s="36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  <c r="BK595" s="36"/>
      <c r="BL595" s="36"/>
      <c r="BM595" s="36"/>
      <c r="BN595" s="36"/>
      <c r="BO595" s="36"/>
      <c r="BP595" s="36"/>
      <c r="BQ595" s="36"/>
      <c r="BR595" s="36"/>
      <c r="BS595" s="36"/>
      <c r="BT595" s="36"/>
      <c r="BU595" s="36"/>
      <c r="BV595" s="36"/>
      <c r="BW595" s="36"/>
      <c r="BX595" s="36"/>
      <c r="BY595" s="36"/>
      <c r="BZ595" s="36"/>
      <c r="CA595" s="36"/>
      <c r="CB595" s="36"/>
      <c r="CC595" s="36"/>
      <c r="CD595" s="36"/>
      <c r="CE595" s="36"/>
      <c r="CF595" s="36"/>
      <c r="CG595" s="36"/>
      <c r="CH595" s="36"/>
      <c r="CI595" s="36"/>
      <c r="CJ595" s="36"/>
      <c r="CK595" s="36"/>
      <c r="CL595" s="36"/>
      <c r="CM595" s="36"/>
      <c r="CN595" s="36"/>
      <c r="CO595" s="36"/>
    </row>
    <row r="596">
      <c r="A596" s="36"/>
      <c r="B596" s="47"/>
      <c r="C596" s="50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  <c r="AL596" s="36"/>
      <c r="AM596" s="36"/>
      <c r="AN596" s="36"/>
      <c r="AO596" s="36"/>
      <c r="AP596" s="36"/>
      <c r="AQ596" s="36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  <c r="BK596" s="36"/>
      <c r="BL596" s="36"/>
      <c r="BM596" s="36"/>
      <c r="BN596" s="36"/>
      <c r="BO596" s="36"/>
      <c r="BP596" s="36"/>
      <c r="BQ596" s="36"/>
      <c r="BR596" s="36"/>
      <c r="BS596" s="36"/>
      <c r="BT596" s="36"/>
      <c r="BU596" s="36"/>
      <c r="BV596" s="36"/>
      <c r="BW596" s="36"/>
      <c r="BX596" s="36"/>
      <c r="BY596" s="36"/>
      <c r="BZ596" s="36"/>
      <c r="CA596" s="36"/>
      <c r="CB596" s="36"/>
      <c r="CC596" s="36"/>
      <c r="CD596" s="36"/>
      <c r="CE596" s="36"/>
      <c r="CF596" s="36"/>
      <c r="CG596" s="36"/>
      <c r="CH596" s="36"/>
      <c r="CI596" s="36"/>
      <c r="CJ596" s="36"/>
      <c r="CK596" s="36"/>
      <c r="CL596" s="36"/>
      <c r="CM596" s="36"/>
      <c r="CN596" s="36"/>
      <c r="CO596" s="36"/>
    </row>
    <row r="597">
      <c r="A597" s="36"/>
      <c r="B597" s="47"/>
      <c r="C597" s="50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  <c r="BK597" s="36"/>
      <c r="BL597" s="36"/>
      <c r="BM597" s="36"/>
      <c r="BN597" s="36"/>
      <c r="BO597" s="36"/>
      <c r="BP597" s="36"/>
      <c r="BQ597" s="36"/>
      <c r="BR597" s="36"/>
      <c r="BS597" s="36"/>
      <c r="BT597" s="36"/>
      <c r="BU597" s="36"/>
      <c r="BV597" s="36"/>
      <c r="BW597" s="36"/>
      <c r="BX597" s="36"/>
      <c r="BY597" s="36"/>
      <c r="BZ597" s="36"/>
      <c r="CA597" s="36"/>
      <c r="CB597" s="36"/>
      <c r="CC597" s="36"/>
      <c r="CD597" s="36"/>
      <c r="CE597" s="36"/>
      <c r="CF597" s="36"/>
      <c r="CG597" s="36"/>
      <c r="CH597" s="36"/>
      <c r="CI597" s="36"/>
      <c r="CJ597" s="36"/>
      <c r="CK597" s="36"/>
      <c r="CL597" s="36"/>
      <c r="CM597" s="36"/>
      <c r="CN597" s="36"/>
      <c r="CO597" s="36"/>
    </row>
    <row r="598">
      <c r="A598" s="36"/>
      <c r="B598" s="47"/>
      <c r="C598" s="50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  <c r="BK598" s="36"/>
      <c r="BL598" s="36"/>
      <c r="BM598" s="36"/>
      <c r="BN598" s="36"/>
      <c r="BO598" s="36"/>
      <c r="BP598" s="36"/>
      <c r="BQ598" s="36"/>
      <c r="BR598" s="36"/>
      <c r="BS598" s="36"/>
      <c r="BT598" s="36"/>
      <c r="BU598" s="36"/>
      <c r="BV598" s="36"/>
      <c r="BW598" s="36"/>
      <c r="BX598" s="36"/>
      <c r="BY598" s="36"/>
      <c r="BZ598" s="36"/>
      <c r="CA598" s="36"/>
      <c r="CB598" s="36"/>
      <c r="CC598" s="36"/>
      <c r="CD598" s="36"/>
      <c r="CE598" s="36"/>
      <c r="CF598" s="36"/>
      <c r="CG598" s="36"/>
      <c r="CH598" s="36"/>
      <c r="CI598" s="36"/>
      <c r="CJ598" s="36"/>
      <c r="CK598" s="36"/>
      <c r="CL598" s="36"/>
      <c r="CM598" s="36"/>
      <c r="CN598" s="36"/>
      <c r="CO598" s="36"/>
    </row>
    <row r="599">
      <c r="A599" s="36"/>
      <c r="B599" s="47"/>
      <c r="C599" s="50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  <c r="BK599" s="36"/>
      <c r="BL599" s="36"/>
      <c r="BM599" s="36"/>
      <c r="BN599" s="36"/>
      <c r="BO599" s="36"/>
      <c r="BP599" s="36"/>
      <c r="BQ599" s="36"/>
      <c r="BR599" s="36"/>
      <c r="BS599" s="36"/>
      <c r="BT599" s="36"/>
      <c r="BU599" s="36"/>
      <c r="BV599" s="36"/>
      <c r="BW599" s="36"/>
      <c r="BX599" s="36"/>
      <c r="BY599" s="36"/>
      <c r="BZ599" s="36"/>
      <c r="CA599" s="36"/>
      <c r="CB599" s="36"/>
      <c r="CC599" s="36"/>
      <c r="CD599" s="36"/>
      <c r="CE599" s="36"/>
      <c r="CF599" s="36"/>
      <c r="CG599" s="36"/>
      <c r="CH599" s="36"/>
      <c r="CI599" s="36"/>
      <c r="CJ599" s="36"/>
      <c r="CK599" s="36"/>
      <c r="CL599" s="36"/>
      <c r="CM599" s="36"/>
      <c r="CN599" s="36"/>
      <c r="CO599" s="36"/>
    </row>
    <row r="600">
      <c r="A600" s="36"/>
      <c r="B600" s="47"/>
      <c r="C600" s="50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  <c r="BK600" s="36"/>
      <c r="BL600" s="36"/>
      <c r="BM600" s="36"/>
      <c r="BN600" s="36"/>
      <c r="BO600" s="36"/>
      <c r="BP600" s="36"/>
      <c r="BQ600" s="36"/>
      <c r="BR600" s="36"/>
      <c r="BS600" s="36"/>
      <c r="BT600" s="36"/>
      <c r="BU600" s="36"/>
      <c r="BV600" s="36"/>
      <c r="BW600" s="36"/>
      <c r="BX600" s="36"/>
      <c r="BY600" s="36"/>
      <c r="BZ600" s="36"/>
      <c r="CA600" s="36"/>
      <c r="CB600" s="36"/>
      <c r="CC600" s="36"/>
      <c r="CD600" s="36"/>
      <c r="CE600" s="36"/>
      <c r="CF600" s="36"/>
      <c r="CG600" s="36"/>
      <c r="CH600" s="36"/>
      <c r="CI600" s="36"/>
      <c r="CJ600" s="36"/>
      <c r="CK600" s="36"/>
      <c r="CL600" s="36"/>
      <c r="CM600" s="36"/>
      <c r="CN600" s="36"/>
      <c r="CO600" s="36"/>
    </row>
    <row r="601">
      <c r="A601" s="36"/>
      <c r="B601" s="47"/>
      <c r="C601" s="50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  <c r="BK601" s="36"/>
      <c r="BL601" s="36"/>
      <c r="BM601" s="36"/>
      <c r="BN601" s="36"/>
      <c r="BO601" s="36"/>
      <c r="BP601" s="36"/>
      <c r="BQ601" s="36"/>
      <c r="BR601" s="36"/>
      <c r="BS601" s="36"/>
      <c r="BT601" s="36"/>
      <c r="BU601" s="36"/>
      <c r="BV601" s="36"/>
      <c r="BW601" s="36"/>
      <c r="BX601" s="36"/>
      <c r="BY601" s="36"/>
      <c r="BZ601" s="36"/>
      <c r="CA601" s="36"/>
      <c r="CB601" s="36"/>
      <c r="CC601" s="36"/>
      <c r="CD601" s="36"/>
      <c r="CE601" s="36"/>
      <c r="CF601" s="36"/>
      <c r="CG601" s="36"/>
      <c r="CH601" s="36"/>
      <c r="CI601" s="36"/>
      <c r="CJ601" s="36"/>
      <c r="CK601" s="36"/>
      <c r="CL601" s="36"/>
      <c r="CM601" s="36"/>
      <c r="CN601" s="36"/>
      <c r="CO601" s="36"/>
    </row>
    <row r="602">
      <c r="A602" s="36"/>
      <c r="B602" s="47"/>
      <c r="C602" s="50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  <c r="BK602" s="36"/>
      <c r="BL602" s="36"/>
      <c r="BM602" s="36"/>
      <c r="BN602" s="36"/>
      <c r="BO602" s="36"/>
      <c r="BP602" s="36"/>
      <c r="BQ602" s="36"/>
      <c r="BR602" s="36"/>
      <c r="BS602" s="36"/>
      <c r="BT602" s="36"/>
      <c r="BU602" s="36"/>
      <c r="BV602" s="36"/>
      <c r="BW602" s="36"/>
      <c r="BX602" s="36"/>
      <c r="BY602" s="36"/>
      <c r="BZ602" s="36"/>
      <c r="CA602" s="36"/>
      <c r="CB602" s="36"/>
      <c r="CC602" s="36"/>
      <c r="CD602" s="36"/>
      <c r="CE602" s="36"/>
      <c r="CF602" s="36"/>
      <c r="CG602" s="36"/>
      <c r="CH602" s="36"/>
      <c r="CI602" s="36"/>
      <c r="CJ602" s="36"/>
      <c r="CK602" s="36"/>
      <c r="CL602" s="36"/>
      <c r="CM602" s="36"/>
      <c r="CN602" s="36"/>
      <c r="CO602" s="36"/>
    </row>
    <row r="603">
      <c r="A603" s="36"/>
      <c r="B603" s="47"/>
      <c r="C603" s="50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  <c r="BK603" s="36"/>
      <c r="BL603" s="36"/>
      <c r="BM603" s="36"/>
      <c r="BN603" s="36"/>
      <c r="BO603" s="36"/>
      <c r="BP603" s="36"/>
      <c r="BQ603" s="36"/>
      <c r="BR603" s="36"/>
      <c r="BS603" s="36"/>
      <c r="BT603" s="36"/>
      <c r="BU603" s="36"/>
      <c r="BV603" s="36"/>
      <c r="BW603" s="36"/>
      <c r="BX603" s="36"/>
      <c r="BY603" s="36"/>
      <c r="BZ603" s="36"/>
      <c r="CA603" s="36"/>
      <c r="CB603" s="36"/>
      <c r="CC603" s="36"/>
      <c r="CD603" s="36"/>
      <c r="CE603" s="36"/>
      <c r="CF603" s="36"/>
      <c r="CG603" s="36"/>
      <c r="CH603" s="36"/>
      <c r="CI603" s="36"/>
      <c r="CJ603" s="36"/>
      <c r="CK603" s="36"/>
      <c r="CL603" s="36"/>
      <c r="CM603" s="36"/>
      <c r="CN603" s="36"/>
      <c r="CO603" s="36"/>
    </row>
    <row r="604">
      <c r="A604" s="36"/>
      <c r="B604" s="47"/>
      <c r="C604" s="50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  <c r="BK604" s="36"/>
      <c r="BL604" s="36"/>
      <c r="BM604" s="36"/>
      <c r="BN604" s="36"/>
      <c r="BO604" s="36"/>
      <c r="BP604" s="36"/>
      <c r="BQ604" s="36"/>
      <c r="BR604" s="36"/>
      <c r="BS604" s="36"/>
      <c r="BT604" s="36"/>
      <c r="BU604" s="36"/>
      <c r="BV604" s="36"/>
      <c r="BW604" s="36"/>
      <c r="BX604" s="36"/>
      <c r="BY604" s="36"/>
      <c r="BZ604" s="36"/>
      <c r="CA604" s="36"/>
      <c r="CB604" s="36"/>
      <c r="CC604" s="36"/>
      <c r="CD604" s="36"/>
      <c r="CE604" s="36"/>
      <c r="CF604" s="36"/>
      <c r="CG604" s="36"/>
      <c r="CH604" s="36"/>
      <c r="CI604" s="36"/>
      <c r="CJ604" s="36"/>
      <c r="CK604" s="36"/>
      <c r="CL604" s="36"/>
      <c r="CM604" s="36"/>
      <c r="CN604" s="36"/>
      <c r="CO604" s="36"/>
    </row>
    <row r="605">
      <c r="A605" s="36"/>
      <c r="B605" s="47"/>
      <c r="C605" s="50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  <c r="BK605" s="36"/>
      <c r="BL605" s="36"/>
      <c r="BM605" s="36"/>
      <c r="BN605" s="36"/>
      <c r="BO605" s="36"/>
      <c r="BP605" s="36"/>
      <c r="BQ605" s="36"/>
      <c r="BR605" s="36"/>
      <c r="BS605" s="36"/>
      <c r="BT605" s="36"/>
      <c r="BU605" s="36"/>
      <c r="BV605" s="36"/>
      <c r="BW605" s="36"/>
      <c r="BX605" s="36"/>
      <c r="BY605" s="36"/>
      <c r="BZ605" s="36"/>
      <c r="CA605" s="36"/>
      <c r="CB605" s="36"/>
      <c r="CC605" s="36"/>
      <c r="CD605" s="36"/>
      <c r="CE605" s="36"/>
      <c r="CF605" s="36"/>
      <c r="CG605" s="36"/>
      <c r="CH605" s="36"/>
      <c r="CI605" s="36"/>
      <c r="CJ605" s="36"/>
      <c r="CK605" s="36"/>
      <c r="CL605" s="36"/>
      <c r="CM605" s="36"/>
      <c r="CN605" s="36"/>
      <c r="CO605" s="36"/>
    </row>
    <row r="606">
      <c r="A606" s="36"/>
      <c r="B606" s="47"/>
      <c r="C606" s="50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  <c r="BK606" s="36"/>
      <c r="BL606" s="36"/>
      <c r="BM606" s="36"/>
      <c r="BN606" s="36"/>
      <c r="BO606" s="36"/>
      <c r="BP606" s="36"/>
      <c r="BQ606" s="36"/>
      <c r="BR606" s="36"/>
      <c r="BS606" s="36"/>
      <c r="BT606" s="36"/>
      <c r="BU606" s="36"/>
      <c r="BV606" s="36"/>
      <c r="BW606" s="36"/>
      <c r="BX606" s="36"/>
      <c r="BY606" s="36"/>
      <c r="BZ606" s="36"/>
      <c r="CA606" s="36"/>
      <c r="CB606" s="36"/>
      <c r="CC606" s="36"/>
      <c r="CD606" s="36"/>
      <c r="CE606" s="36"/>
      <c r="CF606" s="36"/>
      <c r="CG606" s="36"/>
      <c r="CH606" s="36"/>
      <c r="CI606" s="36"/>
      <c r="CJ606" s="36"/>
      <c r="CK606" s="36"/>
      <c r="CL606" s="36"/>
      <c r="CM606" s="36"/>
      <c r="CN606" s="36"/>
      <c r="CO606" s="36"/>
    </row>
    <row r="607">
      <c r="A607" s="36"/>
      <c r="B607" s="47"/>
      <c r="C607" s="50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  <c r="BK607" s="36"/>
      <c r="BL607" s="36"/>
      <c r="BM607" s="36"/>
      <c r="BN607" s="36"/>
      <c r="BO607" s="36"/>
      <c r="BP607" s="36"/>
      <c r="BQ607" s="36"/>
      <c r="BR607" s="36"/>
      <c r="BS607" s="36"/>
      <c r="BT607" s="36"/>
      <c r="BU607" s="36"/>
      <c r="BV607" s="36"/>
      <c r="BW607" s="36"/>
      <c r="BX607" s="36"/>
      <c r="BY607" s="36"/>
      <c r="BZ607" s="36"/>
      <c r="CA607" s="36"/>
      <c r="CB607" s="36"/>
      <c r="CC607" s="36"/>
      <c r="CD607" s="36"/>
      <c r="CE607" s="36"/>
      <c r="CF607" s="36"/>
      <c r="CG607" s="36"/>
      <c r="CH607" s="36"/>
      <c r="CI607" s="36"/>
      <c r="CJ607" s="36"/>
      <c r="CK607" s="36"/>
      <c r="CL607" s="36"/>
      <c r="CM607" s="36"/>
      <c r="CN607" s="36"/>
      <c r="CO607" s="36"/>
    </row>
    <row r="608">
      <c r="A608" s="36"/>
      <c r="B608" s="47"/>
      <c r="C608" s="50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  <c r="BK608" s="36"/>
      <c r="BL608" s="36"/>
      <c r="BM608" s="36"/>
      <c r="BN608" s="36"/>
      <c r="BO608" s="36"/>
      <c r="BP608" s="36"/>
      <c r="BQ608" s="36"/>
      <c r="BR608" s="36"/>
      <c r="BS608" s="36"/>
      <c r="BT608" s="36"/>
      <c r="BU608" s="36"/>
      <c r="BV608" s="36"/>
      <c r="BW608" s="36"/>
      <c r="BX608" s="36"/>
      <c r="BY608" s="36"/>
      <c r="BZ608" s="36"/>
      <c r="CA608" s="36"/>
      <c r="CB608" s="36"/>
      <c r="CC608" s="36"/>
      <c r="CD608" s="36"/>
      <c r="CE608" s="36"/>
      <c r="CF608" s="36"/>
      <c r="CG608" s="36"/>
      <c r="CH608" s="36"/>
      <c r="CI608" s="36"/>
      <c r="CJ608" s="36"/>
      <c r="CK608" s="36"/>
      <c r="CL608" s="36"/>
      <c r="CM608" s="36"/>
      <c r="CN608" s="36"/>
      <c r="CO608" s="36"/>
    </row>
    <row r="609">
      <c r="A609" s="36"/>
      <c r="B609" s="47"/>
      <c r="C609" s="50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  <c r="BK609" s="36"/>
      <c r="BL609" s="36"/>
      <c r="BM609" s="36"/>
      <c r="BN609" s="36"/>
      <c r="BO609" s="36"/>
      <c r="BP609" s="36"/>
      <c r="BQ609" s="36"/>
      <c r="BR609" s="36"/>
      <c r="BS609" s="36"/>
      <c r="BT609" s="36"/>
      <c r="BU609" s="36"/>
      <c r="BV609" s="36"/>
      <c r="BW609" s="36"/>
      <c r="BX609" s="36"/>
      <c r="BY609" s="36"/>
      <c r="BZ609" s="36"/>
      <c r="CA609" s="36"/>
      <c r="CB609" s="36"/>
      <c r="CC609" s="36"/>
      <c r="CD609" s="36"/>
      <c r="CE609" s="36"/>
      <c r="CF609" s="36"/>
      <c r="CG609" s="36"/>
      <c r="CH609" s="36"/>
      <c r="CI609" s="36"/>
      <c r="CJ609" s="36"/>
      <c r="CK609" s="36"/>
      <c r="CL609" s="36"/>
      <c r="CM609" s="36"/>
      <c r="CN609" s="36"/>
      <c r="CO609" s="36"/>
    </row>
    <row r="610">
      <c r="A610" s="36"/>
      <c r="B610" s="47"/>
      <c r="C610" s="50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  <c r="BK610" s="36"/>
      <c r="BL610" s="36"/>
      <c r="BM610" s="36"/>
      <c r="BN610" s="36"/>
      <c r="BO610" s="36"/>
      <c r="BP610" s="36"/>
      <c r="BQ610" s="36"/>
      <c r="BR610" s="36"/>
      <c r="BS610" s="36"/>
      <c r="BT610" s="36"/>
      <c r="BU610" s="36"/>
      <c r="BV610" s="36"/>
      <c r="BW610" s="36"/>
      <c r="BX610" s="36"/>
      <c r="BY610" s="36"/>
      <c r="BZ610" s="36"/>
      <c r="CA610" s="36"/>
      <c r="CB610" s="36"/>
      <c r="CC610" s="36"/>
      <c r="CD610" s="36"/>
      <c r="CE610" s="36"/>
      <c r="CF610" s="36"/>
      <c r="CG610" s="36"/>
      <c r="CH610" s="36"/>
      <c r="CI610" s="36"/>
      <c r="CJ610" s="36"/>
      <c r="CK610" s="36"/>
      <c r="CL610" s="36"/>
      <c r="CM610" s="36"/>
      <c r="CN610" s="36"/>
      <c r="CO610" s="36"/>
    </row>
    <row r="611">
      <c r="A611" s="36"/>
      <c r="B611" s="47"/>
      <c r="C611" s="50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  <c r="BK611" s="36"/>
      <c r="BL611" s="36"/>
      <c r="BM611" s="36"/>
      <c r="BN611" s="36"/>
      <c r="BO611" s="36"/>
      <c r="BP611" s="36"/>
      <c r="BQ611" s="36"/>
      <c r="BR611" s="36"/>
      <c r="BS611" s="36"/>
      <c r="BT611" s="36"/>
      <c r="BU611" s="36"/>
      <c r="BV611" s="36"/>
      <c r="BW611" s="36"/>
      <c r="BX611" s="36"/>
      <c r="BY611" s="36"/>
      <c r="BZ611" s="36"/>
      <c r="CA611" s="36"/>
      <c r="CB611" s="36"/>
      <c r="CC611" s="36"/>
      <c r="CD611" s="36"/>
      <c r="CE611" s="36"/>
      <c r="CF611" s="36"/>
      <c r="CG611" s="36"/>
      <c r="CH611" s="36"/>
      <c r="CI611" s="36"/>
      <c r="CJ611" s="36"/>
      <c r="CK611" s="36"/>
      <c r="CL611" s="36"/>
      <c r="CM611" s="36"/>
      <c r="CN611" s="36"/>
      <c r="CO611" s="36"/>
    </row>
    <row r="612">
      <c r="A612" s="36"/>
      <c r="B612" s="47"/>
      <c r="C612" s="50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  <c r="BK612" s="36"/>
      <c r="BL612" s="36"/>
      <c r="BM612" s="36"/>
      <c r="BN612" s="36"/>
      <c r="BO612" s="36"/>
      <c r="BP612" s="36"/>
      <c r="BQ612" s="36"/>
      <c r="BR612" s="36"/>
      <c r="BS612" s="36"/>
      <c r="BT612" s="36"/>
      <c r="BU612" s="36"/>
      <c r="BV612" s="36"/>
      <c r="BW612" s="36"/>
      <c r="BX612" s="36"/>
      <c r="BY612" s="36"/>
      <c r="BZ612" s="36"/>
      <c r="CA612" s="36"/>
      <c r="CB612" s="36"/>
      <c r="CC612" s="36"/>
      <c r="CD612" s="36"/>
      <c r="CE612" s="36"/>
      <c r="CF612" s="36"/>
      <c r="CG612" s="36"/>
      <c r="CH612" s="36"/>
      <c r="CI612" s="36"/>
      <c r="CJ612" s="36"/>
      <c r="CK612" s="36"/>
      <c r="CL612" s="36"/>
      <c r="CM612" s="36"/>
      <c r="CN612" s="36"/>
      <c r="CO612" s="36"/>
    </row>
    <row r="613">
      <c r="A613" s="36"/>
      <c r="B613" s="47"/>
      <c r="C613" s="50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  <c r="BK613" s="36"/>
      <c r="BL613" s="36"/>
      <c r="BM613" s="36"/>
      <c r="BN613" s="36"/>
      <c r="BO613" s="36"/>
      <c r="BP613" s="36"/>
      <c r="BQ613" s="36"/>
      <c r="BR613" s="36"/>
      <c r="BS613" s="36"/>
      <c r="BT613" s="36"/>
      <c r="BU613" s="36"/>
      <c r="BV613" s="36"/>
      <c r="BW613" s="36"/>
      <c r="BX613" s="36"/>
      <c r="BY613" s="36"/>
      <c r="BZ613" s="36"/>
      <c r="CA613" s="36"/>
      <c r="CB613" s="36"/>
      <c r="CC613" s="36"/>
      <c r="CD613" s="36"/>
      <c r="CE613" s="36"/>
      <c r="CF613" s="36"/>
      <c r="CG613" s="36"/>
      <c r="CH613" s="36"/>
      <c r="CI613" s="36"/>
      <c r="CJ613" s="36"/>
      <c r="CK613" s="36"/>
      <c r="CL613" s="36"/>
      <c r="CM613" s="36"/>
      <c r="CN613" s="36"/>
      <c r="CO613" s="36"/>
    </row>
    <row r="614">
      <c r="A614" s="36"/>
      <c r="B614" s="47"/>
      <c r="C614" s="50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  <c r="BK614" s="36"/>
      <c r="BL614" s="36"/>
      <c r="BM614" s="36"/>
      <c r="BN614" s="36"/>
      <c r="BO614" s="36"/>
      <c r="BP614" s="36"/>
      <c r="BQ614" s="36"/>
      <c r="BR614" s="36"/>
      <c r="BS614" s="36"/>
      <c r="BT614" s="36"/>
      <c r="BU614" s="36"/>
      <c r="BV614" s="36"/>
      <c r="BW614" s="36"/>
      <c r="BX614" s="36"/>
      <c r="BY614" s="36"/>
      <c r="BZ614" s="36"/>
      <c r="CA614" s="36"/>
      <c r="CB614" s="36"/>
      <c r="CC614" s="36"/>
      <c r="CD614" s="36"/>
      <c r="CE614" s="36"/>
      <c r="CF614" s="36"/>
      <c r="CG614" s="36"/>
      <c r="CH614" s="36"/>
      <c r="CI614" s="36"/>
      <c r="CJ614" s="36"/>
      <c r="CK614" s="36"/>
      <c r="CL614" s="36"/>
      <c r="CM614" s="36"/>
      <c r="CN614" s="36"/>
      <c r="CO614" s="36"/>
    </row>
    <row r="615">
      <c r="A615" s="36"/>
      <c r="B615" s="47"/>
      <c r="C615" s="50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  <c r="BK615" s="36"/>
      <c r="BL615" s="36"/>
      <c r="BM615" s="36"/>
      <c r="BN615" s="36"/>
      <c r="BO615" s="36"/>
      <c r="BP615" s="36"/>
      <c r="BQ615" s="36"/>
      <c r="BR615" s="36"/>
      <c r="BS615" s="36"/>
      <c r="BT615" s="36"/>
      <c r="BU615" s="36"/>
      <c r="BV615" s="36"/>
      <c r="BW615" s="36"/>
      <c r="BX615" s="36"/>
      <c r="BY615" s="36"/>
      <c r="BZ615" s="36"/>
      <c r="CA615" s="36"/>
      <c r="CB615" s="36"/>
      <c r="CC615" s="36"/>
      <c r="CD615" s="36"/>
      <c r="CE615" s="36"/>
      <c r="CF615" s="36"/>
      <c r="CG615" s="36"/>
      <c r="CH615" s="36"/>
      <c r="CI615" s="36"/>
      <c r="CJ615" s="36"/>
      <c r="CK615" s="36"/>
      <c r="CL615" s="36"/>
      <c r="CM615" s="36"/>
      <c r="CN615" s="36"/>
      <c r="CO615" s="36"/>
    </row>
    <row r="616">
      <c r="A616" s="36"/>
      <c r="B616" s="47"/>
      <c r="C616" s="50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  <c r="BK616" s="36"/>
      <c r="BL616" s="36"/>
      <c r="BM616" s="36"/>
      <c r="BN616" s="36"/>
      <c r="BO616" s="36"/>
      <c r="BP616" s="36"/>
      <c r="BQ616" s="36"/>
      <c r="BR616" s="36"/>
      <c r="BS616" s="36"/>
      <c r="BT616" s="36"/>
      <c r="BU616" s="36"/>
      <c r="BV616" s="36"/>
      <c r="BW616" s="36"/>
      <c r="BX616" s="36"/>
      <c r="BY616" s="36"/>
      <c r="BZ616" s="36"/>
      <c r="CA616" s="36"/>
      <c r="CB616" s="36"/>
      <c r="CC616" s="36"/>
      <c r="CD616" s="36"/>
      <c r="CE616" s="36"/>
      <c r="CF616" s="36"/>
      <c r="CG616" s="36"/>
      <c r="CH616" s="36"/>
      <c r="CI616" s="36"/>
      <c r="CJ616" s="36"/>
      <c r="CK616" s="36"/>
      <c r="CL616" s="36"/>
      <c r="CM616" s="36"/>
      <c r="CN616" s="36"/>
      <c r="CO616" s="36"/>
    </row>
    <row r="617">
      <c r="A617" s="36"/>
      <c r="B617" s="47"/>
      <c r="C617" s="50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  <c r="BK617" s="36"/>
      <c r="BL617" s="36"/>
      <c r="BM617" s="36"/>
      <c r="BN617" s="36"/>
      <c r="BO617" s="36"/>
      <c r="BP617" s="36"/>
      <c r="BQ617" s="36"/>
      <c r="BR617" s="36"/>
      <c r="BS617" s="36"/>
      <c r="BT617" s="36"/>
      <c r="BU617" s="36"/>
      <c r="BV617" s="36"/>
      <c r="BW617" s="36"/>
      <c r="BX617" s="36"/>
      <c r="BY617" s="36"/>
      <c r="BZ617" s="36"/>
      <c r="CA617" s="36"/>
      <c r="CB617" s="36"/>
      <c r="CC617" s="36"/>
      <c r="CD617" s="36"/>
      <c r="CE617" s="36"/>
      <c r="CF617" s="36"/>
      <c r="CG617" s="36"/>
      <c r="CH617" s="36"/>
      <c r="CI617" s="36"/>
      <c r="CJ617" s="36"/>
      <c r="CK617" s="36"/>
      <c r="CL617" s="36"/>
      <c r="CM617" s="36"/>
      <c r="CN617" s="36"/>
      <c r="CO617" s="36"/>
    </row>
    <row r="618">
      <c r="A618" s="36"/>
      <c r="B618" s="47"/>
      <c r="C618" s="50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  <c r="BK618" s="36"/>
      <c r="BL618" s="36"/>
      <c r="BM618" s="36"/>
      <c r="BN618" s="36"/>
      <c r="BO618" s="36"/>
      <c r="BP618" s="36"/>
      <c r="BQ618" s="36"/>
      <c r="BR618" s="36"/>
      <c r="BS618" s="36"/>
      <c r="BT618" s="36"/>
      <c r="BU618" s="36"/>
      <c r="BV618" s="36"/>
      <c r="BW618" s="36"/>
      <c r="BX618" s="36"/>
      <c r="BY618" s="36"/>
      <c r="BZ618" s="36"/>
      <c r="CA618" s="36"/>
      <c r="CB618" s="36"/>
      <c r="CC618" s="36"/>
      <c r="CD618" s="36"/>
      <c r="CE618" s="36"/>
      <c r="CF618" s="36"/>
      <c r="CG618" s="36"/>
      <c r="CH618" s="36"/>
      <c r="CI618" s="36"/>
      <c r="CJ618" s="36"/>
      <c r="CK618" s="36"/>
      <c r="CL618" s="36"/>
      <c r="CM618" s="36"/>
      <c r="CN618" s="36"/>
      <c r="CO618" s="36"/>
    </row>
    <row r="619">
      <c r="A619" s="36"/>
      <c r="B619" s="47"/>
      <c r="C619" s="50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  <c r="BK619" s="36"/>
      <c r="BL619" s="36"/>
      <c r="BM619" s="36"/>
      <c r="BN619" s="36"/>
      <c r="BO619" s="36"/>
      <c r="BP619" s="36"/>
      <c r="BQ619" s="36"/>
      <c r="BR619" s="36"/>
      <c r="BS619" s="36"/>
      <c r="BT619" s="36"/>
      <c r="BU619" s="36"/>
      <c r="BV619" s="36"/>
      <c r="BW619" s="36"/>
      <c r="BX619" s="36"/>
      <c r="BY619" s="36"/>
      <c r="BZ619" s="36"/>
      <c r="CA619" s="36"/>
      <c r="CB619" s="36"/>
      <c r="CC619" s="36"/>
      <c r="CD619" s="36"/>
      <c r="CE619" s="36"/>
      <c r="CF619" s="36"/>
      <c r="CG619" s="36"/>
      <c r="CH619" s="36"/>
      <c r="CI619" s="36"/>
      <c r="CJ619" s="36"/>
      <c r="CK619" s="36"/>
      <c r="CL619" s="36"/>
      <c r="CM619" s="36"/>
      <c r="CN619" s="36"/>
      <c r="CO619" s="36"/>
    </row>
    <row r="620">
      <c r="A620" s="36"/>
      <c r="B620" s="47"/>
      <c r="C620" s="50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  <c r="BK620" s="36"/>
      <c r="BL620" s="36"/>
      <c r="BM620" s="36"/>
      <c r="BN620" s="36"/>
      <c r="BO620" s="36"/>
      <c r="BP620" s="36"/>
      <c r="BQ620" s="36"/>
      <c r="BR620" s="36"/>
      <c r="BS620" s="36"/>
      <c r="BT620" s="36"/>
      <c r="BU620" s="36"/>
      <c r="BV620" s="36"/>
      <c r="BW620" s="36"/>
      <c r="BX620" s="36"/>
      <c r="BY620" s="36"/>
      <c r="BZ620" s="36"/>
      <c r="CA620" s="36"/>
      <c r="CB620" s="36"/>
      <c r="CC620" s="36"/>
      <c r="CD620" s="36"/>
      <c r="CE620" s="36"/>
      <c r="CF620" s="36"/>
      <c r="CG620" s="36"/>
      <c r="CH620" s="36"/>
      <c r="CI620" s="36"/>
      <c r="CJ620" s="36"/>
      <c r="CK620" s="36"/>
      <c r="CL620" s="36"/>
      <c r="CM620" s="36"/>
      <c r="CN620" s="36"/>
      <c r="CO620" s="36"/>
    </row>
    <row r="621">
      <c r="A621" s="36"/>
      <c r="B621" s="47"/>
      <c r="C621" s="50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  <c r="BK621" s="36"/>
      <c r="BL621" s="36"/>
      <c r="BM621" s="36"/>
      <c r="BN621" s="36"/>
      <c r="BO621" s="36"/>
      <c r="BP621" s="36"/>
      <c r="BQ621" s="36"/>
      <c r="BR621" s="36"/>
      <c r="BS621" s="36"/>
      <c r="BT621" s="36"/>
      <c r="BU621" s="36"/>
      <c r="BV621" s="36"/>
      <c r="BW621" s="36"/>
      <c r="BX621" s="36"/>
      <c r="BY621" s="36"/>
      <c r="BZ621" s="36"/>
      <c r="CA621" s="36"/>
      <c r="CB621" s="36"/>
      <c r="CC621" s="36"/>
      <c r="CD621" s="36"/>
      <c r="CE621" s="36"/>
      <c r="CF621" s="36"/>
      <c r="CG621" s="36"/>
      <c r="CH621" s="36"/>
      <c r="CI621" s="36"/>
      <c r="CJ621" s="36"/>
      <c r="CK621" s="36"/>
      <c r="CL621" s="36"/>
      <c r="CM621" s="36"/>
      <c r="CN621" s="36"/>
      <c r="CO621" s="36"/>
    </row>
    <row r="622">
      <c r="A622" s="36"/>
      <c r="B622" s="47"/>
      <c r="C622" s="50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  <c r="BK622" s="36"/>
      <c r="BL622" s="36"/>
      <c r="BM622" s="36"/>
      <c r="BN622" s="36"/>
      <c r="BO622" s="36"/>
      <c r="BP622" s="36"/>
      <c r="BQ622" s="36"/>
      <c r="BR622" s="36"/>
      <c r="BS622" s="36"/>
      <c r="BT622" s="36"/>
      <c r="BU622" s="36"/>
      <c r="BV622" s="36"/>
      <c r="BW622" s="36"/>
      <c r="BX622" s="36"/>
      <c r="BY622" s="36"/>
      <c r="BZ622" s="36"/>
      <c r="CA622" s="36"/>
      <c r="CB622" s="36"/>
      <c r="CC622" s="36"/>
      <c r="CD622" s="36"/>
      <c r="CE622" s="36"/>
      <c r="CF622" s="36"/>
      <c r="CG622" s="36"/>
      <c r="CH622" s="36"/>
      <c r="CI622" s="36"/>
      <c r="CJ622" s="36"/>
      <c r="CK622" s="36"/>
      <c r="CL622" s="36"/>
      <c r="CM622" s="36"/>
      <c r="CN622" s="36"/>
      <c r="CO622" s="36"/>
    </row>
    <row r="623">
      <c r="A623" s="36"/>
      <c r="B623" s="47"/>
      <c r="C623" s="50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  <c r="BK623" s="36"/>
      <c r="BL623" s="36"/>
      <c r="BM623" s="36"/>
      <c r="BN623" s="36"/>
      <c r="BO623" s="36"/>
      <c r="BP623" s="36"/>
      <c r="BQ623" s="36"/>
      <c r="BR623" s="36"/>
      <c r="BS623" s="36"/>
      <c r="BT623" s="36"/>
      <c r="BU623" s="36"/>
      <c r="BV623" s="36"/>
      <c r="BW623" s="36"/>
      <c r="BX623" s="36"/>
      <c r="BY623" s="36"/>
      <c r="BZ623" s="36"/>
      <c r="CA623" s="36"/>
      <c r="CB623" s="36"/>
      <c r="CC623" s="36"/>
      <c r="CD623" s="36"/>
      <c r="CE623" s="36"/>
      <c r="CF623" s="36"/>
      <c r="CG623" s="36"/>
      <c r="CH623" s="36"/>
      <c r="CI623" s="36"/>
      <c r="CJ623" s="36"/>
      <c r="CK623" s="36"/>
      <c r="CL623" s="36"/>
      <c r="CM623" s="36"/>
      <c r="CN623" s="36"/>
      <c r="CO623" s="36"/>
    </row>
    <row r="624">
      <c r="A624" s="36"/>
      <c r="B624" s="47"/>
      <c r="C624" s="50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  <c r="BK624" s="36"/>
      <c r="BL624" s="36"/>
      <c r="BM624" s="36"/>
      <c r="BN624" s="36"/>
      <c r="BO624" s="36"/>
      <c r="BP624" s="36"/>
      <c r="BQ624" s="36"/>
      <c r="BR624" s="36"/>
      <c r="BS624" s="36"/>
      <c r="BT624" s="36"/>
      <c r="BU624" s="36"/>
      <c r="BV624" s="36"/>
      <c r="BW624" s="36"/>
      <c r="BX624" s="36"/>
      <c r="BY624" s="36"/>
      <c r="BZ624" s="36"/>
      <c r="CA624" s="36"/>
      <c r="CB624" s="36"/>
      <c r="CC624" s="36"/>
      <c r="CD624" s="36"/>
      <c r="CE624" s="36"/>
      <c r="CF624" s="36"/>
      <c r="CG624" s="36"/>
      <c r="CH624" s="36"/>
      <c r="CI624" s="36"/>
      <c r="CJ624" s="36"/>
      <c r="CK624" s="36"/>
      <c r="CL624" s="36"/>
      <c r="CM624" s="36"/>
      <c r="CN624" s="36"/>
      <c r="CO624" s="36"/>
    </row>
    <row r="625">
      <c r="A625" s="36"/>
      <c r="B625" s="47"/>
      <c r="C625" s="50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  <c r="BK625" s="36"/>
      <c r="BL625" s="36"/>
      <c r="BM625" s="36"/>
      <c r="BN625" s="36"/>
      <c r="BO625" s="36"/>
      <c r="BP625" s="36"/>
      <c r="BQ625" s="36"/>
      <c r="BR625" s="36"/>
      <c r="BS625" s="36"/>
      <c r="BT625" s="36"/>
      <c r="BU625" s="36"/>
      <c r="BV625" s="36"/>
      <c r="BW625" s="36"/>
      <c r="BX625" s="36"/>
      <c r="BY625" s="36"/>
      <c r="BZ625" s="36"/>
      <c r="CA625" s="36"/>
      <c r="CB625" s="36"/>
      <c r="CC625" s="36"/>
      <c r="CD625" s="36"/>
      <c r="CE625" s="36"/>
      <c r="CF625" s="36"/>
      <c r="CG625" s="36"/>
      <c r="CH625" s="36"/>
      <c r="CI625" s="36"/>
      <c r="CJ625" s="36"/>
      <c r="CK625" s="36"/>
      <c r="CL625" s="36"/>
      <c r="CM625" s="36"/>
      <c r="CN625" s="36"/>
      <c r="CO625" s="36"/>
    </row>
    <row r="626">
      <c r="A626" s="36"/>
      <c r="B626" s="47"/>
      <c r="C626" s="50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  <c r="BK626" s="36"/>
      <c r="BL626" s="36"/>
      <c r="BM626" s="36"/>
      <c r="BN626" s="36"/>
      <c r="BO626" s="36"/>
      <c r="BP626" s="36"/>
      <c r="BQ626" s="36"/>
      <c r="BR626" s="36"/>
      <c r="BS626" s="36"/>
      <c r="BT626" s="36"/>
      <c r="BU626" s="36"/>
      <c r="BV626" s="36"/>
      <c r="BW626" s="36"/>
      <c r="BX626" s="36"/>
      <c r="BY626" s="36"/>
      <c r="BZ626" s="36"/>
      <c r="CA626" s="36"/>
      <c r="CB626" s="36"/>
      <c r="CC626" s="36"/>
      <c r="CD626" s="36"/>
      <c r="CE626" s="36"/>
      <c r="CF626" s="36"/>
      <c r="CG626" s="36"/>
      <c r="CH626" s="36"/>
      <c r="CI626" s="36"/>
      <c r="CJ626" s="36"/>
      <c r="CK626" s="36"/>
      <c r="CL626" s="36"/>
      <c r="CM626" s="36"/>
      <c r="CN626" s="36"/>
      <c r="CO626" s="36"/>
    </row>
    <row r="627">
      <c r="A627" s="36"/>
      <c r="B627" s="47"/>
      <c r="C627" s="50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  <c r="BK627" s="36"/>
      <c r="BL627" s="36"/>
      <c r="BM627" s="36"/>
      <c r="BN627" s="36"/>
      <c r="BO627" s="36"/>
      <c r="BP627" s="36"/>
      <c r="BQ627" s="36"/>
      <c r="BR627" s="36"/>
      <c r="BS627" s="36"/>
      <c r="BT627" s="36"/>
      <c r="BU627" s="36"/>
      <c r="BV627" s="36"/>
      <c r="BW627" s="36"/>
      <c r="BX627" s="36"/>
      <c r="BY627" s="36"/>
      <c r="BZ627" s="36"/>
      <c r="CA627" s="36"/>
      <c r="CB627" s="36"/>
      <c r="CC627" s="36"/>
      <c r="CD627" s="36"/>
      <c r="CE627" s="36"/>
      <c r="CF627" s="36"/>
      <c r="CG627" s="36"/>
      <c r="CH627" s="36"/>
      <c r="CI627" s="36"/>
      <c r="CJ627" s="36"/>
      <c r="CK627" s="36"/>
      <c r="CL627" s="36"/>
      <c r="CM627" s="36"/>
      <c r="CN627" s="36"/>
      <c r="CO627" s="36"/>
    </row>
    <row r="628">
      <c r="A628" s="36"/>
      <c r="B628" s="47"/>
      <c r="C628" s="50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  <c r="BK628" s="36"/>
      <c r="BL628" s="36"/>
      <c r="BM628" s="36"/>
      <c r="BN628" s="36"/>
      <c r="BO628" s="36"/>
      <c r="BP628" s="36"/>
      <c r="BQ628" s="36"/>
      <c r="BR628" s="36"/>
      <c r="BS628" s="36"/>
      <c r="BT628" s="36"/>
      <c r="BU628" s="36"/>
      <c r="BV628" s="36"/>
      <c r="BW628" s="36"/>
      <c r="BX628" s="36"/>
      <c r="BY628" s="36"/>
      <c r="BZ628" s="36"/>
      <c r="CA628" s="36"/>
      <c r="CB628" s="36"/>
      <c r="CC628" s="36"/>
      <c r="CD628" s="36"/>
      <c r="CE628" s="36"/>
      <c r="CF628" s="36"/>
      <c r="CG628" s="36"/>
      <c r="CH628" s="36"/>
      <c r="CI628" s="36"/>
      <c r="CJ628" s="36"/>
      <c r="CK628" s="36"/>
      <c r="CL628" s="36"/>
      <c r="CM628" s="36"/>
      <c r="CN628" s="36"/>
      <c r="CO628" s="36"/>
    </row>
    <row r="629">
      <c r="A629" s="36"/>
      <c r="B629" s="47"/>
      <c r="C629" s="50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  <c r="BK629" s="36"/>
      <c r="BL629" s="36"/>
      <c r="BM629" s="36"/>
      <c r="BN629" s="36"/>
      <c r="BO629" s="36"/>
      <c r="BP629" s="36"/>
      <c r="BQ629" s="36"/>
      <c r="BR629" s="36"/>
      <c r="BS629" s="36"/>
      <c r="BT629" s="36"/>
      <c r="BU629" s="36"/>
      <c r="BV629" s="36"/>
      <c r="BW629" s="36"/>
      <c r="BX629" s="36"/>
      <c r="BY629" s="36"/>
      <c r="BZ629" s="36"/>
      <c r="CA629" s="36"/>
      <c r="CB629" s="36"/>
      <c r="CC629" s="36"/>
      <c r="CD629" s="36"/>
      <c r="CE629" s="36"/>
      <c r="CF629" s="36"/>
      <c r="CG629" s="36"/>
      <c r="CH629" s="36"/>
      <c r="CI629" s="36"/>
      <c r="CJ629" s="36"/>
      <c r="CK629" s="36"/>
      <c r="CL629" s="36"/>
      <c r="CM629" s="36"/>
      <c r="CN629" s="36"/>
      <c r="CO629" s="36"/>
    </row>
    <row r="630">
      <c r="A630" s="36"/>
      <c r="B630" s="47"/>
      <c r="C630" s="50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  <c r="BK630" s="36"/>
      <c r="BL630" s="36"/>
      <c r="BM630" s="36"/>
      <c r="BN630" s="36"/>
      <c r="BO630" s="36"/>
      <c r="BP630" s="36"/>
      <c r="BQ630" s="36"/>
      <c r="BR630" s="36"/>
      <c r="BS630" s="36"/>
      <c r="BT630" s="36"/>
      <c r="BU630" s="36"/>
      <c r="BV630" s="36"/>
      <c r="BW630" s="36"/>
      <c r="BX630" s="36"/>
      <c r="BY630" s="36"/>
      <c r="BZ630" s="36"/>
      <c r="CA630" s="36"/>
      <c r="CB630" s="36"/>
      <c r="CC630" s="36"/>
      <c r="CD630" s="36"/>
      <c r="CE630" s="36"/>
      <c r="CF630" s="36"/>
      <c r="CG630" s="36"/>
      <c r="CH630" s="36"/>
      <c r="CI630" s="36"/>
      <c r="CJ630" s="36"/>
      <c r="CK630" s="36"/>
      <c r="CL630" s="36"/>
      <c r="CM630" s="36"/>
      <c r="CN630" s="36"/>
      <c r="CO630" s="36"/>
    </row>
    <row r="631">
      <c r="A631" s="36"/>
      <c r="B631" s="47"/>
      <c r="C631" s="50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  <c r="BK631" s="36"/>
      <c r="BL631" s="36"/>
      <c r="BM631" s="36"/>
      <c r="BN631" s="36"/>
      <c r="BO631" s="36"/>
      <c r="BP631" s="36"/>
      <c r="BQ631" s="36"/>
      <c r="BR631" s="36"/>
      <c r="BS631" s="36"/>
      <c r="BT631" s="36"/>
      <c r="BU631" s="36"/>
      <c r="BV631" s="36"/>
      <c r="BW631" s="36"/>
      <c r="BX631" s="36"/>
      <c r="BY631" s="36"/>
      <c r="BZ631" s="36"/>
      <c r="CA631" s="36"/>
      <c r="CB631" s="36"/>
      <c r="CC631" s="36"/>
      <c r="CD631" s="36"/>
      <c r="CE631" s="36"/>
      <c r="CF631" s="36"/>
      <c r="CG631" s="36"/>
      <c r="CH631" s="36"/>
      <c r="CI631" s="36"/>
      <c r="CJ631" s="36"/>
      <c r="CK631" s="36"/>
      <c r="CL631" s="36"/>
      <c r="CM631" s="36"/>
      <c r="CN631" s="36"/>
      <c r="CO631" s="36"/>
    </row>
    <row r="632">
      <c r="A632" s="36"/>
      <c r="B632" s="47"/>
      <c r="C632" s="50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  <c r="BK632" s="36"/>
      <c r="BL632" s="36"/>
      <c r="BM632" s="36"/>
      <c r="BN632" s="36"/>
      <c r="BO632" s="36"/>
      <c r="BP632" s="36"/>
      <c r="BQ632" s="36"/>
      <c r="BR632" s="36"/>
      <c r="BS632" s="36"/>
      <c r="BT632" s="36"/>
      <c r="BU632" s="36"/>
      <c r="BV632" s="36"/>
      <c r="BW632" s="36"/>
      <c r="BX632" s="36"/>
      <c r="BY632" s="36"/>
      <c r="BZ632" s="36"/>
      <c r="CA632" s="36"/>
      <c r="CB632" s="36"/>
      <c r="CC632" s="36"/>
      <c r="CD632" s="36"/>
      <c r="CE632" s="36"/>
      <c r="CF632" s="36"/>
      <c r="CG632" s="36"/>
      <c r="CH632" s="36"/>
      <c r="CI632" s="36"/>
      <c r="CJ632" s="36"/>
      <c r="CK632" s="36"/>
      <c r="CL632" s="36"/>
      <c r="CM632" s="36"/>
      <c r="CN632" s="36"/>
      <c r="CO632" s="36"/>
    </row>
    <row r="633">
      <c r="A633" s="36"/>
      <c r="B633" s="47"/>
      <c r="C633" s="50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  <c r="BK633" s="36"/>
      <c r="BL633" s="36"/>
      <c r="BM633" s="36"/>
      <c r="BN633" s="36"/>
      <c r="BO633" s="36"/>
      <c r="BP633" s="36"/>
      <c r="BQ633" s="36"/>
      <c r="BR633" s="36"/>
      <c r="BS633" s="36"/>
      <c r="BT633" s="36"/>
      <c r="BU633" s="36"/>
      <c r="BV633" s="36"/>
      <c r="BW633" s="36"/>
      <c r="BX633" s="36"/>
      <c r="BY633" s="36"/>
      <c r="BZ633" s="36"/>
      <c r="CA633" s="36"/>
      <c r="CB633" s="36"/>
      <c r="CC633" s="36"/>
      <c r="CD633" s="36"/>
      <c r="CE633" s="36"/>
      <c r="CF633" s="36"/>
      <c r="CG633" s="36"/>
      <c r="CH633" s="36"/>
      <c r="CI633" s="36"/>
      <c r="CJ633" s="36"/>
      <c r="CK633" s="36"/>
      <c r="CL633" s="36"/>
      <c r="CM633" s="36"/>
      <c r="CN633" s="36"/>
      <c r="CO633" s="36"/>
    </row>
    <row r="634">
      <c r="A634" s="36"/>
      <c r="B634" s="47"/>
      <c r="C634" s="50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  <c r="BK634" s="36"/>
      <c r="BL634" s="36"/>
      <c r="BM634" s="36"/>
      <c r="BN634" s="36"/>
      <c r="BO634" s="36"/>
      <c r="BP634" s="36"/>
      <c r="BQ634" s="36"/>
      <c r="BR634" s="36"/>
      <c r="BS634" s="36"/>
      <c r="BT634" s="36"/>
      <c r="BU634" s="36"/>
      <c r="BV634" s="36"/>
      <c r="BW634" s="36"/>
      <c r="BX634" s="36"/>
      <c r="BY634" s="36"/>
      <c r="BZ634" s="36"/>
      <c r="CA634" s="36"/>
      <c r="CB634" s="36"/>
      <c r="CC634" s="36"/>
      <c r="CD634" s="36"/>
      <c r="CE634" s="36"/>
      <c r="CF634" s="36"/>
      <c r="CG634" s="36"/>
      <c r="CH634" s="36"/>
      <c r="CI634" s="36"/>
      <c r="CJ634" s="36"/>
      <c r="CK634" s="36"/>
      <c r="CL634" s="36"/>
      <c r="CM634" s="36"/>
      <c r="CN634" s="36"/>
      <c r="CO634" s="36"/>
    </row>
    <row r="635">
      <c r="A635" s="36"/>
      <c r="B635" s="47"/>
      <c r="C635" s="50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  <c r="BK635" s="36"/>
      <c r="BL635" s="36"/>
      <c r="BM635" s="36"/>
      <c r="BN635" s="36"/>
      <c r="BO635" s="36"/>
      <c r="BP635" s="36"/>
      <c r="BQ635" s="36"/>
      <c r="BR635" s="36"/>
      <c r="BS635" s="36"/>
      <c r="BT635" s="36"/>
      <c r="BU635" s="36"/>
      <c r="BV635" s="36"/>
      <c r="BW635" s="36"/>
      <c r="BX635" s="36"/>
      <c r="BY635" s="36"/>
      <c r="BZ635" s="36"/>
      <c r="CA635" s="36"/>
      <c r="CB635" s="36"/>
      <c r="CC635" s="36"/>
      <c r="CD635" s="36"/>
      <c r="CE635" s="36"/>
      <c r="CF635" s="36"/>
      <c r="CG635" s="36"/>
      <c r="CH635" s="36"/>
      <c r="CI635" s="36"/>
      <c r="CJ635" s="36"/>
      <c r="CK635" s="36"/>
      <c r="CL635" s="36"/>
      <c r="CM635" s="36"/>
      <c r="CN635" s="36"/>
      <c r="CO635" s="36"/>
    </row>
    <row r="636">
      <c r="A636" s="36"/>
      <c r="B636" s="47"/>
      <c r="C636" s="50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  <c r="BK636" s="36"/>
      <c r="BL636" s="36"/>
      <c r="BM636" s="36"/>
      <c r="BN636" s="36"/>
      <c r="BO636" s="36"/>
      <c r="BP636" s="36"/>
      <c r="BQ636" s="36"/>
      <c r="BR636" s="36"/>
      <c r="BS636" s="36"/>
      <c r="BT636" s="36"/>
      <c r="BU636" s="36"/>
      <c r="BV636" s="36"/>
      <c r="BW636" s="36"/>
      <c r="BX636" s="36"/>
      <c r="BY636" s="36"/>
      <c r="BZ636" s="36"/>
      <c r="CA636" s="36"/>
      <c r="CB636" s="36"/>
      <c r="CC636" s="36"/>
      <c r="CD636" s="36"/>
      <c r="CE636" s="36"/>
      <c r="CF636" s="36"/>
      <c r="CG636" s="36"/>
      <c r="CH636" s="36"/>
      <c r="CI636" s="36"/>
      <c r="CJ636" s="36"/>
      <c r="CK636" s="36"/>
      <c r="CL636" s="36"/>
      <c r="CM636" s="36"/>
      <c r="CN636" s="36"/>
      <c r="CO636" s="36"/>
    </row>
    <row r="637">
      <c r="A637" s="36"/>
      <c r="B637" s="47"/>
      <c r="C637" s="50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  <c r="BK637" s="36"/>
      <c r="BL637" s="36"/>
      <c r="BM637" s="36"/>
      <c r="BN637" s="36"/>
      <c r="BO637" s="36"/>
      <c r="BP637" s="36"/>
      <c r="BQ637" s="36"/>
      <c r="BR637" s="36"/>
      <c r="BS637" s="36"/>
      <c r="BT637" s="36"/>
      <c r="BU637" s="36"/>
      <c r="BV637" s="36"/>
      <c r="BW637" s="36"/>
      <c r="BX637" s="36"/>
      <c r="BY637" s="36"/>
      <c r="BZ637" s="36"/>
      <c r="CA637" s="36"/>
      <c r="CB637" s="36"/>
      <c r="CC637" s="36"/>
      <c r="CD637" s="36"/>
      <c r="CE637" s="36"/>
      <c r="CF637" s="36"/>
      <c r="CG637" s="36"/>
      <c r="CH637" s="36"/>
      <c r="CI637" s="36"/>
      <c r="CJ637" s="36"/>
      <c r="CK637" s="36"/>
      <c r="CL637" s="36"/>
      <c r="CM637" s="36"/>
      <c r="CN637" s="36"/>
      <c r="CO637" s="36"/>
    </row>
    <row r="638">
      <c r="A638" s="36"/>
      <c r="B638" s="47"/>
      <c r="C638" s="50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  <c r="BK638" s="36"/>
      <c r="BL638" s="36"/>
      <c r="BM638" s="36"/>
      <c r="BN638" s="36"/>
      <c r="BO638" s="36"/>
      <c r="BP638" s="36"/>
      <c r="BQ638" s="36"/>
      <c r="BR638" s="36"/>
      <c r="BS638" s="36"/>
      <c r="BT638" s="36"/>
      <c r="BU638" s="36"/>
      <c r="BV638" s="36"/>
      <c r="BW638" s="36"/>
      <c r="BX638" s="36"/>
      <c r="BY638" s="36"/>
      <c r="BZ638" s="36"/>
      <c r="CA638" s="36"/>
      <c r="CB638" s="36"/>
      <c r="CC638" s="36"/>
      <c r="CD638" s="36"/>
      <c r="CE638" s="36"/>
      <c r="CF638" s="36"/>
      <c r="CG638" s="36"/>
      <c r="CH638" s="36"/>
      <c r="CI638" s="36"/>
      <c r="CJ638" s="36"/>
      <c r="CK638" s="36"/>
      <c r="CL638" s="36"/>
      <c r="CM638" s="36"/>
      <c r="CN638" s="36"/>
      <c r="CO638" s="36"/>
    </row>
    <row r="639">
      <c r="A639" s="36"/>
      <c r="B639" s="47"/>
      <c r="C639" s="50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  <c r="BK639" s="36"/>
      <c r="BL639" s="36"/>
      <c r="BM639" s="36"/>
      <c r="BN639" s="36"/>
      <c r="BO639" s="36"/>
      <c r="BP639" s="36"/>
      <c r="BQ639" s="36"/>
      <c r="BR639" s="36"/>
      <c r="BS639" s="36"/>
      <c r="BT639" s="36"/>
      <c r="BU639" s="36"/>
      <c r="BV639" s="36"/>
      <c r="BW639" s="36"/>
      <c r="BX639" s="36"/>
      <c r="BY639" s="36"/>
      <c r="BZ639" s="36"/>
      <c r="CA639" s="36"/>
      <c r="CB639" s="36"/>
      <c r="CC639" s="36"/>
      <c r="CD639" s="36"/>
      <c r="CE639" s="36"/>
      <c r="CF639" s="36"/>
      <c r="CG639" s="36"/>
      <c r="CH639" s="36"/>
      <c r="CI639" s="36"/>
      <c r="CJ639" s="36"/>
      <c r="CK639" s="36"/>
      <c r="CL639" s="36"/>
      <c r="CM639" s="36"/>
      <c r="CN639" s="36"/>
      <c r="CO639" s="36"/>
    </row>
    <row r="640">
      <c r="A640" s="36"/>
      <c r="B640" s="47"/>
      <c r="C640" s="50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  <c r="BK640" s="36"/>
      <c r="BL640" s="36"/>
      <c r="BM640" s="36"/>
      <c r="BN640" s="36"/>
      <c r="BO640" s="36"/>
      <c r="BP640" s="36"/>
      <c r="BQ640" s="36"/>
      <c r="BR640" s="36"/>
      <c r="BS640" s="36"/>
      <c r="BT640" s="36"/>
      <c r="BU640" s="36"/>
      <c r="BV640" s="36"/>
      <c r="BW640" s="36"/>
      <c r="BX640" s="36"/>
      <c r="BY640" s="36"/>
      <c r="BZ640" s="36"/>
      <c r="CA640" s="36"/>
      <c r="CB640" s="36"/>
      <c r="CC640" s="36"/>
      <c r="CD640" s="36"/>
      <c r="CE640" s="36"/>
      <c r="CF640" s="36"/>
      <c r="CG640" s="36"/>
      <c r="CH640" s="36"/>
      <c r="CI640" s="36"/>
      <c r="CJ640" s="36"/>
      <c r="CK640" s="36"/>
      <c r="CL640" s="36"/>
      <c r="CM640" s="36"/>
      <c r="CN640" s="36"/>
      <c r="CO640" s="36"/>
    </row>
    <row r="641">
      <c r="A641" s="36"/>
      <c r="B641" s="47"/>
      <c r="C641" s="50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  <c r="BK641" s="36"/>
      <c r="BL641" s="36"/>
      <c r="BM641" s="36"/>
      <c r="BN641" s="36"/>
      <c r="BO641" s="36"/>
      <c r="BP641" s="36"/>
      <c r="BQ641" s="36"/>
      <c r="BR641" s="36"/>
      <c r="BS641" s="36"/>
      <c r="BT641" s="36"/>
      <c r="BU641" s="36"/>
      <c r="BV641" s="36"/>
      <c r="BW641" s="36"/>
      <c r="BX641" s="36"/>
      <c r="BY641" s="36"/>
      <c r="BZ641" s="36"/>
      <c r="CA641" s="36"/>
      <c r="CB641" s="36"/>
      <c r="CC641" s="36"/>
      <c r="CD641" s="36"/>
      <c r="CE641" s="36"/>
      <c r="CF641" s="36"/>
      <c r="CG641" s="36"/>
      <c r="CH641" s="36"/>
      <c r="CI641" s="36"/>
      <c r="CJ641" s="36"/>
      <c r="CK641" s="36"/>
      <c r="CL641" s="36"/>
      <c r="CM641" s="36"/>
      <c r="CN641" s="36"/>
      <c r="CO641" s="36"/>
    </row>
    <row r="642">
      <c r="A642" s="36"/>
      <c r="B642" s="47"/>
      <c r="C642" s="50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  <c r="BK642" s="36"/>
      <c r="BL642" s="36"/>
      <c r="BM642" s="36"/>
      <c r="BN642" s="36"/>
      <c r="BO642" s="36"/>
      <c r="BP642" s="36"/>
      <c r="BQ642" s="36"/>
      <c r="BR642" s="36"/>
      <c r="BS642" s="36"/>
      <c r="BT642" s="36"/>
      <c r="BU642" s="36"/>
      <c r="BV642" s="36"/>
      <c r="BW642" s="36"/>
      <c r="BX642" s="36"/>
      <c r="BY642" s="36"/>
      <c r="BZ642" s="36"/>
      <c r="CA642" s="36"/>
      <c r="CB642" s="36"/>
      <c r="CC642" s="36"/>
      <c r="CD642" s="36"/>
      <c r="CE642" s="36"/>
      <c r="CF642" s="36"/>
      <c r="CG642" s="36"/>
      <c r="CH642" s="36"/>
      <c r="CI642" s="36"/>
      <c r="CJ642" s="36"/>
      <c r="CK642" s="36"/>
      <c r="CL642" s="36"/>
      <c r="CM642" s="36"/>
      <c r="CN642" s="36"/>
      <c r="CO642" s="36"/>
    </row>
    <row r="643">
      <c r="A643" s="36"/>
      <c r="B643" s="47"/>
      <c r="C643" s="50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  <c r="BK643" s="36"/>
      <c r="BL643" s="36"/>
      <c r="BM643" s="36"/>
      <c r="BN643" s="36"/>
      <c r="BO643" s="36"/>
      <c r="BP643" s="36"/>
      <c r="BQ643" s="36"/>
      <c r="BR643" s="36"/>
      <c r="BS643" s="36"/>
      <c r="BT643" s="36"/>
      <c r="BU643" s="36"/>
      <c r="BV643" s="36"/>
      <c r="BW643" s="36"/>
      <c r="BX643" s="36"/>
      <c r="BY643" s="36"/>
      <c r="BZ643" s="36"/>
      <c r="CA643" s="36"/>
      <c r="CB643" s="36"/>
      <c r="CC643" s="36"/>
      <c r="CD643" s="36"/>
      <c r="CE643" s="36"/>
      <c r="CF643" s="36"/>
      <c r="CG643" s="36"/>
      <c r="CH643" s="36"/>
      <c r="CI643" s="36"/>
      <c r="CJ643" s="36"/>
      <c r="CK643" s="36"/>
      <c r="CL643" s="36"/>
      <c r="CM643" s="36"/>
      <c r="CN643" s="36"/>
      <c r="CO643" s="36"/>
    </row>
    <row r="644">
      <c r="A644" s="36"/>
      <c r="B644" s="47"/>
      <c r="C644" s="50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  <c r="BK644" s="36"/>
      <c r="BL644" s="36"/>
      <c r="BM644" s="36"/>
      <c r="BN644" s="36"/>
      <c r="BO644" s="36"/>
      <c r="BP644" s="36"/>
      <c r="BQ644" s="36"/>
      <c r="BR644" s="36"/>
      <c r="BS644" s="36"/>
      <c r="BT644" s="36"/>
      <c r="BU644" s="36"/>
      <c r="BV644" s="36"/>
      <c r="BW644" s="36"/>
      <c r="BX644" s="36"/>
      <c r="BY644" s="36"/>
      <c r="BZ644" s="36"/>
      <c r="CA644" s="36"/>
      <c r="CB644" s="36"/>
      <c r="CC644" s="36"/>
      <c r="CD644" s="36"/>
      <c r="CE644" s="36"/>
      <c r="CF644" s="36"/>
      <c r="CG644" s="36"/>
      <c r="CH644" s="36"/>
      <c r="CI644" s="36"/>
      <c r="CJ644" s="36"/>
      <c r="CK644" s="36"/>
      <c r="CL644" s="36"/>
      <c r="CM644" s="36"/>
      <c r="CN644" s="36"/>
      <c r="CO644" s="36"/>
    </row>
    <row r="645">
      <c r="A645" s="36"/>
      <c r="B645" s="47"/>
      <c r="C645" s="50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  <c r="BK645" s="36"/>
      <c r="BL645" s="36"/>
      <c r="BM645" s="36"/>
      <c r="BN645" s="36"/>
      <c r="BO645" s="36"/>
      <c r="BP645" s="36"/>
      <c r="BQ645" s="36"/>
      <c r="BR645" s="36"/>
      <c r="BS645" s="36"/>
      <c r="BT645" s="36"/>
      <c r="BU645" s="36"/>
      <c r="BV645" s="36"/>
      <c r="BW645" s="36"/>
      <c r="BX645" s="36"/>
      <c r="BY645" s="36"/>
      <c r="BZ645" s="36"/>
      <c r="CA645" s="36"/>
      <c r="CB645" s="36"/>
      <c r="CC645" s="36"/>
      <c r="CD645" s="36"/>
      <c r="CE645" s="36"/>
      <c r="CF645" s="36"/>
      <c r="CG645" s="36"/>
      <c r="CH645" s="36"/>
      <c r="CI645" s="36"/>
      <c r="CJ645" s="36"/>
      <c r="CK645" s="36"/>
      <c r="CL645" s="36"/>
      <c r="CM645" s="36"/>
      <c r="CN645" s="36"/>
      <c r="CO645" s="36"/>
    </row>
    <row r="646">
      <c r="A646" s="36"/>
      <c r="B646" s="47"/>
      <c r="C646" s="50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  <c r="BK646" s="36"/>
      <c r="BL646" s="36"/>
      <c r="BM646" s="36"/>
      <c r="BN646" s="36"/>
      <c r="BO646" s="36"/>
      <c r="BP646" s="36"/>
      <c r="BQ646" s="36"/>
      <c r="BR646" s="36"/>
      <c r="BS646" s="36"/>
      <c r="BT646" s="36"/>
      <c r="BU646" s="36"/>
      <c r="BV646" s="36"/>
      <c r="BW646" s="36"/>
      <c r="BX646" s="36"/>
      <c r="BY646" s="36"/>
      <c r="BZ646" s="36"/>
      <c r="CA646" s="36"/>
      <c r="CB646" s="36"/>
      <c r="CC646" s="36"/>
      <c r="CD646" s="36"/>
      <c r="CE646" s="36"/>
      <c r="CF646" s="36"/>
      <c r="CG646" s="36"/>
      <c r="CH646" s="36"/>
      <c r="CI646" s="36"/>
      <c r="CJ646" s="36"/>
      <c r="CK646" s="36"/>
      <c r="CL646" s="36"/>
      <c r="CM646" s="36"/>
      <c r="CN646" s="36"/>
      <c r="CO646" s="36"/>
    </row>
    <row r="647">
      <c r="A647" s="36"/>
      <c r="B647" s="47"/>
      <c r="C647" s="50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  <c r="BK647" s="36"/>
      <c r="BL647" s="36"/>
      <c r="BM647" s="36"/>
      <c r="BN647" s="36"/>
      <c r="BO647" s="36"/>
      <c r="BP647" s="36"/>
      <c r="BQ647" s="36"/>
      <c r="BR647" s="36"/>
      <c r="BS647" s="36"/>
      <c r="BT647" s="36"/>
      <c r="BU647" s="36"/>
      <c r="BV647" s="36"/>
      <c r="BW647" s="36"/>
      <c r="BX647" s="36"/>
      <c r="BY647" s="36"/>
      <c r="BZ647" s="36"/>
      <c r="CA647" s="36"/>
      <c r="CB647" s="36"/>
      <c r="CC647" s="36"/>
      <c r="CD647" s="36"/>
      <c r="CE647" s="36"/>
      <c r="CF647" s="36"/>
      <c r="CG647" s="36"/>
      <c r="CH647" s="36"/>
      <c r="CI647" s="36"/>
      <c r="CJ647" s="36"/>
      <c r="CK647" s="36"/>
      <c r="CL647" s="36"/>
      <c r="CM647" s="36"/>
      <c r="CN647" s="36"/>
      <c r="CO647" s="36"/>
    </row>
    <row r="648">
      <c r="A648" s="36"/>
      <c r="B648" s="47"/>
      <c r="C648" s="50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  <c r="BK648" s="36"/>
      <c r="BL648" s="36"/>
      <c r="BM648" s="36"/>
      <c r="BN648" s="36"/>
      <c r="BO648" s="36"/>
      <c r="BP648" s="36"/>
      <c r="BQ648" s="36"/>
      <c r="BR648" s="36"/>
      <c r="BS648" s="36"/>
      <c r="BT648" s="36"/>
      <c r="BU648" s="36"/>
      <c r="BV648" s="36"/>
      <c r="BW648" s="36"/>
      <c r="BX648" s="36"/>
      <c r="BY648" s="36"/>
      <c r="BZ648" s="36"/>
      <c r="CA648" s="36"/>
      <c r="CB648" s="36"/>
      <c r="CC648" s="36"/>
      <c r="CD648" s="36"/>
      <c r="CE648" s="36"/>
      <c r="CF648" s="36"/>
      <c r="CG648" s="36"/>
      <c r="CH648" s="36"/>
      <c r="CI648" s="36"/>
      <c r="CJ648" s="36"/>
      <c r="CK648" s="36"/>
      <c r="CL648" s="36"/>
      <c r="CM648" s="36"/>
      <c r="CN648" s="36"/>
      <c r="CO648" s="36"/>
    </row>
    <row r="649">
      <c r="A649" s="36"/>
      <c r="B649" s="47"/>
      <c r="C649" s="50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  <c r="BK649" s="36"/>
      <c r="BL649" s="36"/>
      <c r="BM649" s="36"/>
      <c r="BN649" s="36"/>
      <c r="BO649" s="36"/>
      <c r="BP649" s="36"/>
      <c r="BQ649" s="36"/>
      <c r="BR649" s="36"/>
      <c r="BS649" s="36"/>
      <c r="BT649" s="36"/>
      <c r="BU649" s="36"/>
      <c r="BV649" s="36"/>
      <c r="BW649" s="36"/>
      <c r="BX649" s="36"/>
      <c r="BY649" s="36"/>
      <c r="BZ649" s="36"/>
      <c r="CA649" s="36"/>
      <c r="CB649" s="36"/>
      <c r="CC649" s="36"/>
      <c r="CD649" s="36"/>
      <c r="CE649" s="36"/>
      <c r="CF649" s="36"/>
      <c r="CG649" s="36"/>
      <c r="CH649" s="36"/>
      <c r="CI649" s="36"/>
      <c r="CJ649" s="36"/>
      <c r="CK649" s="36"/>
      <c r="CL649" s="36"/>
      <c r="CM649" s="36"/>
      <c r="CN649" s="36"/>
      <c r="CO649" s="36"/>
    </row>
    <row r="650">
      <c r="A650" s="36"/>
      <c r="B650" s="47"/>
      <c r="C650" s="50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  <c r="BK650" s="36"/>
      <c r="BL650" s="36"/>
      <c r="BM650" s="36"/>
      <c r="BN650" s="36"/>
      <c r="BO650" s="36"/>
      <c r="BP650" s="36"/>
      <c r="BQ650" s="36"/>
      <c r="BR650" s="36"/>
      <c r="BS650" s="36"/>
      <c r="BT650" s="36"/>
      <c r="BU650" s="36"/>
      <c r="BV650" s="36"/>
      <c r="BW650" s="36"/>
      <c r="BX650" s="36"/>
      <c r="BY650" s="36"/>
      <c r="BZ650" s="36"/>
      <c r="CA650" s="36"/>
      <c r="CB650" s="36"/>
      <c r="CC650" s="36"/>
      <c r="CD650" s="36"/>
      <c r="CE650" s="36"/>
      <c r="CF650" s="36"/>
      <c r="CG650" s="36"/>
      <c r="CH650" s="36"/>
      <c r="CI650" s="36"/>
      <c r="CJ650" s="36"/>
      <c r="CK650" s="36"/>
      <c r="CL650" s="36"/>
      <c r="CM650" s="36"/>
      <c r="CN650" s="36"/>
      <c r="CO650" s="36"/>
    </row>
    <row r="651">
      <c r="A651" s="36"/>
      <c r="B651" s="47"/>
      <c r="C651" s="50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  <c r="BK651" s="36"/>
      <c r="BL651" s="36"/>
      <c r="BM651" s="36"/>
      <c r="BN651" s="36"/>
      <c r="BO651" s="36"/>
      <c r="BP651" s="36"/>
      <c r="BQ651" s="36"/>
      <c r="BR651" s="36"/>
      <c r="BS651" s="36"/>
      <c r="BT651" s="36"/>
      <c r="BU651" s="36"/>
      <c r="BV651" s="36"/>
      <c r="BW651" s="36"/>
      <c r="BX651" s="36"/>
      <c r="BY651" s="36"/>
      <c r="BZ651" s="36"/>
      <c r="CA651" s="36"/>
      <c r="CB651" s="36"/>
      <c r="CC651" s="36"/>
      <c r="CD651" s="36"/>
      <c r="CE651" s="36"/>
      <c r="CF651" s="36"/>
      <c r="CG651" s="36"/>
      <c r="CH651" s="36"/>
      <c r="CI651" s="36"/>
      <c r="CJ651" s="36"/>
      <c r="CK651" s="36"/>
      <c r="CL651" s="36"/>
      <c r="CM651" s="36"/>
      <c r="CN651" s="36"/>
      <c r="CO651" s="36"/>
    </row>
    <row r="652">
      <c r="A652" s="36"/>
      <c r="B652" s="47"/>
      <c r="C652" s="50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  <c r="BK652" s="36"/>
      <c r="BL652" s="36"/>
      <c r="BM652" s="36"/>
      <c r="BN652" s="36"/>
      <c r="BO652" s="36"/>
      <c r="BP652" s="36"/>
      <c r="BQ652" s="36"/>
      <c r="BR652" s="36"/>
      <c r="BS652" s="36"/>
      <c r="BT652" s="36"/>
      <c r="BU652" s="36"/>
      <c r="BV652" s="36"/>
      <c r="BW652" s="36"/>
      <c r="BX652" s="36"/>
      <c r="BY652" s="36"/>
      <c r="BZ652" s="36"/>
      <c r="CA652" s="36"/>
      <c r="CB652" s="36"/>
      <c r="CC652" s="36"/>
      <c r="CD652" s="36"/>
      <c r="CE652" s="36"/>
      <c r="CF652" s="36"/>
      <c r="CG652" s="36"/>
      <c r="CH652" s="36"/>
      <c r="CI652" s="36"/>
      <c r="CJ652" s="36"/>
      <c r="CK652" s="36"/>
      <c r="CL652" s="36"/>
      <c r="CM652" s="36"/>
      <c r="CN652" s="36"/>
      <c r="CO652" s="36"/>
    </row>
    <row r="653">
      <c r="A653" s="36"/>
      <c r="B653" s="47"/>
      <c r="C653" s="50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  <c r="BK653" s="36"/>
      <c r="BL653" s="36"/>
      <c r="BM653" s="36"/>
      <c r="BN653" s="36"/>
      <c r="BO653" s="36"/>
      <c r="BP653" s="36"/>
      <c r="BQ653" s="36"/>
      <c r="BR653" s="36"/>
      <c r="BS653" s="36"/>
      <c r="BT653" s="36"/>
      <c r="BU653" s="36"/>
      <c r="BV653" s="36"/>
      <c r="BW653" s="36"/>
      <c r="BX653" s="36"/>
      <c r="BY653" s="36"/>
      <c r="BZ653" s="36"/>
      <c r="CA653" s="36"/>
      <c r="CB653" s="36"/>
      <c r="CC653" s="36"/>
      <c r="CD653" s="36"/>
      <c r="CE653" s="36"/>
      <c r="CF653" s="36"/>
      <c r="CG653" s="36"/>
      <c r="CH653" s="36"/>
      <c r="CI653" s="36"/>
      <c r="CJ653" s="36"/>
      <c r="CK653" s="36"/>
      <c r="CL653" s="36"/>
      <c r="CM653" s="36"/>
      <c r="CN653" s="36"/>
      <c r="CO653" s="36"/>
    </row>
    <row r="654">
      <c r="A654" s="36"/>
      <c r="B654" s="47"/>
      <c r="C654" s="50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  <c r="BK654" s="36"/>
      <c r="BL654" s="36"/>
      <c r="BM654" s="36"/>
      <c r="BN654" s="36"/>
      <c r="BO654" s="36"/>
      <c r="BP654" s="36"/>
      <c r="BQ654" s="36"/>
      <c r="BR654" s="36"/>
      <c r="BS654" s="36"/>
      <c r="BT654" s="36"/>
      <c r="BU654" s="36"/>
      <c r="BV654" s="36"/>
      <c r="BW654" s="36"/>
      <c r="BX654" s="36"/>
      <c r="BY654" s="36"/>
      <c r="BZ654" s="36"/>
      <c r="CA654" s="36"/>
      <c r="CB654" s="36"/>
      <c r="CC654" s="36"/>
      <c r="CD654" s="36"/>
      <c r="CE654" s="36"/>
      <c r="CF654" s="36"/>
      <c r="CG654" s="36"/>
      <c r="CH654" s="36"/>
      <c r="CI654" s="36"/>
      <c r="CJ654" s="36"/>
      <c r="CK654" s="36"/>
      <c r="CL654" s="36"/>
      <c r="CM654" s="36"/>
      <c r="CN654" s="36"/>
      <c r="CO654" s="36"/>
    </row>
    <row r="655">
      <c r="A655" s="36"/>
      <c r="B655" s="47"/>
      <c r="C655" s="50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  <c r="BK655" s="36"/>
      <c r="BL655" s="36"/>
      <c r="BM655" s="36"/>
      <c r="BN655" s="36"/>
      <c r="BO655" s="36"/>
      <c r="BP655" s="36"/>
      <c r="BQ655" s="36"/>
      <c r="BR655" s="36"/>
      <c r="BS655" s="36"/>
      <c r="BT655" s="36"/>
      <c r="BU655" s="36"/>
      <c r="BV655" s="36"/>
      <c r="BW655" s="36"/>
      <c r="BX655" s="36"/>
      <c r="BY655" s="36"/>
      <c r="BZ655" s="36"/>
      <c r="CA655" s="36"/>
      <c r="CB655" s="36"/>
      <c r="CC655" s="36"/>
      <c r="CD655" s="36"/>
      <c r="CE655" s="36"/>
      <c r="CF655" s="36"/>
      <c r="CG655" s="36"/>
      <c r="CH655" s="36"/>
      <c r="CI655" s="36"/>
      <c r="CJ655" s="36"/>
      <c r="CK655" s="36"/>
      <c r="CL655" s="36"/>
      <c r="CM655" s="36"/>
      <c r="CN655" s="36"/>
      <c r="CO655" s="36"/>
    </row>
    <row r="656">
      <c r="A656" s="36"/>
      <c r="B656" s="47"/>
      <c r="C656" s="50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  <c r="BK656" s="36"/>
      <c r="BL656" s="36"/>
      <c r="BM656" s="36"/>
      <c r="BN656" s="36"/>
      <c r="BO656" s="36"/>
      <c r="BP656" s="36"/>
      <c r="BQ656" s="36"/>
      <c r="BR656" s="36"/>
      <c r="BS656" s="36"/>
      <c r="BT656" s="36"/>
      <c r="BU656" s="36"/>
      <c r="BV656" s="36"/>
      <c r="BW656" s="36"/>
      <c r="BX656" s="36"/>
      <c r="BY656" s="36"/>
      <c r="BZ656" s="36"/>
      <c r="CA656" s="36"/>
      <c r="CB656" s="36"/>
      <c r="CC656" s="36"/>
      <c r="CD656" s="36"/>
      <c r="CE656" s="36"/>
      <c r="CF656" s="36"/>
      <c r="CG656" s="36"/>
      <c r="CH656" s="36"/>
      <c r="CI656" s="36"/>
      <c r="CJ656" s="36"/>
      <c r="CK656" s="36"/>
      <c r="CL656" s="36"/>
      <c r="CM656" s="36"/>
      <c r="CN656" s="36"/>
      <c r="CO656" s="36"/>
    </row>
    <row r="657">
      <c r="A657" s="36"/>
      <c r="B657" s="47"/>
      <c r="C657" s="50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  <c r="BK657" s="36"/>
      <c r="BL657" s="36"/>
      <c r="BM657" s="36"/>
      <c r="BN657" s="36"/>
      <c r="BO657" s="36"/>
      <c r="BP657" s="36"/>
      <c r="BQ657" s="36"/>
      <c r="BR657" s="36"/>
      <c r="BS657" s="36"/>
      <c r="BT657" s="36"/>
      <c r="BU657" s="36"/>
      <c r="BV657" s="36"/>
      <c r="BW657" s="36"/>
      <c r="BX657" s="36"/>
      <c r="BY657" s="36"/>
      <c r="BZ657" s="36"/>
      <c r="CA657" s="36"/>
      <c r="CB657" s="36"/>
      <c r="CC657" s="36"/>
      <c r="CD657" s="36"/>
      <c r="CE657" s="36"/>
      <c r="CF657" s="36"/>
      <c r="CG657" s="36"/>
      <c r="CH657" s="36"/>
      <c r="CI657" s="36"/>
      <c r="CJ657" s="36"/>
      <c r="CK657" s="36"/>
      <c r="CL657" s="36"/>
      <c r="CM657" s="36"/>
      <c r="CN657" s="36"/>
      <c r="CO657" s="36"/>
    </row>
    <row r="658">
      <c r="A658" s="36"/>
      <c r="B658" s="47"/>
      <c r="C658" s="50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  <c r="BK658" s="36"/>
      <c r="BL658" s="36"/>
      <c r="BM658" s="36"/>
      <c r="BN658" s="36"/>
      <c r="BO658" s="36"/>
      <c r="BP658" s="36"/>
      <c r="BQ658" s="36"/>
      <c r="BR658" s="36"/>
      <c r="BS658" s="36"/>
      <c r="BT658" s="36"/>
      <c r="BU658" s="36"/>
      <c r="BV658" s="36"/>
      <c r="BW658" s="36"/>
      <c r="BX658" s="36"/>
      <c r="BY658" s="36"/>
      <c r="BZ658" s="36"/>
      <c r="CA658" s="36"/>
      <c r="CB658" s="36"/>
      <c r="CC658" s="36"/>
      <c r="CD658" s="36"/>
      <c r="CE658" s="36"/>
      <c r="CF658" s="36"/>
      <c r="CG658" s="36"/>
      <c r="CH658" s="36"/>
      <c r="CI658" s="36"/>
      <c r="CJ658" s="36"/>
      <c r="CK658" s="36"/>
      <c r="CL658" s="36"/>
      <c r="CM658" s="36"/>
      <c r="CN658" s="36"/>
      <c r="CO658" s="36"/>
    </row>
    <row r="659">
      <c r="A659" s="36"/>
      <c r="B659" s="47"/>
      <c r="C659" s="50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  <c r="BK659" s="36"/>
      <c r="BL659" s="36"/>
      <c r="BM659" s="36"/>
      <c r="BN659" s="36"/>
      <c r="BO659" s="36"/>
      <c r="BP659" s="36"/>
      <c r="BQ659" s="36"/>
      <c r="BR659" s="36"/>
      <c r="BS659" s="36"/>
      <c r="BT659" s="36"/>
      <c r="BU659" s="36"/>
      <c r="BV659" s="36"/>
      <c r="BW659" s="36"/>
      <c r="BX659" s="36"/>
      <c r="BY659" s="36"/>
      <c r="BZ659" s="36"/>
      <c r="CA659" s="36"/>
      <c r="CB659" s="36"/>
      <c r="CC659" s="36"/>
      <c r="CD659" s="36"/>
      <c r="CE659" s="36"/>
      <c r="CF659" s="36"/>
      <c r="CG659" s="36"/>
      <c r="CH659" s="36"/>
      <c r="CI659" s="36"/>
      <c r="CJ659" s="36"/>
      <c r="CK659" s="36"/>
      <c r="CL659" s="36"/>
      <c r="CM659" s="36"/>
      <c r="CN659" s="36"/>
      <c r="CO659" s="36"/>
    </row>
    <row r="660">
      <c r="A660" s="36"/>
      <c r="B660" s="47"/>
      <c r="C660" s="50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  <c r="BK660" s="36"/>
      <c r="BL660" s="36"/>
      <c r="BM660" s="36"/>
      <c r="BN660" s="36"/>
      <c r="BO660" s="36"/>
      <c r="BP660" s="36"/>
      <c r="BQ660" s="36"/>
      <c r="BR660" s="36"/>
      <c r="BS660" s="36"/>
      <c r="BT660" s="36"/>
      <c r="BU660" s="36"/>
      <c r="BV660" s="36"/>
      <c r="BW660" s="36"/>
      <c r="BX660" s="36"/>
      <c r="BY660" s="36"/>
      <c r="BZ660" s="36"/>
      <c r="CA660" s="36"/>
      <c r="CB660" s="36"/>
      <c r="CC660" s="36"/>
      <c r="CD660" s="36"/>
      <c r="CE660" s="36"/>
      <c r="CF660" s="36"/>
      <c r="CG660" s="36"/>
      <c r="CH660" s="36"/>
      <c r="CI660" s="36"/>
      <c r="CJ660" s="36"/>
      <c r="CK660" s="36"/>
      <c r="CL660" s="36"/>
      <c r="CM660" s="36"/>
      <c r="CN660" s="36"/>
      <c r="CO660" s="36"/>
    </row>
    <row r="661">
      <c r="A661" s="36"/>
      <c r="B661" s="47"/>
      <c r="C661" s="50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  <c r="BK661" s="36"/>
      <c r="BL661" s="36"/>
      <c r="BM661" s="36"/>
      <c r="BN661" s="36"/>
      <c r="BO661" s="36"/>
      <c r="BP661" s="36"/>
      <c r="BQ661" s="36"/>
      <c r="BR661" s="36"/>
      <c r="BS661" s="36"/>
      <c r="BT661" s="36"/>
      <c r="BU661" s="36"/>
      <c r="BV661" s="36"/>
      <c r="BW661" s="36"/>
      <c r="BX661" s="36"/>
      <c r="BY661" s="36"/>
      <c r="BZ661" s="36"/>
      <c r="CA661" s="36"/>
      <c r="CB661" s="36"/>
      <c r="CC661" s="36"/>
      <c r="CD661" s="36"/>
      <c r="CE661" s="36"/>
      <c r="CF661" s="36"/>
      <c r="CG661" s="36"/>
      <c r="CH661" s="36"/>
      <c r="CI661" s="36"/>
      <c r="CJ661" s="36"/>
      <c r="CK661" s="36"/>
      <c r="CL661" s="36"/>
      <c r="CM661" s="36"/>
      <c r="CN661" s="36"/>
      <c r="CO661" s="36"/>
    </row>
    <row r="662">
      <c r="A662" s="36"/>
      <c r="B662" s="47"/>
      <c r="C662" s="50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  <c r="BK662" s="36"/>
      <c r="BL662" s="36"/>
      <c r="BM662" s="36"/>
      <c r="BN662" s="36"/>
      <c r="BO662" s="36"/>
      <c r="BP662" s="36"/>
      <c r="BQ662" s="36"/>
      <c r="BR662" s="36"/>
      <c r="BS662" s="36"/>
      <c r="BT662" s="36"/>
      <c r="BU662" s="36"/>
      <c r="BV662" s="36"/>
      <c r="BW662" s="36"/>
      <c r="BX662" s="36"/>
      <c r="BY662" s="36"/>
      <c r="BZ662" s="36"/>
      <c r="CA662" s="36"/>
      <c r="CB662" s="36"/>
      <c r="CC662" s="36"/>
      <c r="CD662" s="36"/>
      <c r="CE662" s="36"/>
      <c r="CF662" s="36"/>
      <c r="CG662" s="36"/>
      <c r="CH662" s="36"/>
      <c r="CI662" s="36"/>
      <c r="CJ662" s="36"/>
      <c r="CK662" s="36"/>
      <c r="CL662" s="36"/>
      <c r="CM662" s="36"/>
      <c r="CN662" s="36"/>
      <c r="CO662" s="36"/>
    </row>
    <row r="663">
      <c r="A663" s="36"/>
      <c r="B663" s="47"/>
      <c r="C663" s="50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  <c r="BK663" s="36"/>
      <c r="BL663" s="36"/>
      <c r="BM663" s="36"/>
      <c r="BN663" s="36"/>
      <c r="BO663" s="36"/>
      <c r="BP663" s="36"/>
      <c r="BQ663" s="36"/>
      <c r="BR663" s="36"/>
      <c r="BS663" s="36"/>
      <c r="BT663" s="36"/>
      <c r="BU663" s="36"/>
      <c r="BV663" s="36"/>
      <c r="BW663" s="36"/>
      <c r="BX663" s="36"/>
      <c r="BY663" s="36"/>
      <c r="BZ663" s="36"/>
      <c r="CA663" s="36"/>
      <c r="CB663" s="36"/>
      <c r="CC663" s="36"/>
      <c r="CD663" s="36"/>
      <c r="CE663" s="36"/>
      <c r="CF663" s="36"/>
      <c r="CG663" s="36"/>
      <c r="CH663" s="36"/>
      <c r="CI663" s="36"/>
      <c r="CJ663" s="36"/>
      <c r="CK663" s="36"/>
      <c r="CL663" s="36"/>
      <c r="CM663" s="36"/>
      <c r="CN663" s="36"/>
      <c r="CO663" s="36"/>
    </row>
    <row r="664">
      <c r="A664" s="36"/>
      <c r="B664" s="47"/>
      <c r="C664" s="50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  <c r="BK664" s="36"/>
      <c r="BL664" s="36"/>
      <c r="BM664" s="36"/>
      <c r="BN664" s="36"/>
      <c r="BO664" s="36"/>
      <c r="BP664" s="36"/>
      <c r="BQ664" s="36"/>
      <c r="BR664" s="36"/>
      <c r="BS664" s="36"/>
      <c r="BT664" s="36"/>
      <c r="BU664" s="36"/>
      <c r="BV664" s="36"/>
      <c r="BW664" s="36"/>
      <c r="BX664" s="36"/>
      <c r="BY664" s="36"/>
      <c r="BZ664" s="36"/>
      <c r="CA664" s="36"/>
      <c r="CB664" s="36"/>
      <c r="CC664" s="36"/>
      <c r="CD664" s="36"/>
      <c r="CE664" s="36"/>
      <c r="CF664" s="36"/>
      <c r="CG664" s="36"/>
      <c r="CH664" s="36"/>
      <c r="CI664" s="36"/>
      <c r="CJ664" s="36"/>
      <c r="CK664" s="36"/>
      <c r="CL664" s="36"/>
      <c r="CM664" s="36"/>
      <c r="CN664" s="36"/>
      <c r="CO664" s="36"/>
    </row>
    <row r="665">
      <c r="A665" s="36"/>
      <c r="B665" s="47"/>
      <c r="C665" s="50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  <c r="BK665" s="36"/>
      <c r="BL665" s="36"/>
      <c r="BM665" s="36"/>
      <c r="BN665" s="36"/>
      <c r="BO665" s="36"/>
      <c r="BP665" s="36"/>
      <c r="BQ665" s="36"/>
      <c r="BR665" s="36"/>
      <c r="BS665" s="36"/>
      <c r="BT665" s="36"/>
      <c r="BU665" s="36"/>
      <c r="BV665" s="36"/>
      <c r="BW665" s="36"/>
      <c r="BX665" s="36"/>
      <c r="BY665" s="36"/>
      <c r="BZ665" s="36"/>
      <c r="CA665" s="36"/>
      <c r="CB665" s="36"/>
      <c r="CC665" s="36"/>
      <c r="CD665" s="36"/>
      <c r="CE665" s="36"/>
      <c r="CF665" s="36"/>
      <c r="CG665" s="36"/>
      <c r="CH665" s="36"/>
      <c r="CI665" s="36"/>
      <c r="CJ665" s="36"/>
      <c r="CK665" s="36"/>
      <c r="CL665" s="36"/>
      <c r="CM665" s="36"/>
      <c r="CN665" s="36"/>
      <c r="CO665" s="36"/>
    </row>
    <row r="666">
      <c r="A666" s="36"/>
      <c r="B666" s="47"/>
      <c r="C666" s="50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  <c r="BK666" s="36"/>
      <c r="BL666" s="36"/>
      <c r="BM666" s="36"/>
      <c r="BN666" s="36"/>
      <c r="BO666" s="36"/>
      <c r="BP666" s="36"/>
      <c r="BQ666" s="36"/>
      <c r="BR666" s="36"/>
      <c r="BS666" s="36"/>
      <c r="BT666" s="36"/>
      <c r="BU666" s="36"/>
      <c r="BV666" s="36"/>
      <c r="BW666" s="36"/>
      <c r="BX666" s="36"/>
      <c r="BY666" s="36"/>
      <c r="BZ666" s="36"/>
      <c r="CA666" s="36"/>
      <c r="CB666" s="36"/>
      <c r="CC666" s="36"/>
      <c r="CD666" s="36"/>
      <c r="CE666" s="36"/>
      <c r="CF666" s="36"/>
      <c r="CG666" s="36"/>
      <c r="CH666" s="36"/>
      <c r="CI666" s="36"/>
      <c r="CJ666" s="36"/>
      <c r="CK666" s="36"/>
      <c r="CL666" s="36"/>
      <c r="CM666" s="36"/>
      <c r="CN666" s="36"/>
      <c r="CO666" s="36"/>
    </row>
    <row r="667">
      <c r="A667" s="36"/>
      <c r="B667" s="47"/>
      <c r="C667" s="50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  <c r="BK667" s="36"/>
      <c r="BL667" s="36"/>
      <c r="BM667" s="36"/>
      <c r="BN667" s="36"/>
      <c r="BO667" s="36"/>
      <c r="BP667" s="36"/>
      <c r="BQ667" s="36"/>
      <c r="BR667" s="36"/>
      <c r="BS667" s="36"/>
      <c r="BT667" s="36"/>
      <c r="BU667" s="36"/>
      <c r="BV667" s="36"/>
      <c r="BW667" s="36"/>
      <c r="BX667" s="36"/>
      <c r="BY667" s="36"/>
      <c r="BZ667" s="36"/>
      <c r="CA667" s="36"/>
      <c r="CB667" s="36"/>
      <c r="CC667" s="36"/>
      <c r="CD667" s="36"/>
      <c r="CE667" s="36"/>
      <c r="CF667" s="36"/>
      <c r="CG667" s="36"/>
      <c r="CH667" s="36"/>
      <c r="CI667" s="36"/>
      <c r="CJ667" s="36"/>
      <c r="CK667" s="36"/>
      <c r="CL667" s="36"/>
      <c r="CM667" s="36"/>
      <c r="CN667" s="36"/>
      <c r="CO667" s="36"/>
    </row>
    <row r="668">
      <c r="A668" s="36"/>
      <c r="B668" s="47"/>
      <c r="C668" s="50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  <c r="BK668" s="36"/>
      <c r="BL668" s="36"/>
      <c r="BM668" s="36"/>
      <c r="BN668" s="36"/>
      <c r="BO668" s="36"/>
      <c r="BP668" s="36"/>
      <c r="BQ668" s="36"/>
      <c r="BR668" s="36"/>
      <c r="BS668" s="36"/>
      <c r="BT668" s="36"/>
      <c r="BU668" s="36"/>
      <c r="BV668" s="36"/>
      <c r="BW668" s="36"/>
      <c r="BX668" s="36"/>
      <c r="BY668" s="36"/>
      <c r="BZ668" s="36"/>
      <c r="CA668" s="36"/>
      <c r="CB668" s="36"/>
      <c r="CC668" s="36"/>
      <c r="CD668" s="36"/>
      <c r="CE668" s="36"/>
      <c r="CF668" s="36"/>
      <c r="CG668" s="36"/>
      <c r="CH668" s="36"/>
      <c r="CI668" s="36"/>
      <c r="CJ668" s="36"/>
      <c r="CK668" s="36"/>
      <c r="CL668" s="36"/>
      <c r="CM668" s="36"/>
      <c r="CN668" s="36"/>
      <c r="CO668" s="36"/>
    </row>
    <row r="669">
      <c r="A669" s="36"/>
      <c r="B669" s="47"/>
      <c r="C669" s="50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  <c r="BK669" s="36"/>
      <c r="BL669" s="36"/>
      <c r="BM669" s="36"/>
      <c r="BN669" s="36"/>
      <c r="BO669" s="36"/>
      <c r="BP669" s="36"/>
      <c r="BQ669" s="36"/>
      <c r="BR669" s="36"/>
      <c r="BS669" s="36"/>
      <c r="BT669" s="36"/>
      <c r="BU669" s="36"/>
      <c r="BV669" s="36"/>
      <c r="BW669" s="36"/>
      <c r="BX669" s="36"/>
      <c r="BY669" s="36"/>
      <c r="BZ669" s="36"/>
      <c r="CA669" s="36"/>
      <c r="CB669" s="36"/>
      <c r="CC669" s="36"/>
      <c r="CD669" s="36"/>
      <c r="CE669" s="36"/>
      <c r="CF669" s="36"/>
      <c r="CG669" s="36"/>
      <c r="CH669" s="36"/>
      <c r="CI669" s="36"/>
      <c r="CJ669" s="36"/>
      <c r="CK669" s="36"/>
      <c r="CL669" s="36"/>
      <c r="CM669" s="36"/>
      <c r="CN669" s="36"/>
      <c r="CO669" s="36"/>
    </row>
    <row r="670">
      <c r="A670" s="36"/>
      <c r="B670" s="47"/>
      <c r="C670" s="50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  <c r="BK670" s="36"/>
      <c r="BL670" s="36"/>
      <c r="BM670" s="36"/>
      <c r="BN670" s="36"/>
      <c r="BO670" s="36"/>
      <c r="BP670" s="36"/>
      <c r="BQ670" s="36"/>
      <c r="BR670" s="36"/>
      <c r="BS670" s="36"/>
      <c r="BT670" s="36"/>
      <c r="BU670" s="36"/>
      <c r="BV670" s="36"/>
      <c r="BW670" s="36"/>
      <c r="BX670" s="36"/>
      <c r="BY670" s="36"/>
      <c r="BZ670" s="36"/>
      <c r="CA670" s="36"/>
      <c r="CB670" s="36"/>
      <c r="CC670" s="36"/>
      <c r="CD670" s="36"/>
      <c r="CE670" s="36"/>
      <c r="CF670" s="36"/>
      <c r="CG670" s="36"/>
      <c r="CH670" s="36"/>
      <c r="CI670" s="36"/>
      <c r="CJ670" s="36"/>
      <c r="CK670" s="36"/>
      <c r="CL670" s="36"/>
      <c r="CM670" s="36"/>
      <c r="CN670" s="36"/>
      <c r="CO670" s="36"/>
    </row>
    <row r="671">
      <c r="A671" s="36"/>
      <c r="B671" s="47"/>
      <c r="C671" s="50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  <c r="BK671" s="36"/>
      <c r="BL671" s="36"/>
      <c r="BM671" s="36"/>
      <c r="BN671" s="36"/>
      <c r="BO671" s="36"/>
      <c r="BP671" s="36"/>
      <c r="BQ671" s="36"/>
      <c r="BR671" s="36"/>
      <c r="BS671" s="36"/>
      <c r="BT671" s="36"/>
      <c r="BU671" s="36"/>
      <c r="BV671" s="36"/>
      <c r="BW671" s="36"/>
      <c r="BX671" s="36"/>
      <c r="BY671" s="36"/>
      <c r="BZ671" s="36"/>
      <c r="CA671" s="36"/>
      <c r="CB671" s="36"/>
      <c r="CC671" s="36"/>
      <c r="CD671" s="36"/>
      <c r="CE671" s="36"/>
      <c r="CF671" s="36"/>
      <c r="CG671" s="36"/>
      <c r="CH671" s="36"/>
      <c r="CI671" s="36"/>
      <c r="CJ671" s="36"/>
      <c r="CK671" s="36"/>
      <c r="CL671" s="36"/>
      <c r="CM671" s="36"/>
      <c r="CN671" s="36"/>
      <c r="CO671" s="36"/>
    </row>
    <row r="672">
      <c r="A672" s="36"/>
      <c r="B672" s="47"/>
      <c r="C672" s="50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  <c r="BK672" s="36"/>
      <c r="BL672" s="36"/>
      <c r="BM672" s="36"/>
      <c r="BN672" s="36"/>
      <c r="BO672" s="36"/>
      <c r="BP672" s="36"/>
      <c r="BQ672" s="36"/>
      <c r="BR672" s="36"/>
      <c r="BS672" s="36"/>
      <c r="BT672" s="36"/>
      <c r="BU672" s="36"/>
      <c r="BV672" s="36"/>
      <c r="BW672" s="36"/>
      <c r="BX672" s="36"/>
      <c r="BY672" s="36"/>
      <c r="BZ672" s="36"/>
      <c r="CA672" s="36"/>
      <c r="CB672" s="36"/>
      <c r="CC672" s="36"/>
      <c r="CD672" s="36"/>
      <c r="CE672" s="36"/>
      <c r="CF672" s="36"/>
      <c r="CG672" s="36"/>
      <c r="CH672" s="36"/>
      <c r="CI672" s="36"/>
      <c r="CJ672" s="36"/>
      <c r="CK672" s="36"/>
      <c r="CL672" s="36"/>
      <c r="CM672" s="36"/>
      <c r="CN672" s="36"/>
      <c r="CO672" s="36"/>
    </row>
    <row r="673">
      <c r="A673" s="36"/>
      <c r="B673" s="47"/>
      <c r="C673" s="50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  <c r="BK673" s="36"/>
      <c r="BL673" s="36"/>
      <c r="BM673" s="36"/>
      <c r="BN673" s="36"/>
      <c r="BO673" s="36"/>
      <c r="BP673" s="36"/>
      <c r="BQ673" s="36"/>
      <c r="BR673" s="36"/>
      <c r="BS673" s="36"/>
      <c r="BT673" s="36"/>
      <c r="BU673" s="36"/>
      <c r="BV673" s="36"/>
      <c r="BW673" s="36"/>
      <c r="BX673" s="36"/>
      <c r="BY673" s="36"/>
      <c r="BZ673" s="36"/>
      <c r="CA673" s="36"/>
      <c r="CB673" s="36"/>
      <c r="CC673" s="36"/>
      <c r="CD673" s="36"/>
      <c r="CE673" s="36"/>
      <c r="CF673" s="36"/>
      <c r="CG673" s="36"/>
      <c r="CH673" s="36"/>
      <c r="CI673" s="36"/>
      <c r="CJ673" s="36"/>
      <c r="CK673" s="36"/>
      <c r="CL673" s="36"/>
      <c r="CM673" s="36"/>
      <c r="CN673" s="36"/>
      <c r="CO673" s="36"/>
    </row>
    <row r="674">
      <c r="A674" s="36"/>
      <c r="B674" s="47"/>
      <c r="C674" s="50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  <c r="BK674" s="36"/>
      <c r="BL674" s="36"/>
      <c r="BM674" s="36"/>
      <c r="BN674" s="36"/>
      <c r="BO674" s="36"/>
      <c r="BP674" s="36"/>
      <c r="BQ674" s="36"/>
      <c r="BR674" s="36"/>
      <c r="BS674" s="36"/>
      <c r="BT674" s="36"/>
      <c r="BU674" s="36"/>
      <c r="BV674" s="36"/>
      <c r="BW674" s="36"/>
      <c r="BX674" s="36"/>
      <c r="BY674" s="36"/>
      <c r="BZ674" s="36"/>
      <c r="CA674" s="36"/>
      <c r="CB674" s="36"/>
      <c r="CC674" s="36"/>
      <c r="CD674" s="36"/>
      <c r="CE674" s="36"/>
      <c r="CF674" s="36"/>
      <c r="CG674" s="36"/>
      <c r="CH674" s="36"/>
      <c r="CI674" s="36"/>
      <c r="CJ674" s="36"/>
      <c r="CK674" s="36"/>
      <c r="CL674" s="36"/>
      <c r="CM674" s="36"/>
      <c r="CN674" s="36"/>
      <c r="CO674" s="36"/>
    </row>
    <row r="675">
      <c r="A675" s="36"/>
      <c r="B675" s="47"/>
      <c r="C675" s="50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  <c r="BK675" s="36"/>
      <c r="BL675" s="36"/>
      <c r="BM675" s="36"/>
      <c r="BN675" s="36"/>
      <c r="BO675" s="36"/>
      <c r="BP675" s="36"/>
      <c r="BQ675" s="36"/>
      <c r="BR675" s="36"/>
      <c r="BS675" s="36"/>
      <c r="BT675" s="36"/>
      <c r="BU675" s="36"/>
      <c r="BV675" s="36"/>
      <c r="BW675" s="36"/>
      <c r="BX675" s="36"/>
      <c r="BY675" s="36"/>
      <c r="BZ675" s="36"/>
      <c r="CA675" s="36"/>
      <c r="CB675" s="36"/>
      <c r="CC675" s="36"/>
      <c r="CD675" s="36"/>
      <c r="CE675" s="36"/>
      <c r="CF675" s="36"/>
      <c r="CG675" s="36"/>
      <c r="CH675" s="36"/>
      <c r="CI675" s="36"/>
      <c r="CJ675" s="36"/>
      <c r="CK675" s="36"/>
      <c r="CL675" s="36"/>
      <c r="CM675" s="36"/>
      <c r="CN675" s="36"/>
      <c r="CO675" s="36"/>
    </row>
    <row r="676">
      <c r="A676" s="36"/>
      <c r="B676" s="47"/>
      <c r="C676" s="50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  <c r="BK676" s="36"/>
      <c r="BL676" s="36"/>
      <c r="BM676" s="36"/>
      <c r="BN676" s="36"/>
      <c r="BO676" s="36"/>
      <c r="BP676" s="36"/>
      <c r="BQ676" s="36"/>
      <c r="BR676" s="36"/>
      <c r="BS676" s="36"/>
      <c r="BT676" s="36"/>
      <c r="BU676" s="36"/>
      <c r="BV676" s="36"/>
      <c r="BW676" s="36"/>
      <c r="BX676" s="36"/>
      <c r="BY676" s="36"/>
      <c r="BZ676" s="36"/>
      <c r="CA676" s="36"/>
      <c r="CB676" s="36"/>
      <c r="CC676" s="36"/>
      <c r="CD676" s="36"/>
      <c r="CE676" s="36"/>
      <c r="CF676" s="36"/>
      <c r="CG676" s="36"/>
      <c r="CH676" s="36"/>
      <c r="CI676" s="36"/>
      <c r="CJ676" s="36"/>
      <c r="CK676" s="36"/>
      <c r="CL676" s="36"/>
      <c r="CM676" s="36"/>
      <c r="CN676" s="36"/>
      <c r="CO676" s="36"/>
    </row>
    <row r="677">
      <c r="A677" s="36"/>
      <c r="B677" s="47"/>
      <c r="C677" s="50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  <c r="BK677" s="36"/>
      <c r="BL677" s="36"/>
      <c r="BM677" s="36"/>
      <c r="BN677" s="36"/>
      <c r="BO677" s="36"/>
      <c r="BP677" s="36"/>
      <c r="BQ677" s="36"/>
      <c r="BR677" s="36"/>
      <c r="BS677" s="36"/>
      <c r="BT677" s="36"/>
      <c r="BU677" s="36"/>
      <c r="BV677" s="36"/>
      <c r="BW677" s="36"/>
      <c r="BX677" s="36"/>
      <c r="BY677" s="36"/>
      <c r="BZ677" s="36"/>
      <c r="CA677" s="36"/>
      <c r="CB677" s="36"/>
      <c r="CC677" s="36"/>
      <c r="CD677" s="36"/>
      <c r="CE677" s="36"/>
      <c r="CF677" s="36"/>
      <c r="CG677" s="36"/>
      <c r="CH677" s="36"/>
      <c r="CI677" s="36"/>
      <c r="CJ677" s="36"/>
      <c r="CK677" s="36"/>
      <c r="CL677" s="36"/>
      <c r="CM677" s="36"/>
      <c r="CN677" s="36"/>
      <c r="CO677" s="36"/>
    </row>
    <row r="678">
      <c r="A678" s="36"/>
      <c r="B678" s="47"/>
      <c r="C678" s="50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  <c r="BK678" s="36"/>
      <c r="BL678" s="36"/>
      <c r="BM678" s="36"/>
      <c r="BN678" s="36"/>
      <c r="BO678" s="36"/>
      <c r="BP678" s="36"/>
      <c r="BQ678" s="36"/>
      <c r="BR678" s="36"/>
      <c r="BS678" s="36"/>
      <c r="BT678" s="36"/>
      <c r="BU678" s="36"/>
      <c r="BV678" s="36"/>
      <c r="BW678" s="36"/>
      <c r="BX678" s="36"/>
      <c r="BY678" s="36"/>
      <c r="BZ678" s="36"/>
      <c r="CA678" s="36"/>
      <c r="CB678" s="36"/>
      <c r="CC678" s="36"/>
      <c r="CD678" s="36"/>
      <c r="CE678" s="36"/>
      <c r="CF678" s="36"/>
      <c r="CG678" s="36"/>
      <c r="CH678" s="36"/>
      <c r="CI678" s="36"/>
      <c r="CJ678" s="36"/>
      <c r="CK678" s="36"/>
      <c r="CL678" s="36"/>
      <c r="CM678" s="36"/>
      <c r="CN678" s="36"/>
      <c r="CO678" s="36"/>
    </row>
    <row r="679">
      <c r="A679" s="36"/>
      <c r="B679" s="47"/>
      <c r="C679" s="50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  <c r="BK679" s="36"/>
      <c r="BL679" s="36"/>
      <c r="BM679" s="36"/>
      <c r="BN679" s="36"/>
      <c r="BO679" s="36"/>
      <c r="BP679" s="36"/>
      <c r="BQ679" s="36"/>
      <c r="BR679" s="36"/>
      <c r="BS679" s="36"/>
      <c r="BT679" s="36"/>
      <c r="BU679" s="36"/>
      <c r="BV679" s="36"/>
      <c r="BW679" s="36"/>
      <c r="BX679" s="36"/>
      <c r="BY679" s="36"/>
      <c r="BZ679" s="36"/>
      <c r="CA679" s="36"/>
      <c r="CB679" s="36"/>
      <c r="CC679" s="36"/>
      <c r="CD679" s="36"/>
      <c r="CE679" s="36"/>
      <c r="CF679" s="36"/>
      <c r="CG679" s="36"/>
      <c r="CH679" s="36"/>
      <c r="CI679" s="36"/>
      <c r="CJ679" s="36"/>
      <c r="CK679" s="36"/>
      <c r="CL679" s="36"/>
      <c r="CM679" s="36"/>
      <c r="CN679" s="36"/>
      <c r="CO679" s="36"/>
    </row>
    <row r="680">
      <c r="A680" s="36"/>
      <c r="B680" s="47"/>
      <c r="C680" s="50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  <c r="BK680" s="36"/>
      <c r="BL680" s="36"/>
      <c r="BM680" s="36"/>
      <c r="BN680" s="36"/>
      <c r="BO680" s="36"/>
      <c r="BP680" s="36"/>
      <c r="BQ680" s="36"/>
      <c r="BR680" s="36"/>
      <c r="BS680" s="36"/>
      <c r="BT680" s="36"/>
      <c r="BU680" s="36"/>
      <c r="BV680" s="36"/>
      <c r="BW680" s="36"/>
      <c r="BX680" s="36"/>
      <c r="BY680" s="36"/>
      <c r="BZ680" s="36"/>
      <c r="CA680" s="36"/>
      <c r="CB680" s="36"/>
      <c r="CC680" s="36"/>
      <c r="CD680" s="36"/>
      <c r="CE680" s="36"/>
      <c r="CF680" s="36"/>
      <c r="CG680" s="36"/>
      <c r="CH680" s="36"/>
      <c r="CI680" s="36"/>
      <c r="CJ680" s="36"/>
      <c r="CK680" s="36"/>
      <c r="CL680" s="36"/>
      <c r="CM680" s="36"/>
      <c r="CN680" s="36"/>
      <c r="CO680" s="36"/>
    </row>
    <row r="681">
      <c r="A681" s="36"/>
      <c r="B681" s="47"/>
      <c r="C681" s="50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  <c r="BK681" s="36"/>
      <c r="BL681" s="36"/>
      <c r="BM681" s="36"/>
      <c r="BN681" s="36"/>
      <c r="BO681" s="36"/>
      <c r="BP681" s="36"/>
      <c r="BQ681" s="36"/>
      <c r="BR681" s="36"/>
      <c r="BS681" s="36"/>
      <c r="BT681" s="36"/>
      <c r="BU681" s="36"/>
      <c r="BV681" s="36"/>
      <c r="BW681" s="36"/>
      <c r="BX681" s="36"/>
      <c r="BY681" s="36"/>
      <c r="BZ681" s="36"/>
      <c r="CA681" s="36"/>
      <c r="CB681" s="36"/>
      <c r="CC681" s="36"/>
      <c r="CD681" s="36"/>
      <c r="CE681" s="36"/>
      <c r="CF681" s="36"/>
      <c r="CG681" s="36"/>
      <c r="CH681" s="36"/>
      <c r="CI681" s="36"/>
      <c r="CJ681" s="36"/>
      <c r="CK681" s="36"/>
      <c r="CL681" s="36"/>
      <c r="CM681" s="36"/>
      <c r="CN681" s="36"/>
      <c r="CO681" s="36"/>
    </row>
    <row r="682">
      <c r="A682" s="36"/>
      <c r="B682" s="47"/>
      <c r="C682" s="50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  <c r="BK682" s="36"/>
      <c r="BL682" s="36"/>
      <c r="BM682" s="36"/>
      <c r="BN682" s="36"/>
      <c r="BO682" s="36"/>
      <c r="BP682" s="36"/>
      <c r="BQ682" s="36"/>
      <c r="BR682" s="36"/>
      <c r="BS682" s="36"/>
      <c r="BT682" s="36"/>
      <c r="BU682" s="36"/>
      <c r="BV682" s="36"/>
      <c r="BW682" s="36"/>
      <c r="BX682" s="36"/>
      <c r="BY682" s="36"/>
      <c r="BZ682" s="36"/>
      <c r="CA682" s="36"/>
      <c r="CB682" s="36"/>
      <c r="CC682" s="36"/>
      <c r="CD682" s="36"/>
      <c r="CE682" s="36"/>
      <c r="CF682" s="36"/>
      <c r="CG682" s="36"/>
      <c r="CH682" s="36"/>
      <c r="CI682" s="36"/>
      <c r="CJ682" s="36"/>
      <c r="CK682" s="36"/>
      <c r="CL682" s="36"/>
      <c r="CM682" s="36"/>
      <c r="CN682" s="36"/>
      <c r="CO682" s="36"/>
    </row>
    <row r="683">
      <c r="A683" s="36"/>
      <c r="B683" s="47"/>
      <c r="C683" s="50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  <c r="BK683" s="36"/>
      <c r="BL683" s="36"/>
      <c r="BM683" s="36"/>
      <c r="BN683" s="36"/>
      <c r="BO683" s="36"/>
      <c r="BP683" s="36"/>
      <c r="BQ683" s="36"/>
      <c r="BR683" s="36"/>
      <c r="BS683" s="36"/>
      <c r="BT683" s="36"/>
      <c r="BU683" s="36"/>
      <c r="BV683" s="36"/>
      <c r="BW683" s="36"/>
      <c r="BX683" s="36"/>
      <c r="BY683" s="36"/>
      <c r="BZ683" s="36"/>
      <c r="CA683" s="36"/>
      <c r="CB683" s="36"/>
      <c r="CC683" s="36"/>
      <c r="CD683" s="36"/>
      <c r="CE683" s="36"/>
      <c r="CF683" s="36"/>
      <c r="CG683" s="36"/>
      <c r="CH683" s="36"/>
      <c r="CI683" s="36"/>
      <c r="CJ683" s="36"/>
      <c r="CK683" s="36"/>
      <c r="CL683" s="36"/>
      <c r="CM683" s="36"/>
      <c r="CN683" s="36"/>
      <c r="CO683" s="36"/>
    </row>
    <row r="684">
      <c r="A684" s="36"/>
      <c r="B684" s="47"/>
      <c r="C684" s="50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  <c r="BK684" s="36"/>
      <c r="BL684" s="36"/>
      <c r="BM684" s="36"/>
      <c r="BN684" s="36"/>
      <c r="BO684" s="36"/>
      <c r="BP684" s="36"/>
      <c r="BQ684" s="36"/>
      <c r="BR684" s="36"/>
      <c r="BS684" s="36"/>
      <c r="BT684" s="36"/>
      <c r="BU684" s="36"/>
      <c r="BV684" s="36"/>
      <c r="BW684" s="36"/>
      <c r="BX684" s="36"/>
      <c r="BY684" s="36"/>
      <c r="BZ684" s="36"/>
      <c r="CA684" s="36"/>
      <c r="CB684" s="36"/>
      <c r="CC684" s="36"/>
      <c r="CD684" s="36"/>
      <c r="CE684" s="36"/>
      <c r="CF684" s="36"/>
      <c r="CG684" s="36"/>
      <c r="CH684" s="36"/>
      <c r="CI684" s="36"/>
      <c r="CJ684" s="36"/>
      <c r="CK684" s="36"/>
      <c r="CL684" s="36"/>
      <c r="CM684" s="36"/>
      <c r="CN684" s="36"/>
      <c r="CO684" s="36"/>
    </row>
    <row r="685">
      <c r="A685" s="36"/>
      <c r="B685" s="47"/>
      <c r="C685" s="50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  <c r="BK685" s="36"/>
      <c r="BL685" s="36"/>
      <c r="BM685" s="36"/>
      <c r="BN685" s="36"/>
      <c r="BO685" s="36"/>
      <c r="BP685" s="36"/>
      <c r="BQ685" s="36"/>
      <c r="BR685" s="36"/>
      <c r="BS685" s="36"/>
      <c r="BT685" s="36"/>
      <c r="BU685" s="36"/>
      <c r="BV685" s="36"/>
      <c r="BW685" s="36"/>
      <c r="BX685" s="36"/>
      <c r="BY685" s="36"/>
      <c r="BZ685" s="36"/>
      <c r="CA685" s="36"/>
      <c r="CB685" s="36"/>
      <c r="CC685" s="36"/>
      <c r="CD685" s="36"/>
      <c r="CE685" s="36"/>
      <c r="CF685" s="36"/>
      <c r="CG685" s="36"/>
      <c r="CH685" s="36"/>
      <c r="CI685" s="36"/>
      <c r="CJ685" s="36"/>
      <c r="CK685" s="36"/>
      <c r="CL685" s="36"/>
      <c r="CM685" s="36"/>
      <c r="CN685" s="36"/>
      <c r="CO685" s="36"/>
    </row>
    <row r="686">
      <c r="A686" s="36"/>
      <c r="B686" s="47"/>
      <c r="C686" s="50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  <c r="BK686" s="36"/>
      <c r="BL686" s="36"/>
      <c r="BM686" s="36"/>
      <c r="BN686" s="36"/>
      <c r="BO686" s="36"/>
      <c r="BP686" s="36"/>
      <c r="BQ686" s="36"/>
      <c r="BR686" s="36"/>
      <c r="BS686" s="36"/>
      <c r="BT686" s="36"/>
      <c r="BU686" s="36"/>
      <c r="BV686" s="36"/>
      <c r="BW686" s="36"/>
      <c r="BX686" s="36"/>
      <c r="BY686" s="36"/>
      <c r="BZ686" s="36"/>
      <c r="CA686" s="36"/>
      <c r="CB686" s="36"/>
      <c r="CC686" s="36"/>
      <c r="CD686" s="36"/>
      <c r="CE686" s="36"/>
      <c r="CF686" s="36"/>
      <c r="CG686" s="36"/>
      <c r="CH686" s="36"/>
      <c r="CI686" s="36"/>
      <c r="CJ686" s="36"/>
      <c r="CK686" s="36"/>
      <c r="CL686" s="36"/>
      <c r="CM686" s="36"/>
      <c r="CN686" s="36"/>
      <c r="CO686" s="36"/>
    </row>
    <row r="687">
      <c r="A687" s="36"/>
      <c r="B687" s="47"/>
      <c r="C687" s="50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  <c r="BK687" s="36"/>
      <c r="BL687" s="36"/>
      <c r="BM687" s="36"/>
      <c r="BN687" s="36"/>
      <c r="BO687" s="36"/>
      <c r="BP687" s="36"/>
      <c r="BQ687" s="36"/>
      <c r="BR687" s="36"/>
      <c r="BS687" s="36"/>
      <c r="BT687" s="36"/>
      <c r="BU687" s="36"/>
      <c r="BV687" s="36"/>
      <c r="BW687" s="36"/>
      <c r="BX687" s="36"/>
      <c r="BY687" s="36"/>
      <c r="BZ687" s="36"/>
      <c r="CA687" s="36"/>
      <c r="CB687" s="36"/>
      <c r="CC687" s="36"/>
      <c r="CD687" s="36"/>
      <c r="CE687" s="36"/>
      <c r="CF687" s="36"/>
      <c r="CG687" s="36"/>
      <c r="CH687" s="36"/>
      <c r="CI687" s="36"/>
      <c r="CJ687" s="36"/>
      <c r="CK687" s="36"/>
      <c r="CL687" s="36"/>
      <c r="CM687" s="36"/>
      <c r="CN687" s="36"/>
      <c r="CO687" s="36"/>
    </row>
    <row r="688">
      <c r="A688" s="36"/>
      <c r="B688" s="47"/>
      <c r="C688" s="50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  <c r="BK688" s="36"/>
      <c r="BL688" s="36"/>
      <c r="BM688" s="36"/>
      <c r="BN688" s="36"/>
      <c r="BO688" s="36"/>
      <c r="BP688" s="36"/>
      <c r="BQ688" s="36"/>
      <c r="BR688" s="36"/>
      <c r="BS688" s="36"/>
      <c r="BT688" s="36"/>
      <c r="BU688" s="36"/>
      <c r="BV688" s="36"/>
      <c r="BW688" s="36"/>
      <c r="BX688" s="36"/>
      <c r="BY688" s="36"/>
      <c r="BZ688" s="36"/>
      <c r="CA688" s="36"/>
      <c r="CB688" s="36"/>
      <c r="CC688" s="36"/>
      <c r="CD688" s="36"/>
      <c r="CE688" s="36"/>
      <c r="CF688" s="36"/>
      <c r="CG688" s="36"/>
      <c r="CH688" s="36"/>
      <c r="CI688" s="36"/>
      <c r="CJ688" s="36"/>
      <c r="CK688" s="36"/>
      <c r="CL688" s="36"/>
      <c r="CM688" s="36"/>
      <c r="CN688" s="36"/>
      <c r="CO688" s="36"/>
    </row>
    <row r="689">
      <c r="A689" s="36"/>
      <c r="B689" s="47"/>
      <c r="C689" s="50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  <c r="BK689" s="36"/>
      <c r="BL689" s="36"/>
      <c r="BM689" s="36"/>
      <c r="BN689" s="36"/>
      <c r="BO689" s="36"/>
      <c r="BP689" s="36"/>
      <c r="BQ689" s="36"/>
      <c r="BR689" s="36"/>
      <c r="BS689" s="36"/>
      <c r="BT689" s="36"/>
      <c r="BU689" s="36"/>
      <c r="BV689" s="36"/>
      <c r="BW689" s="36"/>
      <c r="BX689" s="36"/>
      <c r="BY689" s="36"/>
      <c r="BZ689" s="36"/>
      <c r="CA689" s="36"/>
      <c r="CB689" s="36"/>
      <c r="CC689" s="36"/>
      <c r="CD689" s="36"/>
      <c r="CE689" s="36"/>
      <c r="CF689" s="36"/>
      <c r="CG689" s="36"/>
      <c r="CH689" s="36"/>
      <c r="CI689" s="36"/>
      <c r="CJ689" s="36"/>
      <c r="CK689" s="36"/>
      <c r="CL689" s="36"/>
      <c r="CM689" s="36"/>
      <c r="CN689" s="36"/>
      <c r="CO689" s="36"/>
    </row>
    <row r="690">
      <c r="A690" s="36"/>
      <c r="B690" s="47"/>
      <c r="C690" s="50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  <c r="BK690" s="36"/>
      <c r="BL690" s="36"/>
      <c r="BM690" s="36"/>
      <c r="BN690" s="36"/>
      <c r="BO690" s="36"/>
      <c r="BP690" s="36"/>
      <c r="BQ690" s="36"/>
      <c r="BR690" s="36"/>
      <c r="BS690" s="36"/>
      <c r="BT690" s="36"/>
      <c r="BU690" s="36"/>
      <c r="BV690" s="36"/>
      <c r="BW690" s="36"/>
      <c r="BX690" s="36"/>
      <c r="BY690" s="36"/>
      <c r="BZ690" s="36"/>
      <c r="CA690" s="36"/>
      <c r="CB690" s="36"/>
      <c r="CC690" s="36"/>
      <c r="CD690" s="36"/>
      <c r="CE690" s="36"/>
      <c r="CF690" s="36"/>
      <c r="CG690" s="36"/>
      <c r="CH690" s="36"/>
      <c r="CI690" s="36"/>
      <c r="CJ690" s="36"/>
      <c r="CK690" s="36"/>
      <c r="CL690" s="36"/>
      <c r="CM690" s="36"/>
      <c r="CN690" s="36"/>
      <c r="CO690" s="36"/>
    </row>
    <row r="691">
      <c r="A691" s="36"/>
      <c r="B691" s="47"/>
      <c r="C691" s="50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  <c r="BK691" s="36"/>
      <c r="BL691" s="36"/>
      <c r="BM691" s="36"/>
      <c r="BN691" s="36"/>
      <c r="BO691" s="36"/>
      <c r="BP691" s="36"/>
      <c r="BQ691" s="36"/>
      <c r="BR691" s="36"/>
      <c r="BS691" s="36"/>
      <c r="BT691" s="36"/>
      <c r="BU691" s="36"/>
      <c r="BV691" s="36"/>
      <c r="BW691" s="36"/>
      <c r="BX691" s="36"/>
      <c r="BY691" s="36"/>
      <c r="BZ691" s="36"/>
      <c r="CA691" s="36"/>
      <c r="CB691" s="36"/>
      <c r="CC691" s="36"/>
      <c r="CD691" s="36"/>
      <c r="CE691" s="36"/>
      <c r="CF691" s="36"/>
      <c r="CG691" s="36"/>
      <c r="CH691" s="36"/>
      <c r="CI691" s="36"/>
      <c r="CJ691" s="36"/>
      <c r="CK691" s="36"/>
      <c r="CL691" s="36"/>
      <c r="CM691" s="36"/>
      <c r="CN691" s="36"/>
      <c r="CO691" s="36"/>
    </row>
    <row r="692">
      <c r="A692" s="36"/>
      <c r="B692" s="47"/>
      <c r="C692" s="50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  <c r="BK692" s="36"/>
      <c r="BL692" s="36"/>
      <c r="BM692" s="36"/>
      <c r="BN692" s="36"/>
      <c r="BO692" s="36"/>
      <c r="BP692" s="36"/>
      <c r="BQ692" s="36"/>
      <c r="BR692" s="36"/>
      <c r="BS692" s="36"/>
      <c r="BT692" s="36"/>
      <c r="BU692" s="36"/>
      <c r="BV692" s="36"/>
      <c r="BW692" s="36"/>
      <c r="BX692" s="36"/>
      <c r="BY692" s="36"/>
      <c r="BZ692" s="36"/>
      <c r="CA692" s="36"/>
      <c r="CB692" s="36"/>
      <c r="CC692" s="36"/>
      <c r="CD692" s="36"/>
      <c r="CE692" s="36"/>
      <c r="CF692" s="36"/>
      <c r="CG692" s="36"/>
      <c r="CH692" s="36"/>
      <c r="CI692" s="36"/>
      <c r="CJ692" s="36"/>
      <c r="CK692" s="36"/>
      <c r="CL692" s="36"/>
      <c r="CM692" s="36"/>
      <c r="CN692" s="36"/>
      <c r="CO692" s="36"/>
    </row>
    <row r="693">
      <c r="A693" s="36"/>
      <c r="B693" s="47"/>
      <c r="C693" s="50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  <c r="BK693" s="36"/>
      <c r="BL693" s="36"/>
      <c r="BM693" s="36"/>
      <c r="BN693" s="36"/>
      <c r="BO693" s="36"/>
      <c r="BP693" s="36"/>
      <c r="BQ693" s="36"/>
      <c r="BR693" s="36"/>
      <c r="BS693" s="36"/>
      <c r="BT693" s="36"/>
      <c r="BU693" s="36"/>
      <c r="BV693" s="36"/>
      <c r="BW693" s="36"/>
      <c r="BX693" s="36"/>
      <c r="BY693" s="36"/>
      <c r="BZ693" s="36"/>
      <c r="CA693" s="36"/>
      <c r="CB693" s="36"/>
      <c r="CC693" s="36"/>
      <c r="CD693" s="36"/>
      <c r="CE693" s="36"/>
      <c r="CF693" s="36"/>
      <c r="CG693" s="36"/>
      <c r="CH693" s="36"/>
      <c r="CI693" s="36"/>
      <c r="CJ693" s="36"/>
      <c r="CK693" s="36"/>
      <c r="CL693" s="36"/>
      <c r="CM693" s="36"/>
      <c r="CN693" s="36"/>
      <c r="CO693" s="36"/>
    </row>
    <row r="694">
      <c r="A694" s="36"/>
      <c r="B694" s="47"/>
      <c r="C694" s="50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  <c r="BK694" s="36"/>
      <c r="BL694" s="36"/>
      <c r="BM694" s="36"/>
      <c r="BN694" s="36"/>
      <c r="BO694" s="36"/>
      <c r="BP694" s="36"/>
      <c r="BQ694" s="36"/>
      <c r="BR694" s="36"/>
      <c r="BS694" s="36"/>
      <c r="BT694" s="36"/>
      <c r="BU694" s="36"/>
      <c r="BV694" s="36"/>
      <c r="BW694" s="36"/>
      <c r="BX694" s="36"/>
      <c r="BY694" s="36"/>
      <c r="BZ694" s="36"/>
      <c r="CA694" s="36"/>
      <c r="CB694" s="36"/>
      <c r="CC694" s="36"/>
      <c r="CD694" s="36"/>
      <c r="CE694" s="36"/>
      <c r="CF694" s="36"/>
      <c r="CG694" s="36"/>
      <c r="CH694" s="36"/>
      <c r="CI694" s="36"/>
      <c r="CJ694" s="36"/>
      <c r="CK694" s="36"/>
      <c r="CL694" s="36"/>
      <c r="CM694" s="36"/>
      <c r="CN694" s="36"/>
      <c r="CO694" s="36"/>
    </row>
    <row r="695">
      <c r="A695" s="36"/>
      <c r="B695" s="47"/>
      <c r="C695" s="50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  <c r="BK695" s="36"/>
      <c r="BL695" s="36"/>
      <c r="BM695" s="36"/>
      <c r="BN695" s="36"/>
      <c r="BO695" s="36"/>
      <c r="BP695" s="36"/>
      <c r="BQ695" s="36"/>
      <c r="BR695" s="36"/>
      <c r="BS695" s="36"/>
      <c r="BT695" s="36"/>
      <c r="BU695" s="36"/>
      <c r="BV695" s="36"/>
      <c r="BW695" s="36"/>
      <c r="BX695" s="36"/>
      <c r="BY695" s="36"/>
      <c r="BZ695" s="36"/>
      <c r="CA695" s="36"/>
      <c r="CB695" s="36"/>
      <c r="CC695" s="36"/>
      <c r="CD695" s="36"/>
      <c r="CE695" s="36"/>
      <c r="CF695" s="36"/>
      <c r="CG695" s="36"/>
      <c r="CH695" s="36"/>
      <c r="CI695" s="36"/>
      <c r="CJ695" s="36"/>
      <c r="CK695" s="36"/>
      <c r="CL695" s="36"/>
      <c r="CM695" s="36"/>
      <c r="CN695" s="36"/>
      <c r="CO695" s="36"/>
    </row>
    <row r="696">
      <c r="A696" s="36"/>
      <c r="B696" s="47"/>
      <c r="C696" s="50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  <c r="BK696" s="36"/>
      <c r="BL696" s="36"/>
      <c r="BM696" s="36"/>
      <c r="BN696" s="36"/>
      <c r="BO696" s="36"/>
      <c r="BP696" s="36"/>
      <c r="BQ696" s="36"/>
      <c r="BR696" s="36"/>
      <c r="BS696" s="36"/>
      <c r="BT696" s="36"/>
      <c r="BU696" s="36"/>
      <c r="BV696" s="36"/>
      <c r="BW696" s="36"/>
      <c r="BX696" s="36"/>
      <c r="BY696" s="36"/>
      <c r="BZ696" s="36"/>
      <c r="CA696" s="36"/>
      <c r="CB696" s="36"/>
      <c r="CC696" s="36"/>
      <c r="CD696" s="36"/>
      <c r="CE696" s="36"/>
      <c r="CF696" s="36"/>
      <c r="CG696" s="36"/>
      <c r="CH696" s="36"/>
      <c r="CI696" s="36"/>
      <c r="CJ696" s="36"/>
      <c r="CK696" s="36"/>
      <c r="CL696" s="36"/>
      <c r="CM696" s="36"/>
      <c r="CN696" s="36"/>
      <c r="CO696" s="36"/>
    </row>
    <row r="697">
      <c r="A697" s="36"/>
      <c r="B697" s="47"/>
      <c r="C697" s="50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  <c r="BK697" s="36"/>
      <c r="BL697" s="36"/>
      <c r="BM697" s="36"/>
      <c r="BN697" s="36"/>
      <c r="BO697" s="36"/>
      <c r="BP697" s="36"/>
      <c r="BQ697" s="36"/>
      <c r="BR697" s="36"/>
      <c r="BS697" s="36"/>
      <c r="BT697" s="36"/>
      <c r="BU697" s="36"/>
      <c r="BV697" s="36"/>
      <c r="BW697" s="36"/>
      <c r="BX697" s="36"/>
      <c r="BY697" s="36"/>
      <c r="BZ697" s="36"/>
      <c r="CA697" s="36"/>
      <c r="CB697" s="36"/>
      <c r="CC697" s="36"/>
      <c r="CD697" s="36"/>
      <c r="CE697" s="36"/>
      <c r="CF697" s="36"/>
      <c r="CG697" s="36"/>
      <c r="CH697" s="36"/>
      <c r="CI697" s="36"/>
      <c r="CJ697" s="36"/>
      <c r="CK697" s="36"/>
      <c r="CL697" s="36"/>
      <c r="CM697" s="36"/>
      <c r="CN697" s="36"/>
      <c r="CO697" s="36"/>
    </row>
    <row r="698">
      <c r="A698" s="36"/>
      <c r="B698" s="47"/>
      <c r="C698" s="50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  <c r="BK698" s="36"/>
      <c r="BL698" s="36"/>
      <c r="BM698" s="36"/>
      <c r="BN698" s="36"/>
      <c r="BO698" s="36"/>
      <c r="BP698" s="36"/>
      <c r="BQ698" s="36"/>
      <c r="BR698" s="36"/>
      <c r="BS698" s="36"/>
      <c r="BT698" s="36"/>
      <c r="BU698" s="36"/>
      <c r="BV698" s="36"/>
      <c r="BW698" s="36"/>
      <c r="BX698" s="36"/>
      <c r="BY698" s="36"/>
      <c r="BZ698" s="36"/>
      <c r="CA698" s="36"/>
      <c r="CB698" s="36"/>
      <c r="CC698" s="36"/>
      <c r="CD698" s="36"/>
      <c r="CE698" s="36"/>
      <c r="CF698" s="36"/>
      <c r="CG698" s="36"/>
      <c r="CH698" s="36"/>
      <c r="CI698" s="36"/>
      <c r="CJ698" s="36"/>
      <c r="CK698" s="36"/>
      <c r="CL698" s="36"/>
      <c r="CM698" s="36"/>
      <c r="CN698" s="36"/>
      <c r="CO698" s="36"/>
    </row>
    <row r="699">
      <c r="A699" s="36"/>
      <c r="B699" s="47"/>
      <c r="C699" s="50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  <c r="BK699" s="36"/>
      <c r="BL699" s="36"/>
      <c r="BM699" s="36"/>
      <c r="BN699" s="36"/>
      <c r="BO699" s="36"/>
      <c r="BP699" s="36"/>
      <c r="BQ699" s="36"/>
      <c r="BR699" s="36"/>
      <c r="BS699" s="36"/>
      <c r="BT699" s="36"/>
      <c r="BU699" s="36"/>
      <c r="BV699" s="36"/>
      <c r="BW699" s="36"/>
      <c r="BX699" s="36"/>
      <c r="BY699" s="36"/>
      <c r="BZ699" s="36"/>
      <c r="CA699" s="36"/>
      <c r="CB699" s="36"/>
      <c r="CC699" s="36"/>
      <c r="CD699" s="36"/>
      <c r="CE699" s="36"/>
      <c r="CF699" s="36"/>
      <c r="CG699" s="36"/>
      <c r="CH699" s="36"/>
      <c r="CI699" s="36"/>
      <c r="CJ699" s="36"/>
      <c r="CK699" s="36"/>
      <c r="CL699" s="36"/>
      <c r="CM699" s="36"/>
      <c r="CN699" s="36"/>
      <c r="CO699" s="36"/>
    </row>
    <row r="700">
      <c r="A700" s="36"/>
      <c r="B700" s="47"/>
      <c r="C700" s="50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  <c r="BK700" s="36"/>
      <c r="BL700" s="36"/>
      <c r="BM700" s="36"/>
      <c r="BN700" s="36"/>
      <c r="BO700" s="36"/>
      <c r="BP700" s="36"/>
      <c r="BQ700" s="36"/>
      <c r="BR700" s="36"/>
      <c r="BS700" s="36"/>
      <c r="BT700" s="36"/>
      <c r="BU700" s="36"/>
      <c r="BV700" s="36"/>
      <c r="BW700" s="36"/>
      <c r="BX700" s="36"/>
      <c r="BY700" s="36"/>
      <c r="BZ700" s="36"/>
      <c r="CA700" s="36"/>
      <c r="CB700" s="36"/>
      <c r="CC700" s="36"/>
      <c r="CD700" s="36"/>
      <c r="CE700" s="36"/>
      <c r="CF700" s="36"/>
      <c r="CG700" s="36"/>
      <c r="CH700" s="36"/>
      <c r="CI700" s="36"/>
      <c r="CJ700" s="36"/>
      <c r="CK700" s="36"/>
      <c r="CL700" s="36"/>
      <c r="CM700" s="36"/>
      <c r="CN700" s="36"/>
      <c r="CO700" s="36"/>
    </row>
    <row r="701">
      <c r="A701" s="36"/>
      <c r="B701" s="47"/>
      <c r="C701" s="50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  <c r="BK701" s="36"/>
      <c r="BL701" s="36"/>
      <c r="BM701" s="36"/>
      <c r="BN701" s="36"/>
      <c r="BO701" s="36"/>
      <c r="BP701" s="36"/>
      <c r="BQ701" s="36"/>
      <c r="BR701" s="36"/>
      <c r="BS701" s="36"/>
      <c r="BT701" s="36"/>
      <c r="BU701" s="36"/>
      <c r="BV701" s="36"/>
      <c r="BW701" s="36"/>
      <c r="BX701" s="36"/>
      <c r="BY701" s="36"/>
      <c r="BZ701" s="36"/>
      <c r="CA701" s="36"/>
      <c r="CB701" s="36"/>
      <c r="CC701" s="36"/>
      <c r="CD701" s="36"/>
      <c r="CE701" s="36"/>
      <c r="CF701" s="36"/>
      <c r="CG701" s="36"/>
      <c r="CH701" s="36"/>
      <c r="CI701" s="36"/>
      <c r="CJ701" s="36"/>
      <c r="CK701" s="36"/>
      <c r="CL701" s="36"/>
      <c r="CM701" s="36"/>
      <c r="CN701" s="36"/>
      <c r="CO701" s="36"/>
    </row>
    <row r="702">
      <c r="A702" s="36"/>
      <c r="B702" s="47"/>
      <c r="C702" s="50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  <c r="BK702" s="36"/>
      <c r="BL702" s="36"/>
      <c r="BM702" s="36"/>
      <c r="BN702" s="36"/>
      <c r="BO702" s="36"/>
      <c r="BP702" s="36"/>
      <c r="BQ702" s="36"/>
      <c r="BR702" s="36"/>
      <c r="BS702" s="36"/>
      <c r="BT702" s="36"/>
      <c r="BU702" s="36"/>
      <c r="BV702" s="36"/>
      <c r="BW702" s="36"/>
      <c r="BX702" s="36"/>
      <c r="BY702" s="36"/>
      <c r="BZ702" s="36"/>
      <c r="CA702" s="36"/>
      <c r="CB702" s="36"/>
      <c r="CC702" s="36"/>
      <c r="CD702" s="36"/>
      <c r="CE702" s="36"/>
      <c r="CF702" s="36"/>
      <c r="CG702" s="36"/>
      <c r="CH702" s="36"/>
      <c r="CI702" s="36"/>
      <c r="CJ702" s="36"/>
      <c r="CK702" s="36"/>
      <c r="CL702" s="36"/>
      <c r="CM702" s="36"/>
      <c r="CN702" s="36"/>
      <c r="CO702" s="36"/>
    </row>
    <row r="703">
      <c r="A703" s="36"/>
      <c r="B703" s="47"/>
      <c r="C703" s="50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  <c r="BK703" s="36"/>
      <c r="BL703" s="36"/>
      <c r="BM703" s="36"/>
      <c r="BN703" s="36"/>
      <c r="BO703" s="36"/>
      <c r="BP703" s="36"/>
      <c r="BQ703" s="36"/>
      <c r="BR703" s="36"/>
      <c r="BS703" s="36"/>
      <c r="BT703" s="36"/>
      <c r="BU703" s="36"/>
      <c r="BV703" s="36"/>
      <c r="BW703" s="36"/>
      <c r="BX703" s="36"/>
      <c r="BY703" s="36"/>
      <c r="BZ703" s="36"/>
      <c r="CA703" s="36"/>
      <c r="CB703" s="36"/>
      <c r="CC703" s="36"/>
      <c r="CD703" s="36"/>
      <c r="CE703" s="36"/>
      <c r="CF703" s="36"/>
      <c r="CG703" s="36"/>
      <c r="CH703" s="36"/>
      <c r="CI703" s="36"/>
      <c r="CJ703" s="36"/>
      <c r="CK703" s="36"/>
      <c r="CL703" s="36"/>
      <c r="CM703" s="36"/>
      <c r="CN703" s="36"/>
      <c r="CO703" s="36"/>
    </row>
    <row r="704">
      <c r="A704" s="36"/>
      <c r="B704" s="47"/>
      <c r="C704" s="50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  <c r="BK704" s="36"/>
      <c r="BL704" s="36"/>
      <c r="BM704" s="36"/>
      <c r="BN704" s="36"/>
      <c r="BO704" s="36"/>
      <c r="BP704" s="36"/>
      <c r="BQ704" s="36"/>
      <c r="BR704" s="36"/>
      <c r="BS704" s="36"/>
      <c r="BT704" s="36"/>
      <c r="BU704" s="36"/>
      <c r="BV704" s="36"/>
      <c r="BW704" s="36"/>
      <c r="BX704" s="36"/>
      <c r="BY704" s="36"/>
      <c r="BZ704" s="36"/>
      <c r="CA704" s="36"/>
      <c r="CB704" s="36"/>
      <c r="CC704" s="36"/>
      <c r="CD704" s="36"/>
      <c r="CE704" s="36"/>
      <c r="CF704" s="36"/>
      <c r="CG704" s="36"/>
      <c r="CH704" s="36"/>
      <c r="CI704" s="36"/>
      <c r="CJ704" s="36"/>
      <c r="CK704" s="36"/>
      <c r="CL704" s="36"/>
      <c r="CM704" s="36"/>
      <c r="CN704" s="36"/>
      <c r="CO704" s="36"/>
    </row>
    <row r="705">
      <c r="A705" s="36"/>
      <c r="B705" s="47"/>
      <c r="C705" s="50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  <c r="BK705" s="36"/>
      <c r="BL705" s="36"/>
      <c r="BM705" s="36"/>
      <c r="BN705" s="36"/>
      <c r="BO705" s="36"/>
      <c r="BP705" s="36"/>
      <c r="BQ705" s="36"/>
      <c r="BR705" s="36"/>
      <c r="BS705" s="36"/>
      <c r="BT705" s="36"/>
      <c r="BU705" s="36"/>
      <c r="BV705" s="36"/>
      <c r="BW705" s="36"/>
      <c r="BX705" s="36"/>
      <c r="BY705" s="36"/>
      <c r="BZ705" s="36"/>
      <c r="CA705" s="36"/>
      <c r="CB705" s="36"/>
      <c r="CC705" s="36"/>
      <c r="CD705" s="36"/>
      <c r="CE705" s="36"/>
      <c r="CF705" s="36"/>
      <c r="CG705" s="36"/>
      <c r="CH705" s="36"/>
      <c r="CI705" s="36"/>
      <c r="CJ705" s="36"/>
      <c r="CK705" s="36"/>
      <c r="CL705" s="36"/>
      <c r="CM705" s="36"/>
      <c r="CN705" s="36"/>
      <c r="CO705" s="36"/>
    </row>
    <row r="706">
      <c r="A706" s="36"/>
      <c r="B706" s="47"/>
      <c r="C706" s="50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  <c r="BK706" s="36"/>
      <c r="BL706" s="36"/>
      <c r="BM706" s="36"/>
      <c r="BN706" s="36"/>
      <c r="BO706" s="36"/>
      <c r="BP706" s="36"/>
      <c r="BQ706" s="36"/>
      <c r="BR706" s="36"/>
      <c r="BS706" s="36"/>
      <c r="BT706" s="36"/>
      <c r="BU706" s="36"/>
      <c r="BV706" s="36"/>
      <c r="BW706" s="36"/>
      <c r="BX706" s="36"/>
      <c r="BY706" s="36"/>
      <c r="BZ706" s="36"/>
      <c r="CA706" s="36"/>
      <c r="CB706" s="36"/>
      <c r="CC706" s="36"/>
      <c r="CD706" s="36"/>
      <c r="CE706" s="36"/>
      <c r="CF706" s="36"/>
      <c r="CG706" s="36"/>
      <c r="CH706" s="36"/>
      <c r="CI706" s="36"/>
      <c r="CJ706" s="36"/>
      <c r="CK706" s="36"/>
      <c r="CL706" s="36"/>
      <c r="CM706" s="36"/>
      <c r="CN706" s="36"/>
      <c r="CO706" s="36"/>
    </row>
    <row r="707">
      <c r="A707" s="36"/>
      <c r="B707" s="47"/>
      <c r="C707" s="50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  <c r="BK707" s="36"/>
      <c r="BL707" s="36"/>
      <c r="BM707" s="36"/>
      <c r="BN707" s="36"/>
      <c r="BO707" s="36"/>
      <c r="BP707" s="36"/>
      <c r="BQ707" s="36"/>
      <c r="BR707" s="36"/>
      <c r="BS707" s="36"/>
      <c r="BT707" s="36"/>
      <c r="BU707" s="36"/>
      <c r="BV707" s="36"/>
      <c r="BW707" s="36"/>
      <c r="BX707" s="36"/>
      <c r="BY707" s="36"/>
      <c r="BZ707" s="36"/>
      <c r="CA707" s="36"/>
      <c r="CB707" s="36"/>
      <c r="CC707" s="36"/>
      <c r="CD707" s="36"/>
      <c r="CE707" s="36"/>
      <c r="CF707" s="36"/>
      <c r="CG707" s="36"/>
      <c r="CH707" s="36"/>
      <c r="CI707" s="36"/>
      <c r="CJ707" s="36"/>
      <c r="CK707" s="36"/>
      <c r="CL707" s="36"/>
      <c r="CM707" s="36"/>
      <c r="CN707" s="36"/>
      <c r="CO707" s="36"/>
    </row>
    <row r="708">
      <c r="A708" s="36"/>
      <c r="B708" s="47"/>
      <c r="C708" s="50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  <c r="BK708" s="36"/>
      <c r="BL708" s="36"/>
      <c r="BM708" s="36"/>
      <c r="BN708" s="36"/>
      <c r="BO708" s="36"/>
      <c r="BP708" s="36"/>
      <c r="BQ708" s="36"/>
      <c r="BR708" s="36"/>
      <c r="BS708" s="36"/>
      <c r="BT708" s="36"/>
      <c r="BU708" s="36"/>
      <c r="BV708" s="36"/>
      <c r="BW708" s="36"/>
      <c r="BX708" s="36"/>
      <c r="BY708" s="36"/>
      <c r="BZ708" s="36"/>
      <c r="CA708" s="36"/>
      <c r="CB708" s="36"/>
      <c r="CC708" s="36"/>
      <c r="CD708" s="36"/>
      <c r="CE708" s="36"/>
      <c r="CF708" s="36"/>
      <c r="CG708" s="36"/>
      <c r="CH708" s="36"/>
      <c r="CI708" s="36"/>
      <c r="CJ708" s="36"/>
      <c r="CK708" s="36"/>
      <c r="CL708" s="36"/>
      <c r="CM708" s="36"/>
      <c r="CN708" s="36"/>
      <c r="CO708" s="36"/>
    </row>
    <row r="709">
      <c r="A709" s="36"/>
      <c r="B709" s="47"/>
      <c r="C709" s="50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  <c r="BK709" s="36"/>
      <c r="BL709" s="36"/>
      <c r="BM709" s="36"/>
      <c r="BN709" s="36"/>
      <c r="BO709" s="36"/>
      <c r="BP709" s="36"/>
      <c r="BQ709" s="36"/>
      <c r="BR709" s="36"/>
      <c r="BS709" s="36"/>
      <c r="BT709" s="36"/>
      <c r="BU709" s="36"/>
      <c r="BV709" s="36"/>
      <c r="BW709" s="36"/>
      <c r="BX709" s="36"/>
      <c r="BY709" s="36"/>
      <c r="BZ709" s="36"/>
      <c r="CA709" s="36"/>
      <c r="CB709" s="36"/>
      <c r="CC709" s="36"/>
      <c r="CD709" s="36"/>
      <c r="CE709" s="36"/>
      <c r="CF709" s="36"/>
      <c r="CG709" s="36"/>
      <c r="CH709" s="36"/>
      <c r="CI709" s="36"/>
      <c r="CJ709" s="36"/>
      <c r="CK709" s="36"/>
      <c r="CL709" s="36"/>
      <c r="CM709" s="36"/>
      <c r="CN709" s="36"/>
      <c r="CO709" s="36"/>
    </row>
    <row r="710">
      <c r="A710" s="36"/>
      <c r="B710" s="47"/>
      <c r="C710" s="50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  <c r="BK710" s="36"/>
      <c r="BL710" s="36"/>
      <c r="BM710" s="36"/>
      <c r="BN710" s="36"/>
      <c r="BO710" s="36"/>
      <c r="BP710" s="36"/>
      <c r="BQ710" s="36"/>
      <c r="BR710" s="36"/>
      <c r="BS710" s="36"/>
      <c r="BT710" s="36"/>
      <c r="BU710" s="36"/>
      <c r="BV710" s="36"/>
      <c r="BW710" s="36"/>
      <c r="BX710" s="36"/>
      <c r="BY710" s="36"/>
      <c r="BZ710" s="36"/>
      <c r="CA710" s="36"/>
      <c r="CB710" s="36"/>
      <c r="CC710" s="36"/>
      <c r="CD710" s="36"/>
      <c r="CE710" s="36"/>
      <c r="CF710" s="36"/>
      <c r="CG710" s="36"/>
      <c r="CH710" s="36"/>
      <c r="CI710" s="36"/>
      <c r="CJ710" s="36"/>
      <c r="CK710" s="36"/>
      <c r="CL710" s="36"/>
      <c r="CM710" s="36"/>
      <c r="CN710" s="36"/>
      <c r="CO710" s="36"/>
    </row>
    <row r="711">
      <c r="A711" s="36"/>
      <c r="B711" s="47"/>
      <c r="C711" s="50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  <c r="BK711" s="36"/>
      <c r="BL711" s="36"/>
      <c r="BM711" s="36"/>
      <c r="BN711" s="36"/>
      <c r="BO711" s="36"/>
      <c r="BP711" s="36"/>
      <c r="BQ711" s="36"/>
      <c r="BR711" s="36"/>
      <c r="BS711" s="36"/>
      <c r="BT711" s="36"/>
      <c r="BU711" s="36"/>
      <c r="BV711" s="36"/>
      <c r="BW711" s="36"/>
      <c r="BX711" s="36"/>
      <c r="BY711" s="36"/>
      <c r="BZ711" s="36"/>
      <c r="CA711" s="36"/>
      <c r="CB711" s="36"/>
      <c r="CC711" s="36"/>
      <c r="CD711" s="36"/>
      <c r="CE711" s="36"/>
      <c r="CF711" s="36"/>
      <c r="CG711" s="36"/>
      <c r="CH711" s="36"/>
      <c r="CI711" s="36"/>
      <c r="CJ711" s="36"/>
      <c r="CK711" s="36"/>
      <c r="CL711" s="36"/>
      <c r="CM711" s="36"/>
      <c r="CN711" s="36"/>
      <c r="CO711" s="36"/>
    </row>
    <row r="712">
      <c r="A712" s="36"/>
      <c r="B712" s="47"/>
      <c r="C712" s="50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  <c r="BK712" s="36"/>
      <c r="BL712" s="36"/>
      <c r="BM712" s="36"/>
      <c r="BN712" s="36"/>
      <c r="BO712" s="36"/>
      <c r="BP712" s="36"/>
      <c r="BQ712" s="36"/>
      <c r="BR712" s="36"/>
      <c r="BS712" s="36"/>
      <c r="BT712" s="36"/>
      <c r="BU712" s="36"/>
      <c r="BV712" s="36"/>
      <c r="BW712" s="36"/>
      <c r="BX712" s="36"/>
      <c r="BY712" s="36"/>
      <c r="BZ712" s="36"/>
      <c r="CA712" s="36"/>
      <c r="CB712" s="36"/>
      <c r="CC712" s="36"/>
      <c r="CD712" s="36"/>
      <c r="CE712" s="36"/>
      <c r="CF712" s="36"/>
      <c r="CG712" s="36"/>
      <c r="CH712" s="36"/>
      <c r="CI712" s="36"/>
      <c r="CJ712" s="36"/>
      <c r="CK712" s="36"/>
      <c r="CL712" s="36"/>
      <c r="CM712" s="36"/>
      <c r="CN712" s="36"/>
      <c r="CO712" s="36"/>
    </row>
    <row r="713">
      <c r="A713" s="36"/>
      <c r="B713" s="47"/>
      <c r="C713" s="50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  <c r="BK713" s="36"/>
      <c r="BL713" s="36"/>
      <c r="BM713" s="36"/>
      <c r="BN713" s="36"/>
      <c r="BO713" s="36"/>
      <c r="BP713" s="36"/>
      <c r="BQ713" s="36"/>
      <c r="BR713" s="36"/>
      <c r="BS713" s="36"/>
      <c r="BT713" s="36"/>
      <c r="BU713" s="36"/>
      <c r="BV713" s="36"/>
      <c r="BW713" s="36"/>
      <c r="BX713" s="36"/>
      <c r="BY713" s="36"/>
      <c r="BZ713" s="36"/>
      <c r="CA713" s="36"/>
      <c r="CB713" s="36"/>
      <c r="CC713" s="36"/>
      <c r="CD713" s="36"/>
      <c r="CE713" s="36"/>
      <c r="CF713" s="36"/>
      <c r="CG713" s="36"/>
      <c r="CH713" s="36"/>
      <c r="CI713" s="36"/>
      <c r="CJ713" s="36"/>
      <c r="CK713" s="36"/>
      <c r="CL713" s="36"/>
      <c r="CM713" s="36"/>
      <c r="CN713" s="36"/>
      <c r="CO713" s="36"/>
    </row>
    <row r="714">
      <c r="A714" s="36"/>
      <c r="B714" s="47"/>
      <c r="C714" s="50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  <c r="BK714" s="36"/>
      <c r="BL714" s="36"/>
      <c r="BM714" s="36"/>
      <c r="BN714" s="36"/>
      <c r="BO714" s="36"/>
      <c r="BP714" s="36"/>
      <c r="BQ714" s="36"/>
      <c r="BR714" s="36"/>
      <c r="BS714" s="36"/>
      <c r="BT714" s="36"/>
      <c r="BU714" s="36"/>
      <c r="BV714" s="36"/>
      <c r="BW714" s="36"/>
      <c r="BX714" s="36"/>
      <c r="BY714" s="36"/>
      <c r="BZ714" s="36"/>
      <c r="CA714" s="36"/>
      <c r="CB714" s="36"/>
      <c r="CC714" s="36"/>
      <c r="CD714" s="36"/>
      <c r="CE714" s="36"/>
      <c r="CF714" s="36"/>
      <c r="CG714" s="36"/>
      <c r="CH714" s="36"/>
      <c r="CI714" s="36"/>
      <c r="CJ714" s="36"/>
      <c r="CK714" s="36"/>
      <c r="CL714" s="36"/>
      <c r="CM714" s="36"/>
      <c r="CN714" s="36"/>
      <c r="CO714" s="36"/>
    </row>
    <row r="715">
      <c r="A715" s="36"/>
      <c r="B715" s="47"/>
      <c r="C715" s="50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  <c r="BK715" s="36"/>
      <c r="BL715" s="36"/>
      <c r="BM715" s="36"/>
      <c r="BN715" s="36"/>
      <c r="BO715" s="36"/>
      <c r="BP715" s="36"/>
      <c r="BQ715" s="36"/>
      <c r="BR715" s="36"/>
      <c r="BS715" s="36"/>
      <c r="BT715" s="36"/>
      <c r="BU715" s="36"/>
      <c r="BV715" s="36"/>
      <c r="BW715" s="36"/>
      <c r="BX715" s="36"/>
      <c r="BY715" s="36"/>
      <c r="BZ715" s="36"/>
      <c r="CA715" s="36"/>
      <c r="CB715" s="36"/>
      <c r="CC715" s="36"/>
      <c r="CD715" s="36"/>
      <c r="CE715" s="36"/>
      <c r="CF715" s="36"/>
      <c r="CG715" s="36"/>
      <c r="CH715" s="36"/>
      <c r="CI715" s="36"/>
      <c r="CJ715" s="36"/>
      <c r="CK715" s="36"/>
      <c r="CL715" s="36"/>
      <c r="CM715" s="36"/>
      <c r="CN715" s="36"/>
      <c r="CO715" s="36"/>
    </row>
    <row r="716">
      <c r="A716" s="36"/>
      <c r="B716" s="47"/>
      <c r="C716" s="50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  <c r="BK716" s="36"/>
      <c r="BL716" s="36"/>
      <c r="BM716" s="36"/>
      <c r="BN716" s="36"/>
      <c r="BO716" s="36"/>
      <c r="BP716" s="36"/>
      <c r="BQ716" s="36"/>
      <c r="BR716" s="36"/>
      <c r="BS716" s="36"/>
      <c r="BT716" s="36"/>
      <c r="BU716" s="36"/>
      <c r="BV716" s="36"/>
      <c r="BW716" s="36"/>
      <c r="BX716" s="36"/>
      <c r="BY716" s="36"/>
      <c r="BZ716" s="36"/>
      <c r="CA716" s="36"/>
      <c r="CB716" s="36"/>
      <c r="CC716" s="36"/>
      <c r="CD716" s="36"/>
      <c r="CE716" s="36"/>
      <c r="CF716" s="36"/>
      <c r="CG716" s="36"/>
      <c r="CH716" s="36"/>
      <c r="CI716" s="36"/>
      <c r="CJ716" s="36"/>
      <c r="CK716" s="36"/>
      <c r="CL716" s="36"/>
      <c r="CM716" s="36"/>
      <c r="CN716" s="36"/>
      <c r="CO716" s="36"/>
    </row>
    <row r="717">
      <c r="A717" s="36"/>
      <c r="B717" s="47"/>
      <c r="C717" s="50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  <c r="BK717" s="36"/>
      <c r="BL717" s="36"/>
      <c r="BM717" s="36"/>
      <c r="BN717" s="36"/>
      <c r="BO717" s="36"/>
      <c r="BP717" s="36"/>
      <c r="BQ717" s="36"/>
      <c r="BR717" s="36"/>
      <c r="BS717" s="36"/>
      <c r="BT717" s="36"/>
      <c r="BU717" s="36"/>
      <c r="BV717" s="36"/>
      <c r="BW717" s="36"/>
      <c r="BX717" s="36"/>
      <c r="BY717" s="36"/>
      <c r="BZ717" s="36"/>
      <c r="CA717" s="36"/>
      <c r="CB717" s="36"/>
      <c r="CC717" s="36"/>
      <c r="CD717" s="36"/>
      <c r="CE717" s="36"/>
      <c r="CF717" s="36"/>
      <c r="CG717" s="36"/>
      <c r="CH717" s="36"/>
      <c r="CI717" s="36"/>
      <c r="CJ717" s="36"/>
      <c r="CK717" s="36"/>
      <c r="CL717" s="36"/>
      <c r="CM717" s="36"/>
      <c r="CN717" s="36"/>
      <c r="CO717" s="36"/>
    </row>
    <row r="718">
      <c r="A718" s="36"/>
      <c r="B718" s="47"/>
      <c r="C718" s="50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  <c r="BK718" s="36"/>
      <c r="BL718" s="36"/>
      <c r="BM718" s="36"/>
      <c r="BN718" s="36"/>
      <c r="BO718" s="36"/>
      <c r="BP718" s="36"/>
      <c r="BQ718" s="36"/>
      <c r="BR718" s="36"/>
      <c r="BS718" s="36"/>
      <c r="BT718" s="36"/>
      <c r="BU718" s="36"/>
      <c r="BV718" s="36"/>
      <c r="BW718" s="36"/>
      <c r="BX718" s="36"/>
      <c r="BY718" s="36"/>
      <c r="BZ718" s="36"/>
      <c r="CA718" s="36"/>
      <c r="CB718" s="36"/>
      <c r="CC718" s="36"/>
      <c r="CD718" s="36"/>
      <c r="CE718" s="36"/>
      <c r="CF718" s="36"/>
      <c r="CG718" s="36"/>
      <c r="CH718" s="36"/>
      <c r="CI718" s="36"/>
      <c r="CJ718" s="36"/>
      <c r="CK718" s="36"/>
      <c r="CL718" s="36"/>
      <c r="CM718" s="36"/>
      <c r="CN718" s="36"/>
      <c r="CO718" s="36"/>
    </row>
    <row r="719">
      <c r="A719" s="36"/>
      <c r="B719" s="47"/>
      <c r="C719" s="50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  <c r="BK719" s="36"/>
      <c r="BL719" s="36"/>
      <c r="BM719" s="36"/>
      <c r="BN719" s="36"/>
      <c r="BO719" s="36"/>
      <c r="BP719" s="36"/>
      <c r="BQ719" s="36"/>
      <c r="BR719" s="36"/>
      <c r="BS719" s="36"/>
      <c r="BT719" s="36"/>
      <c r="BU719" s="36"/>
      <c r="BV719" s="36"/>
      <c r="BW719" s="36"/>
      <c r="BX719" s="36"/>
      <c r="BY719" s="36"/>
      <c r="BZ719" s="36"/>
      <c r="CA719" s="36"/>
      <c r="CB719" s="36"/>
      <c r="CC719" s="36"/>
      <c r="CD719" s="36"/>
      <c r="CE719" s="36"/>
      <c r="CF719" s="36"/>
      <c r="CG719" s="36"/>
      <c r="CH719" s="36"/>
      <c r="CI719" s="36"/>
      <c r="CJ719" s="36"/>
      <c r="CK719" s="36"/>
      <c r="CL719" s="36"/>
      <c r="CM719" s="36"/>
      <c r="CN719" s="36"/>
      <c r="CO719" s="36"/>
    </row>
    <row r="720">
      <c r="A720" s="36"/>
      <c r="B720" s="47"/>
      <c r="C720" s="50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  <c r="BK720" s="36"/>
      <c r="BL720" s="36"/>
      <c r="BM720" s="36"/>
      <c r="BN720" s="36"/>
      <c r="BO720" s="36"/>
      <c r="BP720" s="36"/>
      <c r="BQ720" s="36"/>
      <c r="BR720" s="36"/>
      <c r="BS720" s="36"/>
      <c r="BT720" s="36"/>
      <c r="BU720" s="36"/>
      <c r="BV720" s="36"/>
      <c r="BW720" s="36"/>
      <c r="BX720" s="36"/>
      <c r="BY720" s="36"/>
      <c r="BZ720" s="36"/>
      <c r="CA720" s="36"/>
      <c r="CB720" s="36"/>
      <c r="CC720" s="36"/>
      <c r="CD720" s="36"/>
      <c r="CE720" s="36"/>
      <c r="CF720" s="36"/>
      <c r="CG720" s="36"/>
      <c r="CH720" s="36"/>
      <c r="CI720" s="36"/>
      <c r="CJ720" s="36"/>
      <c r="CK720" s="36"/>
      <c r="CL720" s="36"/>
      <c r="CM720" s="36"/>
      <c r="CN720" s="36"/>
      <c r="CO720" s="36"/>
    </row>
    <row r="721">
      <c r="A721" s="36"/>
      <c r="B721" s="47"/>
      <c r="C721" s="50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  <c r="BK721" s="36"/>
      <c r="BL721" s="36"/>
      <c r="BM721" s="36"/>
      <c r="BN721" s="36"/>
      <c r="BO721" s="36"/>
      <c r="BP721" s="36"/>
      <c r="BQ721" s="36"/>
      <c r="BR721" s="36"/>
      <c r="BS721" s="36"/>
      <c r="BT721" s="36"/>
      <c r="BU721" s="36"/>
      <c r="BV721" s="36"/>
      <c r="BW721" s="36"/>
      <c r="BX721" s="36"/>
      <c r="BY721" s="36"/>
      <c r="BZ721" s="36"/>
      <c r="CA721" s="36"/>
      <c r="CB721" s="36"/>
      <c r="CC721" s="36"/>
      <c r="CD721" s="36"/>
      <c r="CE721" s="36"/>
      <c r="CF721" s="36"/>
      <c r="CG721" s="36"/>
      <c r="CH721" s="36"/>
      <c r="CI721" s="36"/>
      <c r="CJ721" s="36"/>
      <c r="CK721" s="36"/>
      <c r="CL721" s="36"/>
      <c r="CM721" s="36"/>
      <c r="CN721" s="36"/>
      <c r="CO721" s="36"/>
    </row>
    <row r="722">
      <c r="A722" s="36"/>
      <c r="B722" s="47"/>
      <c r="C722" s="50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  <c r="BK722" s="36"/>
      <c r="BL722" s="36"/>
      <c r="BM722" s="36"/>
      <c r="BN722" s="36"/>
      <c r="BO722" s="36"/>
      <c r="BP722" s="36"/>
      <c r="BQ722" s="36"/>
      <c r="BR722" s="36"/>
      <c r="BS722" s="36"/>
      <c r="BT722" s="36"/>
      <c r="BU722" s="36"/>
      <c r="BV722" s="36"/>
      <c r="BW722" s="36"/>
      <c r="BX722" s="36"/>
      <c r="BY722" s="36"/>
      <c r="BZ722" s="36"/>
      <c r="CA722" s="36"/>
      <c r="CB722" s="36"/>
      <c r="CC722" s="36"/>
      <c r="CD722" s="36"/>
      <c r="CE722" s="36"/>
      <c r="CF722" s="36"/>
      <c r="CG722" s="36"/>
      <c r="CH722" s="36"/>
      <c r="CI722" s="36"/>
      <c r="CJ722" s="36"/>
      <c r="CK722" s="36"/>
      <c r="CL722" s="36"/>
      <c r="CM722" s="36"/>
      <c r="CN722" s="36"/>
      <c r="CO722" s="36"/>
    </row>
    <row r="723">
      <c r="A723" s="36"/>
      <c r="B723" s="47"/>
      <c r="C723" s="50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  <c r="BK723" s="36"/>
      <c r="BL723" s="36"/>
      <c r="BM723" s="36"/>
      <c r="BN723" s="36"/>
      <c r="BO723" s="36"/>
      <c r="BP723" s="36"/>
      <c r="BQ723" s="36"/>
      <c r="BR723" s="36"/>
      <c r="BS723" s="36"/>
      <c r="BT723" s="36"/>
      <c r="BU723" s="36"/>
      <c r="BV723" s="36"/>
      <c r="BW723" s="36"/>
      <c r="BX723" s="36"/>
      <c r="BY723" s="36"/>
      <c r="BZ723" s="36"/>
      <c r="CA723" s="36"/>
      <c r="CB723" s="36"/>
      <c r="CC723" s="36"/>
      <c r="CD723" s="36"/>
      <c r="CE723" s="36"/>
      <c r="CF723" s="36"/>
      <c r="CG723" s="36"/>
      <c r="CH723" s="36"/>
      <c r="CI723" s="36"/>
      <c r="CJ723" s="36"/>
      <c r="CK723" s="36"/>
      <c r="CL723" s="36"/>
      <c r="CM723" s="36"/>
      <c r="CN723" s="36"/>
      <c r="CO723" s="36"/>
    </row>
    <row r="724">
      <c r="A724" s="36"/>
      <c r="B724" s="47"/>
      <c r="C724" s="50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  <c r="BK724" s="36"/>
      <c r="BL724" s="36"/>
      <c r="BM724" s="36"/>
      <c r="BN724" s="36"/>
      <c r="BO724" s="36"/>
      <c r="BP724" s="36"/>
      <c r="BQ724" s="36"/>
      <c r="BR724" s="36"/>
      <c r="BS724" s="36"/>
      <c r="BT724" s="36"/>
      <c r="BU724" s="36"/>
      <c r="BV724" s="36"/>
      <c r="BW724" s="36"/>
      <c r="BX724" s="36"/>
      <c r="BY724" s="36"/>
      <c r="BZ724" s="36"/>
      <c r="CA724" s="36"/>
      <c r="CB724" s="36"/>
      <c r="CC724" s="36"/>
      <c r="CD724" s="36"/>
      <c r="CE724" s="36"/>
      <c r="CF724" s="36"/>
      <c r="CG724" s="36"/>
      <c r="CH724" s="36"/>
      <c r="CI724" s="36"/>
      <c r="CJ724" s="36"/>
      <c r="CK724" s="36"/>
      <c r="CL724" s="36"/>
      <c r="CM724" s="36"/>
      <c r="CN724" s="36"/>
      <c r="CO724" s="36"/>
    </row>
    <row r="725">
      <c r="A725" s="36"/>
      <c r="B725" s="47"/>
      <c r="C725" s="50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  <c r="BK725" s="36"/>
      <c r="BL725" s="36"/>
      <c r="BM725" s="36"/>
      <c r="BN725" s="36"/>
      <c r="BO725" s="36"/>
      <c r="BP725" s="36"/>
      <c r="BQ725" s="36"/>
      <c r="BR725" s="36"/>
      <c r="BS725" s="36"/>
      <c r="BT725" s="36"/>
      <c r="BU725" s="36"/>
      <c r="BV725" s="36"/>
      <c r="BW725" s="36"/>
      <c r="BX725" s="36"/>
      <c r="BY725" s="36"/>
      <c r="BZ725" s="36"/>
      <c r="CA725" s="36"/>
      <c r="CB725" s="36"/>
      <c r="CC725" s="36"/>
      <c r="CD725" s="36"/>
      <c r="CE725" s="36"/>
      <c r="CF725" s="36"/>
      <c r="CG725" s="36"/>
      <c r="CH725" s="36"/>
      <c r="CI725" s="36"/>
      <c r="CJ725" s="36"/>
      <c r="CK725" s="36"/>
      <c r="CL725" s="36"/>
      <c r="CM725" s="36"/>
      <c r="CN725" s="36"/>
      <c r="CO725" s="36"/>
    </row>
    <row r="726">
      <c r="A726" s="36"/>
      <c r="B726" s="47"/>
      <c r="C726" s="50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  <c r="BK726" s="36"/>
      <c r="BL726" s="36"/>
      <c r="BM726" s="36"/>
      <c r="BN726" s="36"/>
      <c r="BO726" s="36"/>
      <c r="BP726" s="36"/>
      <c r="BQ726" s="36"/>
      <c r="BR726" s="36"/>
      <c r="BS726" s="36"/>
      <c r="BT726" s="36"/>
      <c r="BU726" s="36"/>
      <c r="BV726" s="36"/>
      <c r="BW726" s="36"/>
      <c r="BX726" s="36"/>
      <c r="BY726" s="36"/>
      <c r="BZ726" s="36"/>
      <c r="CA726" s="36"/>
      <c r="CB726" s="36"/>
      <c r="CC726" s="36"/>
      <c r="CD726" s="36"/>
      <c r="CE726" s="36"/>
      <c r="CF726" s="36"/>
      <c r="CG726" s="36"/>
      <c r="CH726" s="36"/>
      <c r="CI726" s="36"/>
      <c r="CJ726" s="36"/>
      <c r="CK726" s="36"/>
      <c r="CL726" s="36"/>
      <c r="CM726" s="36"/>
      <c r="CN726" s="36"/>
      <c r="CO726" s="36"/>
    </row>
    <row r="727">
      <c r="A727" s="36"/>
      <c r="B727" s="47"/>
      <c r="C727" s="50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  <c r="BK727" s="36"/>
      <c r="BL727" s="36"/>
      <c r="BM727" s="36"/>
      <c r="BN727" s="36"/>
      <c r="BO727" s="36"/>
      <c r="BP727" s="36"/>
      <c r="BQ727" s="36"/>
      <c r="BR727" s="36"/>
      <c r="BS727" s="36"/>
      <c r="BT727" s="36"/>
      <c r="BU727" s="36"/>
      <c r="BV727" s="36"/>
      <c r="BW727" s="36"/>
      <c r="BX727" s="36"/>
      <c r="BY727" s="36"/>
      <c r="BZ727" s="36"/>
      <c r="CA727" s="36"/>
      <c r="CB727" s="36"/>
      <c r="CC727" s="36"/>
      <c r="CD727" s="36"/>
      <c r="CE727" s="36"/>
      <c r="CF727" s="36"/>
      <c r="CG727" s="36"/>
      <c r="CH727" s="36"/>
      <c r="CI727" s="36"/>
      <c r="CJ727" s="36"/>
      <c r="CK727" s="36"/>
      <c r="CL727" s="36"/>
      <c r="CM727" s="36"/>
      <c r="CN727" s="36"/>
      <c r="CO727" s="36"/>
    </row>
    <row r="728">
      <c r="A728" s="36"/>
      <c r="B728" s="47"/>
      <c r="C728" s="50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  <c r="BK728" s="36"/>
      <c r="BL728" s="36"/>
      <c r="BM728" s="36"/>
      <c r="BN728" s="36"/>
      <c r="BO728" s="36"/>
      <c r="BP728" s="36"/>
      <c r="BQ728" s="36"/>
      <c r="BR728" s="36"/>
      <c r="BS728" s="36"/>
      <c r="BT728" s="36"/>
      <c r="BU728" s="36"/>
      <c r="BV728" s="36"/>
      <c r="BW728" s="36"/>
      <c r="BX728" s="36"/>
      <c r="BY728" s="36"/>
      <c r="BZ728" s="36"/>
      <c r="CA728" s="36"/>
      <c r="CB728" s="36"/>
      <c r="CC728" s="36"/>
      <c r="CD728" s="36"/>
      <c r="CE728" s="36"/>
      <c r="CF728" s="36"/>
      <c r="CG728" s="36"/>
      <c r="CH728" s="36"/>
      <c r="CI728" s="36"/>
      <c r="CJ728" s="36"/>
      <c r="CK728" s="36"/>
      <c r="CL728" s="36"/>
      <c r="CM728" s="36"/>
      <c r="CN728" s="36"/>
      <c r="CO728" s="36"/>
    </row>
    <row r="729">
      <c r="A729" s="36"/>
      <c r="B729" s="47"/>
      <c r="C729" s="50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  <c r="BK729" s="36"/>
      <c r="BL729" s="36"/>
      <c r="BM729" s="36"/>
      <c r="BN729" s="36"/>
      <c r="BO729" s="36"/>
      <c r="BP729" s="36"/>
      <c r="BQ729" s="36"/>
      <c r="BR729" s="36"/>
      <c r="BS729" s="36"/>
      <c r="BT729" s="36"/>
      <c r="BU729" s="36"/>
      <c r="BV729" s="36"/>
      <c r="BW729" s="36"/>
      <c r="BX729" s="36"/>
      <c r="BY729" s="36"/>
      <c r="BZ729" s="36"/>
      <c r="CA729" s="36"/>
      <c r="CB729" s="36"/>
      <c r="CC729" s="36"/>
      <c r="CD729" s="36"/>
      <c r="CE729" s="36"/>
      <c r="CF729" s="36"/>
      <c r="CG729" s="36"/>
      <c r="CH729" s="36"/>
      <c r="CI729" s="36"/>
      <c r="CJ729" s="36"/>
      <c r="CK729" s="36"/>
      <c r="CL729" s="36"/>
      <c r="CM729" s="36"/>
      <c r="CN729" s="36"/>
      <c r="CO729" s="36"/>
    </row>
    <row r="730">
      <c r="A730" s="36"/>
      <c r="B730" s="47"/>
      <c r="C730" s="50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  <c r="BK730" s="36"/>
      <c r="BL730" s="36"/>
      <c r="BM730" s="36"/>
      <c r="BN730" s="36"/>
      <c r="BO730" s="36"/>
      <c r="BP730" s="36"/>
      <c r="BQ730" s="36"/>
      <c r="BR730" s="36"/>
      <c r="BS730" s="36"/>
      <c r="BT730" s="36"/>
      <c r="BU730" s="36"/>
      <c r="BV730" s="36"/>
      <c r="BW730" s="36"/>
      <c r="BX730" s="36"/>
      <c r="BY730" s="36"/>
      <c r="BZ730" s="36"/>
      <c r="CA730" s="36"/>
      <c r="CB730" s="36"/>
      <c r="CC730" s="36"/>
      <c r="CD730" s="36"/>
      <c r="CE730" s="36"/>
      <c r="CF730" s="36"/>
      <c r="CG730" s="36"/>
      <c r="CH730" s="36"/>
      <c r="CI730" s="36"/>
      <c r="CJ730" s="36"/>
      <c r="CK730" s="36"/>
      <c r="CL730" s="36"/>
      <c r="CM730" s="36"/>
      <c r="CN730" s="36"/>
      <c r="CO730" s="36"/>
    </row>
    <row r="731">
      <c r="A731" s="36"/>
      <c r="B731" s="47"/>
      <c r="C731" s="50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  <c r="BK731" s="36"/>
      <c r="BL731" s="36"/>
      <c r="BM731" s="36"/>
      <c r="BN731" s="36"/>
      <c r="BO731" s="36"/>
      <c r="BP731" s="36"/>
      <c r="BQ731" s="36"/>
      <c r="BR731" s="36"/>
      <c r="BS731" s="36"/>
      <c r="BT731" s="36"/>
      <c r="BU731" s="36"/>
      <c r="BV731" s="36"/>
      <c r="BW731" s="36"/>
      <c r="BX731" s="36"/>
      <c r="BY731" s="36"/>
      <c r="BZ731" s="36"/>
      <c r="CA731" s="36"/>
      <c r="CB731" s="36"/>
      <c r="CC731" s="36"/>
      <c r="CD731" s="36"/>
      <c r="CE731" s="36"/>
      <c r="CF731" s="36"/>
      <c r="CG731" s="36"/>
      <c r="CH731" s="36"/>
      <c r="CI731" s="36"/>
      <c r="CJ731" s="36"/>
      <c r="CK731" s="36"/>
      <c r="CL731" s="36"/>
      <c r="CM731" s="36"/>
      <c r="CN731" s="36"/>
      <c r="CO731" s="36"/>
    </row>
    <row r="732">
      <c r="A732" s="36"/>
      <c r="B732" s="47"/>
      <c r="C732" s="50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  <c r="BK732" s="36"/>
      <c r="BL732" s="36"/>
      <c r="BM732" s="36"/>
      <c r="BN732" s="36"/>
      <c r="BO732" s="36"/>
      <c r="BP732" s="36"/>
      <c r="BQ732" s="36"/>
      <c r="BR732" s="36"/>
      <c r="BS732" s="36"/>
      <c r="BT732" s="36"/>
      <c r="BU732" s="36"/>
      <c r="BV732" s="36"/>
      <c r="BW732" s="36"/>
      <c r="BX732" s="36"/>
      <c r="BY732" s="36"/>
      <c r="BZ732" s="36"/>
      <c r="CA732" s="36"/>
      <c r="CB732" s="36"/>
      <c r="CC732" s="36"/>
      <c r="CD732" s="36"/>
      <c r="CE732" s="36"/>
      <c r="CF732" s="36"/>
      <c r="CG732" s="36"/>
      <c r="CH732" s="36"/>
      <c r="CI732" s="36"/>
      <c r="CJ732" s="36"/>
      <c r="CK732" s="36"/>
      <c r="CL732" s="36"/>
      <c r="CM732" s="36"/>
      <c r="CN732" s="36"/>
      <c r="CO732" s="36"/>
    </row>
    <row r="733">
      <c r="A733" s="36"/>
      <c r="B733" s="47"/>
      <c r="C733" s="50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  <c r="BK733" s="36"/>
      <c r="BL733" s="36"/>
      <c r="BM733" s="36"/>
      <c r="BN733" s="36"/>
      <c r="BO733" s="36"/>
      <c r="BP733" s="36"/>
      <c r="BQ733" s="36"/>
      <c r="BR733" s="36"/>
      <c r="BS733" s="36"/>
      <c r="BT733" s="36"/>
      <c r="BU733" s="36"/>
      <c r="BV733" s="36"/>
      <c r="BW733" s="36"/>
      <c r="BX733" s="36"/>
      <c r="BY733" s="36"/>
      <c r="BZ733" s="36"/>
      <c r="CA733" s="36"/>
      <c r="CB733" s="36"/>
      <c r="CC733" s="36"/>
      <c r="CD733" s="36"/>
      <c r="CE733" s="36"/>
      <c r="CF733" s="36"/>
      <c r="CG733" s="36"/>
      <c r="CH733" s="36"/>
      <c r="CI733" s="36"/>
      <c r="CJ733" s="36"/>
      <c r="CK733" s="36"/>
      <c r="CL733" s="36"/>
      <c r="CM733" s="36"/>
      <c r="CN733" s="36"/>
      <c r="CO733" s="36"/>
    </row>
    <row r="734">
      <c r="A734" s="36"/>
      <c r="B734" s="47"/>
      <c r="C734" s="50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  <c r="BK734" s="36"/>
      <c r="BL734" s="36"/>
      <c r="BM734" s="36"/>
      <c r="BN734" s="36"/>
      <c r="BO734" s="36"/>
      <c r="BP734" s="36"/>
      <c r="BQ734" s="36"/>
      <c r="BR734" s="36"/>
      <c r="BS734" s="36"/>
      <c r="BT734" s="36"/>
      <c r="BU734" s="36"/>
      <c r="BV734" s="36"/>
      <c r="BW734" s="36"/>
      <c r="BX734" s="36"/>
      <c r="BY734" s="36"/>
      <c r="BZ734" s="36"/>
      <c r="CA734" s="36"/>
      <c r="CB734" s="36"/>
      <c r="CC734" s="36"/>
      <c r="CD734" s="36"/>
      <c r="CE734" s="36"/>
      <c r="CF734" s="36"/>
      <c r="CG734" s="36"/>
      <c r="CH734" s="36"/>
      <c r="CI734" s="36"/>
      <c r="CJ734" s="36"/>
      <c r="CK734" s="36"/>
      <c r="CL734" s="36"/>
      <c r="CM734" s="36"/>
      <c r="CN734" s="36"/>
      <c r="CO734" s="36"/>
    </row>
    <row r="735">
      <c r="A735" s="36"/>
      <c r="B735" s="47"/>
      <c r="C735" s="50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  <c r="BK735" s="36"/>
      <c r="BL735" s="36"/>
      <c r="BM735" s="36"/>
      <c r="BN735" s="36"/>
      <c r="BO735" s="36"/>
      <c r="BP735" s="36"/>
      <c r="BQ735" s="36"/>
      <c r="BR735" s="36"/>
      <c r="BS735" s="36"/>
      <c r="BT735" s="36"/>
      <c r="BU735" s="36"/>
      <c r="BV735" s="36"/>
      <c r="BW735" s="36"/>
      <c r="BX735" s="36"/>
      <c r="BY735" s="36"/>
      <c r="BZ735" s="36"/>
      <c r="CA735" s="36"/>
      <c r="CB735" s="36"/>
      <c r="CC735" s="36"/>
      <c r="CD735" s="36"/>
      <c r="CE735" s="36"/>
      <c r="CF735" s="36"/>
      <c r="CG735" s="36"/>
      <c r="CH735" s="36"/>
      <c r="CI735" s="36"/>
      <c r="CJ735" s="36"/>
      <c r="CK735" s="36"/>
      <c r="CL735" s="36"/>
      <c r="CM735" s="36"/>
      <c r="CN735" s="36"/>
      <c r="CO735" s="36"/>
    </row>
    <row r="736">
      <c r="A736" s="36"/>
      <c r="B736" s="47"/>
      <c r="C736" s="50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  <c r="BK736" s="36"/>
      <c r="BL736" s="36"/>
      <c r="BM736" s="36"/>
      <c r="BN736" s="36"/>
      <c r="BO736" s="36"/>
      <c r="BP736" s="36"/>
      <c r="BQ736" s="36"/>
      <c r="BR736" s="36"/>
      <c r="BS736" s="36"/>
      <c r="BT736" s="36"/>
      <c r="BU736" s="36"/>
      <c r="BV736" s="36"/>
      <c r="BW736" s="36"/>
      <c r="BX736" s="36"/>
      <c r="BY736" s="36"/>
      <c r="BZ736" s="36"/>
      <c r="CA736" s="36"/>
      <c r="CB736" s="36"/>
      <c r="CC736" s="36"/>
      <c r="CD736" s="36"/>
      <c r="CE736" s="36"/>
      <c r="CF736" s="36"/>
      <c r="CG736" s="36"/>
      <c r="CH736" s="36"/>
      <c r="CI736" s="36"/>
      <c r="CJ736" s="36"/>
      <c r="CK736" s="36"/>
      <c r="CL736" s="36"/>
      <c r="CM736" s="36"/>
      <c r="CN736" s="36"/>
      <c r="CO736" s="36"/>
    </row>
    <row r="737">
      <c r="A737" s="36"/>
      <c r="B737" s="47"/>
      <c r="C737" s="50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  <c r="BK737" s="36"/>
      <c r="BL737" s="36"/>
      <c r="BM737" s="36"/>
      <c r="BN737" s="36"/>
      <c r="BO737" s="36"/>
      <c r="BP737" s="36"/>
      <c r="BQ737" s="36"/>
      <c r="BR737" s="36"/>
      <c r="BS737" s="36"/>
      <c r="BT737" s="36"/>
      <c r="BU737" s="36"/>
      <c r="BV737" s="36"/>
      <c r="BW737" s="36"/>
      <c r="BX737" s="36"/>
      <c r="BY737" s="36"/>
      <c r="BZ737" s="36"/>
      <c r="CA737" s="36"/>
      <c r="CB737" s="36"/>
      <c r="CC737" s="36"/>
      <c r="CD737" s="36"/>
      <c r="CE737" s="36"/>
      <c r="CF737" s="36"/>
      <c r="CG737" s="36"/>
      <c r="CH737" s="36"/>
      <c r="CI737" s="36"/>
      <c r="CJ737" s="36"/>
      <c r="CK737" s="36"/>
      <c r="CL737" s="36"/>
      <c r="CM737" s="36"/>
      <c r="CN737" s="36"/>
      <c r="CO737" s="36"/>
    </row>
    <row r="738">
      <c r="A738" s="36"/>
      <c r="B738" s="47"/>
      <c r="C738" s="50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  <c r="BK738" s="36"/>
      <c r="BL738" s="36"/>
      <c r="BM738" s="36"/>
      <c r="BN738" s="36"/>
      <c r="BO738" s="36"/>
      <c r="BP738" s="36"/>
      <c r="BQ738" s="36"/>
      <c r="BR738" s="36"/>
      <c r="BS738" s="36"/>
      <c r="BT738" s="36"/>
      <c r="BU738" s="36"/>
      <c r="BV738" s="36"/>
      <c r="BW738" s="36"/>
      <c r="BX738" s="36"/>
      <c r="BY738" s="36"/>
      <c r="BZ738" s="36"/>
      <c r="CA738" s="36"/>
      <c r="CB738" s="36"/>
      <c r="CC738" s="36"/>
      <c r="CD738" s="36"/>
      <c r="CE738" s="36"/>
      <c r="CF738" s="36"/>
      <c r="CG738" s="36"/>
      <c r="CH738" s="36"/>
      <c r="CI738" s="36"/>
      <c r="CJ738" s="36"/>
      <c r="CK738" s="36"/>
      <c r="CL738" s="36"/>
      <c r="CM738" s="36"/>
      <c r="CN738" s="36"/>
      <c r="CO738" s="36"/>
    </row>
    <row r="739">
      <c r="A739" s="36"/>
      <c r="B739" s="47"/>
      <c r="C739" s="50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  <c r="BK739" s="36"/>
      <c r="BL739" s="36"/>
      <c r="BM739" s="36"/>
      <c r="BN739" s="36"/>
      <c r="BO739" s="36"/>
      <c r="BP739" s="36"/>
      <c r="BQ739" s="36"/>
      <c r="BR739" s="36"/>
      <c r="BS739" s="36"/>
      <c r="BT739" s="36"/>
      <c r="BU739" s="36"/>
      <c r="BV739" s="36"/>
      <c r="BW739" s="36"/>
      <c r="BX739" s="36"/>
      <c r="BY739" s="36"/>
      <c r="BZ739" s="36"/>
      <c r="CA739" s="36"/>
      <c r="CB739" s="36"/>
      <c r="CC739" s="36"/>
      <c r="CD739" s="36"/>
      <c r="CE739" s="36"/>
      <c r="CF739" s="36"/>
      <c r="CG739" s="36"/>
      <c r="CH739" s="36"/>
      <c r="CI739" s="36"/>
      <c r="CJ739" s="36"/>
      <c r="CK739" s="36"/>
      <c r="CL739" s="36"/>
      <c r="CM739" s="36"/>
      <c r="CN739" s="36"/>
      <c r="CO739" s="36"/>
    </row>
    <row r="740">
      <c r="A740" s="36"/>
      <c r="B740" s="47"/>
      <c r="C740" s="50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  <c r="BK740" s="36"/>
      <c r="BL740" s="36"/>
      <c r="BM740" s="36"/>
      <c r="BN740" s="36"/>
      <c r="BO740" s="36"/>
      <c r="BP740" s="36"/>
      <c r="BQ740" s="36"/>
      <c r="BR740" s="36"/>
      <c r="BS740" s="36"/>
      <c r="BT740" s="36"/>
      <c r="BU740" s="36"/>
      <c r="BV740" s="36"/>
      <c r="BW740" s="36"/>
      <c r="BX740" s="36"/>
      <c r="BY740" s="36"/>
      <c r="BZ740" s="36"/>
      <c r="CA740" s="36"/>
      <c r="CB740" s="36"/>
      <c r="CC740" s="36"/>
      <c r="CD740" s="36"/>
      <c r="CE740" s="36"/>
      <c r="CF740" s="36"/>
      <c r="CG740" s="36"/>
      <c r="CH740" s="36"/>
      <c r="CI740" s="36"/>
      <c r="CJ740" s="36"/>
      <c r="CK740" s="36"/>
      <c r="CL740" s="36"/>
      <c r="CM740" s="36"/>
      <c r="CN740" s="36"/>
      <c r="CO740" s="36"/>
    </row>
    <row r="741">
      <c r="A741" s="36"/>
      <c r="B741" s="47"/>
      <c r="C741" s="50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  <c r="BK741" s="36"/>
      <c r="BL741" s="36"/>
      <c r="BM741" s="36"/>
      <c r="BN741" s="36"/>
      <c r="BO741" s="36"/>
      <c r="BP741" s="36"/>
      <c r="BQ741" s="36"/>
      <c r="BR741" s="36"/>
      <c r="BS741" s="36"/>
      <c r="BT741" s="36"/>
      <c r="BU741" s="36"/>
      <c r="BV741" s="36"/>
      <c r="BW741" s="36"/>
      <c r="BX741" s="36"/>
      <c r="BY741" s="36"/>
      <c r="BZ741" s="36"/>
      <c r="CA741" s="36"/>
      <c r="CB741" s="36"/>
      <c r="CC741" s="36"/>
      <c r="CD741" s="36"/>
      <c r="CE741" s="36"/>
      <c r="CF741" s="36"/>
      <c r="CG741" s="36"/>
      <c r="CH741" s="36"/>
      <c r="CI741" s="36"/>
      <c r="CJ741" s="36"/>
      <c r="CK741" s="36"/>
      <c r="CL741" s="36"/>
      <c r="CM741" s="36"/>
      <c r="CN741" s="36"/>
      <c r="CO741" s="36"/>
    </row>
    <row r="742">
      <c r="A742" s="36"/>
      <c r="B742" s="47"/>
      <c r="C742" s="50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  <c r="BK742" s="36"/>
      <c r="BL742" s="36"/>
      <c r="BM742" s="36"/>
      <c r="BN742" s="36"/>
      <c r="BO742" s="36"/>
      <c r="BP742" s="36"/>
      <c r="BQ742" s="36"/>
      <c r="BR742" s="36"/>
      <c r="BS742" s="36"/>
      <c r="BT742" s="36"/>
      <c r="BU742" s="36"/>
      <c r="BV742" s="36"/>
      <c r="BW742" s="36"/>
      <c r="BX742" s="36"/>
      <c r="BY742" s="36"/>
      <c r="BZ742" s="36"/>
      <c r="CA742" s="36"/>
      <c r="CB742" s="36"/>
      <c r="CC742" s="36"/>
      <c r="CD742" s="36"/>
      <c r="CE742" s="36"/>
      <c r="CF742" s="36"/>
      <c r="CG742" s="36"/>
      <c r="CH742" s="36"/>
      <c r="CI742" s="36"/>
      <c r="CJ742" s="36"/>
      <c r="CK742" s="36"/>
      <c r="CL742" s="36"/>
      <c r="CM742" s="36"/>
      <c r="CN742" s="36"/>
      <c r="CO742" s="36"/>
    </row>
    <row r="743">
      <c r="A743" s="36"/>
      <c r="B743" s="47"/>
      <c r="C743" s="50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  <c r="BK743" s="36"/>
      <c r="BL743" s="36"/>
      <c r="BM743" s="36"/>
      <c r="BN743" s="36"/>
      <c r="BO743" s="36"/>
      <c r="BP743" s="36"/>
      <c r="BQ743" s="36"/>
      <c r="BR743" s="36"/>
      <c r="BS743" s="36"/>
      <c r="BT743" s="36"/>
      <c r="BU743" s="36"/>
      <c r="BV743" s="36"/>
      <c r="BW743" s="36"/>
      <c r="BX743" s="36"/>
      <c r="BY743" s="36"/>
      <c r="BZ743" s="36"/>
      <c r="CA743" s="36"/>
      <c r="CB743" s="36"/>
      <c r="CC743" s="36"/>
      <c r="CD743" s="36"/>
      <c r="CE743" s="36"/>
      <c r="CF743" s="36"/>
      <c r="CG743" s="36"/>
      <c r="CH743" s="36"/>
      <c r="CI743" s="36"/>
      <c r="CJ743" s="36"/>
      <c r="CK743" s="36"/>
      <c r="CL743" s="36"/>
      <c r="CM743" s="36"/>
      <c r="CN743" s="36"/>
      <c r="CO743" s="36"/>
    </row>
    <row r="744">
      <c r="A744" s="36"/>
      <c r="B744" s="47"/>
      <c r="C744" s="50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  <c r="BK744" s="36"/>
      <c r="BL744" s="36"/>
      <c r="BM744" s="36"/>
      <c r="BN744" s="36"/>
      <c r="BO744" s="36"/>
      <c r="BP744" s="36"/>
      <c r="BQ744" s="36"/>
      <c r="BR744" s="36"/>
      <c r="BS744" s="36"/>
      <c r="BT744" s="36"/>
      <c r="BU744" s="36"/>
      <c r="BV744" s="36"/>
      <c r="BW744" s="36"/>
      <c r="BX744" s="36"/>
      <c r="BY744" s="36"/>
      <c r="BZ744" s="36"/>
      <c r="CA744" s="36"/>
      <c r="CB744" s="36"/>
      <c r="CC744" s="36"/>
      <c r="CD744" s="36"/>
      <c r="CE744" s="36"/>
      <c r="CF744" s="36"/>
      <c r="CG744" s="36"/>
      <c r="CH744" s="36"/>
      <c r="CI744" s="36"/>
      <c r="CJ744" s="36"/>
      <c r="CK744" s="36"/>
      <c r="CL744" s="36"/>
      <c r="CM744" s="36"/>
      <c r="CN744" s="36"/>
      <c r="CO744" s="36"/>
    </row>
    <row r="745">
      <c r="A745" s="36"/>
      <c r="B745" s="47"/>
      <c r="C745" s="50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  <c r="BK745" s="36"/>
      <c r="BL745" s="36"/>
      <c r="BM745" s="36"/>
      <c r="BN745" s="36"/>
      <c r="BO745" s="36"/>
      <c r="BP745" s="36"/>
      <c r="BQ745" s="36"/>
      <c r="BR745" s="36"/>
      <c r="BS745" s="36"/>
      <c r="BT745" s="36"/>
      <c r="BU745" s="36"/>
      <c r="BV745" s="36"/>
      <c r="BW745" s="36"/>
      <c r="BX745" s="36"/>
      <c r="BY745" s="36"/>
      <c r="BZ745" s="36"/>
      <c r="CA745" s="36"/>
      <c r="CB745" s="36"/>
      <c r="CC745" s="36"/>
      <c r="CD745" s="36"/>
      <c r="CE745" s="36"/>
      <c r="CF745" s="36"/>
      <c r="CG745" s="36"/>
      <c r="CH745" s="36"/>
      <c r="CI745" s="36"/>
      <c r="CJ745" s="36"/>
      <c r="CK745" s="36"/>
      <c r="CL745" s="36"/>
      <c r="CM745" s="36"/>
      <c r="CN745" s="36"/>
      <c r="CO745" s="36"/>
    </row>
    <row r="746">
      <c r="A746" s="36"/>
      <c r="B746" s="47"/>
      <c r="C746" s="50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  <c r="BK746" s="36"/>
      <c r="BL746" s="36"/>
      <c r="BM746" s="36"/>
      <c r="BN746" s="36"/>
      <c r="BO746" s="36"/>
      <c r="BP746" s="36"/>
      <c r="BQ746" s="36"/>
      <c r="BR746" s="36"/>
      <c r="BS746" s="36"/>
      <c r="BT746" s="36"/>
      <c r="BU746" s="36"/>
      <c r="BV746" s="36"/>
      <c r="BW746" s="36"/>
      <c r="BX746" s="36"/>
      <c r="BY746" s="36"/>
      <c r="BZ746" s="36"/>
      <c r="CA746" s="36"/>
      <c r="CB746" s="36"/>
      <c r="CC746" s="36"/>
      <c r="CD746" s="36"/>
      <c r="CE746" s="36"/>
      <c r="CF746" s="36"/>
      <c r="CG746" s="36"/>
      <c r="CH746" s="36"/>
      <c r="CI746" s="36"/>
      <c r="CJ746" s="36"/>
      <c r="CK746" s="36"/>
      <c r="CL746" s="36"/>
      <c r="CM746" s="36"/>
      <c r="CN746" s="36"/>
      <c r="CO746" s="36"/>
    </row>
    <row r="747">
      <c r="A747" s="36"/>
      <c r="B747" s="47"/>
      <c r="C747" s="50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  <c r="BK747" s="36"/>
      <c r="BL747" s="36"/>
      <c r="BM747" s="36"/>
      <c r="BN747" s="36"/>
      <c r="BO747" s="36"/>
      <c r="BP747" s="36"/>
      <c r="BQ747" s="36"/>
      <c r="BR747" s="36"/>
      <c r="BS747" s="36"/>
      <c r="BT747" s="36"/>
      <c r="BU747" s="36"/>
      <c r="BV747" s="36"/>
      <c r="BW747" s="36"/>
      <c r="BX747" s="36"/>
      <c r="BY747" s="36"/>
      <c r="BZ747" s="36"/>
      <c r="CA747" s="36"/>
      <c r="CB747" s="36"/>
      <c r="CC747" s="36"/>
      <c r="CD747" s="36"/>
      <c r="CE747" s="36"/>
      <c r="CF747" s="36"/>
      <c r="CG747" s="36"/>
      <c r="CH747" s="36"/>
      <c r="CI747" s="36"/>
      <c r="CJ747" s="36"/>
      <c r="CK747" s="36"/>
      <c r="CL747" s="36"/>
      <c r="CM747" s="36"/>
      <c r="CN747" s="36"/>
      <c r="CO747" s="36"/>
    </row>
    <row r="748">
      <c r="A748" s="36"/>
      <c r="B748" s="47"/>
      <c r="C748" s="50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  <c r="BK748" s="36"/>
      <c r="BL748" s="36"/>
      <c r="BM748" s="36"/>
      <c r="BN748" s="36"/>
      <c r="BO748" s="36"/>
      <c r="BP748" s="36"/>
      <c r="BQ748" s="36"/>
      <c r="BR748" s="36"/>
      <c r="BS748" s="36"/>
      <c r="BT748" s="36"/>
      <c r="BU748" s="36"/>
      <c r="BV748" s="36"/>
      <c r="BW748" s="36"/>
      <c r="BX748" s="36"/>
      <c r="BY748" s="36"/>
      <c r="BZ748" s="36"/>
      <c r="CA748" s="36"/>
      <c r="CB748" s="36"/>
      <c r="CC748" s="36"/>
      <c r="CD748" s="36"/>
      <c r="CE748" s="36"/>
      <c r="CF748" s="36"/>
      <c r="CG748" s="36"/>
      <c r="CH748" s="36"/>
      <c r="CI748" s="36"/>
      <c r="CJ748" s="36"/>
      <c r="CK748" s="36"/>
      <c r="CL748" s="36"/>
      <c r="CM748" s="36"/>
      <c r="CN748" s="36"/>
      <c r="CO748" s="36"/>
    </row>
    <row r="749">
      <c r="A749" s="36"/>
      <c r="B749" s="47"/>
      <c r="C749" s="50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  <c r="BK749" s="36"/>
      <c r="BL749" s="36"/>
      <c r="BM749" s="36"/>
      <c r="BN749" s="36"/>
      <c r="BO749" s="36"/>
      <c r="BP749" s="36"/>
      <c r="BQ749" s="36"/>
      <c r="BR749" s="36"/>
      <c r="BS749" s="36"/>
      <c r="BT749" s="36"/>
      <c r="BU749" s="36"/>
      <c r="BV749" s="36"/>
      <c r="BW749" s="36"/>
      <c r="BX749" s="36"/>
      <c r="BY749" s="36"/>
      <c r="BZ749" s="36"/>
      <c r="CA749" s="36"/>
      <c r="CB749" s="36"/>
      <c r="CC749" s="36"/>
      <c r="CD749" s="36"/>
      <c r="CE749" s="36"/>
      <c r="CF749" s="36"/>
      <c r="CG749" s="36"/>
      <c r="CH749" s="36"/>
      <c r="CI749" s="36"/>
      <c r="CJ749" s="36"/>
      <c r="CK749" s="36"/>
      <c r="CL749" s="36"/>
      <c r="CM749" s="36"/>
      <c r="CN749" s="36"/>
      <c r="CO749" s="36"/>
    </row>
    <row r="750">
      <c r="A750" s="36"/>
      <c r="B750" s="47"/>
      <c r="C750" s="50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  <c r="BK750" s="36"/>
      <c r="BL750" s="36"/>
      <c r="BM750" s="36"/>
      <c r="BN750" s="36"/>
      <c r="BO750" s="36"/>
      <c r="BP750" s="36"/>
      <c r="BQ750" s="36"/>
      <c r="BR750" s="36"/>
      <c r="BS750" s="36"/>
      <c r="BT750" s="36"/>
      <c r="BU750" s="36"/>
      <c r="BV750" s="36"/>
      <c r="BW750" s="36"/>
      <c r="BX750" s="36"/>
      <c r="BY750" s="36"/>
      <c r="BZ750" s="36"/>
      <c r="CA750" s="36"/>
      <c r="CB750" s="36"/>
      <c r="CC750" s="36"/>
      <c r="CD750" s="36"/>
      <c r="CE750" s="36"/>
      <c r="CF750" s="36"/>
      <c r="CG750" s="36"/>
      <c r="CH750" s="36"/>
      <c r="CI750" s="36"/>
      <c r="CJ750" s="36"/>
      <c r="CK750" s="36"/>
      <c r="CL750" s="36"/>
      <c r="CM750" s="36"/>
      <c r="CN750" s="36"/>
      <c r="CO750" s="36"/>
    </row>
    <row r="751">
      <c r="A751" s="36"/>
      <c r="B751" s="47"/>
      <c r="C751" s="50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  <c r="BK751" s="36"/>
      <c r="BL751" s="36"/>
      <c r="BM751" s="36"/>
      <c r="BN751" s="36"/>
      <c r="BO751" s="36"/>
      <c r="BP751" s="36"/>
      <c r="BQ751" s="36"/>
      <c r="BR751" s="36"/>
      <c r="BS751" s="36"/>
      <c r="BT751" s="36"/>
      <c r="BU751" s="36"/>
      <c r="BV751" s="36"/>
      <c r="BW751" s="36"/>
      <c r="BX751" s="36"/>
      <c r="BY751" s="36"/>
      <c r="BZ751" s="36"/>
      <c r="CA751" s="36"/>
      <c r="CB751" s="36"/>
      <c r="CC751" s="36"/>
      <c r="CD751" s="36"/>
      <c r="CE751" s="36"/>
      <c r="CF751" s="36"/>
      <c r="CG751" s="36"/>
      <c r="CH751" s="36"/>
      <c r="CI751" s="36"/>
      <c r="CJ751" s="36"/>
      <c r="CK751" s="36"/>
      <c r="CL751" s="36"/>
      <c r="CM751" s="36"/>
      <c r="CN751" s="36"/>
      <c r="CO751" s="36"/>
    </row>
    <row r="752">
      <c r="A752" s="36"/>
      <c r="B752" s="47"/>
      <c r="C752" s="50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  <c r="BK752" s="36"/>
      <c r="BL752" s="36"/>
      <c r="BM752" s="36"/>
      <c r="BN752" s="36"/>
      <c r="BO752" s="36"/>
      <c r="BP752" s="36"/>
      <c r="BQ752" s="36"/>
      <c r="BR752" s="36"/>
      <c r="BS752" s="36"/>
      <c r="BT752" s="36"/>
      <c r="BU752" s="36"/>
      <c r="BV752" s="36"/>
      <c r="BW752" s="36"/>
      <c r="BX752" s="36"/>
      <c r="BY752" s="36"/>
      <c r="BZ752" s="36"/>
      <c r="CA752" s="36"/>
      <c r="CB752" s="36"/>
      <c r="CC752" s="36"/>
      <c r="CD752" s="36"/>
      <c r="CE752" s="36"/>
      <c r="CF752" s="36"/>
      <c r="CG752" s="36"/>
      <c r="CH752" s="36"/>
      <c r="CI752" s="36"/>
      <c r="CJ752" s="36"/>
      <c r="CK752" s="36"/>
      <c r="CL752" s="36"/>
      <c r="CM752" s="36"/>
      <c r="CN752" s="36"/>
      <c r="CO752" s="36"/>
    </row>
    <row r="753">
      <c r="A753" s="36"/>
      <c r="B753" s="47"/>
      <c r="C753" s="50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  <c r="BK753" s="36"/>
      <c r="BL753" s="36"/>
      <c r="BM753" s="36"/>
      <c r="BN753" s="36"/>
      <c r="BO753" s="36"/>
      <c r="BP753" s="36"/>
      <c r="BQ753" s="36"/>
      <c r="BR753" s="36"/>
      <c r="BS753" s="36"/>
      <c r="BT753" s="36"/>
      <c r="BU753" s="36"/>
      <c r="BV753" s="36"/>
      <c r="BW753" s="36"/>
      <c r="BX753" s="36"/>
      <c r="BY753" s="36"/>
      <c r="BZ753" s="36"/>
      <c r="CA753" s="36"/>
      <c r="CB753" s="36"/>
      <c r="CC753" s="36"/>
      <c r="CD753" s="36"/>
      <c r="CE753" s="36"/>
      <c r="CF753" s="36"/>
      <c r="CG753" s="36"/>
      <c r="CH753" s="36"/>
      <c r="CI753" s="36"/>
      <c r="CJ753" s="36"/>
      <c r="CK753" s="36"/>
      <c r="CL753" s="36"/>
      <c r="CM753" s="36"/>
      <c r="CN753" s="36"/>
      <c r="CO753" s="36"/>
    </row>
    <row r="754">
      <c r="A754" s="36"/>
      <c r="B754" s="47"/>
      <c r="C754" s="50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  <c r="BK754" s="36"/>
      <c r="BL754" s="36"/>
      <c r="BM754" s="36"/>
      <c r="BN754" s="36"/>
      <c r="BO754" s="36"/>
      <c r="BP754" s="36"/>
      <c r="BQ754" s="36"/>
      <c r="BR754" s="36"/>
      <c r="BS754" s="36"/>
      <c r="BT754" s="36"/>
      <c r="BU754" s="36"/>
      <c r="BV754" s="36"/>
      <c r="BW754" s="36"/>
      <c r="BX754" s="36"/>
      <c r="BY754" s="36"/>
      <c r="BZ754" s="36"/>
      <c r="CA754" s="36"/>
      <c r="CB754" s="36"/>
      <c r="CC754" s="36"/>
      <c r="CD754" s="36"/>
      <c r="CE754" s="36"/>
      <c r="CF754" s="36"/>
      <c r="CG754" s="36"/>
      <c r="CH754" s="36"/>
      <c r="CI754" s="36"/>
      <c r="CJ754" s="36"/>
      <c r="CK754" s="36"/>
      <c r="CL754" s="36"/>
      <c r="CM754" s="36"/>
      <c r="CN754" s="36"/>
      <c r="CO754" s="36"/>
    </row>
    <row r="755">
      <c r="A755" s="36"/>
      <c r="B755" s="47"/>
      <c r="C755" s="50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  <c r="BK755" s="36"/>
      <c r="BL755" s="36"/>
      <c r="BM755" s="36"/>
      <c r="BN755" s="36"/>
      <c r="BO755" s="36"/>
      <c r="BP755" s="36"/>
      <c r="BQ755" s="36"/>
      <c r="BR755" s="36"/>
      <c r="BS755" s="36"/>
      <c r="BT755" s="36"/>
      <c r="BU755" s="36"/>
      <c r="BV755" s="36"/>
      <c r="BW755" s="36"/>
      <c r="BX755" s="36"/>
      <c r="BY755" s="36"/>
      <c r="BZ755" s="36"/>
      <c r="CA755" s="36"/>
      <c r="CB755" s="36"/>
      <c r="CC755" s="36"/>
      <c r="CD755" s="36"/>
      <c r="CE755" s="36"/>
      <c r="CF755" s="36"/>
      <c r="CG755" s="36"/>
      <c r="CH755" s="36"/>
      <c r="CI755" s="36"/>
      <c r="CJ755" s="36"/>
      <c r="CK755" s="36"/>
      <c r="CL755" s="36"/>
      <c r="CM755" s="36"/>
      <c r="CN755" s="36"/>
      <c r="CO755" s="36"/>
    </row>
    <row r="756">
      <c r="A756" s="36"/>
      <c r="B756" s="47"/>
      <c r="C756" s="50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  <c r="BK756" s="36"/>
      <c r="BL756" s="36"/>
      <c r="BM756" s="36"/>
      <c r="BN756" s="36"/>
      <c r="BO756" s="36"/>
      <c r="BP756" s="36"/>
      <c r="BQ756" s="36"/>
      <c r="BR756" s="36"/>
      <c r="BS756" s="36"/>
      <c r="BT756" s="36"/>
      <c r="BU756" s="36"/>
      <c r="BV756" s="36"/>
      <c r="BW756" s="36"/>
      <c r="BX756" s="36"/>
      <c r="BY756" s="36"/>
      <c r="BZ756" s="36"/>
      <c r="CA756" s="36"/>
      <c r="CB756" s="36"/>
      <c r="CC756" s="36"/>
      <c r="CD756" s="36"/>
      <c r="CE756" s="36"/>
      <c r="CF756" s="36"/>
      <c r="CG756" s="36"/>
      <c r="CH756" s="36"/>
      <c r="CI756" s="36"/>
      <c r="CJ756" s="36"/>
      <c r="CK756" s="36"/>
      <c r="CL756" s="36"/>
      <c r="CM756" s="36"/>
      <c r="CN756" s="36"/>
      <c r="CO756" s="36"/>
    </row>
    <row r="757">
      <c r="A757" s="36"/>
      <c r="B757" s="47"/>
      <c r="C757" s="50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  <c r="BK757" s="36"/>
      <c r="BL757" s="36"/>
      <c r="BM757" s="36"/>
      <c r="BN757" s="36"/>
      <c r="BO757" s="36"/>
      <c r="BP757" s="36"/>
      <c r="BQ757" s="36"/>
      <c r="BR757" s="36"/>
      <c r="BS757" s="36"/>
      <c r="BT757" s="36"/>
      <c r="BU757" s="36"/>
      <c r="BV757" s="36"/>
      <c r="BW757" s="36"/>
      <c r="BX757" s="36"/>
      <c r="BY757" s="36"/>
      <c r="BZ757" s="36"/>
      <c r="CA757" s="36"/>
      <c r="CB757" s="36"/>
      <c r="CC757" s="36"/>
      <c r="CD757" s="36"/>
      <c r="CE757" s="36"/>
      <c r="CF757" s="36"/>
      <c r="CG757" s="36"/>
      <c r="CH757" s="36"/>
      <c r="CI757" s="36"/>
      <c r="CJ757" s="36"/>
      <c r="CK757" s="36"/>
      <c r="CL757" s="36"/>
      <c r="CM757" s="36"/>
      <c r="CN757" s="36"/>
      <c r="CO757" s="36"/>
    </row>
    <row r="758">
      <c r="A758" s="36"/>
      <c r="B758" s="47"/>
      <c r="C758" s="50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  <c r="BK758" s="36"/>
      <c r="BL758" s="36"/>
      <c r="BM758" s="36"/>
      <c r="BN758" s="36"/>
      <c r="BO758" s="36"/>
      <c r="BP758" s="36"/>
      <c r="BQ758" s="36"/>
      <c r="BR758" s="36"/>
      <c r="BS758" s="36"/>
      <c r="BT758" s="36"/>
      <c r="BU758" s="36"/>
      <c r="BV758" s="36"/>
      <c r="BW758" s="36"/>
      <c r="BX758" s="36"/>
      <c r="BY758" s="36"/>
      <c r="BZ758" s="36"/>
      <c r="CA758" s="36"/>
      <c r="CB758" s="36"/>
      <c r="CC758" s="36"/>
      <c r="CD758" s="36"/>
      <c r="CE758" s="36"/>
      <c r="CF758" s="36"/>
      <c r="CG758" s="36"/>
      <c r="CH758" s="36"/>
      <c r="CI758" s="36"/>
      <c r="CJ758" s="36"/>
      <c r="CK758" s="36"/>
      <c r="CL758" s="36"/>
      <c r="CM758" s="36"/>
      <c r="CN758" s="36"/>
      <c r="CO758" s="36"/>
    </row>
    <row r="759">
      <c r="A759" s="36"/>
      <c r="B759" s="47"/>
      <c r="C759" s="50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  <c r="BK759" s="36"/>
      <c r="BL759" s="36"/>
      <c r="BM759" s="36"/>
      <c r="BN759" s="36"/>
      <c r="BO759" s="36"/>
      <c r="BP759" s="36"/>
      <c r="BQ759" s="36"/>
      <c r="BR759" s="36"/>
      <c r="BS759" s="36"/>
      <c r="BT759" s="36"/>
      <c r="BU759" s="36"/>
      <c r="BV759" s="36"/>
      <c r="BW759" s="36"/>
      <c r="BX759" s="36"/>
      <c r="BY759" s="36"/>
      <c r="BZ759" s="36"/>
      <c r="CA759" s="36"/>
      <c r="CB759" s="36"/>
      <c r="CC759" s="36"/>
      <c r="CD759" s="36"/>
      <c r="CE759" s="36"/>
      <c r="CF759" s="36"/>
      <c r="CG759" s="36"/>
      <c r="CH759" s="36"/>
      <c r="CI759" s="36"/>
      <c r="CJ759" s="36"/>
      <c r="CK759" s="36"/>
      <c r="CL759" s="36"/>
      <c r="CM759" s="36"/>
      <c r="CN759" s="36"/>
      <c r="CO759" s="36"/>
    </row>
    <row r="760">
      <c r="A760" s="36"/>
      <c r="B760" s="47"/>
      <c r="C760" s="50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  <c r="BK760" s="36"/>
      <c r="BL760" s="36"/>
      <c r="BM760" s="36"/>
      <c r="BN760" s="36"/>
      <c r="BO760" s="36"/>
      <c r="BP760" s="36"/>
      <c r="BQ760" s="36"/>
      <c r="BR760" s="36"/>
      <c r="BS760" s="36"/>
      <c r="BT760" s="36"/>
      <c r="BU760" s="36"/>
      <c r="BV760" s="36"/>
      <c r="BW760" s="36"/>
      <c r="BX760" s="36"/>
      <c r="BY760" s="36"/>
      <c r="BZ760" s="36"/>
      <c r="CA760" s="36"/>
      <c r="CB760" s="36"/>
      <c r="CC760" s="36"/>
      <c r="CD760" s="36"/>
      <c r="CE760" s="36"/>
      <c r="CF760" s="36"/>
      <c r="CG760" s="36"/>
      <c r="CH760" s="36"/>
      <c r="CI760" s="36"/>
      <c r="CJ760" s="36"/>
      <c r="CK760" s="36"/>
      <c r="CL760" s="36"/>
      <c r="CM760" s="36"/>
      <c r="CN760" s="36"/>
      <c r="CO760" s="36"/>
    </row>
    <row r="761">
      <c r="A761" s="36"/>
      <c r="B761" s="47"/>
      <c r="C761" s="50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  <c r="BK761" s="36"/>
      <c r="BL761" s="36"/>
      <c r="BM761" s="36"/>
      <c r="BN761" s="36"/>
      <c r="BO761" s="36"/>
      <c r="BP761" s="36"/>
      <c r="BQ761" s="36"/>
      <c r="BR761" s="36"/>
      <c r="BS761" s="36"/>
      <c r="BT761" s="36"/>
      <c r="BU761" s="36"/>
      <c r="BV761" s="36"/>
      <c r="BW761" s="36"/>
      <c r="BX761" s="36"/>
      <c r="BY761" s="36"/>
      <c r="BZ761" s="36"/>
      <c r="CA761" s="36"/>
      <c r="CB761" s="36"/>
      <c r="CC761" s="36"/>
      <c r="CD761" s="36"/>
      <c r="CE761" s="36"/>
      <c r="CF761" s="36"/>
      <c r="CG761" s="36"/>
      <c r="CH761" s="36"/>
      <c r="CI761" s="36"/>
      <c r="CJ761" s="36"/>
      <c r="CK761" s="36"/>
      <c r="CL761" s="36"/>
      <c r="CM761" s="36"/>
      <c r="CN761" s="36"/>
      <c r="CO761" s="36"/>
    </row>
    <row r="762">
      <c r="A762" s="36"/>
      <c r="B762" s="47"/>
      <c r="C762" s="50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  <c r="BK762" s="36"/>
      <c r="BL762" s="36"/>
      <c r="BM762" s="36"/>
      <c r="BN762" s="36"/>
      <c r="BO762" s="36"/>
      <c r="BP762" s="36"/>
      <c r="BQ762" s="36"/>
      <c r="BR762" s="36"/>
      <c r="BS762" s="36"/>
      <c r="BT762" s="36"/>
      <c r="BU762" s="36"/>
      <c r="BV762" s="36"/>
      <c r="BW762" s="36"/>
      <c r="BX762" s="36"/>
      <c r="BY762" s="36"/>
      <c r="BZ762" s="36"/>
      <c r="CA762" s="36"/>
      <c r="CB762" s="36"/>
      <c r="CC762" s="36"/>
      <c r="CD762" s="36"/>
      <c r="CE762" s="36"/>
      <c r="CF762" s="36"/>
      <c r="CG762" s="36"/>
      <c r="CH762" s="36"/>
      <c r="CI762" s="36"/>
      <c r="CJ762" s="36"/>
      <c r="CK762" s="36"/>
      <c r="CL762" s="36"/>
      <c r="CM762" s="36"/>
      <c r="CN762" s="36"/>
      <c r="CO762" s="36"/>
    </row>
    <row r="763">
      <c r="A763" s="36"/>
      <c r="B763" s="47"/>
      <c r="C763" s="50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  <c r="BK763" s="36"/>
      <c r="BL763" s="36"/>
      <c r="BM763" s="36"/>
      <c r="BN763" s="36"/>
      <c r="BO763" s="36"/>
      <c r="BP763" s="36"/>
      <c r="BQ763" s="36"/>
      <c r="BR763" s="36"/>
      <c r="BS763" s="36"/>
      <c r="BT763" s="36"/>
      <c r="BU763" s="36"/>
      <c r="BV763" s="36"/>
      <c r="BW763" s="36"/>
      <c r="BX763" s="36"/>
      <c r="BY763" s="36"/>
      <c r="BZ763" s="36"/>
      <c r="CA763" s="36"/>
      <c r="CB763" s="36"/>
      <c r="CC763" s="36"/>
      <c r="CD763" s="36"/>
      <c r="CE763" s="36"/>
      <c r="CF763" s="36"/>
      <c r="CG763" s="36"/>
      <c r="CH763" s="36"/>
      <c r="CI763" s="36"/>
      <c r="CJ763" s="36"/>
      <c r="CK763" s="36"/>
      <c r="CL763" s="36"/>
      <c r="CM763" s="36"/>
      <c r="CN763" s="36"/>
      <c r="CO763" s="36"/>
    </row>
    <row r="764">
      <c r="A764" s="36"/>
      <c r="B764" s="47"/>
      <c r="C764" s="50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  <c r="BK764" s="36"/>
      <c r="BL764" s="36"/>
      <c r="BM764" s="36"/>
      <c r="BN764" s="36"/>
      <c r="BO764" s="36"/>
      <c r="BP764" s="36"/>
      <c r="BQ764" s="36"/>
      <c r="BR764" s="36"/>
      <c r="BS764" s="36"/>
      <c r="BT764" s="36"/>
      <c r="BU764" s="36"/>
      <c r="BV764" s="36"/>
      <c r="BW764" s="36"/>
      <c r="BX764" s="36"/>
      <c r="BY764" s="36"/>
      <c r="BZ764" s="36"/>
      <c r="CA764" s="36"/>
      <c r="CB764" s="36"/>
      <c r="CC764" s="36"/>
      <c r="CD764" s="36"/>
      <c r="CE764" s="36"/>
      <c r="CF764" s="36"/>
      <c r="CG764" s="36"/>
      <c r="CH764" s="36"/>
      <c r="CI764" s="36"/>
      <c r="CJ764" s="36"/>
      <c r="CK764" s="36"/>
      <c r="CL764" s="36"/>
      <c r="CM764" s="36"/>
      <c r="CN764" s="36"/>
      <c r="CO764" s="36"/>
    </row>
    <row r="765">
      <c r="A765" s="36"/>
      <c r="B765" s="47"/>
      <c r="C765" s="50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  <c r="BK765" s="36"/>
      <c r="BL765" s="36"/>
      <c r="BM765" s="36"/>
      <c r="BN765" s="36"/>
      <c r="BO765" s="36"/>
      <c r="BP765" s="36"/>
      <c r="BQ765" s="36"/>
      <c r="BR765" s="36"/>
      <c r="BS765" s="36"/>
      <c r="BT765" s="36"/>
      <c r="BU765" s="36"/>
      <c r="BV765" s="36"/>
      <c r="BW765" s="36"/>
      <c r="BX765" s="36"/>
      <c r="BY765" s="36"/>
      <c r="BZ765" s="36"/>
      <c r="CA765" s="36"/>
      <c r="CB765" s="36"/>
      <c r="CC765" s="36"/>
      <c r="CD765" s="36"/>
      <c r="CE765" s="36"/>
      <c r="CF765" s="36"/>
      <c r="CG765" s="36"/>
      <c r="CH765" s="36"/>
      <c r="CI765" s="36"/>
      <c r="CJ765" s="36"/>
      <c r="CK765" s="36"/>
      <c r="CL765" s="36"/>
      <c r="CM765" s="36"/>
      <c r="CN765" s="36"/>
      <c r="CO765" s="36"/>
    </row>
    <row r="766">
      <c r="A766" s="36"/>
      <c r="B766" s="47"/>
      <c r="C766" s="50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  <c r="BK766" s="36"/>
      <c r="BL766" s="36"/>
      <c r="BM766" s="36"/>
      <c r="BN766" s="36"/>
      <c r="BO766" s="36"/>
      <c r="BP766" s="36"/>
      <c r="BQ766" s="36"/>
      <c r="BR766" s="36"/>
      <c r="BS766" s="36"/>
      <c r="BT766" s="36"/>
      <c r="BU766" s="36"/>
      <c r="BV766" s="36"/>
      <c r="BW766" s="36"/>
      <c r="BX766" s="36"/>
      <c r="BY766" s="36"/>
      <c r="BZ766" s="36"/>
      <c r="CA766" s="36"/>
      <c r="CB766" s="36"/>
      <c r="CC766" s="36"/>
      <c r="CD766" s="36"/>
      <c r="CE766" s="36"/>
      <c r="CF766" s="36"/>
      <c r="CG766" s="36"/>
      <c r="CH766" s="36"/>
      <c r="CI766" s="36"/>
      <c r="CJ766" s="36"/>
      <c r="CK766" s="36"/>
      <c r="CL766" s="36"/>
      <c r="CM766" s="36"/>
      <c r="CN766" s="36"/>
      <c r="CO766" s="36"/>
    </row>
    <row r="767">
      <c r="A767" s="36"/>
      <c r="B767" s="47"/>
      <c r="C767" s="50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  <c r="BK767" s="36"/>
      <c r="BL767" s="36"/>
      <c r="BM767" s="36"/>
      <c r="BN767" s="36"/>
      <c r="BO767" s="36"/>
      <c r="BP767" s="36"/>
      <c r="BQ767" s="36"/>
      <c r="BR767" s="36"/>
      <c r="BS767" s="36"/>
      <c r="BT767" s="36"/>
      <c r="BU767" s="36"/>
      <c r="BV767" s="36"/>
      <c r="BW767" s="36"/>
      <c r="BX767" s="36"/>
      <c r="BY767" s="36"/>
      <c r="BZ767" s="36"/>
      <c r="CA767" s="36"/>
      <c r="CB767" s="36"/>
      <c r="CC767" s="36"/>
      <c r="CD767" s="36"/>
      <c r="CE767" s="36"/>
      <c r="CF767" s="36"/>
      <c r="CG767" s="36"/>
      <c r="CH767" s="36"/>
      <c r="CI767" s="36"/>
      <c r="CJ767" s="36"/>
      <c r="CK767" s="36"/>
      <c r="CL767" s="36"/>
      <c r="CM767" s="36"/>
      <c r="CN767" s="36"/>
      <c r="CO767" s="36"/>
    </row>
    <row r="768">
      <c r="A768" s="36"/>
      <c r="B768" s="47"/>
      <c r="C768" s="50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  <c r="BK768" s="36"/>
      <c r="BL768" s="36"/>
      <c r="BM768" s="36"/>
      <c r="BN768" s="36"/>
      <c r="BO768" s="36"/>
      <c r="BP768" s="36"/>
      <c r="BQ768" s="36"/>
      <c r="BR768" s="36"/>
      <c r="BS768" s="36"/>
      <c r="BT768" s="36"/>
      <c r="BU768" s="36"/>
      <c r="BV768" s="36"/>
      <c r="BW768" s="36"/>
      <c r="BX768" s="36"/>
      <c r="BY768" s="36"/>
      <c r="BZ768" s="36"/>
      <c r="CA768" s="36"/>
      <c r="CB768" s="36"/>
      <c r="CC768" s="36"/>
      <c r="CD768" s="36"/>
      <c r="CE768" s="36"/>
      <c r="CF768" s="36"/>
      <c r="CG768" s="36"/>
      <c r="CH768" s="36"/>
      <c r="CI768" s="36"/>
      <c r="CJ768" s="36"/>
      <c r="CK768" s="36"/>
      <c r="CL768" s="36"/>
      <c r="CM768" s="36"/>
      <c r="CN768" s="36"/>
      <c r="CO768" s="36"/>
    </row>
    <row r="769">
      <c r="A769" s="36"/>
      <c r="B769" s="47"/>
      <c r="C769" s="50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  <c r="BK769" s="36"/>
      <c r="BL769" s="36"/>
      <c r="BM769" s="36"/>
      <c r="BN769" s="36"/>
      <c r="BO769" s="36"/>
      <c r="BP769" s="36"/>
      <c r="BQ769" s="36"/>
      <c r="BR769" s="36"/>
      <c r="BS769" s="36"/>
      <c r="BT769" s="36"/>
      <c r="BU769" s="36"/>
      <c r="BV769" s="36"/>
      <c r="BW769" s="36"/>
      <c r="BX769" s="36"/>
      <c r="BY769" s="36"/>
      <c r="BZ769" s="36"/>
      <c r="CA769" s="36"/>
      <c r="CB769" s="36"/>
      <c r="CC769" s="36"/>
      <c r="CD769" s="36"/>
      <c r="CE769" s="36"/>
      <c r="CF769" s="36"/>
      <c r="CG769" s="36"/>
      <c r="CH769" s="36"/>
      <c r="CI769" s="36"/>
      <c r="CJ769" s="36"/>
      <c r="CK769" s="36"/>
      <c r="CL769" s="36"/>
      <c r="CM769" s="36"/>
      <c r="CN769" s="36"/>
      <c r="CO769" s="36"/>
    </row>
    <row r="770">
      <c r="A770" s="36"/>
      <c r="B770" s="47"/>
      <c r="C770" s="50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  <c r="BB770" s="36"/>
      <c r="BC770" s="36"/>
      <c r="BD770" s="36"/>
      <c r="BE770" s="36"/>
      <c r="BF770" s="36"/>
      <c r="BG770" s="36"/>
      <c r="BH770" s="36"/>
      <c r="BI770" s="36"/>
      <c r="BJ770" s="36"/>
      <c r="BK770" s="36"/>
      <c r="BL770" s="36"/>
      <c r="BM770" s="36"/>
      <c r="BN770" s="36"/>
      <c r="BO770" s="36"/>
      <c r="BP770" s="36"/>
      <c r="BQ770" s="36"/>
      <c r="BR770" s="36"/>
      <c r="BS770" s="36"/>
      <c r="BT770" s="36"/>
      <c r="BU770" s="36"/>
      <c r="BV770" s="36"/>
      <c r="BW770" s="36"/>
      <c r="BX770" s="36"/>
      <c r="BY770" s="36"/>
      <c r="BZ770" s="36"/>
      <c r="CA770" s="36"/>
      <c r="CB770" s="36"/>
      <c r="CC770" s="36"/>
      <c r="CD770" s="36"/>
      <c r="CE770" s="36"/>
      <c r="CF770" s="36"/>
      <c r="CG770" s="36"/>
      <c r="CH770" s="36"/>
      <c r="CI770" s="36"/>
      <c r="CJ770" s="36"/>
      <c r="CK770" s="36"/>
      <c r="CL770" s="36"/>
      <c r="CM770" s="36"/>
      <c r="CN770" s="36"/>
      <c r="CO770" s="36"/>
    </row>
    <row r="771">
      <c r="A771" s="36"/>
      <c r="B771" s="47"/>
      <c r="C771" s="50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  <c r="BB771" s="36"/>
      <c r="BC771" s="36"/>
      <c r="BD771" s="36"/>
      <c r="BE771" s="36"/>
      <c r="BF771" s="36"/>
      <c r="BG771" s="36"/>
      <c r="BH771" s="36"/>
      <c r="BI771" s="36"/>
      <c r="BJ771" s="36"/>
      <c r="BK771" s="36"/>
      <c r="BL771" s="36"/>
      <c r="BM771" s="36"/>
      <c r="BN771" s="36"/>
      <c r="BO771" s="36"/>
      <c r="BP771" s="36"/>
      <c r="BQ771" s="36"/>
      <c r="BR771" s="36"/>
      <c r="BS771" s="36"/>
      <c r="BT771" s="36"/>
      <c r="BU771" s="36"/>
      <c r="BV771" s="36"/>
      <c r="BW771" s="36"/>
      <c r="BX771" s="36"/>
      <c r="BY771" s="36"/>
      <c r="BZ771" s="36"/>
      <c r="CA771" s="36"/>
      <c r="CB771" s="36"/>
      <c r="CC771" s="36"/>
      <c r="CD771" s="36"/>
      <c r="CE771" s="36"/>
      <c r="CF771" s="36"/>
      <c r="CG771" s="36"/>
      <c r="CH771" s="36"/>
      <c r="CI771" s="36"/>
      <c r="CJ771" s="36"/>
      <c r="CK771" s="36"/>
      <c r="CL771" s="36"/>
      <c r="CM771" s="36"/>
      <c r="CN771" s="36"/>
      <c r="CO771" s="36"/>
    </row>
    <row r="772">
      <c r="A772" s="36"/>
      <c r="B772" s="47"/>
      <c r="C772" s="50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  <c r="BB772" s="36"/>
      <c r="BC772" s="36"/>
      <c r="BD772" s="36"/>
      <c r="BE772" s="36"/>
      <c r="BF772" s="36"/>
      <c r="BG772" s="36"/>
      <c r="BH772" s="36"/>
      <c r="BI772" s="36"/>
      <c r="BJ772" s="36"/>
      <c r="BK772" s="36"/>
      <c r="BL772" s="36"/>
      <c r="BM772" s="36"/>
      <c r="BN772" s="36"/>
      <c r="BO772" s="36"/>
      <c r="BP772" s="36"/>
      <c r="BQ772" s="36"/>
      <c r="BR772" s="36"/>
      <c r="BS772" s="36"/>
      <c r="BT772" s="36"/>
      <c r="BU772" s="36"/>
      <c r="BV772" s="36"/>
      <c r="BW772" s="36"/>
      <c r="BX772" s="36"/>
      <c r="BY772" s="36"/>
      <c r="BZ772" s="36"/>
      <c r="CA772" s="36"/>
      <c r="CB772" s="36"/>
      <c r="CC772" s="36"/>
      <c r="CD772" s="36"/>
      <c r="CE772" s="36"/>
      <c r="CF772" s="36"/>
      <c r="CG772" s="36"/>
      <c r="CH772" s="36"/>
      <c r="CI772" s="36"/>
      <c r="CJ772" s="36"/>
      <c r="CK772" s="36"/>
      <c r="CL772" s="36"/>
      <c r="CM772" s="36"/>
      <c r="CN772" s="36"/>
      <c r="CO772" s="36"/>
    </row>
    <row r="773">
      <c r="A773" s="36"/>
      <c r="B773" s="47"/>
      <c r="C773" s="50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  <c r="BB773" s="36"/>
      <c r="BC773" s="36"/>
      <c r="BD773" s="36"/>
      <c r="BE773" s="36"/>
      <c r="BF773" s="36"/>
      <c r="BG773" s="36"/>
      <c r="BH773" s="36"/>
      <c r="BI773" s="36"/>
      <c r="BJ773" s="36"/>
      <c r="BK773" s="36"/>
      <c r="BL773" s="36"/>
      <c r="BM773" s="36"/>
      <c r="BN773" s="36"/>
      <c r="BO773" s="36"/>
      <c r="BP773" s="36"/>
      <c r="BQ773" s="36"/>
      <c r="BR773" s="36"/>
      <c r="BS773" s="36"/>
      <c r="BT773" s="36"/>
      <c r="BU773" s="36"/>
      <c r="BV773" s="36"/>
      <c r="BW773" s="36"/>
      <c r="BX773" s="36"/>
      <c r="BY773" s="36"/>
      <c r="BZ773" s="36"/>
      <c r="CA773" s="36"/>
      <c r="CB773" s="36"/>
      <c r="CC773" s="36"/>
      <c r="CD773" s="36"/>
      <c r="CE773" s="36"/>
      <c r="CF773" s="36"/>
      <c r="CG773" s="36"/>
      <c r="CH773" s="36"/>
      <c r="CI773" s="36"/>
      <c r="CJ773" s="36"/>
      <c r="CK773" s="36"/>
      <c r="CL773" s="36"/>
      <c r="CM773" s="36"/>
      <c r="CN773" s="36"/>
      <c r="CO773" s="36"/>
    </row>
    <row r="774">
      <c r="A774" s="36"/>
      <c r="B774" s="47"/>
      <c r="C774" s="50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  <c r="BB774" s="36"/>
      <c r="BC774" s="36"/>
      <c r="BD774" s="36"/>
      <c r="BE774" s="36"/>
      <c r="BF774" s="36"/>
      <c r="BG774" s="36"/>
      <c r="BH774" s="36"/>
      <c r="BI774" s="36"/>
      <c r="BJ774" s="36"/>
      <c r="BK774" s="36"/>
      <c r="BL774" s="36"/>
      <c r="BM774" s="36"/>
      <c r="BN774" s="36"/>
      <c r="BO774" s="36"/>
      <c r="BP774" s="36"/>
      <c r="BQ774" s="36"/>
      <c r="BR774" s="36"/>
      <c r="BS774" s="36"/>
      <c r="BT774" s="36"/>
      <c r="BU774" s="36"/>
      <c r="BV774" s="36"/>
      <c r="BW774" s="36"/>
      <c r="BX774" s="36"/>
      <c r="BY774" s="36"/>
      <c r="BZ774" s="36"/>
      <c r="CA774" s="36"/>
      <c r="CB774" s="36"/>
      <c r="CC774" s="36"/>
      <c r="CD774" s="36"/>
      <c r="CE774" s="36"/>
      <c r="CF774" s="36"/>
      <c r="CG774" s="36"/>
      <c r="CH774" s="36"/>
      <c r="CI774" s="36"/>
      <c r="CJ774" s="36"/>
      <c r="CK774" s="36"/>
      <c r="CL774" s="36"/>
      <c r="CM774" s="36"/>
      <c r="CN774" s="36"/>
      <c r="CO774" s="36"/>
    </row>
    <row r="775">
      <c r="A775" s="36"/>
      <c r="B775" s="47"/>
      <c r="C775" s="50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6"/>
      <c r="BH775" s="36"/>
      <c r="BI775" s="36"/>
      <c r="BJ775" s="36"/>
      <c r="BK775" s="36"/>
      <c r="BL775" s="36"/>
      <c r="BM775" s="36"/>
      <c r="BN775" s="36"/>
      <c r="BO775" s="36"/>
      <c r="BP775" s="36"/>
      <c r="BQ775" s="36"/>
      <c r="BR775" s="36"/>
      <c r="BS775" s="36"/>
      <c r="BT775" s="36"/>
      <c r="BU775" s="36"/>
      <c r="BV775" s="36"/>
      <c r="BW775" s="36"/>
      <c r="BX775" s="36"/>
      <c r="BY775" s="36"/>
      <c r="BZ775" s="36"/>
      <c r="CA775" s="36"/>
      <c r="CB775" s="36"/>
      <c r="CC775" s="36"/>
      <c r="CD775" s="36"/>
      <c r="CE775" s="36"/>
      <c r="CF775" s="36"/>
      <c r="CG775" s="36"/>
      <c r="CH775" s="36"/>
      <c r="CI775" s="36"/>
      <c r="CJ775" s="36"/>
      <c r="CK775" s="36"/>
      <c r="CL775" s="36"/>
      <c r="CM775" s="36"/>
      <c r="CN775" s="36"/>
      <c r="CO775" s="36"/>
    </row>
    <row r="776">
      <c r="A776" s="36"/>
      <c r="B776" s="47"/>
      <c r="C776" s="50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  <c r="BB776" s="36"/>
      <c r="BC776" s="36"/>
      <c r="BD776" s="36"/>
      <c r="BE776" s="36"/>
      <c r="BF776" s="36"/>
      <c r="BG776" s="36"/>
      <c r="BH776" s="36"/>
      <c r="BI776" s="36"/>
      <c r="BJ776" s="36"/>
      <c r="BK776" s="36"/>
      <c r="BL776" s="36"/>
      <c r="BM776" s="36"/>
      <c r="BN776" s="36"/>
      <c r="BO776" s="36"/>
      <c r="BP776" s="36"/>
      <c r="BQ776" s="36"/>
      <c r="BR776" s="36"/>
      <c r="BS776" s="36"/>
      <c r="BT776" s="36"/>
      <c r="BU776" s="36"/>
      <c r="BV776" s="36"/>
      <c r="BW776" s="36"/>
      <c r="BX776" s="36"/>
      <c r="BY776" s="36"/>
      <c r="BZ776" s="36"/>
      <c r="CA776" s="36"/>
      <c r="CB776" s="36"/>
      <c r="CC776" s="36"/>
      <c r="CD776" s="36"/>
      <c r="CE776" s="36"/>
      <c r="CF776" s="36"/>
      <c r="CG776" s="36"/>
      <c r="CH776" s="36"/>
      <c r="CI776" s="36"/>
      <c r="CJ776" s="36"/>
      <c r="CK776" s="36"/>
      <c r="CL776" s="36"/>
      <c r="CM776" s="36"/>
      <c r="CN776" s="36"/>
      <c r="CO776" s="36"/>
    </row>
    <row r="777">
      <c r="A777" s="36"/>
      <c r="B777" s="47"/>
      <c r="C777" s="50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6"/>
      <c r="BH777" s="36"/>
      <c r="BI777" s="36"/>
      <c r="BJ777" s="36"/>
      <c r="BK777" s="36"/>
      <c r="BL777" s="36"/>
      <c r="BM777" s="36"/>
      <c r="BN777" s="36"/>
      <c r="BO777" s="36"/>
      <c r="BP777" s="36"/>
      <c r="BQ777" s="36"/>
      <c r="BR777" s="36"/>
      <c r="BS777" s="36"/>
      <c r="BT777" s="36"/>
      <c r="BU777" s="36"/>
      <c r="BV777" s="36"/>
      <c r="BW777" s="36"/>
      <c r="BX777" s="36"/>
      <c r="BY777" s="36"/>
      <c r="BZ777" s="36"/>
      <c r="CA777" s="36"/>
      <c r="CB777" s="36"/>
      <c r="CC777" s="36"/>
      <c r="CD777" s="36"/>
      <c r="CE777" s="36"/>
      <c r="CF777" s="36"/>
      <c r="CG777" s="36"/>
      <c r="CH777" s="36"/>
      <c r="CI777" s="36"/>
      <c r="CJ777" s="36"/>
      <c r="CK777" s="36"/>
      <c r="CL777" s="36"/>
      <c r="CM777" s="36"/>
      <c r="CN777" s="36"/>
      <c r="CO777" s="36"/>
    </row>
    <row r="778">
      <c r="A778" s="36"/>
      <c r="B778" s="47"/>
      <c r="C778" s="50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6"/>
      <c r="BH778" s="36"/>
      <c r="BI778" s="36"/>
      <c r="BJ778" s="36"/>
      <c r="BK778" s="36"/>
      <c r="BL778" s="36"/>
      <c r="BM778" s="36"/>
      <c r="BN778" s="36"/>
      <c r="BO778" s="36"/>
      <c r="BP778" s="36"/>
      <c r="BQ778" s="36"/>
      <c r="BR778" s="36"/>
      <c r="BS778" s="36"/>
      <c r="BT778" s="36"/>
      <c r="BU778" s="36"/>
      <c r="BV778" s="36"/>
      <c r="BW778" s="36"/>
      <c r="BX778" s="36"/>
      <c r="BY778" s="36"/>
      <c r="BZ778" s="36"/>
      <c r="CA778" s="36"/>
      <c r="CB778" s="36"/>
      <c r="CC778" s="36"/>
      <c r="CD778" s="36"/>
      <c r="CE778" s="36"/>
      <c r="CF778" s="36"/>
      <c r="CG778" s="36"/>
      <c r="CH778" s="36"/>
      <c r="CI778" s="36"/>
      <c r="CJ778" s="36"/>
      <c r="CK778" s="36"/>
      <c r="CL778" s="36"/>
      <c r="CM778" s="36"/>
      <c r="CN778" s="36"/>
      <c r="CO778" s="36"/>
    </row>
    <row r="779">
      <c r="A779" s="36"/>
      <c r="B779" s="47"/>
      <c r="C779" s="50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6"/>
      <c r="BH779" s="36"/>
      <c r="BI779" s="36"/>
      <c r="BJ779" s="36"/>
      <c r="BK779" s="36"/>
      <c r="BL779" s="36"/>
      <c r="BM779" s="36"/>
      <c r="BN779" s="36"/>
      <c r="BO779" s="36"/>
      <c r="BP779" s="36"/>
      <c r="BQ779" s="36"/>
      <c r="BR779" s="36"/>
      <c r="BS779" s="36"/>
      <c r="BT779" s="36"/>
      <c r="BU779" s="36"/>
      <c r="BV779" s="36"/>
      <c r="BW779" s="36"/>
      <c r="BX779" s="36"/>
      <c r="BY779" s="36"/>
      <c r="BZ779" s="36"/>
      <c r="CA779" s="36"/>
      <c r="CB779" s="36"/>
      <c r="CC779" s="36"/>
      <c r="CD779" s="36"/>
      <c r="CE779" s="36"/>
      <c r="CF779" s="36"/>
      <c r="CG779" s="36"/>
      <c r="CH779" s="36"/>
      <c r="CI779" s="36"/>
      <c r="CJ779" s="36"/>
      <c r="CK779" s="36"/>
      <c r="CL779" s="36"/>
      <c r="CM779" s="36"/>
      <c r="CN779" s="36"/>
      <c r="CO779" s="36"/>
    </row>
    <row r="780">
      <c r="A780" s="36"/>
      <c r="B780" s="47"/>
      <c r="C780" s="50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6"/>
      <c r="BH780" s="36"/>
      <c r="BI780" s="36"/>
      <c r="BJ780" s="36"/>
      <c r="BK780" s="36"/>
      <c r="BL780" s="36"/>
      <c r="BM780" s="36"/>
      <c r="BN780" s="36"/>
      <c r="BO780" s="36"/>
      <c r="BP780" s="36"/>
      <c r="BQ780" s="36"/>
      <c r="BR780" s="36"/>
      <c r="BS780" s="36"/>
      <c r="BT780" s="36"/>
      <c r="BU780" s="36"/>
      <c r="BV780" s="36"/>
      <c r="BW780" s="36"/>
      <c r="BX780" s="36"/>
      <c r="BY780" s="36"/>
      <c r="BZ780" s="36"/>
      <c r="CA780" s="36"/>
      <c r="CB780" s="36"/>
      <c r="CC780" s="36"/>
      <c r="CD780" s="36"/>
      <c r="CE780" s="36"/>
      <c r="CF780" s="36"/>
      <c r="CG780" s="36"/>
      <c r="CH780" s="36"/>
      <c r="CI780" s="36"/>
      <c r="CJ780" s="36"/>
      <c r="CK780" s="36"/>
      <c r="CL780" s="36"/>
      <c r="CM780" s="36"/>
      <c r="CN780" s="36"/>
      <c r="CO780" s="36"/>
    </row>
    <row r="781">
      <c r="A781" s="36"/>
      <c r="B781" s="47"/>
      <c r="C781" s="50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36"/>
      <c r="AP781" s="36"/>
      <c r="AQ781" s="36"/>
      <c r="AR781" s="36"/>
      <c r="AS781" s="36"/>
      <c r="AT781" s="36"/>
      <c r="AU781" s="36"/>
      <c r="AV781" s="36"/>
      <c r="AW781" s="36"/>
      <c r="AX781" s="36"/>
      <c r="AY781" s="36"/>
      <c r="AZ781" s="36"/>
      <c r="BA781" s="36"/>
      <c r="BB781" s="36"/>
      <c r="BC781" s="36"/>
      <c r="BD781" s="36"/>
      <c r="BE781" s="36"/>
      <c r="BF781" s="36"/>
      <c r="BG781" s="36"/>
      <c r="BH781" s="36"/>
      <c r="BI781" s="36"/>
      <c r="BJ781" s="36"/>
      <c r="BK781" s="36"/>
      <c r="BL781" s="36"/>
      <c r="BM781" s="36"/>
      <c r="BN781" s="36"/>
      <c r="BO781" s="36"/>
      <c r="BP781" s="36"/>
      <c r="BQ781" s="36"/>
      <c r="BR781" s="36"/>
      <c r="BS781" s="36"/>
      <c r="BT781" s="36"/>
      <c r="BU781" s="36"/>
      <c r="BV781" s="36"/>
      <c r="BW781" s="36"/>
      <c r="BX781" s="36"/>
      <c r="BY781" s="36"/>
      <c r="BZ781" s="36"/>
      <c r="CA781" s="36"/>
      <c r="CB781" s="36"/>
      <c r="CC781" s="36"/>
      <c r="CD781" s="36"/>
      <c r="CE781" s="36"/>
      <c r="CF781" s="36"/>
      <c r="CG781" s="36"/>
      <c r="CH781" s="36"/>
      <c r="CI781" s="36"/>
      <c r="CJ781" s="36"/>
      <c r="CK781" s="36"/>
      <c r="CL781" s="36"/>
      <c r="CM781" s="36"/>
      <c r="CN781" s="36"/>
      <c r="CO781" s="36"/>
    </row>
    <row r="782">
      <c r="A782" s="36"/>
      <c r="B782" s="47"/>
      <c r="C782" s="50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36"/>
      <c r="AP782" s="36"/>
      <c r="AQ782" s="36"/>
      <c r="AR782" s="36"/>
      <c r="AS782" s="36"/>
      <c r="AT782" s="36"/>
      <c r="AU782" s="36"/>
      <c r="AV782" s="36"/>
      <c r="AW782" s="36"/>
      <c r="AX782" s="36"/>
      <c r="AY782" s="36"/>
      <c r="AZ782" s="36"/>
      <c r="BA782" s="36"/>
      <c r="BB782" s="36"/>
      <c r="BC782" s="36"/>
      <c r="BD782" s="36"/>
      <c r="BE782" s="36"/>
      <c r="BF782" s="36"/>
      <c r="BG782" s="36"/>
      <c r="BH782" s="36"/>
      <c r="BI782" s="36"/>
      <c r="BJ782" s="36"/>
      <c r="BK782" s="36"/>
      <c r="BL782" s="36"/>
      <c r="BM782" s="36"/>
      <c r="BN782" s="36"/>
      <c r="BO782" s="36"/>
      <c r="BP782" s="36"/>
      <c r="BQ782" s="36"/>
      <c r="BR782" s="36"/>
      <c r="BS782" s="36"/>
      <c r="BT782" s="36"/>
      <c r="BU782" s="36"/>
      <c r="BV782" s="36"/>
      <c r="BW782" s="36"/>
      <c r="BX782" s="36"/>
      <c r="BY782" s="36"/>
      <c r="BZ782" s="36"/>
      <c r="CA782" s="36"/>
      <c r="CB782" s="36"/>
      <c r="CC782" s="36"/>
      <c r="CD782" s="36"/>
      <c r="CE782" s="36"/>
      <c r="CF782" s="36"/>
      <c r="CG782" s="36"/>
      <c r="CH782" s="36"/>
      <c r="CI782" s="36"/>
      <c r="CJ782" s="36"/>
      <c r="CK782" s="36"/>
      <c r="CL782" s="36"/>
      <c r="CM782" s="36"/>
      <c r="CN782" s="36"/>
      <c r="CO782" s="36"/>
    </row>
    <row r="783">
      <c r="A783" s="36"/>
      <c r="B783" s="47"/>
      <c r="C783" s="50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36"/>
      <c r="AP783" s="36"/>
      <c r="AQ783" s="36"/>
      <c r="AR783" s="36"/>
      <c r="AS783" s="36"/>
      <c r="AT783" s="36"/>
      <c r="AU783" s="36"/>
      <c r="AV783" s="36"/>
      <c r="AW783" s="36"/>
      <c r="AX783" s="36"/>
      <c r="AY783" s="36"/>
      <c r="AZ783" s="36"/>
      <c r="BA783" s="36"/>
      <c r="BB783" s="36"/>
      <c r="BC783" s="36"/>
      <c r="BD783" s="36"/>
      <c r="BE783" s="36"/>
      <c r="BF783" s="36"/>
      <c r="BG783" s="36"/>
      <c r="BH783" s="36"/>
      <c r="BI783" s="36"/>
      <c r="BJ783" s="36"/>
      <c r="BK783" s="36"/>
      <c r="BL783" s="36"/>
      <c r="BM783" s="36"/>
      <c r="BN783" s="36"/>
      <c r="BO783" s="36"/>
      <c r="BP783" s="36"/>
      <c r="BQ783" s="36"/>
      <c r="BR783" s="36"/>
      <c r="BS783" s="36"/>
      <c r="BT783" s="36"/>
      <c r="BU783" s="36"/>
      <c r="BV783" s="36"/>
      <c r="BW783" s="36"/>
      <c r="BX783" s="36"/>
      <c r="BY783" s="36"/>
      <c r="BZ783" s="36"/>
      <c r="CA783" s="36"/>
      <c r="CB783" s="36"/>
      <c r="CC783" s="36"/>
      <c r="CD783" s="36"/>
      <c r="CE783" s="36"/>
      <c r="CF783" s="36"/>
      <c r="CG783" s="36"/>
      <c r="CH783" s="36"/>
      <c r="CI783" s="36"/>
      <c r="CJ783" s="36"/>
      <c r="CK783" s="36"/>
      <c r="CL783" s="36"/>
      <c r="CM783" s="36"/>
      <c r="CN783" s="36"/>
      <c r="CO783" s="36"/>
    </row>
    <row r="784">
      <c r="A784" s="36"/>
      <c r="B784" s="47"/>
      <c r="C784" s="50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36"/>
      <c r="AP784" s="36"/>
      <c r="AQ784" s="36"/>
      <c r="AR784" s="36"/>
      <c r="AS784" s="36"/>
      <c r="AT784" s="36"/>
      <c r="AU784" s="36"/>
      <c r="AV784" s="36"/>
      <c r="AW784" s="36"/>
      <c r="AX784" s="36"/>
      <c r="AY784" s="36"/>
      <c r="AZ784" s="36"/>
      <c r="BA784" s="36"/>
      <c r="BB784" s="36"/>
      <c r="BC784" s="36"/>
      <c r="BD784" s="36"/>
      <c r="BE784" s="36"/>
      <c r="BF784" s="36"/>
      <c r="BG784" s="36"/>
      <c r="BH784" s="36"/>
      <c r="BI784" s="36"/>
      <c r="BJ784" s="36"/>
      <c r="BK784" s="36"/>
      <c r="BL784" s="36"/>
      <c r="BM784" s="36"/>
      <c r="BN784" s="36"/>
      <c r="BO784" s="36"/>
      <c r="BP784" s="36"/>
      <c r="BQ784" s="36"/>
      <c r="BR784" s="36"/>
      <c r="BS784" s="36"/>
      <c r="BT784" s="36"/>
      <c r="BU784" s="36"/>
      <c r="BV784" s="36"/>
      <c r="BW784" s="36"/>
      <c r="BX784" s="36"/>
      <c r="BY784" s="36"/>
      <c r="BZ784" s="36"/>
      <c r="CA784" s="36"/>
      <c r="CB784" s="36"/>
      <c r="CC784" s="36"/>
      <c r="CD784" s="36"/>
      <c r="CE784" s="36"/>
      <c r="CF784" s="36"/>
      <c r="CG784" s="36"/>
      <c r="CH784" s="36"/>
      <c r="CI784" s="36"/>
      <c r="CJ784" s="36"/>
      <c r="CK784" s="36"/>
      <c r="CL784" s="36"/>
      <c r="CM784" s="36"/>
      <c r="CN784" s="36"/>
      <c r="CO784" s="36"/>
    </row>
    <row r="785">
      <c r="A785" s="36"/>
      <c r="B785" s="47"/>
      <c r="C785" s="50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36"/>
      <c r="AP785" s="36"/>
      <c r="AQ785" s="36"/>
      <c r="AR785" s="36"/>
      <c r="AS785" s="36"/>
      <c r="AT785" s="36"/>
      <c r="AU785" s="36"/>
      <c r="AV785" s="36"/>
      <c r="AW785" s="36"/>
      <c r="AX785" s="36"/>
      <c r="AY785" s="36"/>
      <c r="AZ785" s="36"/>
      <c r="BA785" s="36"/>
      <c r="BB785" s="36"/>
      <c r="BC785" s="36"/>
      <c r="BD785" s="36"/>
      <c r="BE785" s="36"/>
      <c r="BF785" s="36"/>
      <c r="BG785" s="36"/>
      <c r="BH785" s="36"/>
      <c r="BI785" s="36"/>
      <c r="BJ785" s="36"/>
      <c r="BK785" s="36"/>
      <c r="BL785" s="36"/>
      <c r="BM785" s="36"/>
      <c r="BN785" s="36"/>
      <c r="BO785" s="36"/>
      <c r="BP785" s="36"/>
      <c r="BQ785" s="36"/>
      <c r="BR785" s="36"/>
      <c r="BS785" s="36"/>
      <c r="BT785" s="36"/>
      <c r="BU785" s="36"/>
      <c r="BV785" s="36"/>
      <c r="BW785" s="36"/>
      <c r="BX785" s="36"/>
      <c r="BY785" s="36"/>
      <c r="BZ785" s="36"/>
      <c r="CA785" s="36"/>
      <c r="CB785" s="36"/>
      <c r="CC785" s="36"/>
      <c r="CD785" s="36"/>
      <c r="CE785" s="36"/>
      <c r="CF785" s="36"/>
      <c r="CG785" s="36"/>
      <c r="CH785" s="36"/>
      <c r="CI785" s="36"/>
      <c r="CJ785" s="36"/>
      <c r="CK785" s="36"/>
      <c r="CL785" s="36"/>
      <c r="CM785" s="36"/>
      <c r="CN785" s="36"/>
      <c r="CO785" s="36"/>
    </row>
    <row r="786">
      <c r="A786" s="36"/>
      <c r="B786" s="47"/>
      <c r="C786" s="50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36"/>
      <c r="AP786" s="36"/>
      <c r="AQ786" s="36"/>
      <c r="AR786" s="36"/>
      <c r="AS786" s="36"/>
      <c r="AT786" s="36"/>
      <c r="AU786" s="36"/>
      <c r="AV786" s="36"/>
      <c r="AW786" s="36"/>
      <c r="AX786" s="36"/>
      <c r="AY786" s="36"/>
      <c r="AZ786" s="36"/>
      <c r="BA786" s="36"/>
      <c r="BB786" s="36"/>
      <c r="BC786" s="36"/>
      <c r="BD786" s="36"/>
      <c r="BE786" s="36"/>
      <c r="BF786" s="36"/>
      <c r="BG786" s="36"/>
      <c r="BH786" s="36"/>
      <c r="BI786" s="36"/>
      <c r="BJ786" s="36"/>
      <c r="BK786" s="36"/>
      <c r="BL786" s="36"/>
      <c r="BM786" s="36"/>
      <c r="BN786" s="36"/>
      <c r="BO786" s="36"/>
      <c r="BP786" s="36"/>
      <c r="BQ786" s="36"/>
      <c r="BR786" s="36"/>
      <c r="BS786" s="36"/>
      <c r="BT786" s="36"/>
      <c r="BU786" s="36"/>
      <c r="BV786" s="36"/>
      <c r="BW786" s="36"/>
      <c r="BX786" s="36"/>
      <c r="BY786" s="36"/>
      <c r="BZ786" s="36"/>
      <c r="CA786" s="36"/>
      <c r="CB786" s="36"/>
      <c r="CC786" s="36"/>
      <c r="CD786" s="36"/>
      <c r="CE786" s="36"/>
      <c r="CF786" s="36"/>
      <c r="CG786" s="36"/>
      <c r="CH786" s="36"/>
      <c r="CI786" s="36"/>
      <c r="CJ786" s="36"/>
      <c r="CK786" s="36"/>
      <c r="CL786" s="36"/>
      <c r="CM786" s="36"/>
      <c r="CN786" s="36"/>
      <c r="CO786" s="36"/>
    </row>
    <row r="787">
      <c r="A787" s="36"/>
      <c r="B787" s="47"/>
      <c r="C787" s="50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36"/>
      <c r="AP787" s="36"/>
      <c r="AQ787" s="36"/>
      <c r="AR787" s="36"/>
      <c r="AS787" s="36"/>
      <c r="AT787" s="36"/>
      <c r="AU787" s="36"/>
      <c r="AV787" s="36"/>
      <c r="AW787" s="36"/>
      <c r="AX787" s="36"/>
      <c r="AY787" s="36"/>
      <c r="AZ787" s="36"/>
      <c r="BA787" s="36"/>
      <c r="BB787" s="36"/>
      <c r="BC787" s="36"/>
      <c r="BD787" s="36"/>
      <c r="BE787" s="36"/>
      <c r="BF787" s="36"/>
      <c r="BG787" s="36"/>
      <c r="BH787" s="36"/>
      <c r="BI787" s="36"/>
      <c r="BJ787" s="36"/>
      <c r="BK787" s="36"/>
      <c r="BL787" s="36"/>
      <c r="BM787" s="36"/>
      <c r="BN787" s="36"/>
      <c r="BO787" s="36"/>
      <c r="BP787" s="36"/>
      <c r="BQ787" s="36"/>
      <c r="BR787" s="36"/>
      <c r="BS787" s="36"/>
      <c r="BT787" s="36"/>
      <c r="BU787" s="36"/>
      <c r="BV787" s="36"/>
      <c r="BW787" s="36"/>
      <c r="BX787" s="36"/>
      <c r="BY787" s="36"/>
      <c r="BZ787" s="36"/>
      <c r="CA787" s="36"/>
      <c r="CB787" s="36"/>
      <c r="CC787" s="36"/>
      <c r="CD787" s="36"/>
      <c r="CE787" s="36"/>
      <c r="CF787" s="36"/>
      <c r="CG787" s="36"/>
      <c r="CH787" s="36"/>
      <c r="CI787" s="36"/>
      <c r="CJ787" s="36"/>
      <c r="CK787" s="36"/>
      <c r="CL787" s="36"/>
      <c r="CM787" s="36"/>
      <c r="CN787" s="36"/>
      <c r="CO787" s="36"/>
    </row>
    <row r="788">
      <c r="A788" s="36"/>
      <c r="B788" s="47"/>
      <c r="C788" s="50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36"/>
      <c r="AP788" s="36"/>
      <c r="AQ788" s="36"/>
      <c r="AR788" s="36"/>
      <c r="AS788" s="36"/>
      <c r="AT788" s="36"/>
      <c r="AU788" s="36"/>
      <c r="AV788" s="36"/>
      <c r="AW788" s="36"/>
      <c r="AX788" s="36"/>
      <c r="AY788" s="36"/>
      <c r="AZ788" s="36"/>
      <c r="BA788" s="36"/>
      <c r="BB788" s="36"/>
      <c r="BC788" s="36"/>
      <c r="BD788" s="36"/>
      <c r="BE788" s="36"/>
      <c r="BF788" s="36"/>
      <c r="BG788" s="36"/>
      <c r="BH788" s="36"/>
      <c r="BI788" s="36"/>
      <c r="BJ788" s="36"/>
      <c r="BK788" s="36"/>
      <c r="BL788" s="36"/>
      <c r="BM788" s="36"/>
      <c r="BN788" s="36"/>
      <c r="BO788" s="36"/>
      <c r="BP788" s="36"/>
      <c r="BQ788" s="36"/>
      <c r="BR788" s="36"/>
      <c r="BS788" s="36"/>
      <c r="BT788" s="36"/>
      <c r="BU788" s="36"/>
      <c r="BV788" s="36"/>
      <c r="BW788" s="36"/>
      <c r="BX788" s="36"/>
      <c r="BY788" s="36"/>
      <c r="BZ788" s="36"/>
      <c r="CA788" s="36"/>
      <c r="CB788" s="36"/>
      <c r="CC788" s="36"/>
      <c r="CD788" s="36"/>
      <c r="CE788" s="36"/>
      <c r="CF788" s="36"/>
      <c r="CG788" s="36"/>
      <c r="CH788" s="36"/>
      <c r="CI788" s="36"/>
      <c r="CJ788" s="36"/>
      <c r="CK788" s="36"/>
      <c r="CL788" s="36"/>
      <c r="CM788" s="36"/>
      <c r="CN788" s="36"/>
      <c r="CO788" s="36"/>
    </row>
    <row r="789">
      <c r="A789" s="36"/>
      <c r="B789" s="47"/>
      <c r="C789" s="50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36"/>
      <c r="AP789" s="36"/>
      <c r="AQ789" s="36"/>
      <c r="AR789" s="36"/>
      <c r="AS789" s="36"/>
      <c r="AT789" s="36"/>
      <c r="AU789" s="36"/>
      <c r="AV789" s="36"/>
      <c r="AW789" s="36"/>
      <c r="AX789" s="36"/>
      <c r="AY789" s="36"/>
      <c r="AZ789" s="36"/>
      <c r="BA789" s="36"/>
      <c r="BB789" s="36"/>
      <c r="BC789" s="36"/>
      <c r="BD789" s="36"/>
      <c r="BE789" s="36"/>
      <c r="BF789" s="36"/>
      <c r="BG789" s="36"/>
      <c r="BH789" s="36"/>
      <c r="BI789" s="36"/>
      <c r="BJ789" s="36"/>
      <c r="BK789" s="36"/>
      <c r="BL789" s="36"/>
      <c r="BM789" s="36"/>
      <c r="BN789" s="36"/>
      <c r="BO789" s="36"/>
      <c r="BP789" s="36"/>
      <c r="BQ789" s="36"/>
      <c r="BR789" s="36"/>
      <c r="BS789" s="36"/>
      <c r="BT789" s="36"/>
      <c r="BU789" s="36"/>
      <c r="BV789" s="36"/>
      <c r="BW789" s="36"/>
      <c r="BX789" s="36"/>
      <c r="BY789" s="36"/>
      <c r="BZ789" s="36"/>
      <c r="CA789" s="36"/>
      <c r="CB789" s="36"/>
      <c r="CC789" s="36"/>
      <c r="CD789" s="36"/>
      <c r="CE789" s="36"/>
      <c r="CF789" s="36"/>
      <c r="CG789" s="36"/>
      <c r="CH789" s="36"/>
      <c r="CI789" s="36"/>
      <c r="CJ789" s="36"/>
      <c r="CK789" s="36"/>
      <c r="CL789" s="36"/>
      <c r="CM789" s="36"/>
      <c r="CN789" s="36"/>
      <c r="CO789" s="36"/>
    </row>
    <row r="790">
      <c r="A790" s="36"/>
      <c r="B790" s="47"/>
      <c r="C790" s="50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36"/>
      <c r="AP790" s="36"/>
      <c r="AQ790" s="36"/>
      <c r="AR790" s="36"/>
      <c r="AS790" s="36"/>
      <c r="AT790" s="36"/>
      <c r="AU790" s="36"/>
      <c r="AV790" s="36"/>
      <c r="AW790" s="36"/>
      <c r="AX790" s="36"/>
      <c r="AY790" s="36"/>
      <c r="AZ790" s="36"/>
      <c r="BA790" s="36"/>
      <c r="BB790" s="36"/>
      <c r="BC790" s="36"/>
      <c r="BD790" s="36"/>
      <c r="BE790" s="36"/>
      <c r="BF790" s="36"/>
      <c r="BG790" s="36"/>
      <c r="BH790" s="36"/>
      <c r="BI790" s="36"/>
      <c r="BJ790" s="36"/>
      <c r="BK790" s="36"/>
      <c r="BL790" s="36"/>
      <c r="BM790" s="36"/>
      <c r="BN790" s="36"/>
      <c r="BO790" s="36"/>
      <c r="BP790" s="36"/>
      <c r="BQ790" s="36"/>
      <c r="BR790" s="36"/>
      <c r="BS790" s="36"/>
      <c r="BT790" s="36"/>
      <c r="BU790" s="36"/>
      <c r="BV790" s="36"/>
      <c r="BW790" s="36"/>
      <c r="BX790" s="36"/>
      <c r="BY790" s="36"/>
      <c r="BZ790" s="36"/>
      <c r="CA790" s="36"/>
      <c r="CB790" s="36"/>
      <c r="CC790" s="36"/>
      <c r="CD790" s="36"/>
      <c r="CE790" s="36"/>
      <c r="CF790" s="36"/>
      <c r="CG790" s="36"/>
      <c r="CH790" s="36"/>
      <c r="CI790" s="36"/>
      <c r="CJ790" s="36"/>
      <c r="CK790" s="36"/>
      <c r="CL790" s="36"/>
      <c r="CM790" s="36"/>
      <c r="CN790" s="36"/>
      <c r="CO790" s="36"/>
    </row>
    <row r="791">
      <c r="A791" s="36"/>
      <c r="B791" s="47"/>
      <c r="C791" s="50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36"/>
      <c r="AP791" s="36"/>
      <c r="AQ791" s="36"/>
      <c r="AR791" s="36"/>
      <c r="AS791" s="36"/>
      <c r="AT791" s="36"/>
      <c r="AU791" s="36"/>
      <c r="AV791" s="36"/>
      <c r="AW791" s="36"/>
      <c r="AX791" s="36"/>
      <c r="AY791" s="36"/>
      <c r="AZ791" s="36"/>
      <c r="BA791" s="36"/>
      <c r="BB791" s="36"/>
      <c r="BC791" s="36"/>
      <c r="BD791" s="36"/>
      <c r="BE791" s="36"/>
      <c r="BF791" s="36"/>
      <c r="BG791" s="36"/>
      <c r="BH791" s="36"/>
      <c r="BI791" s="36"/>
      <c r="BJ791" s="36"/>
      <c r="BK791" s="36"/>
      <c r="BL791" s="36"/>
      <c r="BM791" s="36"/>
      <c r="BN791" s="36"/>
      <c r="BO791" s="36"/>
      <c r="BP791" s="36"/>
      <c r="BQ791" s="36"/>
      <c r="BR791" s="36"/>
      <c r="BS791" s="36"/>
      <c r="BT791" s="36"/>
      <c r="BU791" s="36"/>
      <c r="BV791" s="36"/>
      <c r="BW791" s="36"/>
      <c r="BX791" s="36"/>
      <c r="BY791" s="36"/>
      <c r="BZ791" s="36"/>
      <c r="CA791" s="36"/>
      <c r="CB791" s="36"/>
      <c r="CC791" s="36"/>
      <c r="CD791" s="36"/>
      <c r="CE791" s="36"/>
      <c r="CF791" s="36"/>
      <c r="CG791" s="36"/>
      <c r="CH791" s="36"/>
      <c r="CI791" s="36"/>
      <c r="CJ791" s="36"/>
      <c r="CK791" s="36"/>
      <c r="CL791" s="36"/>
      <c r="CM791" s="36"/>
      <c r="CN791" s="36"/>
      <c r="CO791" s="36"/>
    </row>
    <row r="792">
      <c r="A792" s="36"/>
      <c r="B792" s="47"/>
      <c r="C792" s="50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36"/>
      <c r="AP792" s="36"/>
      <c r="AQ792" s="36"/>
      <c r="AR792" s="36"/>
      <c r="AS792" s="36"/>
      <c r="AT792" s="36"/>
      <c r="AU792" s="36"/>
      <c r="AV792" s="36"/>
      <c r="AW792" s="36"/>
      <c r="AX792" s="36"/>
      <c r="AY792" s="36"/>
      <c r="AZ792" s="36"/>
      <c r="BA792" s="36"/>
      <c r="BB792" s="36"/>
      <c r="BC792" s="36"/>
      <c r="BD792" s="36"/>
      <c r="BE792" s="36"/>
      <c r="BF792" s="36"/>
      <c r="BG792" s="36"/>
      <c r="BH792" s="36"/>
      <c r="BI792" s="36"/>
      <c r="BJ792" s="36"/>
      <c r="BK792" s="36"/>
      <c r="BL792" s="36"/>
      <c r="BM792" s="36"/>
      <c r="BN792" s="36"/>
      <c r="BO792" s="36"/>
      <c r="BP792" s="36"/>
      <c r="BQ792" s="36"/>
      <c r="BR792" s="36"/>
      <c r="BS792" s="36"/>
      <c r="BT792" s="36"/>
      <c r="BU792" s="36"/>
      <c r="BV792" s="36"/>
      <c r="BW792" s="36"/>
      <c r="BX792" s="36"/>
      <c r="BY792" s="36"/>
      <c r="BZ792" s="36"/>
      <c r="CA792" s="36"/>
      <c r="CB792" s="36"/>
      <c r="CC792" s="36"/>
      <c r="CD792" s="36"/>
      <c r="CE792" s="36"/>
      <c r="CF792" s="36"/>
      <c r="CG792" s="36"/>
      <c r="CH792" s="36"/>
      <c r="CI792" s="36"/>
      <c r="CJ792" s="36"/>
      <c r="CK792" s="36"/>
      <c r="CL792" s="36"/>
      <c r="CM792" s="36"/>
      <c r="CN792" s="36"/>
      <c r="CO792" s="36"/>
    </row>
    <row r="793">
      <c r="A793" s="36"/>
      <c r="B793" s="47"/>
      <c r="C793" s="50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36"/>
      <c r="AP793" s="36"/>
      <c r="AQ793" s="36"/>
      <c r="AR793" s="36"/>
      <c r="AS793" s="36"/>
      <c r="AT793" s="36"/>
      <c r="AU793" s="36"/>
      <c r="AV793" s="36"/>
      <c r="AW793" s="36"/>
      <c r="AX793" s="36"/>
      <c r="AY793" s="36"/>
      <c r="AZ793" s="36"/>
      <c r="BA793" s="36"/>
      <c r="BB793" s="36"/>
      <c r="BC793" s="36"/>
      <c r="BD793" s="36"/>
      <c r="BE793" s="36"/>
      <c r="BF793" s="36"/>
      <c r="BG793" s="36"/>
      <c r="BH793" s="36"/>
      <c r="BI793" s="36"/>
      <c r="BJ793" s="36"/>
      <c r="BK793" s="36"/>
      <c r="BL793" s="36"/>
      <c r="BM793" s="36"/>
      <c r="BN793" s="36"/>
      <c r="BO793" s="36"/>
      <c r="BP793" s="36"/>
      <c r="BQ793" s="36"/>
      <c r="BR793" s="36"/>
      <c r="BS793" s="36"/>
      <c r="BT793" s="36"/>
      <c r="BU793" s="36"/>
      <c r="BV793" s="36"/>
      <c r="BW793" s="36"/>
      <c r="BX793" s="36"/>
      <c r="BY793" s="36"/>
      <c r="BZ793" s="36"/>
      <c r="CA793" s="36"/>
      <c r="CB793" s="36"/>
      <c r="CC793" s="36"/>
      <c r="CD793" s="36"/>
      <c r="CE793" s="36"/>
      <c r="CF793" s="36"/>
      <c r="CG793" s="36"/>
      <c r="CH793" s="36"/>
      <c r="CI793" s="36"/>
      <c r="CJ793" s="36"/>
      <c r="CK793" s="36"/>
      <c r="CL793" s="36"/>
      <c r="CM793" s="36"/>
      <c r="CN793" s="36"/>
      <c r="CO793" s="36"/>
    </row>
    <row r="794">
      <c r="A794" s="36"/>
      <c r="B794" s="47"/>
      <c r="C794" s="50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36"/>
      <c r="AP794" s="36"/>
      <c r="AQ794" s="36"/>
      <c r="AR794" s="36"/>
      <c r="AS794" s="36"/>
      <c r="AT794" s="36"/>
      <c r="AU794" s="36"/>
      <c r="AV794" s="36"/>
      <c r="AW794" s="36"/>
      <c r="AX794" s="36"/>
      <c r="AY794" s="36"/>
      <c r="AZ794" s="36"/>
      <c r="BA794" s="36"/>
      <c r="BB794" s="36"/>
      <c r="BC794" s="36"/>
      <c r="BD794" s="36"/>
      <c r="BE794" s="36"/>
      <c r="BF794" s="36"/>
      <c r="BG794" s="36"/>
      <c r="BH794" s="36"/>
      <c r="BI794" s="36"/>
      <c r="BJ794" s="36"/>
      <c r="BK794" s="36"/>
      <c r="BL794" s="36"/>
      <c r="BM794" s="36"/>
      <c r="BN794" s="36"/>
      <c r="BO794" s="36"/>
      <c r="BP794" s="36"/>
      <c r="BQ794" s="36"/>
      <c r="BR794" s="36"/>
      <c r="BS794" s="36"/>
      <c r="BT794" s="36"/>
      <c r="BU794" s="36"/>
      <c r="BV794" s="36"/>
      <c r="BW794" s="36"/>
      <c r="BX794" s="36"/>
      <c r="BY794" s="36"/>
      <c r="BZ794" s="36"/>
      <c r="CA794" s="36"/>
      <c r="CB794" s="36"/>
      <c r="CC794" s="36"/>
      <c r="CD794" s="36"/>
      <c r="CE794" s="36"/>
      <c r="CF794" s="36"/>
      <c r="CG794" s="36"/>
      <c r="CH794" s="36"/>
      <c r="CI794" s="36"/>
      <c r="CJ794" s="36"/>
      <c r="CK794" s="36"/>
      <c r="CL794" s="36"/>
      <c r="CM794" s="36"/>
      <c r="CN794" s="36"/>
      <c r="CO794" s="36"/>
    </row>
    <row r="795">
      <c r="A795" s="36"/>
      <c r="B795" s="47"/>
      <c r="C795" s="50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36"/>
      <c r="AP795" s="36"/>
      <c r="AQ795" s="36"/>
      <c r="AR795" s="36"/>
      <c r="AS795" s="36"/>
      <c r="AT795" s="36"/>
      <c r="AU795" s="36"/>
      <c r="AV795" s="36"/>
      <c r="AW795" s="36"/>
      <c r="AX795" s="36"/>
      <c r="AY795" s="36"/>
      <c r="AZ795" s="36"/>
      <c r="BA795" s="36"/>
      <c r="BB795" s="36"/>
      <c r="BC795" s="36"/>
      <c r="BD795" s="36"/>
      <c r="BE795" s="36"/>
      <c r="BF795" s="36"/>
      <c r="BG795" s="36"/>
      <c r="BH795" s="36"/>
      <c r="BI795" s="36"/>
      <c r="BJ795" s="36"/>
      <c r="BK795" s="36"/>
      <c r="BL795" s="36"/>
      <c r="BM795" s="36"/>
      <c r="BN795" s="36"/>
      <c r="BO795" s="36"/>
      <c r="BP795" s="36"/>
      <c r="BQ795" s="36"/>
      <c r="BR795" s="36"/>
      <c r="BS795" s="36"/>
      <c r="BT795" s="36"/>
      <c r="BU795" s="36"/>
      <c r="BV795" s="36"/>
      <c r="BW795" s="36"/>
      <c r="BX795" s="36"/>
      <c r="BY795" s="36"/>
      <c r="BZ795" s="36"/>
      <c r="CA795" s="36"/>
      <c r="CB795" s="36"/>
      <c r="CC795" s="36"/>
      <c r="CD795" s="36"/>
      <c r="CE795" s="36"/>
      <c r="CF795" s="36"/>
      <c r="CG795" s="36"/>
      <c r="CH795" s="36"/>
      <c r="CI795" s="36"/>
      <c r="CJ795" s="36"/>
      <c r="CK795" s="36"/>
      <c r="CL795" s="36"/>
      <c r="CM795" s="36"/>
      <c r="CN795" s="36"/>
      <c r="CO795" s="36"/>
    </row>
    <row r="796">
      <c r="A796" s="36"/>
      <c r="B796" s="47"/>
      <c r="C796" s="50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36"/>
      <c r="AP796" s="36"/>
      <c r="AQ796" s="36"/>
      <c r="AR796" s="36"/>
      <c r="AS796" s="36"/>
      <c r="AT796" s="36"/>
      <c r="AU796" s="36"/>
      <c r="AV796" s="36"/>
      <c r="AW796" s="36"/>
      <c r="AX796" s="36"/>
      <c r="AY796" s="36"/>
      <c r="AZ796" s="36"/>
      <c r="BA796" s="36"/>
      <c r="BB796" s="36"/>
      <c r="BC796" s="36"/>
      <c r="BD796" s="36"/>
      <c r="BE796" s="36"/>
      <c r="BF796" s="36"/>
      <c r="BG796" s="36"/>
      <c r="BH796" s="36"/>
      <c r="BI796" s="36"/>
      <c r="BJ796" s="36"/>
      <c r="BK796" s="36"/>
      <c r="BL796" s="36"/>
      <c r="BM796" s="36"/>
      <c r="BN796" s="36"/>
      <c r="BO796" s="36"/>
      <c r="BP796" s="36"/>
      <c r="BQ796" s="36"/>
      <c r="BR796" s="36"/>
      <c r="BS796" s="36"/>
      <c r="BT796" s="36"/>
      <c r="BU796" s="36"/>
      <c r="BV796" s="36"/>
      <c r="BW796" s="36"/>
      <c r="BX796" s="36"/>
      <c r="BY796" s="36"/>
      <c r="BZ796" s="36"/>
      <c r="CA796" s="36"/>
      <c r="CB796" s="36"/>
      <c r="CC796" s="36"/>
      <c r="CD796" s="36"/>
      <c r="CE796" s="36"/>
      <c r="CF796" s="36"/>
      <c r="CG796" s="36"/>
      <c r="CH796" s="36"/>
      <c r="CI796" s="36"/>
      <c r="CJ796" s="36"/>
      <c r="CK796" s="36"/>
      <c r="CL796" s="36"/>
      <c r="CM796" s="36"/>
      <c r="CN796" s="36"/>
      <c r="CO796" s="36"/>
    </row>
    <row r="797">
      <c r="A797" s="36"/>
      <c r="B797" s="47"/>
      <c r="C797" s="50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36"/>
      <c r="AP797" s="36"/>
      <c r="AQ797" s="36"/>
      <c r="AR797" s="36"/>
      <c r="AS797" s="36"/>
      <c r="AT797" s="36"/>
      <c r="AU797" s="36"/>
      <c r="AV797" s="36"/>
      <c r="AW797" s="36"/>
      <c r="AX797" s="36"/>
      <c r="AY797" s="36"/>
      <c r="AZ797" s="36"/>
      <c r="BA797" s="36"/>
      <c r="BB797" s="36"/>
      <c r="BC797" s="36"/>
      <c r="BD797" s="36"/>
      <c r="BE797" s="36"/>
      <c r="BF797" s="36"/>
      <c r="BG797" s="36"/>
      <c r="BH797" s="36"/>
      <c r="BI797" s="36"/>
      <c r="BJ797" s="36"/>
      <c r="BK797" s="36"/>
      <c r="BL797" s="36"/>
      <c r="BM797" s="36"/>
      <c r="BN797" s="36"/>
      <c r="BO797" s="36"/>
      <c r="BP797" s="36"/>
      <c r="BQ797" s="36"/>
      <c r="BR797" s="36"/>
      <c r="BS797" s="36"/>
      <c r="BT797" s="36"/>
      <c r="BU797" s="36"/>
      <c r="BV797" s="36"/>
      <c r="BW797" s="36"/>
      <c r="BX797" s="36"/>
      <c r="BY797" s="36"/>
      <c r="BZ797" s="36"/>
      <c r="CA797" s="36"/>
      <c r="CB797" s="36"/>
      <c r="CC797" s="36"/>
      <c r="CD797" s="36"/>
      <c r="CE797" s="36"/>
      <c r="CF797" s="36"/>
      <c r="CG797" s="36"/>
      <c r="CH797" s="36"/>
      <c r="CI797" s="36"/>
      <c r="CJ797" s="36"/>
      <c r="CK797" s="36"/>
      <c r="CL797" s="36"/>
      <c r="CM797" s="36"/>
      <c r="CN797" s="36"/>
      <c r="CO797" s="36"/>
    </row>
    <row r="798">
      <c r="A798" s="36"/>
      <c r="B798" s="47"/>
      <c r="C798" s="50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36"/>
      <c r="AP798" s="36"/>
      <c r="AQ798" s="36"/>
      <c r="AR798" s="36"/>
      <c r="AS798" s="36"/>
      <c r="AT798" s="36"/>
      <c r="AU798" s="36"/>
      <c r="AV798" s="36"/>
      <c r="AW798" s="36"/>
      <c r="AX798" s="36"/>
      <c r="AY798" s="36"/>
      <c r="AZ798" s="36"/>
      <c r="BA798" s="36"/>
      <c r="BB798" s="36"/>
      <c r="BC798" s="36"/>
      <c r="BD798" s="36"/>
      <c r="BE798" s="36"/>
      <c r="BF798" s="36"/>
      <c r="BG798" s="36"/>
      <c r="BH798" s="36"/>
      <c r="BI798" s="36"/>
      <c r="BJ798" s="36"/>
      <c r="BK798" s="36"/>
      <c r="BL798" s="36"/>
      <c r="BM798" s="36"/>
      <c r="BN798" s="36"/>
      <c r="BO798" s="36"/>
      <c r="BP798" s="36"/>
      <c r="BQ798" s="36"/>
      <c r="BR798" s="36"/>
      <c r="BS798" s="36"/>
      <c r="BT798" s="36"/>
      <c r="BU798" s="36"/>
      <c r="BV798" s="36"/>
      <c r="BW798" s="36"/>
      <c r="BX798" s="36"/>
      <c r="BY798" s="36"/>
      <c r="BZ798" s="36"/>
      <c r="CA798" s="36"/>
      <c r="CB798" s="36"/>
      <c r="CC798" s="36"/>
      <c r="CD798" s="36"/>
      <c r="CE798" s="36"/>
      <c r="CF798" s="36"/>
      <c r="CG798" s="36"/>
      <c r="CH798" s="36"/>
      <c r="CI798" s="36"/>
      <c r="CJ798" s="36"/>
      <c r="CK798" s="36"/>
      <c r="CL798" s="36"/>
      <c r="CM798" s="36"/>
      <c r="CN798" s="36"/>
      <c r="CO798" s="36"/>
    </row>
    <row r="799">
      <c r="A799" s="36"/>
      <c r="B799" s="47"/>
      <c r="C799" s="50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36"/>
      <c r="AP799" s="36"/>
      <c r="AQ799" s="36"/>
      <c r="AR799" s="36"/>
      <c r="AS799" s="36"/>
      <c r="AT799" s="36"/>
      <c r="AU799" s="36"/>
      <c r="AV799" s="36"/>
      <c r="AW799" s="36"/>
      <c r="AX799" s="36"/>
      <c r="AY799" s="36"/>
      <c r="AZ799" s="36"/>
      <c r="BA799" s="36"/>
      <c r="BB799" s="36"/>
      <c r="BC799" s="36"/>
      <c r="BD799" s="36"/>
      <c r="BE799" s="36"/>
      <c r="BF799" s="36"/>
      <c r="BG799" s="36"/>
      <c r="BH799" s="36"/>
      <c r="BI799" s="36"/>
      <c r="BJ799" s="36"/>
      <c r="BK799" s="36"/>
      <c r="BL799" s="36"/>
      <c r="BM799" s="36"/>
      <c r="BN799" s="36"/>
      <c r="BO799" s="36"/>
      <c r="BP799" s="36"/>
      <c r="BQ799" s="36"/>
      <c r="BR799" s="36"/>
      <c r="BS799" s="36"/>
      <c r="BT799" s="36"/>
      <c r="BU799" s="36"/>
      <c r="BV799" s="36"/>
      <c r="BW799" s="36"/>
      <c r="BX799" s="36"/>
      <c r="BY799" s="36"/>
      <c r="BZ799" s="36"/>
      <c r="CA799" s="36"/>
      <c r="CB799" s="36"/>
      <c r="CC799" s="36"/>
      <c r="CD799" s="36"/>
      <c r="CE799" s="36"/>
      <c r="CF799" s="36"/>
      <c r="CG799" s="36"/>
      <c r="CH799" s="36"/>
      <c r="CI799" s="36"/>
      <c r="CJ799" s="36"/>
      <c r="CK799" s="36"/>
      <c r="CL799" s="36"/>
      <c r="CM799" s="36"/>
      <c r="CN799" s="36"/>
      <c r="CO799" s="36"/>
    </row>
    <row r="800">
      <c r="A800" s="36"/>
      <c r="B800" s="47"/>
      <c r="C800" s="50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36"/>
      <c r="AP800" s="36"/>
      <c r="AQ800" s="36"/>
      <c r="AR800" s="36"/>
      <c r="AS800" s="36"/>
      <c r="AT800" s="36"/>
      <c r="AU800" s="36"/>
      <c r="AV800" s="36"/>
      <c r="AW800" s="36"/>
      <c r="AX800" s="36"/>
      <c r="AY800" s="36"/>
      <c r="AZ800" s="36"/>
      <c r="BA800" s="36"/>
      <c r="BB800" s="36"/>
      <c r="BC800" s="36"/>
      <c r="BD800" s="36"/>
      <c r="BE800" s="36"/>
      <c r="BF800" s="36"/>
      <c r="BG800" s="36"/>
      <c r="BH800" s="36"/>
      <c r="BI800" s="36"/>
      <c r="BJ800" s="36"/>
      <c r="BK800" s="36"/>
      <c r="BL800" s="36"/>
      <c r="BM800" s="36"/>
      <c r="BN800" s="36"/>
      <c r="BO800" s="36"/>
      <c r="BP800" s="36"/>
      <c r="BQ800" s="36"/>
      <c r="BR800" s="36"/>
      <c r="BS800" s="36"/>
      <c r="BT800" s="36"/>
      <c r="BU800" s="36"/>
      <c r="BV800" s="36"/>
      <c r="BW800" s="36"/>
      <c r="BX800" s="36"/>
      <c r="BY800" s="36"/>
      <c r="BZ800" s="36"/>
      <c r="CA800" s="36"/>
      <c r="CB800" s="36"/>
      <c r="CC800" s="36"/>
      <c r="CD800" s="36"/>
      <c r="CE800" s="36"/>
      <c r="CF800" s="36"/>
      <c r="CG800" s="36"/>
      <c r="CH800" s="36"/>
      <c r="CI800" s="36"/>
      <c r="CJ800" s="36"/>
      <c r="CK800" s="36"/>
      <c r="CL800" s="36"/>
      <c r="CM800" s="36"/>
      <c r="CN800" s="36"/>
      <c r="CO800" s="36"/>
    </row>
    <row r="801">
      <c r="A801" s="36"/>
      <c r="B801" s="47"/>
      <c r="C801" s="50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36"/>
      <c r="AP801" s="36"/>
      <c r="AQ801" s="36"/>
      <c r="AR801" s="36"/>
      <c r="AS801" s="36"/>
      <c r="AT801" s="36"/>
      <c r="AU801" s="36"/>
      <c r="AV801" s="36"/>
      <c r="AW801" s="36"/>
      <c r="AX801" s="36"/>
      <c r="AY801" s="36"/>
      <c r="AZ801" s="36"/>
      <c r="BA801" s="36"/>
      <c r="BB801" s="36"/>
      <c r="BC801" s="36"/>
      <c r="BD801" s="36"/>
      <c r="BE801" s="36"/>
      <c r="BF801" s="36"/>
      <c r="BG801" s="36"/>
      <c r="BH801" s="36"/>
      <c r="BI801" s="36"/>
      <c r="BJ801" s="36"/>
      <c r="BK801" s="36"/>
      <c r="BL801" s="36"/>
      <c r="BM801" s="36"/>
      <c r="BN801" s="36"/>
      <c r="BO801" s="36"/>
      <c r="BP801" s="36"/>
      <c r="BQ801" s="36"/>
      <c r="BR801" s="36"/>
      <c r="BS801" s="36"/>
      <c r="BT801" s="36"/>
      <c r="BU801" s="36"/>
      <c r="BV801" s="36"/>
      <c r="BW801" s="36"/>
      <c r="BX801" s="36"/>
      <c r="BY801" s="36"/>
      <c r="BZ801" s="36"/>
      <c r="CA801" s="36"/>
      <c r="CB801" s="36"/>
      <c r="CC801" s="36"/>
      <c r="CD801" s="36"/>
      <c r="CE801" s="36"/>
      <c r="CF801" s="36"/>
      <c r="CG801" s="36"/>
      <c r="CH801" s="36"/>
      <c r="CI801" s="36"/>
      <c r="CJ801" s="36"/>
      <c r="CK801" s="36"/>
      <c r="CL801" s="36"/>
      <c r="CM801" s="36"/>
      <c r="CN801" s="36"/>
      <c r="CO801" s="36"/>
    </row>
    <row r="802">
      <c r="A802" s="36"/>
      <c r="B802" s="47"/>
      <c r="C802" s="50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36"/>
      <c r="AP802" s="36"/>
      <c r="AQ802" s="36"/>
      <c r="AR802" s="36"/>
      <c r="AS802" s="36"/>
      <c r="AT802" s="36"/>
      <c r="AU802" s="36"/>
      <c r="AV802" s="36"/>
      <c r="AW802" s="36"/>
      <c r="AX802" s="36"/>
      <c r="AY802" s="36"/>
      <c r="AZ802" s="36"/>
      <c r="BA802" s="36"/>
      <c r="BB802" s="36"/>
      <c r="BC802" s="36"/>
      <c r="BD802" s="36"/>
      <c r="BE802" s="36"/>
      <c r="BF802" s="36"/>
      <c r="BG802" s="36"/>
      <c r="BH802" s="36"/>
      <c r="BI802" s="36"/>
      <c r="BJ802" s="36"/>
      <c r="BK802" s="36"/>
      <c r="BL802" s="36"/>
      <c r="BM802" s="36"/>
      <c r="BN802" s="36"/>
      <c r="BO802" s="36"/>
      <c r="BP802" s="36"/>
      <c r="BQ802" s="36"/>
      <c r="BR802" s="36"/>
      <c r="BS802" s="36"/>
      <c r="BT802" s="36"/>
      <c r="BU802" s="36"/>
      <c r="BV802" s="36"/>
      <c r="BW802" s="36"/>
      <c r="BX802" s="36"/>
      <c r="BY802" s="36"/>
      <c r="BZ802" s="36"/>
      <c r="CA802" s="36"/>
      <c r="CB802" s="36"/>
      <c r="CC802" s="36"/>
      <c r="CD802" s="36"/>
      <c r="CE802" s="36"/>
      <c r="CF802" s="36"/>
      <c r="CG802" s="36"/>
      <c r="CH802" s="36"/>
      <c r="CI802" s="36"/>
      <c r="CJ802" s="36"/>
      <c r="CK802" s="36"/>
      <c r="CL802" s="36"/>
      <c r="CM802" s="36"/>
      <c r="CN802" s="36"/>
      <c r="CO802" s="36"/>
    </row>
    <row r="803">
      <c r="A803" s="36"/>
      <c r="B803" s="47"/>
      <c r="C803" s="50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36"/>
      <c r="AP803" s="36"/>
      <c r="AQ803" s="36"/>
      <c r="AR803" s="36"/>
      <c r="AS803" s="36"/>
      <c r="AT803" s="36"/>
      <c r="AU803" s="36"/>
      <c r="AV803" s="36"/>
      <c r="AW803" s="36"/>
      <c r="AX803" s="36"/>
      <c r="AY803" s="36"/>
      <c r="AZ803" s="36"/>
      <c r="BA803" s="36"/>
      <c r="BB803" s="36"/>
      <c r="BC803" s="36"/>
      <c r="BD803" s="36"/>
      <c r="BE803" s="36"/>
      <c r="BF803" s="36"/>
      <c r="BG803" s="36"/>
      <c r="BH803" s="36"/>
      <c r="BI803" s="36"/>
      <c r="BJ803" s="36"/>
      <c r="BK803" s="36"/>
      <c r="BL803" s="36"/>
      <c r="BM803" s="36"/>
      <c r="BN803" s="36"/>
      <c r="BO803" s="36"/>
      <c r="BP803" s="36"/>
      <c r="BQ803" s="36"/>
      <c r="BR803" s="36"/>
      <c r="BS803" s="36"/>
      <c r="BT803" s="36"/>
      <c r="BU803" s="36"/>
      <c r="BV803" s="36"/>
      <c r="BW803" s="36"/>
      <c r="BX803" s="36"/>
      <c r="BY803" s="36"/>
      <c r="BZ803" s="36"/>
      <c r="CA803" s="36"/>
      <c r="CB803" s="36"/>
      <c r="CC803" s="36"/>
      <c r="CD803" s="36"/>
      <c r="CE803" s="36"/>
      <c r="CF803" s="36"/>
      <c r="CG803" s="36"/>
      <c r="CH803" s="36"/>
      <c r="CI803" s="36"/>
      <c r="CJ803" s="36"/>
      <c r="CK803" s="36"/>
      <c r="CL803" s="36"/>
      <c r="CM803" s="36"/>
      <c r="CN803" s="36"/>
      <c r="CO803" s="36"/>
    </row>
    <row r="804">
      <c r="A804" s="36"/>
      <c r="B804" s="47"/>
      <c r="C804" s="50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36"/>
      <c r="AP804" s="36"/>
      <c r="AQ804" s="36"/>
      <c r="AR804" s="36"/>
      <c r="AS804" s="36"/>
      <c r="AT804" s="36"/>
      <c r="AU804" s="36"/>
      <c r="AV804" s="36"/>
      <c r="AW804" s="36"/>
      <c r="AX804" s="36"/>
      <c r="AY804" s="36"/>
      <c r="AZ804" s="36"/>
      <c r="BA804" s="36"/>
      <c r="BB804" s="36"/>
      <c r="BC804" s="36"/>
      <c r="BD804" s="36"/>
      <c r="BE804" s="36"/>
      <c r="BF804" s="36"/>
      <c r="BG804" s="36"/>
      <c r="BH804" s="36"/>
      <c r="BI804" s="36"/>
      <c r="BJ804" s="36"/>
      <c r="BK804" s="36"/>
      <c r="BL804" s="36"/>
      <c r="BM804" s="36"/>
      <c r="BN804" s="36"/>
      <c r="BO804" s="36"/>
      <c r="BP804" s="36"/>
      <c r="BQ804" s="36"/>
      <c r="BR804" s="36"/>
      <c r="BS804" s="36"/>
      <c r="BT804" s="36"/>
      <c r="BU804" s="36"/>
      <c r="BV804" s="36"/>
      <c r="BW804" s="36"/>
      <c r="BX804" s="36"/>
      <c r="BY804" s="36"/>
      <c r="BZ804" s="36"/>
      <c r="CA804" s="36"/>
      <c r="CB804" s="36"/>
      <c r="CC804" s="36"/>
      <c r="CD804" s="36"/>
      <c r="CE804" s="36"/>
      <c r="CF804" s="36"/>
      <c r="CG804" s="36"/>
      <c r="CH804" s="36"/>
      <c r="CI804" s="36"/>
      <c r="CJ804" s="36"/>
      <c r="CK804" s="36"/>
      <c r="CL804" s="36"/>
      <c r="CM804" s="36"/>
      <c r="CN804" s="36"/>
      <c r="CO804" s="36"/>
    </row>
    <row r="805">
      <c r="A805" s="36"/>
      <c r="B805" s="47"/>
      <c r="C805" s="50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36"/>
      <c r="AP805" s="36"/>
      <c r="AQ805" s="36"/>
      <c r="AR805" s="36"/>
      <c r="AS805" s="36"/>
      <c r="AT805" s="36"/>
      <c r="AU805" s="36"/>
      <c r="AV805" s="36"/>
      <c r="AW805" s="36"/>
      <c r="AX805" s="36"/>
      <c r="AY805" s="36"/>
      <c r="AZ805" s="36"/>
      <c r="BA805" s="36"/>
      <c r="BB805" s="36"/>
      <c r="BC805" s="36"/>
      <c r="BD805" s="36"/>
      <c r="BE805" s="36"/>
      <c r="BF805" s="36"/>
      <c r="BG805" s="36"/>
      <c r="BH805" s="36"/>
      <c r="BI805" s="36"/>
      <c r="BJ805" s="36"/>
      <c r="BK805" s="36"/>
      <c r="BL805" s="36"/>
      <c r="BM805" s="36"/>
      <c r="BN805" s="36"/>
      <c r="BO805" s="36"/>
      <c r="BP805" s="36"/>
      <c r="BQ805" s="36"/>
      <c r="BR805" s="36"/>
      <c r="BS805" s="36"/>
      <c r="BT805" s="36"/>
      <c r="BU805" s="36"/>
      <c r="BV805" s="36"/>
      <c r="BW805" s="36"/>
      <c r="BX805" s="36"/>
      <c r="BY805" s="36"/>
      <c r="BZ805" s="36"/>
      <c r="CA805" s="36"/>
      <c r="CB805" s="36"/>
      <c r="CC805" s="36"/>
      <c r="CD805" s="36"/>
      <c r="CE805" s="36"/>
      <c r="CF805" s="36"/>
      <c r="CG805" s="36"/>
      <c r="CH805" s="36"/>
      <c r="CI805" s="36"/>
      <c r="CJ805" s="36"/>
      <c r="CK805" s="36"/>
      <c r="CL805" s="36"/>
      <c r="CM805" s="36"/>
      <c r="CN805" s="36"/>
      <c r="CO805" s="36"/>
    </row>
    <row r="806">
      <c r="A806" s="36"/>
      <c r="B806" s="47"/>
      <c r="C806" s="50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36"/>
      <c r="AP806" s="36"/>
      <c r="AQ806" s="36"/>
      <c r="AR806" s="36"/>
      <c r="AS806" s="36"/>
      <c r="AT806" s="36"/>
      <c r="AU806" s="36"/>
      <c r="AV806" s="36"/>
      <c r="AW806" s="36"/>
      <c r="AX806" s="36"/>
      <c r="AY806" s="36"/>
      <c r="AZ806" s="36"/>
      <c r="BA806" s="36"/>
      <c r="BB806" s="36"/>
      <c r="BC806" s="36"/>
      <c r="BD806" s="36"/>
      <c r="BE806" s="36"/>
      <c r="BF806" s="36"/>
      <c r="BG806" s="36"/>
      <c r="BH806" s="36"/>
      <c r="BI806" s="36"/>
      <c r="BJ806" s="36"/>
      <c r="BK806" s="36"/>
      <c r="BL806" s="36"/>
      <c r="BM806" s="36"/>
      <c r="BN806" s="36"/>
      <c r="BO806" s="36"/>
      <c r="BP806" s="36"/>
      <c r="BQ806" s="36"/>
      <c r="BR806" s="36"/>
      <c r="BS806" s="36"/>
      <c r="BT806" s="36"/>
      <c r="BU806" s="36"/>
      <c r="BV806" s="36"/>
      <c r="BW806" s="36"/>
      <c r="BX806" s="36"/>
      <c r="BY806" s="36"/>
      <c r="BZ806" s="36"/>
      <c r="CA806" s="36"/>
      <c r="CB806" s="36"/>
      <c r="CC806" s="36"/>
      <c r="CD806" s="36"/>
      <c r="CE806" s="36"/>
      <c r="CF806" s="36"/>
      <c r="CG806" s="36"/>
      <c r="CH806" s="36"/>
      <c r="CI806" s="36"/>
      <c r="CJ806" s="36"/>
      <c r="CK806" s="36"/>
      <c r="CL806" s="36"/>
      <c r="CM806" s="36"/>
      <c r="CN806" s="36"/>
      <c r="CO806" s="36"/>
    </row>
    <row r="807">
      <c r="A807" s="36"/>
      <c r="B807" s="47"/>
      <c r="C807" s="50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36"/>
      <c r="AP807" s="36"/>
      <c r="AQ807" s="36"/>
      <c r="AR807" s="36"/>
      <c r="AS807" s="36"/>
      <c r="AT807" s="36"/>
      <c r="AU807" s="36"/>
      <c r="AV807" s="36"/>
      <c r="AW807" s="36"/>
      <c r="AX807" s="36"/>
      <c r="AY807" s="36"/>
      <c r="AZ807" s="36"/>
      <c r="BA807" s="36"/>
      <c r="BB807" s="36"/>
      <c r="BC807" s="36"/>
      <c r="BD807" s="36"/>
      <c r="BE807" s="36"/>
      <c r="BF807" s="36"/>
      <c r="BG807" s="36"/>
      <c r="BH807" s="36"/>
      <c r="BI807" s="36"/>
      <c r="BJ807" s="36"/>
      <c r="BK807" s="36"/>
      <c r="BL807" s="36"/>
      <c r="BM807" s="36"/>
      <c r="BN807" s="36"/>
      <c r="BO807" s="36"/>
      <c r="BP807" s="36"/>
      <c r="BQ807" s="36"/>
      <c r="BR807" s="36"/>
      <c r="BS807" s="36"/>
      <c r="BT807" s="36"/>
      <c r="BU807" s="36"/>
      <c r="BV807" s="36"/>
      <c r="BW807" s="36"/>
      <c r="BX807" s="36"/>
      <c r="BY807" s="36"/>
      <c r="BZ807" s="36"/>
      <c r="CA807" s="36"/>
      <c r="CB807" s="36"/>
      <c r="CC807" s="36"/>
      <c r="CD807" s="36"/>
      <c r="CE807" s="36"/>
      <c r="CF807" s="36"/>
      <c r="CG807" s="36"/>
      <c r="CH807" s="36"/>
      <c r="CI807" s="36"/>
      <c r="CJ807" s="36"/>
      <c r="CK807" s="36"/>
      <c r="CL807" s="36"/>
      <c r="CM807" s="36"/>
      <c r="CN807" s="36"/>
      <c r="CO807" s="36"/>
    </row>
    <row r="808">
      <c r="A808" s="36"/>
      <c r="B808" s="47"/>
      <c r="C808" s="50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36"/>
      <c r="AP808" s="36"/>
      <c r="AQ808" s="36"/>
      <c r="AR808" s="36"/>
      <c r="AS808" s="36"/>
      <c r="AT808" s="36"/>
      <c r="AU808" s="36"/>
      <c r="AV808" s="36"/>
      <c r="AW808" s="36"/>
      <c r="AX808" s="36"/>
      <c r="AY808" s="36"/>
      <c r="AZ808" s="36"/>
      <c r="BA808" s="36"/>
      <c r="BB808" s="36"/>
      <c r="BC808" s="36"/>
      <c r="BD808" s="36"/>
      <c r="BE808" s="36"/>
      <c r="BF808" s="36"/>
      <c r="BG808" s="36"/>
      <c r="BH808" s="36"/>
      <c r="BI808" s="36"/>
      <c r="BJ808" s="36"/>
      <c r="BK808" s="36"/>
      <c r="BL808" s="36"/>
      <c r="BM808" s="36"/>
      <c r="BN808" s="36"/>
      <c r="BO808" s="36"/>
      <c r="BP808" s="36"/>
      <c r="BQ808" s="36"/>
      <c r="BR808" s="36"/>
      <c r="BS808" s="36"/>
      <c r="BT808" s="36"/>
      <c r="BU808" s="36"/>
      <c r="BV808" s="36"/>
      <c r="BW808" s="36"/>
      <c r="BX808" s="36"/>
      <c r="BY808" s="36"/>
      <c r="BZ808" s="36"/>
      <c r="CA808" s="36"/>
      <c r="CB808" s="36"/>
      <c r="CC808" s="36"/>
      <c r="CD808" s="36"/>
      <c r="CE808" s="36"/>
      <c r="CF808" s="36"/>
      <c r="CG808" s="36"/>
      <c r="CH808" s="36"/>
      <c r="CI808" s="36"/>
      <c r="CJ808" s="36"/>
      <c r="CK808" s="36"/>
      <c r="CL808" s="36"/>
      <c r="CM808" s="36"/>
      <c r="CN808" s="36"/>
      <c r="CO808" s="36"/>
    </row>
    <row r="809">
      <c r="A809" s="36"/>
      <c r="B809" s="47"/>
      <c r="C809" s="50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36"/>
      <c r="AP809" s="36"/>
      <c r="AQ809" s="36"/>
      <c r="AR809" s="36"/>
      <c r="AS809" s="36"/>
      <c r="AT809" s="36"/>
      <c r="AU809" s="36"/>
      <c r="AV809" s="36"/>
      <c r="AW809" s="36"/>
      <c r="AX809" s="36"/>
      <c r="AY809" s="36"/>
      <c r="AZ809" s="36"/>
      <c r="BA809" s="36"/>
      <c r="BB809" s="36"/>
      <c r="BC809" s="36"/>
      <c r="BD809" s="36"/>
      <c r="BE809" s="36"/>
      <c r="BF809" s="36"/>
      <c r="BG809" s="36"/>
      <c r="BH809" s="36"/>
      <c r="BI809" s="36"/>
      <c r="BJ809" s="36"/>
      <c r="BK809" s="36"/>
      <c r="BL809" s="36"/>
      <c r="BM809" s="36"/>
      <c r="BN809" s="36"/>
      <c r="BO809" s="36"/>
      <c r="BP809" s="36"/>
      <c r="BQ809" s="36"/>
      <c r="BR809" s="36"/>
      <c r="BS809" s="36"/>
      <c r="BT809" s="36"/>
      <c r="BU809" s="36"/>
      <c r="BV809" s="36"/>
      <c r="BW809" s="36"/>
      <c r="BX809" s="36"/>
      <c r="BY809" s="36"/>
      <c r="BZ809" s="36"/>
      <c r="CA809" s="36"/>
      <c r="CB809" s="36"/>
      <c r="CC809" s="36"/>
      <c r="CD809" s="36"/>
      <c r="CE809" s="36"/>
      <c r="CF809" s="36"/>
      <c r="CG809" s="36"/>
      <c r="CH809" s="36"/>
      <c r="CI809" s="36"/>
      <c r="CJ809" s="36"/>
      <c r="CK809" s="36"/>
      <c r="CL809" s="36"/>
      <c r="CM809" s="36"/>
      <c r="CN809" s="36"/>
      <c r="CO809" s="36"/>
    </row>
    <row r="810">
      <c r="A810" s="36"/>
      <c r="B810" s="47"/>
      <c r="C810" s="50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36"/>
      <c r="AP810" s="36"/>
      <c r="AQ810" s="36"/>
      <c r="AR810" s="36"/>
      <c r="AS810" s="36"/>
      <c r="AT810" s="36"/>
      <c r="AU810" s="36"/>
      <c r="AV810" s="36"/>
      <c r="AW810" s="36"/>
      <c r="AX810" s="36"/>
      <c r="AY810" s="36"/>
      <c r="AZ810" s="36"/>
      <c r="BA810" s="36"/>
      <c r="BB810" s="36"/>
      <c r="BC810" s="36"/>
      <c r="BD810" s="36"/>
      <c r="BE810" s="36"/>
      <c r="BF810" s="36"/>
      <c r="BG810" s="36"/>
      <c r="BH810" s="36"/>
      <c r="BI810" s="36"/>
      <c r="BJ810" s="36"/>
      <c r="BK810" s="36"/>
      <c r="BL810" s="36"/>
      <c r="BM810" s="36"/>
      <c r="BN810" s="36"/>
      <c r="BO810" s="36"/>
      <c r="BP810" s="36"/>
      <c r="BQ810" s="36"/>
      <c r="BR810" s="36"/>
      <c r="BS810" s="36"/>
      <c r="BT810" s="36"/>
      <c r="BU810" s="36"/>
      <c r="BV810" s="36"/>
      <c r="BW810" s="36"/>
      <c r="BX810" s="36"/>
      <c r="BY810" s="36"/>
      <c r="BZ810" s="36"/>
      <c r="CA810" s="36"/>
      <c r="CB810" s="36"/>
      <c r="CC810" s="36"/>
      <c r="CD810" s="36"/>
      <c r="CE810" s="36"/>
      <c r="CF810" s="36"/>
      <c r="CG810" s="36"/>
      <c r="CH810" s="36"/>
      <c r="CI810" s="36"/>
      <c r="CJ810" s="36"/>
      <c r="CK810" s="36"/>
      <c r="CL810" s="36"/>
      <c r="CM810" s="36"/>
      <c r="CN810" s="36"/>
      <c r="CO810" s="36"/>
    </row>
    <row r="811">
      <c r="A811" s="36"/>
      <c r="B811" s="47"/>
      <c r="C811" s="50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36"/>
      <c r="AP811" s="36"/>
      <c r="AQ811" s="36"/>
      <c r="AR811" s="36"/>
      <c r="AS811" s="36"/>
      <c r="AT811" s="36"/>
      <c r="AU811" s="36"/>
      <c r="AV811" s="36"/>
      <c r="AW811" s="36"/>
      <c r="AX811" s="36"/>
      <c r="AY811" s="36"/>
      <c r="AZ811" s="36"/>
      <c r="BA811" s="36"/>
      <c r="BB811" s="36"/>
      <c r="BC811" s="36"/>
      <c r="BD811" s="36"/>
      <c r="BE811" s="36"/>
      <c r="BF811" s="36"/>
      <c r="BG811" s="36"/>
      <c r="BH811" s="36"/>
      <c r="BI811" s="36"/>
      <c r="BJ811" s="36"/>
      <c r="BK811" s="36"/>
      <c r="BL811" s="36"/>
      <c r="BM811" s="36"/>
      <c r="BN811" s="36"/>
      <c r="BO811" s="36"/>
      <c r="BP811" s="36"/>
      <c r="BQ811" s="36"/>
      <c r="BR811" s="36"/>
      <c r="BS811" s="36"/>
      <c r="BT811" s="36"/>
      <c r="BU811" s="36"/>
      <c r="BV811" s="36"/>
      <c r="BW811" s="36"/>
      <c r="BX811" s="36"/>
      <c r="BY811" s="36"/>
      <c r="BZ811" s="36"/>
      <c r="CA811" s="36"/>
      <c r="CB811" s="36"/>
      <c r="CC811" s="36"/>
      <c r="CD811" s="36"/>
      <c r="CE811" s="36"/>
      <c r="CF811" s="36"/>
      <c r="CG811" s="36"/>
      <c r="CH811" s="36"/>
      <c r="CI811" s="36"/>
      <c r="CJ811" s="36"/>
      <c r="CK811" s="36"/>
      <c r="CL811" s="36"/>
      <c r="CM811" s="36"/>
      <c r="CN811" s="36"/>
      <c r="CO811" s="36"/>
    </row>
    <row r="812">
      <c r="A812" s="36"/>
      <c r="B812" s="47"/>
      <c r="C812" s="50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36"/>
      <c r="AP812" s="36"/>
      <c r="AQ812" s="36"/>
      <c r="AR812" s="36"/>
      <c r="AS812" s="36"/>
      <c r="AT812" s="36"/>
      <c r="AU812" s="36"/>
      <c r="AV812" s="36"/>
      <c r="AW812" s="36"/>
      <c r="AX812" s="36"/>
      <c r="AY812" s="36"/>
      <c r="AZ812" s="36"/>
      <c r="BA812" s="36"/>
      <c r="BB812" s="36"/>
      <c r="BC812" s="36"/>
      <c r="BD812" s="36"/>
      <c r="BE812" s="36"/>
      <c r="BF812" s="36"/>
      <c r="BG812" s="36"/>
      <c r="BH812" s="36"/>
      <c r="BI812" s="36"/>
      <c r="BJ812" s="36"/>
      <c r="BK812" s="36"/>
      <c r="BL812" s="36"/>
      <c r="BM812" s="36"/>
      <c r="BN812" s="36"/>
      <c r="BO812" s="36"/>
      <c r="BP812" s="36"/>
      <c r="BQ812" s="36"/>
      <c r="BR812" s="36"/>
      <c r="BS812" s="36"/>
      <c r="BT812" s="36"/>
      <c r="BU812" s="36"/>
      <c r="BV812" s="36"/>
      <c r="BW812" s="36"/>
      <c r="BX812" s="36"/>
      <c r="BY812" s="36"/>
      <c r="BZ812" s="36"/>
      <c r="CA812" s="36"/>
      <c r="CB812" s="36"/>
      <c r="CC812" s="36"/>
      <c r="CD812" s="36"/>
      <c r="CE812" s="36"/>
      <c r="CF812" s="36"/>
      <c r="CG812" s="36"/>
      <c r="CH812" s="36"/>
      <c r="CI812" s="36"/>
      <c r="CJ812" s="36"/>
      <c r="CK812" s="36"/>
      <c r="CL812" s="36"/>
      <c r="CM812" s="36"/>
      <c r="CN812" s="36"/>
      <c r="CO812" s="36"/>
    </row>
    <row r="813">
      <c r="A813" s="36"/>
      <c r="B813" s="47"/>
      <c r="C813" s="50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36"/>
      <c r="AP813" s="36"/>
      <c r="AQ813" s="36"/>
      <c r="AR813" s="36"/>
      <c r="AS813" s="36"/>
      <c r="AT813" s="36"/>
      <c r="AU813" s="36"/>
      <c r="AV813" s="36"/>
      <c r="AW813" s="36"/>
      <c r="AX813" s="36"/>
      <c r="AY813" s="36"/>
      <c r="AZ813" s="36"/>
      <c r="BA813" s="36"/>
      <c r="BB813" s="36"/>
      <c r="BC813" s="36"/>
      <c r="BD813" s="36"/>
      <c r="BE813" s="36"/>
      <c r="BF813" s="36"/>
      <c r="BG813" s="36"/>
      <c r="BH813" s="36"/>
      <c r="BI813" s="36"/>
      <c r="BJ813" s="36"/>
      <c r="BK813" s="36"/>
      <c r="BL813" s="36"/>
      <c r="BM813" s="36"/>
      <c r="BN813" s="36"/>
      <c r="BO813" s="36"/>
      <c r="BP813" s="36"/>
      <c r="BQ813" s="36"/>
      <c r="BR813" s="36"/>
      <c r="BS813" s="36"/>
      <c r="BT813" s="36"/>
      <c r="BU813" s="36"/>
      <c r="BV813" s="36"/>
      <c r="BW813" s="36"/>
      <c r="BX813" s="36"/>
      <c r="BY813" s="36"/>
      <c r="BZ813" s="36"/>
      <c r="CA813" s="36"/>
      <c r="CB813" s="36"/>
      <c r="CC813" s="36"/>
      <c r="CD813" s="36"/>
      <c r="CE813" s="36"/>
      <c r="CF813" s="36"/>
      <c r="CG813" s="36"/>
      <c r="CH813" s="36"/>
      <c r="CI813" s="36"/>
      <c r="CJ813" s="36"/>
      <c r="CK813" s="36"/>
      <c r="CL813" s="36"/>
      <c r="CM813" s="36"/>
      <c r="CN813" s="36"/>
      <c r="CO813" s="36"/>
    </row>
    <row r="814">
      <c r="A814" s="36"/>
      <c r="B814" s="47"/>
      <c r="C814" s="50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36"/>
      <c r="AP814" s="36"/>
      <c r="AQ814" s="36"/>
      <c r="AR814" s="36"/>
      <c r="AS814" s="36"/>
      <c r="AT814" s="36"/>
      <c r="AU814" s="36"/>
      <c r="AV814" s="36"/>
      <c r="AW814" s="36"/>
      <c r="AX814" s="36"/>
      <c r="AY814" s="36"/>
      <c r="AZ814" s="36"/>
      <c r="BA814" s="36"/>
      <c r="BB814" s="36"/>
      <c r="BC814" s="36"/>
      <c r="BD814" s="36"/>
      <c r="BE814" s="36"/>
      <c r="BF814" s="36"/>
      <c r="BG814" s="36"/>
      <c r="BH814" s="36"/>
      <c r="BI814" s="36"/>
      <c r="BJ814" s="36"/>
      <c r="BK814" s="36"/>
      <c r="BL814" s="36"/>
      <c r="BM814" s="36"/>
      <c r="BN814" s="36"/>
      <c r="BO814" s="36"/>
      <c r="BP814" s="36"/>
      <c r="BQ814" s="36"/>
      <c r="BR814" s="36"/>
      <c r="BS814" s="36"/>
      <c r="BT814" s="36"/>
      <c r="BU814" s="36"/>
      <c r="BV814" s="36"/>
      <c r="BW814" s="36"/>
      <c r="BX814" s="36"/>
      <c r="BY814" s="36"/>
      <c r="BZ814" s="36"/>
      <c r="CA814" s="36"/>
      <c r="CB814" s="36"/>
      <c r="CC814" s="36"/>
      <c r="CD814" s="36"/>
      <c r="CE814" s="36"/>
      <c r="CF814" s="36"/>
      <c r="CG814" s="36"/>
      <c r="CH814" s="36"/>
      <c r="CI814" s="36"/>
      <c r="CJ814" s="36"/>
      <c r="CK814" s="36"/>
      <c r="CL814" s="36"/>
      <c r="CM814" s="36"/>
      <c r="CN814" s="36"/>
      <c r="CO814" s="36"/>
    </row>
    <row r="815">
      <c r="A815" s="36"/>
      <c r="B815" s="47"/>
      <c r="C815" s="50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36"/>
      <c r="AP815" s="36"/>
      <c r="AQ815" s="36"/>
      <c r="AR815" s="36"/>
      <c r="AS815" s="36"/>
      <c r="AT815" s="36"/>
      <c r="AU815" s="36"/>
      <c r="AV815" s="36"/>
      <c r="AW815" s="36"/>
      <c r="AX815" s="36"/>
      <c r="AY815" s="36"/>
      <c r="AZ815" s="36"/>
      <c r="BA815" s="36"/>
      <c r="BB815" s="36"/>
      <c r="BC815" s="36"/>
      <c r="BD815" s="36"/>
      <c r="BE815" s="36"/>
      <c r="BF815" s="36"/>
      <c r="BG815" s="36"/>
      <c r="BH815" s="36"/>
      <c r="BI815" s="36"/>
      <c r="BJ815" s="36"/>
      <c r="BK815" s="36"/>
      <c r="BL815" s="36"/>
      <c r="BM815" s="36"/>
      <c r="BN815" s="36"/>
      <c r="BO815" s="36"/>
      <c r="BP815" s="36"/>
      <c r="BQ815" s="36"/>
      <c r="BR815" s="36"/>
      <c r="BS815" s="36"/>
      <c r="BT815" s="36"/>
      <c r="BU815" s="36"/>
      <c r="BV815" s="36"/>
      <c r="BW815" s="36"/>
      <c r="BX815" s="36"/>
      <c r="BY815" s="36"/>
      <c r="BZ815" s="36"/>
      <c r="CA815" s="36"/>
      <c r="CB815" s="36"/>
      <c r="CC815" s="36"/>
      <c r="CD815" s="36"/>
      <c r="CE815" s="36"/>
      <c r="CF815" s="36"/>
      <c r="CG815" s="36"/>
      <c r="CH815" s="36"/>
      <c r="CI815" s="36"/>
      <c r="CJ815" s="36"/>
      <c r="CK815" s="36"/>
      <c r="CL815" s="36"/>
      <c r="CM815" s="36"/>
      <c r="CN815" s="36"/>
      <c r="CO815" s="36"/>
    </row>
    <row r="816">
      <c r="A816" s="36"/>
      <c r="B816" s="47"/>
      <c r="C816" s="50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36"/>
      <c r="AP816" s="36"/>
      <c r="AQ816" s="36"/>
      <c r="AR816" s="36"/>
      <c r="AS816" s="36"/>
      <c r="AT816" s="36"/>
      <c r="AU816" s="36"/>
      <c r="AV816" s="36"/>
      <c r="AW816" s="36"/>
      <c r="AX816" s="36"/>
      <c r="AY816" s="36"/>
      <c r="AZ816" s="36"/>
      <c r="BA816" s="36"/>
      <c r="BB816" s="36"/>
      <c r="BC816" s="36"/>
      <c r="BD816" s="36"/>
      <c r="BE816" s="36"/>
      <c r="BF816" s="36"/>
      <c r="BG816" s="36"/>
      <c r="BH816" s="36"/>
      <c r="BI816" s="36"/>
      <c r="BJ816" s="36"/>
      <c r="BK816" s="36"/>
      <c r="BL816" s="36"/>
      <c r="BM816" s="36"/>
      <c r="BN816" s="36"/>
      <c r="BO816" s="36"/>
      <c r="BP816" s="36"/>
      <c r="BQ816" s="36"/>
      <c r="BR816" s="36"/>
      <c r="BS816" s="36"/>
      <c r="BT816" s="36"/>
      <c r="BU816" s="36"/>
      <c r="BV816" s="36"/>
      <c r="BW816" s="36"/>
      <c r="BX816" s="36"/>
      <c r="BY816" s="36"/>
      <c r="BZ816" s="36"/>
      <c r="CA816" s="36"/>
      <c r="CB816" s="36"/>
      <c r="CC816" s="36"/>
      <c r="CD816" s="36"/>
      <c r="CE816" s="36"/>
      <c r="CF816" s="36"/>
      <c r="CG816" s="36"/>
      <c r="CH816" s="36"/>
      <c r="CI816" s="36"/>
      <c r="CJ816" s="36"/>
      <c r="CK816" s="36"/>
      <c r="CL816" s="36"/>
      <c r="CM816" s="36"/>
      <c r="CN816" s="36"/>
      <c r="CO816" s="36"/>
    </row>
    <row r="817">
      <c r="A817" s="36"/>
      <c r="B817" s="47"/>
      <c r="C817" s="50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36"/>
      <c r="AP817" s="36"/>
      <c r="AQ817" s="36"/>
      <c r="AR817" s="36"/>
      <c r="AS817" s="36"/>
      <c r="AT817" s="36"/>
      <c r="AU817" s="36"/>
      <c r="AV817" s="36"/>
      <c r="AW817" s="36"/>
      <c r="AX817" s="36"/>
      <c r="AY817" s="36"/>
      <c r="AZ817" s="36"/>
      <c r="BA817" s="36"/>
      <c r="BB817" s="36"/>
      <c r="BC817" s="36"/>
      <c r="BD817" s="36"/>
      <c r="BE817" s="36"/>
      <c r="BF817" s="36"/>
      <c r="BG817" s="36"/>
      <c r="BH817" s="36"/>
      <c r="BI817" s="36"/>
      <c r="BJ817" s="36"/>
      <c r="BK817" s="36"/>
      <c r="BL817" s="36"/>
      <c r="BM817" s="36"/>
      <c r="BN817" s="36"/>
      <c r="BO817" s="36"/>
      <c r="BP817" s="36"/>
      <c r="BQ817" s="36"/>
      <c r="BR817" s="36"/>
      <c r="BS817" s="36"/>
      <c r="BT817" s="36"/>
      <c r="BU817" s="36"/>
      <c r="BV817" s="36"/>
      <c r="BW817" s="36"/>
      <c r="BX817" s="36"/>
      <c r="BY817" s="36"/>
      <c r="BZ817" s="36"/>
      <c r="CA817" s="36"/>
      <c r="CB817" s="36"/>
      <c r="CC817" s="36"/>
      <c r="CD817" s="36"/>
      <c r="CE817" s="36"/>
      <c r="CF817" s="36"/>
      <c r="CG817" s="36"/>
      <c r="CH817" s="36"/>
      <c r="CI817" s="36"/>
      <c r="CJ817" s="36"/>
      <c r="CK817" s="36"/>
      <c r="CL817" s="36"/>
      <c r="CM817" s="36"/>
      <c r="CN817" s="36"/>
      <c r="CO817" s="36"/>
    </row>
    <row r="818">
      <c r="A818" s="36"/>
      <c r="B818" s="47"/>
      <c r="C818" s="50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36"/>
      <c r="AP818" s="36"/>
      <c r="AQ818" s="36"/>
      <c r="AR818" s="36"/>
      <c r="AS818" s="36"/>
      <c r="AT818" s="36"/>
      <c r="AU818" s="36"/>
      <c r="AV818" s="36"/>
      <c r="AW818" s="36"/>
      <c r="AX818" s="36"/>
      <c r="AY818" s="36"/>
      <c r="AZ818" s="36"/>
      <c r="BA818" s="36"/>
      <c r="BB818" s="36"/>
      <c r="BC818" s="36"/>
      <c r="BD818" s="36"/>
      <c r="BE818" s="36"/>
      <c r="BF818" s="36"/>
      <c r="BG818" s="36"/>
      <c r="BH818" s="36"/>
      <c r="BI818" s="36"/>
      <c r="BJ818" s="36"/>
      <c r="BK818" s="36"/>
      <c r="BL818" s="36"/>
      <c r="BM818" s="36"/>
      <c r="BN818" s="36"/>
      <c r="BO818" s="36"/>
      <c r="BP818" s="36"/>
      <c r="BQ818" s="36"/>
      <c r="BR818" s="36"/>
      <c r="BS818" s="36"/>
      <c r="BT818" s="36"/>
      <c r="BU818" s="36"/>
      <c r="BV818" s="36"/>
      <c r="BW818" s="36"/>
      <c r="BX818" s="36"/>
      <c r="BY818" s="36"/>
      <c r="BZ818" s="36"/>
      <c r="CA818" s="36"/>
      <c r="CB818" s="36"/>
      <c r="CC818" s="36"/>
      <c r="CD818" s="36"/>
      <c r="CE818" s="36"/>
      <c r="CF818" s="36"/>
      <c r="CG818" s="36"/>
      <c r="CH818" s="36"/>
      <c r="CI818" s="36"/>
      <c r="CJ818" s="36"/>
      <c r="CK818" s="36"/>
      <c r="CL818" s="36"/>
      <c r="CM818" s="36"/>
      <c r="CN818" s="36"/>
      <c r="CO818" s="36"/>
    </row>
    <row r="819">
      <c r="A819" s="36"/>
      <c r="B819" s="47"/>
      <c r="C819" s="50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36"/>
      <c r="AP819" s="36"/>
      <c r="AQ819" s="36"/>
      <c r="AR819" s="36"/>
      <c r="AS819" s="36"/>
      <c r="AT819" s="36"/>
      <c r="AU819" s="36"/>
      <c r="AV819" s="36"/>
      <c r="AW819" s="36"/>
      <c r="AX819" s="36"/>
      <c r="AY819" s="36"/>
      <c r="AZ819" s="36"/>
      <c r="BA819" s="36"/>
      <c r="BB819" s="36"/>
      <c r="BC819" s="36"/>
      <c r="BD819" s="36"/>
      <c r="BE819" s="36"/>
      <c r="BF819" s="36"/>
      <c r="BG819" s="36"/>
      <c r="BH819" s="36"/>
      <c r="BI819" s="36"/>
      <c r="BJ819" s="36"/>
      <c r="BK819" s="36"/>
      <c r="BL819" s="36"/>
      <c r="BM819" s="36"/>
      <c r="BN819" s="36"/>
      <c r="BO819" s="36"/>
      <c r="BP819" s="36"/>
      <c r="BQ819" s="36"/>
      <c r="BR819" s="36"/>
      <c r="BS819" s="36"/>
      <c r="BT819" s="36"/>
      <c r="BU819" s="36"/>
      <c r="BV819" s="36"/>
      <c r="BW819" s="36"/>
      <c r="BX819" s="36"/>
      <c r="BY819" s="36"/>
      <c r="BZ819" s="36"/>
      <c r="CA819" s="36"/>
      <c r="CB819" s="36"/>
      <c r="CC819" s="36"/>
      <c r="CD819" s="36"/>
      <c r="CE819" s="36"/>
      <c r="CF819" s="36"/>
      <c r="CG819" s="36"/>
      <c r="CH819" s="36"/>
      <c r="CI819" s="36"/>
      <c r="CJ819" s="36"/>
      <c r="CK819" s="36"/>
      <c r="CL819" s="36"/>
      <c r="CM819" s="36"/>
      <c r="CN819" s="36"/>
      <c r="CO819" s="36"/>
    </row>
    <row r="820">
      <c r="A820" s="36"/>
      <c r="B820" s="47"/>
      <c r="C820" s="50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36"/>
      <c r="AP820" s="36"/>
      <c r="AQ820" s="36"/>
      <c r="AR820" s="36"/>
      <c r="AS820" s="36"/>
      <c r="AT820" s="36"/>
      <c r="AU820" s="36"/>
      <c r="AV820" s="36"/>
      <c r="AW820" s="36"/>
      <c r="AX820" s="36"/>
      <c r="AY820" s="36"/>
      <c r="AZ820" s="36"/>
      <c r="BA820" s="36"/>
      <c r="BB820" s="36"/>
      <c r="BC820" s="36"/>
      <c r="BD820" s="36"/>
      <c r="BE820" s="36"/>
      <c r="BF820" s="36"/>
      <c r="BG820" s="36"/>
      <c r="BH820" s="36"/>
      <c r="BI820" s="36"/>
      <c r="BJ820" s="36"/>
      <c r="BK820" s="36"/>
      <c r="BL820" s="36"/>
      <c r="BM820" s="36"/>
      <c r="BN820" s="36"/>
      <c r="BO820" s="36"/>
      <c r="BP820" s="36"/>
      <c r="BQ820" s="36"/>
      <c r="BR820" s="36"/>
      <c r="BS820" s="36"/>
      <c r="BT820" s="36"/>
      <c r="BU820" s="36"/>
      <c r="BV820" s="36"/>
      <c r="BW820" s="36"/>
      <c r="BX820" s="36"/>
      <c r="BY820" s="36"/>
      <c r="BZ820" s="36"/>
      <c r="CA820" s="36"/>
      <c r="CB820" s="36"/>
      <c r="CC820" s="36"/>
      <c r="CD820" s="36"/>
      <c r="CE820" s="36"/>
      <c r="CF820" s="36"/>
      <c r="CG820" s="36"/>
      <c r="CH820" s="36"/>
      <c r="CI820" s="36"/>
      <c r="CJ820" s="36"/>
      <c r="CK820" s="36"/>
      <c r="CL820" s="36"/>
      <c r="CM820" s="36"/>
      <c r="CN820" s="36"/>
      <c r="CO820" s="36"/>
    </row>
    <row r="821">
      <c r="A821" s="36"/>
      <c r="B821" s="47"/>
      <c r="C821" s="50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36"/>
      <c r="AP821" s="36"/>
      <c r="AQ821" s="36"/>
      <c r="AR821" s="36"/>
      <c r="AS821" s="36"/>
      <c r="AT821" s="36"/>
      <c r="AU821" s="36"/>
      <c r="AV821" s="36"/>
      <c r="AW821" s="36"/>
      <c r="AX821" s="36"/>
      <c r="AY821" s="36"/>
      <c r="AZ821" s="36"/>
      <c r="BA821" s="36"/>
      <c r="BB821" s="36"/>
      <c r="BC821" s="36"/>
      <c r="BD821" s="36"/>
      <c r="BE821" s="36"/>
      <c r="BF821" s="36"/>
      <c r="BG821" s="36"/>
      <c r="BH821" s="36"/>
      <c r="BI821" s="36"/>
      <c r="BJ821" s="36"/>
      <c r="BK821" s="36"/>
      <c r="BL821" s="36"/>
      <c r="BM821" s="36"/>
      <c r="BN821" s="36"/>
      <c r="BO821" s="36"/>
      <c r="BP821" s="36"/>
      <c r="BQ821" s="36"/>
      <c r="BR821" s="36"/>
      <c r="BS821" s="36"/>
      <c r="BT821" s="36"/>
      <c r="BU821" s="36"/>
      <c r="BV821" s="36"/>
      <c r="BW821" s="36"/>
      <c r="BX821" s="36"/>
      <c r="BY821" s="36"/>
      <c r="BZ821" s="36"/>
      <c r="CA821" s="36"/>
      <c r="CB821" s="36"/>
      <c r="CC821" s="36"/>
      <c r="CD821" s="36"/>
      <c r="CE821" s="36"/>
      <c r="CF821" s="36"/>
      <c r="CG821" s="36"/>
      <c r="CH821" s="36"/>
      <c r="CI821" s="36"/>
      <c r="CJ821" s="36"/>
      <c r="CK821" s="36"/>
      <c r="CL821" s="36"/>
      <c r="CM821" s="36"/>
      <c r="CN821" s="36"/>
      <c r="CO821" s="36"/>
    </row>
    <row r="822">
      <c r="A822" s="36"/>
      <c r="B822" s="47"/>
      <c r="C822" s="50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36"/>
      <c r="AP822" s="36"/>
      <c r="AQ822" s="36"/>
      <c r="AR822" s="36"/>
      <c r="AS822" s="36"/>
      <c r="AT822" s="36"/>
      <c r="AU822" s="36"/>
      <c r="AV822" s="36"/>
      <c r="AW822" s="36"/>
      <c r="AX822" s="36"/>
      <c r="AY822" s="36"/>
      <c r="AZ822" s="36"/>
      <c r="BA822" s="36"/>
      <c r="BB822" s="36"/>
      <c r="BC822" s="36"/>
      <c r="BD822" s="36"/>
      <c r="BE822" s="36"/>
      <c r="BF822" s="36"/>
      <c r="BG822" s="36"/>
      <c r="BH822" s="36"/>
      <c r="BI822" s="36"/>
      <c r="BJ822" s="36"/>
      <c r="BK822" s="36"/>
      <c r="BL822" s="36"/>
      <c r="BM822" s="36"/>
      <c r="BN822" s="36"/>
      <c r="BO822" s="36"/>
      <c r="BP822" s="36"/>
      <c r="BQ822" s="36"/>
      <c r="BR822" s="36"/>
      <c r="BS822" s="36"/>
      <c r="BT822" s="36"/>
      <c r="BU822" s="36"/>
      <c r="BV822" s="36"/>
      <c r="BW822" s="36"/>
      <c r="BX822" s="36"/>
      <c r="BY822" s="36"/>
      <c r="BZ822" s="36"/>
      <c r="CA822" s="36"/>
      <c r="CB822" s="36"/>
      <c r="CC822" s="36"/>
      <c r="CD822" s="36"/>
      <c r="CE822" s="36"/>
      <c r="CF822" s="36"/>
      <c r="CG822" s="36"/>
      <c r="CH822" s="36"/>
      <c r="CI822" s="36"/>
      <c r="CJ822" s="36"/>
      <c r="CK822" s="36"/>
      <c r="CL822" s="36"/>
      <c r="CM822" s="36"/>
      <c r="CN822" s="36"/>
      <c r="CO822" s="36"/>
    </row>
    <row r="823">
      <c r="A823" s="36"/>
      <c r="B823" s="47"/>
      <c r="C823" s="50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36"/>
      <c r="AP823" s="36"/>
      <c r="AQ823" s="36"/>
      <c r="AR823" s="36"/>
      <c r="AS823" s="36"/>
      <c r="AT823" s="36"/>
      <c r="AU823" s="36"/>
      <c r="AV823" s="36"/>
      <c r="AW823" s="36"/>
      <c r="AX823" s="36"/>
      <c r="AY823" s="36"/>
      <c r="AZ823" s="36"/>
      <c r="BA823" s="36"/>
      <c r="BB823" s="36"/>
      <c r="BC823" s="36"/>
      <c r="BD823" s="36"/>
      <c r="BE823" s="36"/>
      <c r="BF823" s="36"/>
      <c r="BG823" s="36"/>
      <c r="BH823" s="36"/>
      <c r="BI823" s="36"/>
      <c r="BJ823" s="36"/>
      <c r="BK823" s="36"/>
      <c r="BL823" s="36"/>
      <c r="BM823" s="36"/>
      <c r="BN823" s="36"/>
      <c r="BO823" s="36"/>
      <c r="BP823" s="36"/>
      <c r="BQ823" s="36"/>
      <c r="BR823" s="36"/>
      <c r="BS823" s="36"/>
      <c r="BT823" s="36"/>
      <c r="BU823" s="36"/>
      <c r="BV823" s="36"/>
      <c r="BW823" s="36"/>
      <c r="BX823" s="36"/>
      <c r="BY823" s="36"/>
      <c r="BZ823" s="36"/>
      <c r="CA823" s="36"/>
      <c r="CB823" s="36"/>
      <c r="CC823" s="36"/>
      <c r="CD823" s="36"/>
      <c r="CE823" s="36"/>
      <c r="CF823" s="36"/>
      <c r="CG823" s="36"/>
      <c r="CH823" s="36"/>
      <c r="CI823" s="36"/>
      <c r="CJ823" s="36"/>
      <c r="CK823" s="36"/>
      <c r="CL823" s="36"/>
      <c r="CM823" s="36"/>
      <c r="CN823" s="36"/>
      <c r="CO823" s="36"/>
    </row>
    <row r="824">
      <c r="A824" s="36"/>
      <c r="B824" s="47"/>
      <c r="C824" s="50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36"/>
      <c r="AP824" s="36"/>
      <c r="AQ824" s="36"/>
      <c r="AR824" s="36"/>
      <c r="AS824" s="36"/>
      <c r="AT824" s="36"/>
      <c r="AU824" s="36"/>
      <c r="AV824" s="36"/>
      <c r="AW824" s="36"/>
      <c r="AX824" s="36"/>
      <c r="AY824" s="36"/>
      <c r="AZ824" s="36"/>
      <c r="BA824" s="36"/>
      <c r="BB824" s="36"/>
      <c r="BC824" s="36"/>
      <c r="BD824" s="36"/>
      <c r="BE824" s="36"/>
      <c r="BF824" s="36"/>
      <c r="BG824" s="36"/>
      <c r="BH824" s="36"/>
      <c r="BI824" s="36"/>
      <c r="BJ824" s="36"/>
      <c r="BK824" s="36"/>
      <c r="BL824" s="36"/>
      <c r="BM824" s="36"/>
      <c r="BN824" s="36"/>
      <c r="BO824" s="36"/>
      <c r="BP824" s="36"/>
      <c r="BQ824" s="36"/>
      <c r="BR824" s="36"/>
      <c r="BS824" s="36"/>
      <c r="BT824" s="36"/>
      <c r="BU824" s="36"/>
      <c r="BV824" s="36"/>
      <c r="BW824" s="36"/>
      <c r="BX824" s="36"/>
      <c r="BY824" s="36"/>
      <c r="BZ824" s="36"/>
      <c r="CA824" s="36"/>
      <c r="CB824" s="36"/>
      <c r="CC824" s="36"/>
      <c r="CD824" s="36"/>
      <c r="CE824" s="36"/>
      <c r="CF824" s="36"/>
      <c r="CG824" s="36"/>
      <c r="CH824" s="36"/>
      <c r="CI824" s="36"/>
      <c r="CJ824" s="36"/>
      <c r="CK824" s="36"/>
      <c r="CL824" s="36"/>
      <c r="CM824" s="36"/>
      <c r="CN824" s="36"/>
      <c r="CO824" s="36"/>
    </row>
    <row r="825">
      <c r="A825" s="36"/>
      <c r="B825" s="47"/>
      <c r="C825" s="50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36"/>
      <c r="AP825" s="36"/>
      <c r="AQ825" s="36"/>
      <c r="AR825" s="36"/>
      <c r="AS825" s="36"/>
      <c r="AT825" s="36"/>
      <c r="AU825" s="36"/>
      <c r="AV825" s="36"/>
      <c r="AW825" s="36"/>
      <c r="AX825" s="36"/>
      <c r="AY825" s="36"/>
      <c r="AZ825" s="36"/>
      <c r="BA825" s="36"/>
      <c r="BB825" s="36"/>
      <c r="BC825" s="36"/>
      <c r="BD825" s="36"/>
      <c r="BE825" s="36"/>
      <c r="BF825" s="36"/>
      <c r="BG825" s="36"/>
      <c r="BH825" s="36"/>
      <c r="BI825" s="36"/>
      <c r="BJ825" s="36"/>
      <c r="BK825" s="36"/>
      <c r="BL825" s="36"/>
      <c r="BM825" s="36"/>
      <c r="BN825" s="36"/>
      <c r="BO825" s="36"/>
      <c r="BP825" s="36"/>
      <c r="BQ825" s="36"/>
      <c r="BR825" s="36"/>
      <c r="BS825" s="36"/>
      <c r="BT825" s="36"/>
      <c r="BU825" s="36"/>
      <c r="BV825" s="36"/>
      <c r="BW825" s="36"/>
      <c r="BX825" s="36"/>
      <c r="BY825" s="36"/>
      <c r="BZ825" s="36"/>
      <c r="CA825" s="36"/>
      <c r="CB825" s="36"/>
      <c r="CC825" s="36"/>
      <c r="CD825" s="36"/>
      <c r="CE825" s="36"/>
      <c r="CF825" s="36"/>
      <c r="CG825" s="36"/>
      <c r="CH825" s="36"/>
      <c r="CI825" s="36"/>
      <c r="CJ825" s="36"/>
      <c r="CK825" s="36"/>
      <c r="CL825" s="36"/>
      <c r="CM825" s="36"/>
      <c r="CN825" s="36"/>
      <c r="CO825" s="36"/>
    </row>
    <row r="826">
      <c r="A826" s="36"/>
      <c r="B826" s="47"/>
      <c r="C826" s="50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36"/>
      <c r="AP826" s="36"/>
      <c r="AQ826" s="36"/>
      <c r="AR826" s="36"/>
      <c r="AS826" s="36"/>
      <c r="AT826" s="36"/>
      <c r="AU826" s="36"/>
      <c r="AV826" s="36"/>
      <c r="AW826" s="36"/>
      <c r="AX826" s="36"/>
      <c r="AY826" s="36"/>
      <c r="AZ826" s="36"/>
      <c r="BA826" s="36"/>
      <c r="BB826" s="36"/>
      <c r="BC826" s="36"/>
      <c r="BD826" s="36"/>
      <c r="BE826" s="36"/>
      <c r="BF826" s="36"/>
      <c r="BG826" s="36"/>
      <c r="BH826" s="36"/>
      <c r="BI826" s="36"/>
      <c r="BJ826" s="36"/>
      <c r="BK826" s="36"/>
      <c r="BL826" s="36"/>
      <c r="BM826" s="36"/>
      <c r="BN826" s="36"/>
      <c r="BO826" s="36"/>
      <c r="BP826" s="36"/>
      <c r="BQ826" s="36"/>
      <c r="BR826" s="36"/>
      <c r="BS826" s="36"/>
      <c r="BT826" s="36"/>
      <c r="BU826" s="36"/>
      <c r="BV826" s="36"/>
      <c r="BW826" s="36"/>
      <c r="BX826" s="36"/>
      <c r="BY826" s="36"/>
      <c r="BZ826" s="36"/>
      <c r="CA826" s="36"/>
      <c r="CB826" s="36"/>
      <c r="CC826" s="36"/>
      <c r="CD826" s="36"/>
      <c r="CE826" s="36"/>
      <c r="CF826" s="36"/>
      <c r="CG826" s="36"/>
      <c r="CH826" s="36"/>
      <c r="CI826" s="36"/>
      <c r="CJ826" s="36"/>
      <c r="CK826" s="36"/>
      <c r="CL826" s="36"/>
      <c r="CM826" s="36"/>
      <c r="CN826" s="36"/>
      <c r="CO826" s="36"/>
    </row>
    <row r="827">
      <c r="A827" s="36"/>
      <c r="B827" s="47"/>
      <c r="C827" s="50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36"/>
      <c r="AP827" s="36"/>
      <c r="AQ827" s="36"/>
      <c r="AR827" s="36"/>
      <c r="AS827" s="36"/>
      <c r="AT827" s="36"/>
      <c r="AU827" s="36"/>
      <c r="AV827" s="36"/>
      <c r="AW827" s="36"/>
      <c r="AX827" s="36"/>
      <c r="AY827" s="36"/>
      <c r="AZ827" s="36"/>
      <c r="BA827" s="36"/>
      <c r="BB827" s="36"/>
      <c r="BC827" s="36"/>
      <c r="BD827" s="36"/>
      <c r="BE827" s="36"/>
      <c r="BF827" s="36"/>
      <c r="BG827" s="36"/>
      <c r="BH827" s="36"/>
      <c r="BI827" s="36"/>
      <c r="BJ827" s="36"/>
      <c r="BK827" s="36"/>
      <c r="BL827" s="36"/>
      <c r="BM827" s="36"/>
      <c r="BN827" s="36"/>
      <c r="BO827" s="36"/>
      <c r="BP827" s="36"/>
      <c r="BQ827" s="36"/>
      <c r="BR827" s="36"/>
      <c r="BS827" s="36"/>
      <c r="BT827" s="36"/>
      <c r="BU827" s="36"/>
      <c r="BV827" s="36"/>
      <c r="BW827" s="36"/>
      <c r="BX827" s="36"/>
      <c r="BY827" s="36"/>
      <c r="BZ827" s="36"/>
      <c r="CA827" s="36"/>
      <c r="CB827" s="36"/>
      <c r="CC827" s="36"/>
      <c r="CD827" s="36"/>
      <c r="CE827" s="36"/>
      <c r="CF827" s="36"/>
      <c r="CG827" s="36"/>
      <c r="CH827" s="36"/>
      <c r="CI827" s="36"/>
      <c r="CJ827" s="36"/>
      <c r="CK827" s="36"/>
      <c r="CL827" s="36"/>
      <c r="CM827" s="36"/>
      <c r="CN827" s="36"/>
      <c r="CO827" s="36"/>
    </row>
    <row r="828">
      <c r="A828" s="36"/>
      <c r="B828" s="47"/>
      <c r="C828" s="50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36"/>
      <c r="AP828" s="36"/>
      <c r="AQ828" s="36"/>
      <c r="AR828" s="36"/>
      <c r="AS828" s="36"/>
      <c r="AT828" s="36"/>
      <c r="AU828" s="36"/>
      <c r="AV828" s="36"/>
      <c r="AW828" s="36"/>
      <c r="AX828" s="36"/>
      <c r="AY828" s="36"/>
      <c r="AZ828" s="36"/>
      <c r="BA828" s="36"/>
      <c r="BB828" s="36"/>
      <c r="BC828" s="36"/>
      <c r="BD828" s="36"/>
      <c r="BE828" s="36"/>
      <c r="BF828" s="36"/>
      <c r="BG828" s="36"/>
      <c r="BH828" s="36"/>
      <c r="BI828" s="36"/>
      <c r="BJ828" s="36"/>
      <c r="BK828" s="36"/>
      <c r="BL828" s="36"/>
      <c r="BM828" s="36"/>
      <c r="BN828" s="36"/>
      <c r="BO828" s="36"/>
      <c r="BP828" s="36"/>
      <c r="BQ828" s="36"/>
      <c r="BR828" s="36"/>
      <c r="BS828" s="36"/>
      <c r="BT828" s="36"/>
      <c r="BU828" s="36"/>
      <c r="BV828" s="36"/>
      <c r="BW828" s="36"/>
      <c r="BX828" s="36"/>
      <c r="BY828" s="36"/>
      <c r="BZ828" s="36"/>
      <c r="CA828" s="36"/>
      <c r="CB828" s="36"/>
      <c r="CC828" s="36"/>
      <c r="CD828" s="36"/>
      <c r="CE828" s="36"/>
      <c r="CF828" s="36"/>
      <c r="CG828" s="36"/>
      <c r="CH828" s="36"/>
      <c r="CI828" s="36"/>
      <c r="CJ828" s="36"/>
      <c r="CK828" s="36"/>
      <c r="CL828" s="36"/>
      <c r="CM828" s="36"/>
      <c r="CN828" s="36"/>
      <c r="CO828" s="36"/>
    </row>
    <row r="829">
      <c r="A829" s="36"/>
      <c r="B829" s="47"/>
      <c r="C829" s="50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36"/>
      <c r="AP829" s="36"/>
      <c r="AQ829" s="36"/>
      <c r="AR829" s="36"/>
      <c r="AS829" s="36"/>
      <c r="AT829" s="36"/>
      <c r="AU829" s="36"/>
      <c r="AV829" s="36"/>
      <c r="AW829" s="36"/>
      <c r="AX829" s="36"/>
      <c r="AY829" s="36"/>
      <c r="AZ829" s="36"/>
      <c r="BA829" s="36"/>
      <c r="BB829" s="36"/>
      <c r="BC829" s="36"/>
      <c r="BD829" s="36"/>
      <c r="BE829" s="36"/>
      <c r="BF829" s="36"/>
      <c r="BG829" s="36"/>
      <c r="BH829" s="36"/>
      <c r="BI829" s="36"/>
      <c r="BJ829" s="36"/>
      <c r="BK829" s="36"/>
      <c r="BL829" s="36"/>
      <c r="BM829" s="36"/>
      <c r="BN829" s="36"/>
      <c r="BO829" s="36"/>
      <c r="BP829" s="36"/>
      <c r="BQ829" s="36"/>
      <c r="BR829" s="36"/>
      <c r="BS829" s="36"/>
      <c r="BT829" s="36"/>
      <c r="BU829" s="36"/>
      <c r="BV829" s="36"/>
      <c r="BW829" s="36"/>
      <c r="BX829" s="36"/>
      <c r="BY829" s="36"/>
      <c r="BZ829" s="36"/>
      <c r="CA829" s="36"/>
      <c r="CB829" s="36"/>
      <c r="CC829" s="36"/>
      <c r="CD829" s="36"/>
      <c r="CE829" s="36"/>
      <c r="CF829" s="36"/>
      <c r="CG829" s="36"/>
      <c r="CH829" s="36"/>
      <c r="CI829" s="36"/>
      <c r="CJ829" s="36"/>
      <c r="CK829" s="36"/>
      <c r="CL829" s="36"/>
      <c r="CM829" s="36"/>
      <c r="CN829" s="36"/>
      <c r="CO829" s="36"/>
    </row>
    <row r="830">
      <c r="A830" s="36"/>
      <c r="B830" s="47"/>
      <c r="C830" s="50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36"/>
      <c r="AP830" s="36"/>
      <c r="AQ830" s="36"/>
      <c r="AR830" s="36"/>
      <c r="AS830" s="36"/>
      <c r="AT830" s="36"/>
      <c r="AU830" s="36"/>
      <c r="AV830" s="36"/>
      <c r="AW830" s="36"/>
      <c r="AX830" s="36"/>
      <c r="AY830" s="36"/>
      <c r="AZ830" s="36"/>
      <c r="BA830" s="36"/>
      <c r="BB830" s="36"/>
      <c r="BC830" s="36"/>
      <c r="BD830" s="36"/>
      <c r="BE830" s="36"/>
      <c r="BF830" s="36"/>
      <c r="BG830" s="36"/>
      <c r="BH830" s="36"/>
      <c r="BI830" s="36"/>
      <c r="BJ830" s="36"/>
      <c r="BK830" s="36"/>
      <c r="BL830" s="36"/>
      <c r="BM830" s="36"/>
      <c r="BN830" s="36"/>
      <c r="BO830" s="36"/>
      <c r="BP830" s="36"/>
      <c r="BQ830" s="36"/>
      <c r="BR830" s="36"/>
      <c r="BS830" s="36"/>
      <c r="BT830" s="36"/>
      <c r="BU830" s="36"/>
      <c r="BV830" s="36"/>
      <c r="BW830" s="36"/>
      <c r="BX830" s="36"/>
      <c r="BY830" s="36"/>
      <c r="BZ830" s="36"/>
      <c r="CA830" s="36"/>
      <c r="CB830" s="36"/>
      <c r="CC830" s="36"/>
      <c r="CD830" s="36"/>
      <c r="CE830" s="36"/>
      <c r="CF830" s="36"/>
      <c r="CG830" s="36"/>
      <c r="CH830" s="36"/>
      <c r="CI830" s="36"/>
      <c r="CJ830" s="36"/>
      <c r="CK830" s="36"/>
      <c r="CL830" s="36"/>
      <c r="CM830" s="36"/>
      <c r="CN830" s="36"/>
      <c r="CO830" s="36"/>
    </row>
    <row r="831">
      <c r="A831" s="36"/>
      <c r="B831" s="47"/>
      <c r="C831" s="50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36"/>
      <c r="AP831" s="36"/>
      <c r="AQ831" s="36"/>
      <c r="AR831" s="36"/>
      <c r="AS831" s="36"/>
      <c r="AT831" s="36"/>
      <c r="AU831" s="36"/>
      <c r="AV831" s="36"/>
      <c r="AW831" s="36"/>
      <c r="AX831" s="36"/>
      <c r="AY831" s="36"/>
      <c r="AZ831" s="36"/>
      <c r="BA831" s="36"/>
      <c r="BB831" s="36"/>
      <c r="BC831" s="36"/>
      <c r="BD831" s="36"/>
      <c r="BE831" s="36"/>
      <c r="BF831" s="36"/>
      <c r="BG831" s="36"/>
      <c r="BH831" s="36"/>
      <c r="BI831" s="36"/>
      <c r="BJ831" s="36"/>
      <c r="BK831" s="36"/>
      <c r="BL831" s="36"/>
      <c r="BM831" s="36"/>
      <c r="BN831" s="36"/>
      <c r="BO831" s="36"/>
      <c r="BP831" s="36"/>
      <c r="BQ831" s="36"/>
      <c r="BR831" s="36"/>
      <c r="BS831" s="36"/>
      <c r="BT831" s="36"/>
      <c r="BU831" s="36"/>
      <c r="BV831" s="36"/>
      <c r="BW831" s="36"/>
      <c r="BX831" s="36"/>
      <c r="BY831" s="36"/>
      <c r="BZ831" s="36"/>
      <c r="CA831" s="36"/>
      <c r="CB831" s="36"/>
      <c r="CC831" s="36"/>
      <c r="CD831" s="36"/>
      <c r="CE831" s="36"/>
      <c r="CF831" s="36"/>
      <c r="CG831" s="36"/>
      <c r="CH831" s="36"/>
      <c r="CI831" s="36"/>
      <c r="CJ831" s="36"/>
      <c r="CK831" s="36"/>
      <c r="CL831" s="36"/>
      <c r="CM831" s="36"/>
      <c r="CN831" s="36"/>
      <c r="CO831" s="36"/>
    </row>
    <row r="832">
      <c r="A832" s="36"/>
      <c r="B832" s="47"/>
      <c r="C832" s="50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36"/>
      <c r="AP832" s="36"/>
      <c r="AQ832" s="36"/>
      <c r="AR832" s="36"/>
      <c r="AS832" s="36"/>
      <c r="AT832" s="36"/>
      <c r="AU832" s="36"/>
      <c r="AV832" s="36"/>
      <c r="AW832" s="36"/>
      <c r="AX832" s="36"/>
      <c r="AY832" s="36"/>
      <c r="AZ832" s="36"/>
      <c r="BA832" s="36"/>
      <c r="BB832" s="36"/>
      <c r="BC832" s="36"/>
      <c r="BD832" s="36"/>
      <c r="BE832" s="36"/>
      <c r="BF832" s="36"/>
      <c r="BG832" s="36"/>
      <c r="BH832" s="36"/>
      <c r="BI832" s="36"/>
      <c r="BJ832" s="36"/>
      <c r="BK832" s="36"/>
      <c r="BL832" s="36"/>
      <c r="BM832" s="36"/>
      <c r="BN832" s="36"/>
      <c r="BO832" s="36"/>
      <c r="BP832" s="36"/>
      <c r="BQ832" s="36"/>
      <c r="BR832" s="36"/>
      <c r="BS832" s="36"/>
      <c r="BT832" s="36"/>
      <c r="BU832" s="36"/>
      <c r="BV832" s="36"/>
      <c r="BW832" s="36"/>
      <c r="BX832" s="36"/>
      <c r="BY832" s="36"/>
      <c r="BZ832" s="36"/>
      <c r="CA832" s="36"/>
      <c r="CB832" s="36"/>
      <c r="CC832" s="36"/>
      <c r="CD832" s="36"/>
      <c r="CE832" s="36"/>
      <c r="CF832" s="36"/>
      <c r="CG832" s="36"/>
      <c r="CH832" s="36"/>
      <c r="CI832" s="36"/>
      <c r="CJ832" s="36"/>
      <c r="CK832" s="36"/>
      <c r="CL832" s="36"/>
      <c r="CM832" s="36"/>
      <c r="CN832" s="36"/>
      <c r="CO832" s="36"/>
    </row>
    <row r="833">
      <c r="A833" s="36"/>
      <c r="B833" s="47"/>
      <c r="C833" s="50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36"/>
      <c r="AP833" s="36"/>
      <c r="AQ833" s="36"/>
      <c r="AR833" s="36"/>
      <c r="AS833" s="36"/>
      <c r="AT833" s="36"/>
      <c r="AU833" s="36"/>
      <c r="AV833" s="36"/>
      <c r="AW833" s="36"/>
      <c r="AX833" s="36"/>
      <c r="AY833" s="36"/>
      <c r="AZ833" s="36"/>
      <c r="BA833" s="36"/>
      <c r="BB833" s="36"/>
      <c r="BC833" s="36"/>
      <c r="BD833" s="36"/>
      <c r="BE833" s="36"/>
      <c r="BF833" s="36"/>
      <c r="BG833" s="36"/>
      <c r="BH833" s="36"/>
      <c r="BI833" s="36"/>
      <c r="BJ833" s="36"/>
      <c r="BK833" s="36"/>
      <c r="BL833" s="36"/>
      <c r="BM833" s="36"/>
      <c r="BN833" s="36"/>
      <c r="BO833" s="36"/>
      <c r="BP833" s="36"/>
      <c r="BQ833" s="36"/>
      <c r="BR833" s="36"/>
      <c r="BS833" s="36"/>
      <c r="BT833" s="36"/>
      <c r="BU833" s="36"/>
      <c r="BV833" s="36"/>
      <c r="BW833" s="36"/>
      <c r="BX833" s="36"/>
      <c r="BY833" s="36"/>
      <c r="BZ833" s="36"/>
      <c r="CA833" s="36"/>
      <c r="CB833" s="36"/>
      <c r="CC833" s="36"/>
      <c r="CD833" s="36"/>
      <c r="CE833" s="36"/>
      <c r="CF833" s="36"/>
      <c r="CG833" s="36"/>
      <c r="CH833" s="36"/>
      <c r="CI833" s="36"/>
      <c r="CJ833" s="36"/>
      <c r="CK833" s="36"/>
      <c r="CL833" s="36"/>
      <c r="CM833" s="36"/>
      <c r="CN833" s="36"/>
      <c r="CO833" s="36"/>
    </row>
    <row r="834">
      <c r="A834" s="36"/>
      <c r="B834" s="47"/>
      <c r="C834" s="50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36"/>
      <c r="AP834" s="36"/>
      <c r="AQ834" s="36"/>
      <c r="AR834" s="36"/>
      <c r="AS834" s="36"/>
      <c r="AT834" s="36"/>
      <c r="AU834" s="36"/>
      <c r="AV834" s="36"/>
      <c r="AW834" s="36"/>
      <c r="AX834" s="36"/>
      <c r="AY834" s="36"/>
      <c r="AZ834" s="36"/>
      <c r="BA834" s="36"/>
      <c r="BB834" s="36"/>
      <c r="BC834" s="36"/>
      <c r="BD834" s="36"/>
      <c r="BE834" s="36"/>
      <c r="BF834" s="36"/>
      <c r="BG834" s="36"/>
      <c r="BH834" s="36"/>
      <c r="BI834" s="36"/>
      <c r="BJ834" s="36"/>
      <c r="BK834" s="36"/>
      <c r="BL834" s="36"/>
      <c r="BM834" s="36"/>
      <c r="BN834" s="36"/>
      <c r="BO834" s="36"/>
      <c r="BP834" s="36"/>
      <c r="BQ834" s="36"/>
      <c r="BR834" s="36"/>
      <c r="BS834" s="36"/>
      <c r="BT834" s="36"/>
      <c r="BU834" s="36"/>
      <c r="BV834" s="36"/>
      <c r="BW834" s="36"/>
      <c r="BX834" s="36"/>
      <c r="BY834" s="36"/>
      <c r="BZ834" s="36"/>
      <c r="CA834" s="36"/>
      <c r="CB834" s="36"/>
      <c r="CC834" s="36"/>
      <c r="CD834" s="36"/>
      <c r="CE834" s="36"/>
      <c r="CF834" s="36"/>
      <c r="CG834" s="36"/>
      <c r="CH834" s="36"/>
      <c r="CI834" s="36"/>
      <c r="CJ834" s="36"/>
      <c r="CK834" s="36"/>
      <c r="CL834" s="36"/>
      <c r="CM834" s="36"/>
      <c r="CN834" s="36"/>
      <c r="CO834" s="36"/>
    </row>
    <row r="835">
      <c r="A835" s="36"/>
      <c r="B835" s="47"/>
      <c r="C835" s="50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  <c r="AO835" s="36"/>
      <c r="AP835" s="36"/>
      <c r="AQ835" s="36"/>
      <c r="AR835" s="36"/>
      <c r="AS835" s="36"/>
      <c r="AT835" s="36"/>
      <c r="AU835" s="36"/>
      <c r="AV835" s="36"/>
      <c r="AW835" s="36"/>
      <c r="AX835" s="36"/>
      <c r="AY835" s="36"/>
      <c r="AZ835" s="36"/>
      <c r="BA835" s="36"/>
      <c r="BB835" s="36"/>
      <c r="BC835" s="36"/>
      <c r="BD835" s="36"/>
      <c r="BE835" s="36"/>
      <c r="BF835" s="36"/>
      <c r="BG835" s="36"/>
      <c r="BH835" s="36"/>
      <c r="BI835" s="36"/>
      <c r="BJ835" s="36"/>
      <c r="BK835" s="36"/>
      <c r="BL835" s="36"/>
      <c r="BM835" s="36"/>
      <c r="BN835" s="36"/>
      <c r="BO835" s="36"/>
      <c r="BP835" s="36"/>
      <c r="BQ835" s="36"/>
      <c r="BR835" s="36"/>
      <c r="BS835" s="36"/>
      <c r="BT835" s="36"/>
      <c r="BU835" s="36"/>
      <c r="BV835" s="36"/>
      <c r="BW835" s="36"/>
      <c r="BX835" s="36"/>
      <c r="BY835" s="36"/>
      <c r="BZ835" s="36"/>
      <c r="CA835" s="36"/>
      <c r="CB835" s="36"/>
      <c r="CC835" s="36"/>
      <c r="CD835" s="36"/>
      <c r="CE835" s="36"/>
      <c r="CF835" s="36"/>
      <c r="CG835" s="36"/>
      <c r="CH835" s="36"/>
      <c r="CI835" s="36"/>
      <c r="CJ835" s="36"/>
      <c r="CK835" s="36"/>
      <c r="CL835" s="36"/>
      <c r="CM835" s="36"/>
      <c r="CN835" s="36"/>
      <c r="CO835" s="36"/>
    </row>
    <row r="836">
      <c r="A836" s="36"/>
      <c r="B836" s="47"/>
      <c r="C836" s="50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  <c r="AO836" s="36"/>
      <c r="AP836" s="36"/>
      <c r="AQ836" s="36"/>
      <c r="AR836" s="36"/>
      <c r="AS836" s="36"/>
      <c r="AT836" s="36"/>
      <c r="AU836" s="36"/>
      <c r="AV836" s="36"/>
      <c r="AW836" s="36"/>
      <c r="AX836" s="36"/>
      <c r="AY836" s="36"/>
      <c r="AZ836" s="36"/>
      <c r="BA836" s="36"/>
      <c r="BB836" s="36"/>
      <c r="BC836" s="36"/>
      <c r="BD836" s="36"/>
      <c r="BE836" s="36"/>
      <c r="BF836" s="36"/>
      <c r="BG836" s="36"/>
      <c r="BH836" s="36"/>
      <c r="BI836" s="36"/>
      <c r="BJ836" s="36"/>
      <c r="BK836" s="36"/>
      <c r="BL836" s="36"/>
      <c r="BM836" s="36"/>
      <c r="BN836" s="36"/>
      <c r="BO836" s="36"/>
      <c r="BP836" s="36"/>
      <c r="BQ836" s="36"/>
      <c r="BR836" s="36"/>
      <c r="BS836" s="36"/>
      <c r="BT836" s="36"/>
      <c r="BU836" s="36"/>
      <c r="BV836" s="36"/>
      <c r="BW836" s="36"/>
      <c r="BX836" s="36"/>
      <c r="BY836" s="36"/>
      <c r="BZ836" s="36"/>
      <c r="CA836" s="36"/>
      <c r="CB836" s="36"/>
      <c r="CC836" s="36"/>
      <c r="CD836" s="36"/>
      <c r="CE836" s="36"/>
      <c r="CF836" s="36"/>
      <c r="CG836" s="36"/>
      <c r="CH836" s="36"/>
      <c r="CI836" s="36"/>
      <c r="CJ836" s="36"/>
      <c r="CK836" s="36"/>
      <c r="CL836" s="36"/>
      <c r="CM836" s="36"/>
      <c r="CN836" s="36"/>
      <c r="CO836" s="36"/>
    </row>
    <row r="837">
      <c r="A837" s="36"/>
      <c r="B837" s="47"/>
      <c r="C837" s="50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  <c r="AO837" s="36"/>
      <c r="AP837" s="36"/>
      <c r="AQ837" s="36"/>
      <c r="AR837" s="36"/>
      <c r="AS837" s="36"/>
      <c r="AT837" s="36"/>
      <c r="AU837" s="36"/>
      <c r="AV837" s="36"/>
      <c r="AW837" s="36"/>
      <c r="AX837" s="36"/>
      <c r="AY837" s="36"/>
      <c r="AZ837" s="36"/>
      <c r="BA837" s="36"/>
      <c r="BB837" s="36"/>
      <c r="BC837" s="36"/>
      <c r="BD837" s="36"/>
      <c r="BE837" s="36"/>
      <c r="BF837" s="36"/>
      <c r="BG837" s="36"/>
      <c r="BH837" s="36"/>
      <c r="BI837" s="36"/>
      <c r="BJ837" s="36"/>
      <c r="BK837" s="36"/>
      <c r="BL837" s="36"/>
      <c r="BM837" s="36"/>
      <c r="BN837" s="36"/>
      <c r="BO837" s="36"/>
      <c r="BP837" s="36"/>
      <c r="BQ837" s="36"/>
      <c r="BR837" s="36"/>
      <c r="BS837" s="36"/>
      <c r="BT837" s="36"/>
      <c r="BU837" s="36"/>
      <c r="BV837" s="36"/>
      <c r="BW837" s="36"/>
      <c r="BX837" s="36"/>
      <c r="BY837" s="36"/>
      <c r="BZ837" s="36"/>
      <c r="CA837" s="36"/>
      <c r="CB837" s="36"/>
      <c r="CC837" s="36"/>
      <c r="CD837" s="36"/>
      <c r="CE837" s="36"/>
      <c r="CF837" s="36"/>
      <c r="CG837" s="36"/>
      <c r="CH837" s="36"/>
      <c r="CI837" s="36"/>
      <c r="CJ837" s="36"/>
      <c r="CK837" s="36"/>
      <c r="CL837" s="36"/>
      <c r="CM837" s="36"/>
      <c r="CN837" s="36"/>
      <c r="CO837" s="36"/>
    </row>
    <row r="838">
      <c r="A838" s="36"/>
      <c r="B838" s="47"/>
      <c r="C838" s="50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  <c r="AO838" s="36"/>
      <c r="AP838" s="36"/>
      <c r="AQ838" s="36"/>
      <c r="AR838" s="36"/>
      <c r="AS838" s="36"/>
      <c r="AT838" s="36"/>
      <c r="AU838" s="36"/>
      <c r="AV838" s="36"/>
      <c r="AW838" s="36"/>
      <c r="AX838" s="36"/>
      <c r="AY838" s="36"/>
      <c r="AZ838" s="36"/>
      <c r="BA838" s="36"/>
      <c r="BB838" s="36"/>
      <c r="BC838" s="36"/>
      <c r="BD838" s="36"/>
      <c r="BE838" s="36"/>
      <c r="BF838" s="36"/>
      <c r="BG838" s="36"/>
      <c r="BH838" s="36"/>
      <c r="BI838" s="36"/>
      <c r="BJ838" s="36"/>
      <c r="BK838" s="36"/>
      <c r="BL838" s="36"/>
      <c r="BM838" s="36"/>
      <c r="BN838" s="36"/>
      <c r="BO838" s="36"/>
      <c r="BP838" s="36"/>
      <c r="BQ838" s="36"/>
      <c r="BR838" s="36"/>
      <c r="BS838" s="36"/>
      <c r="BT838" s="36"/>
      <c r="BU838" s="36"/>
      <c r="BV838" s="36"/>
      <c r="BW838" s="36"/>
      <c r="BX838" s="36"/>
      <c r="BY838" s="36"/>
      <c r="BZ838" s="36"/>
      <c r="CA838" s="36"/>
      <c r="CB838" s="36"/>
      <c r="CC838" s="36"/>
      <c r="CD838" s="36"/>
      <c r="CE838" s="36"/>
      <c r="CF838" s="36"/>
      <c r="CG838" s="36"/>
      <c r="CH838" s="36"/>
      <c r="CI838" s="36"/>
      <c r="CJ838" s="36"/>
      <c r="CK838" s="36"/>
      <c r="CL838" s="36"/>
      <c r="CM838" s="36"/>
      <c r="CN838" s="36"/>
      <c r="CO838" s="36"/>
    </row>
    <row r="839">
      <c r="A839" s="36"/>
      <c r="B839" s="47"/>
      <c r="C839" s="50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  <c r="AO839" s="36"/>
      <c r="AP839" s="36"/>
      <c r="AQ839" s="36"/>
      <c r="AR839" s="36"/>
      <c r="AS839" s="36"/>
      <c r="AT839" s="36"/>
      <c r="AU839" s="36"/>
      <c r="AV839" s="36"/>
      <c r="AW839" s="36"/>
      <c r="AX839" s="36"/>
      <c r="AY839" s="36"/>
      <c r="AZ839" s="36"/>
      <c r="BA839" s="36"/>
      <c r="BB839" s="36"/>
      <c r="BC839" s="36"/>
      <c r="BD839" s="36"/>
      <c r="BE839" s="36"/>
      <c r="BF839" s="36"/>
      <c r="BG839" s="36"/>
      <c r="BH839" s="36"/>
      <c r="BI839" s="36"/>
      <c r="BJ839" s="36"/>
      <c r="BK839" s="36"/>
      <c r="BL839" s="36"/>
      <c r="BM839" s="36"/>
      <c r="BN839" s="36"/>
      <c r="BO839" s="36"/>
      <c r="BP839" s="36"/>
      <c r="BQ839" s="36"/>
      <c r="BR839" s="36"/>
      <c r="BS839" s="36"/>
      <c r="BT839" s="36"/>
      <c r="BU839" s="36"/>
      <c r="BV839" s="36"/>
      <c r="BW839" s="36"/>
      <c r="BX839" s="36"/>
      <c r="BY839" s="36"/>
      <c r="BZ839" s="36"/>
      <c r="CA839" s="36"/>
      <c r="CB839" s="36"/>
      <c r="CC839" s="36"/>
      <c r="CD839" s="36"/>
      <c r="CE839" s="36"/>
      <c r="CF839" s="36"/>
      <c r="CG839" s="36"/>
      <c r="CH839" s="36"/>
      <c r="CI839" s="36"/>
      <c r="CJ839" s="36"/>
      <c r="CK839" s="36"/>
      <c r="CL839" s="36"/>
      <c r="CM839" s="36"/>
      <c r="CN839" s="36"/>
      <c r="CO839" s="36"/>
    </row>
    <row r="840">
      <c r="A840" s="36"/>
      <c r="B840" s="47"/>
      <c r="C840" s="50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  <c r="AN840" s="36"/>
      <c r="AO840" s="36"/>
      <c r="AP840" s="36"/>
      <c r="AQ840" s="36"/>
      <c r="AR840" s="36"/>
      <c r="AS840" s="36"/>
      <c r="AT840" s="36"/>
      <c r="AU840" s="36"/>
      <c r="AV840" s="36"/>
      <c r="AW840" s="36"/>
      <c r="AX840" s="36"/>
      <c r="AY840" s="36"/>
      <c r="AZ840" s="36"/>
      <c r="BA840" s="36"/>
      <c r="BB840" s="36"/>
      <c r="BC840" s="36"/>
      <c r="BD840" s="36"/>
      <c r="BE840" s="36"/>
      <c r="BF840" s="36"/>
      <c r="BG840" s="36"/>
      <c r="BH840" s="36"/>
      <c r="BI840" s="36"/>
      <c r="BJ840" s="36"/>
      <c r="BK840" s="36"/>
      <c r="BL840" s="36"/>
      <c r="BM840" s="36"/>
      <c r="BN840" s="36"/>
      <c r="BO840" s="36"/>
      <c r="BP840" s="36"/>
      <c r="BQ840" s="36"/>
      <c r="BR840" s="36"/>
      <c r="BS840" s="36"/>
      <c r="BT840" s="36"/>
      <c r="BU840" s="36"/>
      <c r="BV840" s="36"/>
      <c r="BW840" s="36"/>
      <c r="BX840" s="36"/>
      <c r="BY840" s="36"/>
      <c r="BZ840" s="36"/>
      <c r="CA840" s="36"/>
      <c r="CB840" s="36"/>
      <c r="CC840" s="36"/>
      <c r="CD840" s="36"/>
      <c r="CE840" s="36"/>
      <c r="CF840" s="36"/>
      <c r="CG840" s="36"/>
      <c r="CH840" s="36"/>
      <c r="CI840" s="36"/>
      <c r="CJ840" s="36"/>
      <c r="CK840" s="36"/>
      <c r="CL840" s="36"/>
      <c r="CM840" s="36"/>
      <c r="CN840" s="36"/>
      <c r="CO840" s="36"/>
    </row>
    <row r="841">
      <c r="A841" s="36"/>
      <c r="B841" s="47"/>
      <c r="C841" s="50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  <c r="AN841" s="36"/>
      <c r="AO841" s="36"/>
      <c r="AP841" s="36"/>
      <c r="AQ841" s="36"/>
      <c r="AR841" s="36"/>
      <c r="AS841" s="36"/>
      <c r="AT841" s="36"/>
      <c r="AU841" s="36"/>
      <c r="AV841" s="36"/>
      <c r="AW841" s="36"/>
      <c r="AX841" s="36"/>
      <c r="AY841" s="36"/>
      <c r="AZ841" s="36"/>
      <c r="BA841" s="36"/>
      <c r="BB841" s="36"/>
      <c r="BC841" s="36"/>
      <c r="BD841" s="36"/>
      <c r="BE841" s="36"/>
      <c r="BF841" s="36"/>
      <c r="BG841" s="36"/>
      <c r="BH841" s="36"/>
      <c r="BI841" s="36"/>
      <c r="BJ841" s="36"/>
      <c r="BK841" s="36"/>
      <c r="BL841" s="36"/>
      <c r="BM841" s="36"/>
      <c r="BN841" s="36"/>
      <c r="BO841" s="36"/>
      <c r="BP841" s="36"/>
      <c r="BQ841" s="36"/>
      <c r="BR841" s="36"/>
      <c r="BS841" s="36"/>
      <c r="BT841" s="36"/>
      <c r="BU841" s="36"/>
      <c r="BV841" s="36"/>
      <c r="BW841" s="36"/>
      <c r="BX841" s="36"/>
      <c r="BY841" s="36"/>
      <c r="BZ841" s="36"/>
      <c r="CA841" s="36"/>
      <c r="CB841" s="36"/>
      <c r="CC841" s="36"/>
      <c r="CD841" s="36"/>
      <c r="CE841" s="36"/>
      <c r="CF841" s="36"/>
      <c r="CG841" s="36"/>
      <c r="CH841" s="36"/>
      <c r="CI841" s="36"/>
      <c r="CJ841" s="36"/>
      <c r="CK841" s="36"/>
      <c r="CL841" s="36"/>
      <c r="CM841" s="36"/>
      <c r="CN841" s="36"/>
      <c r="CO841" s="36"/>
    </row>
    <row r="842">
      <c r="A842" s="36"/>
      <c r="B842" s="47"/>
      <c r="C842" s="50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  <c r="AN842" s="36"/>
      <c r="AO842" s="36"/>
      <c r="AP842" s="36"/>
      <c r="AQ842" s="36"/>
      <c r="AR842" s="36"/>
      <c r="AS842" s="36"/>
      <c r="AT842" s="36"/>
      <c r="AU842" s="36"/>
      <c r="AV842" s="36"/>
      <c r="AW842" s="36"/>
      <c r="AX842" s="36"/>
      <c r="AY842" s="36"/>
      <c r="AZ842" s="36"/>
      <c r="BA842" s="36"/>
      <c r="BB842" s="36"/>
      <c r="BC842" s="36"/>
      <c r="BD842" s="36"/>
      <c r="BE842" s="36"/>
      <c r="BF842" s="36"/>
      <c r="BG842" s="36"/>
      <c r="BH842" s="36"/>
      <c r="BI842" s="36"/>
      <c r="BJ842" s="36"/>
      <c r="BK842" s="36"/>
      <c r="BL842" s="36"/>
      <c r="BM842" s="36"/>
      <c r="BN842" s="36"/>
      <c r="BO842" s="36"/>
      <c r="BP842" s="36"/>
      <c r="BQ842" s="36"/>
      <c r="BR842" s="36"/>
      <c r="BS842" s="36"/>
      <c r="BT842" s="36"/>
      <c r="BU842" s="36"/>
      <c r="BV842" s="36"/>
      <c r="BW842" s="36"/>
      <c r="BX842" s="36"/>
      <c r="BY842" s="36"/>
      <c r="BZ842" s="36"/>
      <c r="CA842" s="36"/>
      <c r="CB842" s="36"/>
      <c r="CC842" s="36"/>
      <c r="CD842" s="36"/>
      <c r="CE842" s="36"/>
      <c r="CF842" s="36"/>
      <c r="CG842" s="36"/>
      <c r="CH842" s="36"/>
      <c r="CI842" s="36"/>
      <c r="CJ842" s="36"/>
      <c r="CK842" s="36"/>
      <c r="CL842" s="36"/>
      <c r="CM842" s="36"/>
      <c r="CN842" s="36"/>
      <c r="CO842" s="36"/>
    </row>
    <row r="843">
      <c r="A843" s="36"/>
      <c r="B843" s="47"/>
      <c r="C843" s="50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  <c r="AN843" s="36"/>
      <c r="AO843" s="36"/>
      <c r="AP843" s="36"/>
      <c r="AQ843" s="36"/>
      <c r="AR843" s="36"/>
      <c r="AS843" s="36"/>
      <c r="AT843" s="36"/>
      <c r="AU843" s="36"/>
      <c r="AV843" s="36"/>
      <c r="AW843" s="36"/>
      <c r="AX843" s="36"/>
      <c r="AY843" s="36"/>
      <c r="AZ843" s="36"/>
      <c r="BA843" s="36"/>
      <c r="BB843" s="36"/>
      <c r="BC843" s="36"/>
      <c r="BD843" s="36"/>
      <c r="BE843" s="36"/>
      <c r="BF843" s="36"/>
      <c r="BG843" s="36"/>
      <c r="BH843" s="36"/>
      <c r="BI843" s="36"/>
      <c r="BJ843" s="36"/>
      <c r="BK843" s="36"/>
      <c r="BL843" s="36"/>
      <c r="BM843" s="36"/>
      <c r="BN843" s="36"/>
      <c r="BO843" s="36"/>
      <c r="BP843" s="36"/>
      <c r="BQ843" s="36"/>
      <c r="BR843" s="36"/>
      <c r="BS843" s="36"/>
      <c r="BT843" s="36"/>
      <c r="BU843" s="36"/>
      <c r="BV843" s="36"/>
      <c r="BW843" s="36"/>
      <c r="BX843" s="36"/>
      <c r="BY843" s="36"/>
      <c r="BZ843" s="36"/>
      <c r="CA843" s="36"/>
      <c r="CB843" s="36"/>
      <c r="CC843" s="36"/>
      <c r="CD843" s="36"/>
      <c r="CE843" s="36"/>
      <c r="CF843" s="36"/>
      <c r="CG843" s="36"/>
      <c r="CH843" s="36"/>
      <c r="CI843" s="36"/>
      <c r="CJ843" s="36"/>
      <c r="CK843" s="36"/>
      <c r="CL843" s="36"/>
      <c r="CM843" s="36"/>
      <c r="CN843" s="36"/>
      <c r="CO843" s="36"/>
    </row>
    <row r="844">
      <c r="A844" s="36"/>
      <c r="B844" s="47"/>
      <c r="C844" s="50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  <c r="AN844" s="36"/>
      <c r="AO844" s="36"/>
      <c r="AP844" s="36"/>
      <c r="AQ844" s="36"/>
      <c r="AR844" s="36"/>
      <c r="AS844" s="36"/>
      <c r="AT844" s="36"/>
      <c r="AU844" s="36"/>
      <c r="AV844" s="36"/>
      <c r="AW844" s="36"/>
      <c r="AX844" s="36"/>
      <c r="AY844" s="36"/>
      <c r="AZ844" s="36"/>
      <c r="BA844" s="36"/>
      <c r="BB844" s="36"/>
      <c r="BC844" s="36"/>
      <c r="BD844" s="36"/>
      <c r="BE844" s="36"/>
      <c r="BF844" s="36"/>
      <c r="BG844" s="36"/>
      <c r="BH844" s="36"/>
      <c r="BI844" s="36"/>
      <c r="BJ844" s="36"/>
      <c r="BK844" s="36"/>
      <c r="BL844" s="36"/>
      <c r="BM844" s="36"/>
      <c r="BN844" s="36"/>
      <c r="BO844" s="36"/>
      <c r="BP844" s="36"/>
      <c r="BQ844" s="36"/>
      <c r="BR844" s="36"/>
      <c r="BS844" s="36"/>
      <c r="BT844" s="36"/>
      <c r="BU844" s="36"/>
      <c r="BV844" s="36"/>
      <c r="BW844" s="36"/>
      <c r="BX844" s="36"/>
      <c r="BY844" s="36"/>
      <c r="BZ844" s="36"/>
      <c r="CA844" s="36"/>
      <c r="CB844" s="36"/>
      <c r="CC844" s="36"/>
      <c r="CD844" s="36"/>
      <c r="CE844" s="36"/>
      <c r="CF844" s="36"/>
      <c r="CG844" s="36"/>
      <c r="CH844" s="36"/>
      <c r="CI844" s="36"/>
      <c r="CJ844" s="36"/>
      <c r="CK844" s="36"/>
      <c r="CL844" s="36"/>
      <c r="CM844" s="36"/>
      <c r="CN844" s="36"/>
      <c r="CO844" s="36"/>
    </row>
    <row r="845">
      <c r="A845" s="36"/>
      <c r="B845" s="47"/>
      <c r="C845" s="50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  <c r="AN845" s="36"/>
      <c r="AO845" s="36"/>
      <c r="AP845" s="36"/>
      <c r="AQ845" s="36"/>
      <c r="AR845" s="36"/>
      <c r="AS845" s="36"/>
      <c r="AT845" s="36"/>
      <c r="AU845" s="36"/>
      <c r="AV845" s="36"/>
      <c r="AW845" s="36"/>
      <c r="AX845" s="36"/>
      <c r="AY845" s="36"/>
      <c r="AZ845" s="36"/>
      <c r="BA845" s="36"/>
      <c r="BB845" s="36"/>
      <c r="BC845" s="36"/>
      <c r="BD845" s="36"/>
      <c r="BE845" s="36"/>
      <c r="BF845" s="36"/>
      <c r="BG845" s="36"/>
      <c r="BH845" s="36"/>
      <c r="BI845" s="36"/>
      <c r="BJ845" s="36"/>
      <c r="BK845" s="36"/>
      <c r="BL845" s="36"/>
      <c r="BM845" s="36"/>
      <c r="BN845" s="36"/>
      <c r="BO845" s="36"/>
      <c r="BP845" s="36"/>
      <c r="BQ845" s="36"/>
      <c r="BR845" s="36"/>
      <c r="BS845" s="36"/>
      <c r="BT845" s="36"/>
      <c r="BU845" s="36"/>
      <c r="BV845" s="36"/>
      <c r="BW845" s="36"/>
      <c r="BX845" s="36"/>
      <c r="BY845" s="36"/>
      <c r="BZ845" s="36"/>
      <c r="CA845" s="36"/>
      <c r="CB845" s="36"/>
      <c r="CC845" s="36"/>
      <c r="CD845" s="36"/>
      <c r="CE845" s="36"/>
      <c r="CF845" s="36"/>
      <c r="CG845" s="36"/>
      <c r="CH845" s="36"/>
      <c r="CI845" s="36"/>
      <c r="CJ845" s="36"/>
      <c r="CK845" s="36"/>
      <c r="CL845" s="36"/>
      <c r="CM845" s="36"/>
      <c r="CN845" s="36"/>
      <c r="CO845" s="36"/>
    </row>
    <row r="846">
      <c r="A846" s="36"/>
      <c r="B846" s="47"/>
      <c r="C846" s="50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  <c r="AN846" s="36"/>
      <c r="AO846" s="36"/>
      <c r="AP846" s="36"/>
      <c r="AQ846" s="36"/>
      <c r="AR846" s="36"/>
      <c r="AS846" s="36"/>
      <c r="AT846" s="36"/>
      <c r="AU846" s="36"/>
      <c r="AV846" s="36"/>
      <c r="AW846" s="36"/>
      <c r="AX846" s="36"/>
      <c r="AY846" s="36"/>
      <c r="AZ846" s="36"/>
      <c r="BA846" s="36"/>
      <c r="BB846" s="36"/>
      <c r="BC846" s="36"/>
      <c r="BD846" s="36"/>
      <c r="BE846" s="36"/>
      <c r="BF846" s="36"/>
      <c r="BG846" s="36"/>
      <c r="BH846" s="36"/>
      <c r="BI846" s="36"/>
      <c r="BJ846" s="36"/>
      <c r="BK846" s="36"/>
      <c r="BL846" s="36"/>
      <c r="BM846" s="36"/>
      <c r="BN846" s="36"/>
      <c r="BO846" s="36"/>
      <c r="BP846" s="36"/>
      <c r="BQ846" s="36"/>
      <c r="BR846" s="36"/>
      <c r="BS846" s="36"/>
      <c r="BT846" s="36"/>
      <c r="BU846" s="36"/>
      <c r="BV846" s="36"/>
      <c r="BW846" s="36"/>
      <c r="BX846" s="36"/>
      <c r="BY846" s="36"/>
      <c r="BZ846" s="36"/>
      <c r="CA846" s="36"/>
      <c r="CB846" s="36"/>
      <c r="CC846" s="36"/>
      <c r="CD846" s="36"/>
      <c r="CE846" s="36"/>
      <c r="CF846" s="36"/>
      <c r="CG846" s="36"/>
      <c r="CH846" s="36"/>
      <c r="CI846" s="36"/>
      <c r="CJ846" s="36"/>
      <c r="CK846" s="36"/>
      <c r="CL846" s="36"/>
      <c r="CM846" s="36"/>
      <c r="CN846" s="36"/>
      <c r="CO846" s="36"/>
    </row>
    <row r="847">
      <c r="A847" s="36"/>
      <c r="B847" s="47"/>
      <c r="C847" s="50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  <c r="AL847" s="36"/>
      <c r="AM847" s="36"/>
      <c r="AN847" s="36"/>
      <c r="AO847" s="36"/>
      <c r="AP847" s="36"/>
      <c r="AQ847" s="36"/>
      <c r="AR847" s="36"/>
      <c r="AS847" s="36"/>
      <c r="AT847" s="36"/>
      <c r="AU847" s="36"/>
      <c r="AV847" s="36"/>
      <c r="AW847" s="36"/>
      <c r="AX847" s="36"/>
      <c r="AY847" s="36"/>
      <c r="AZ847" s="36"/>
      <c r="BA847" s="36"/>
      <c r="BB847" s="36"/>
      <c r="BC847" s="36"/>
      <c r="BD847" s="36"/>
      <c r="BE847" s="36"/>
      <c r="BF847" s="36"/>
      <c r="BG847" s="36"/>
      <c r="BH847" s="36"/>
      <c r="BI847" s="36"/>
      <c r="BJ847" s="36"/>
      <c r="BK847" s="36"/>
      <c r="BL847" s="36"/>
      <c r="BM847" s="36"/>
      <c r="BN847" s="36"/>
      <c r="BO847" s="36"/>
      <c r="BP847" s="36"/>
      <c r="BQ847" s="36"/>
      <c r="BR847" s="36"/>
      <c r="BS847" s="36"/>
      <c r="BT847" s="36"/>
      <c r="BU847" s="36"/>
      <c r="BV847" s="36"/>
      <c r="BW847" s="36"/>
      <c r="BX847" s="36"/>
      <c r="BY847" s="36"/>
      <c r="BZ847" s="36"/>
      <c r="CA847" s="36"/>
      <c r="CB847" s="36"/>
      <c r="CC847" s="36"/>
      <c r="CD847" s="36"/>
      <c r="CE847" s="36"/>
      <c r="CF847" s="36"/>
      <c r="CG847" s="36"/>
      <c r="CH847" s="36"/>
      <c r="CI847" s="36"/>
      <c r="CJ847" s="36"/>
      <c r="CK847" s="36"/>
      <c r="CL847" s="36"/>
      <c r="CM847" s="36"/>
      <c r="CN847" s="36"/>
      <c r="CO847" s="36"/>
    </row>
    <row r="848">
      <c r="A848" s="36"/>
      <c r="B848" s="47"/>
      <c r="C848" s="50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  <c r="AL848" s="36"/>
      <c r="AM848" s="36"/>
      <c r="AN848" s="36"/>
      <c r="AO848" s="36"/>
      <c r="AP848" s="36"/>
      <c r="AQ848" s="36"/>
      <c r="AR848" s="36"/>
      <c r="AS848" s="36"/>
      <c r="AT848" s="36"/>
      <c r="AU848" s="36"/>
      <c r="AV848" s="36"/>
      <c r="AW848" s="36"/>
      <c r="AX848" s="36"/>
      <c r="AY848" s="36"/>
      <c r="AZ848" s="36"/>
      <c r="BA848" s="36"/>
      <c r="BB848" s="36"/>
      <c r="BC848" s="36"/>
      <c r="BD848" s="36"/>
      <c r="BE848" s="36"/>
      <c r="BF848" s="36"/>
      <c r="BG848" s="36"/>
      <c r="BH848" s="36"/>
      <c r="BI848" s="36"/>
      <c r="BJ848" s="36"/>
      <c r="BK848" s="36"/>
      <c r="BL848" s="36"/>
      <c r="BM848" s="36"/>
      <c r="BN848" s="36"/>
      <c r="BO848" s="36"/>
      <c r="BP848" s="36"/>
      <c r="BQ848" s="36"/>
      <c r="BR848" s="36"/>
      <c r="BS848" s="36"/>
      <c r="BT848" s="36"/>
      <c r="BU848" s="36"/>
      <c r="BV848" s="36"/>
      <c r="BW848" s="36"/>
      <c r="BX848" s="36"/>
      <c r="BY848" s="36"/>
      <c r="BZ848" s="36"/>
      <c r="CA848" s="36"/>
      <c r="CB848" s="36"/>
      <c r="CC848" s="36"/>
      <c r="CD848" s="36"/>
      <c r="CE848" s="36"/>
      <c r="CF848" s="36"/>
      <c r="CG848" s="36"/>
      <c r="CH848" s="36"/>
      <c r="CI848" s="36"/>
      <c r="CJ848" s="36"/>
      <c r="CK848" s="36"/>
      <c r="CL848" s="36"/>
      <c r="CM848" s="36"/>
      <c r="CN848" s="36"/>
      <c r="CO848" s="36"/>
    </row>
    <row r="849">
      <c r="A849" s="36"/>
      <c r="B849" s="47"/>
      <c r="C849" s="50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  <c r="AL849" s="36"/>
      <c r="AM849" s="36"/>
      <c r="AN849" s="36"/>
      <c r="AO849" s="36"/>
      <c r="AP849" s="36"/>
      <c r="AQ849" s="36"/>
      <c r="AR849" s="36"/>
      <c r="AS849" s="36"/>
      <c r="AT849" s="36"/>
      <c r="AU849" s="36"/>
      <c r="AV849" s="36"/>
      <c r="AW849" s="36"/>
      <c r="AX849" s="36"/>
      <c r="AY849" s="36"/>
      <c r="AZ849" s="36"/>
      <c r="BA849" s="36"/>
      <c r="BB849" s="36"/>
      <c r="BC849" s="36"/>
      <c r="BD849" s="36"/>
      <c r="BE849" s="36"/>
      <c r="BF849" s="36"/>
      <c r="BG849" s="36"/>
      <c r="BH849" s="36"/>
      <c r="BI849" s="36"/>
      <c r="BJ849" s="36"/>
      <c r="BK849" s="36"/>
      <c r="BL849" s="36"/>
      <c r="BM849" s="36"/>
      <c r="BN849" s="36"/>
      <c r="BO849" s="36"/>
      <c r="BP849" s="36"/>
      <c r="BQ849" s="36"/>
      <c r="BR849" s="36"/>
      <c r="BS849" s="36"/>
      <c r="BT849" s="36"/>
      <c r="BU849" s="36"/>
      <c r="BV849" s="36"/>
      <c r="BW849" s="36"/>
      <c r="BX849" s="36"/>
      <c r="BY849" s="36"/>
      <c r="BZ849" s="36"/>
      <c r="CA849" s="36"/>
      <c r="CB849" s="36"/>
      <c r="CC849" s="36"/>
      <c r="CD849" s="36"/>
      <c r="CE849" s="36"/>
      <c r="CF849" s="36"/>
      <c r="CG849" s="36"/>
      <c r="CH849" s="36"/>
      <c r="CI849" s="36"/>
      <c r="CJ849" s="36"/>
      <c r="CK849" s="36"/>
      <c r="CL849" s="36"/>
      <c r="CM849" s="36"/>
      <c r="CN849" s="36"/>
      <c r="CO849" s="36"/>
    </row>
    <row r="850">
      <c r="A850" s="36"/>
      <c r="B850" s="47"/>
      <c r="C850" s="50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  <c r="AL850" s="36"/>
      <c r="AM850" s="36"/>
      <c r="AN850" s="36"/>
      <c r="AO850" s="36"/>
      <c r="AP850" s="36"/>
      <c r="AQ850" s="36"/>
      <c r="AR850" s="36"/>
      <c r="AS850" s="36"/>
      <c r="AT850" s="36"/>
      <c r="AU850" s="36"/>
      <c r="AV850" s="36"/>
      <c r="AW850" s="36"/>
      <c r="AX850" s="36"/>
      <c r="AY850" s="36"/>
      <c r="AZ850" s="36"/>
      <c r="BA850" s="36"/>
      <c r="BB850" s="36"/>
      <c r="BC850" s="36"/>
      <c r="BD850" s="36"/>
      <c r="BE850" s="36"/>
      <c r="BF850" s="36"/>
      <c r="BG850" s="36"/>
      <c r="BH850" s="36"/>
      <c r="BI850" s="36"/>
      <c r="BJ850" s="36"/>
      <c r="BK850" s="36"/>
      <c r="BL850" s="36"/>
      <c r="BM850" s="36"/>
      <c r="BN850" s="36"/>
      <c r="BO850" s="36"/>
      <c r="BP850" s="36"/>
      <c r="BQ850" s="36"/>
      <c r="BR850" s="36"/>
      <c r="BS850" s="36"/>
      <c r="BT850" s="36"/>
      <c r="BU850" s="36"/>
      <c r="BV850" s="36"/>
      <c r="BW850" s="36"/>
      <c r="BX850" s="36"/>
      <c r="BY850" s="36"/>
      <c r="BZ850" s="36"/>
      <c r="CA850" s="36"/>
      <c r="CB850" s="36"/>
      <c r="CC850" s="36"/>
      <c r="CD850" s="36"/>
      <c r="CE850" s="36"/>
      <c r="CF850" s="36"/>
      <c r="CG850" s="36"/>
      <c r="CH850" s="36"/>
      <c r="CI850" s="36"/>
      <c r="CJ850" s="36"/>
      <c r="CK850" s="36"/>
      <c r="CL850" s="36"/>
      <c r="CM850" s="36"/>
      <c r="CN850" s="36"/>
      <c r="CO850" s="36"/>
    </row>
    <row r="851">
      <c r="A851" s="36"/>
      <c r="B851" s="47"/>
      <c r="C851" s="50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  <c r="AL851" s="36"/>
      <c r="AM851" s="36"/>
      <c r="AN851" s="36"/>
      <c r="AO851" s="36"/>
      <c r="AP851" s="36"/>
      <c r="AQ851" s="36"/>
      <c r="AR851" s="36"/>
      <c r="AS851" s="36"/>
      <c r="AT851" s="36"/>
      <c r="AU851" s="36"/>
      <c r="AV851" s="36"/>
      <c r="AW851" s="36"/>
      <c r="AX851" s="36"/>
      <c r="AY851" s="36"/>
      <c r="AZ851" s="36"/>
      <c r="BA851" s="36"/>
      <c r="BB851" s="36"/>
      <c r="BC851" s="36"/>
      <c r="BD851" s="36"/>
      <c r="BE851" s="36"/>
      <c r="BF851" s="36"/>
      <c r="BG851" s="36"/>
      <c r="BH851" s="36"/>
      <c r="BI851" s="36"/>
      <c r="BJ851" s="36"/>
      <c r="BK851" s="36"/>
      <c r="BL851" s="36"/>
      <c r="BM851" s="36"/>
      <c r="BN851" s="36"/>
      <c r="BO851" s="36"/>
      <c r="BP851" s="36"/>
      <c r="BQ851" s="36"/>
      <c r="BR851" s="36"/>
      <c r="BS851" s="36"/>
      <c r="BT851" s="36"/>
      <c r="BU851" s="36"/>
      <c r="BV851" s="36"/>
      <c r="BW851" s="36"/>
      <c r="BX851" s="36"/>
      <c r="BY851" s="36"/>
      <c r="BZ851" s="36"/>
      <c r="CA851" s="36"/>
      <c r="CB851" s="36"/>
      <c r="CC851" s="36"/>
      <c r="CD851" s="36"/>
      <c r="CE851" s="36"/>
      <c r="CF851" s="36"/>
      <c r="CG851" s="36"/>
      <c r="CH851" s="36"/>
      <c r="CI851" s="36"/>
      <c r="CJ851" s="36"/>
      <c r="CK851" s="36"/>
      <c r="CL851" s="36"/>
      <c r="CM851" s="36"/>
      <c r="CN851" s="36"/>
      <c r="CO851" s="36"/>
    </row>
    <row r="852">
      <c r="A852" s="36"/>
      <c r="B852" s="47"/>
      <c r="C852" s="50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  <c r="AL852" s="36"/>
      <c r="AM852" s="36"/>
      <c r="AN852" s="36"/>
      <c r="AO852" s="36"/>
      <c r="AP852" s="36"/>
      <c r="AQ852" s="36"/>
      <c r="AR852" s="36"/>
      <c r="AS852" s="36"/>
      <c r="AT852" s="36"/>
      <c r="AU852" s="36"/>
      <c r="AV852" s="36"/>
      <c r="AW852" s="36"/>
      <c r="AX852" s="36"/>
      <c r="AY852" s="36"/>
      <c r="AZ852" s="36"/>
      <c r="BA852" s="36"/>
      <c r="BB852" s="36"/>
      <c r="BC852" s="36"/>
      <c r="BD852" s="36"/>
      <c r="BE852" s="36"/>
      <c r="BF852" s="36"/>
      <c r="BG852" s="36"/>
      <c r="BH852" s="36"/>
      <c r="BI852" s="36"/>
      <c r="BJ852" s="36"/>
      <c r="BK852" s="36"/>
      <c r="BL852" s="36"/>
      <c r="BM852" s="36"/>
      <c r="BN852" s="36"/>
      <c r="BO852" s="36"/>
      <c r="BP852" s="36"/>
      <c r="BQ852" s="36"/>
      <c r="BR852" s="36"/>
      <c r="BS852" s="36"/>
      <c r="BT852" s="36"/>
      <c r="BU852" s="36"/>
      <c r="BV852" s="36"/>
      <c r="BW852" s="36"/>
      <c r="BX852" s="36"/>
      <c r="BY852" s="36"/>
      <c r="BZ852" s="36"/>
      <c r="CA852" s="36"/>
      <c r="CB852" s="36"/>
      <c r="CC852" s="36"/>
      <c r="CD852" s="36"/>
      <c r="CE852" s="36"/>
      <c r="CF852" s="36"/>
      <c r="CG852" s="36"/>
      <c r="CH852" s="36"/>
      <c r="CI852" s="36"/>
      <c r="CJ852" s="36"/>
      <c r="CK852" s="36"/>
      <c r="CL852" s="36"/>
      <c r="CM852" s="36"/>
      <c r="CN852" s="36"/>
      <c r="CO852" s="36"/>
    </row>
    <row r="853">
      <c r="A853" s="36"/>
      <c r="B853" s="47"/>
      <c r="C853" s="50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  <c r="AL853" s="36"/>
      <c r="AM853" s="36"/>
      <c r="AN853" s="36"/>
      <c r="AO853" s="36"/>
      <c r="AP853" s="36"/>
      <c r="AQ853" s="36"/>
      <c r="AR853" s="36"/>
      <c r="AS853" s="36"/>
      <c r="AT853" s="36"/>
      <c r="AU853" s="36"/>
      <c r="AV853" s="36"/>
      <c r="AW853" s="36"/>
      <c r="AX853" s="36"/>
      <c r="AY853" s="36"/>
      <c r="AZ853" s="36"/>
      <c r="BA853" s="36"/>
      <c r="BB853" s="36"/>
      <c r="BC853" s="36"/>
      <c r="BD853" s="36"/>
      <c r="BE853" s="36"/>
      <c r="BF853" s="36"/>
      <c r="BG853" s="36"/>
      <c r="BH853" s="36"/>
      <c r="BI853" s="36"/>
      <c r="BJ853" s="36"/>
      <c r="BK853" s="36"/>
      <c r="BL853" s="36"/>
      <c r="BM853" s="36"/>
      <c r="BN853" s="36"/>
      <c r="BO853" s="36"/>
      <c r="BP853" s="36"/>
      <c r="BQ853" s="36"/>
      <c r="BR853" s="36"/>
      <c r="BS853" s="36"/>
      <c r="BT853" s="36"/>
      <c r="BU853" s="36"/>
      <c r="BV853" s="36"/>
      <c r="BW853" s="36"/>
      <c r="BX853" s="36"/>
      <c r="BY853" s="36"/>
      <c r="BZ853" s="36"/>
      <c r="CA853" s="36"/>
      <c r="CB853" s="36"/>
      <c r="CC853" s="36"/>
      <c r="CD853" s="36"/>
      <c r="CE853" s="36"/>
      <c r="CF853" s="36"/>
      <c r="CG853" s="36"/>
      <c r="CH853" s="36"/>
      <c r="CI853" s="36"/>
      <c r="CJ853" s="36"/>
      <c r="CK853" s="36"/>
      <c r="CL853" s="36"/>
      <c r="CM853" s="36"/>
      <c r="CN853" s="36"/>
      <c r="CO853" s="36"/>
    </row>
    <row r="854">
      <c r="A854" s="36"/>
      <c r="B854" s="47"/>
      <c r="C854" s="50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  <c r="AL854" s="36"/>
      <c r="AM854" s="36"/>
      <c r="AN854" s="36"/>
      <c r="AO854" s="36"/>
      <c r="AP854" s="36"/>
      <c r="AQ854" s="36"/>
      <c r="AR854" s="36"/>
      <c r="AS854" s="36"/>
      <c r="AT854" s="36"/>
      <c r="AU854" s="36"/>
      <c r="AV854" s="36"/>
      <c r="AW854" s="36"/>
      <c r="AX854" s="36"/>
      <c r="AY854" s="36"/>
      <c r="AZ854" s="36"/>
      <c r="BA854" s="36"/>
      <c r="BB854" s="36"/>
      <c r="BC854" s="36"/>
      <c r="BD854" s="36"/>
      <c r="BE854" s="36"/>
      <c r="BF854" s="36"/>
      <c r="BG854" s="36"/>
      <c r="BH854" s="36"/>
      <c r="BI854" s="36"/>
      <c r="BJ854" s="36"/>
      <c r="BK854" s="36"/>
      <c r="BL854" s="36"/>
      <c r="BM854" s="36"/>
      <c r="BN854" s="36"/>
      <c r="BO854" s="36"/>
      <c r="BP854" s="36"/>
      <c r="BQ854" s="36"/>
      <c r="BR854" s="36"/>
      <c r="BS854" s="36"/>
      <c r="BT854" s="36"/>
      <c r="BU854" s="36"/>
      <c r="BV854" s="36"/>
      <c r="BW854" s="36"/>
      <c r="BX854" s="36"/>
      <c r="BY854" s="36"/>
      <c r="BZ854" s="36"/>
      <c r="CA854" s="36"/>
      <c r="CB854" s="36"/>
      <c r="CC854" s="36"/>
      <c r="CD854" s="36"/>
      <c r="CE854" s="36"/>
      <c r="CF854" s="36"/>
      <c r="CG854" s="36"/>
      <c r="CH854" s="36"/>
      <c r="CI854" s="36"/>
      <c r="CJ854" s="36"/>
      <c r="CK854" s="36"/>
      <c r="CL854" s="36"/>
      <c r="CM854" s="36"/>
      <c r="CN854" s="36"/>
      <c r="CO854" s="36"/>
    </row>
    <row r="855">
      <c r="A855" s="36"/>
      <c r="B855" s="47"/>
      <c r="C855" s="50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  <c r="AL855" s="36"/>
      <c r="AM855" s="36"/>
      <c r="AN855" s="36"/>
      <c r="AO855" s="36"/>
      <c r="AP855" s="36"/>
      <c r="AQ855" s="36"/>
      <c r="AR855" s="36"/>
      <c r="AS855" s="36"/>
      <c r="AT855" s="36"/>
      <c r="AU855" s="36"/>
      <c r="AV855" s="36"/>
      <c r="AW855" s="36"/>
      <c r="AX855" s="36"/>
      <c r="AY855" s="36"/>
      <c r="AZ855" s="36"/>
      <c r="BA855" s="36"/>
      <c r="BB855" s="36"/>
      <c r="BC855" s="36"/>
      <c r="BD855" s="36"/>
      <c r="BE855" s="36"/>
      <c r="BF855" s="36"/>
      <c r="BG855" s="36"/>
      <c r="BH855" s="36"/>
      <c r="BI855" s="36"/>
      <c r="BJ855" s="36"/>
      <c r="BK855" s="36"/>
      <c r="BL855" s="36"/>
      <c r="BM855" s="36"/>
      <c r="BN855" s="36"/>
      <c r="BO855" s="36"/>
      <c r="BP855" s="36"/>
      <c r="BQ855" s="36"/>
      <c r="BR855" s="36"/>
      <c r="BS855" s="36"/>
      <c r="BT855" s="36"/>
      <c r="BU855" s="36"/>
      <c r="BV855" s="36"/>
      <c r="BW855" s="36"/>
      <c r="BX855" s="36"/>
      <c r="BY855" s="36"/>
      <c r="BZ855" s="36"/>
      <c r="CA855" s="36"/>
      <c r="CB855" s="36"/>
      <c r="CC855" s="36"/>
      <c r="CD855" s="36"/>
      <c r="CE855" s="36"/>
      <c r="CF855" s="36"/>
      <c r="CG855" s="36"/>
      <c r="CH855" s="36"/>
      <c r="CI855" s="36"/>
      <c r="CJ855" s="36"/>
      <c r="CK855" s="36"/>
      <c r="CL855" s="36"/>
      <c r="CM855" s="36"/>
      <c r="CN855" s="36"/>
      <c r="CO855" s="36"/>
    </row>
    <row r="856">
      <c r="A856" s="36"/>
      <c r="B856" s="47"/>
      <c r="C856" s="50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  <c r="AL856" s="36"/>
      <c r="AM856" s="36"/>
      <c r="AN856" s="36"/>
      <c r="AO856" s="36"/>
      <c r="AP856" s="36"/>
      <c r="AQ856" s="36"/>
      <c r="AR856" s="36"/>
      <c r="AS856" s="36"/>
      <c r="AT856" s="36"/>
      <c r="AU856" s="36"/>
      <c r="AV856" s="36"/>
      <c r="AW856" s="36"/>
      <c r="AX856" s="36"/>
      <c r="AY856" s="36"/>
      <c r="AZ856" s="36"/>
      <c r="BA856" s="36"/>
      <c r="BB856" s="36"/>
      <c r="BC856" s="36"/>
      <c r="BD856" s="36"/>
      <c r="BE856" s="36"/>
      <c r="BF856" s="36"/>
      <c r="BG856" s="36"/>
      <c r="BH856" s="36"/>
      <c r="BI856" s="36"/>
      <c r="BJ856" s="36"/>
      <c r="BK856" s="36"/>
      <c r="BL856" s="36"/>
      <c r="BM856" s="36"/>
      <c r="BN856" s="36"/>
      <c r="BO856" s="36"/>
      <c r="BP856" s="36"/>
      <c r="BQ856" s="36"/>
      <c r="BR856" s="36"/>
      <c r="BS856" s="36"/>
      <c r="BT856" s="36"/>
      <c r="BU856" s="36"/>
      <c r="BV856" s="36"/>
      <c r="BW856" s="36"/>
      <c r="BX856" s="36"/>
      <c r="BY856" s="36"/>
      <c r="BZ856" s="36"/>
      <c r="CA856" s="36"/>
      <c r="CB856" s="36"/>
      <c r="CC856" s="36"/>
      <c r="CD856" s="36"/>
      <c r="CE856" s="36"/>
      <c r="CF856" s="36"/>
      <c r="CG856" s="36"/>
      <c r="CH856" s="36"/>
      <c r="CI856" s="36"/>
      <c r="CJ856" s="36"/>
      <c r="CK856" s="36"/>
      <c r="CL856" s="36"/>
      <c r="CM856" s="36"/>
      <c r="CN856" s="36"/>
      <c r="CO856" s="36"/>
    </row>
    <row r="857">
      <c r="A857" s="36"/>
      <c r="B857" s="47"/>
      <c r="C857" s="50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  <c r="AL857" s="36"/>
      <c r="AM857" s="36"/>
      <c r="AN857" s="36"/>
      <c r="AO857" s="36"/>
      <c r="AP857" s="36"/>
      <c r="AQ857" s="36"/>
      <c r="AR857" s="36"/>
      <c r="AS857" s="36"/>
      <c r="AT857" s="36"/>
      <c r="AU857" s="36"/>
      <c r="AV857" s="36"/>
      <c r="AW857" s="36"/>
      <c r="AX857" s="36"/>
      <c r="AY857" s="36"/>
      <c r="AZ857" s="36"/>
      <c r="BA857" s="36"/>
      <c r="BB857" s="36"/>
      <c r="BC857" s="36"/>
      <c r="BD857" s="36"/>
      <c r="BE857" s="36"/>
      <c r="BF857" s="36"/>
      <c r="BG857" s="36"/>
      <c r="BH857" s="36"/>
      <c r="BI857" s="36"/>
      <c r="BJ857" s="36"/>
      <c r="BK857" s="36"/>
      <c r="BL857" s="36"/>
      <c r="BM857" s="36"/>
      <c r="BN857" s="36"/>
      <c r="BO857" s="36"/>
      <c r="BP857" s="36"/>
      <c r="BQ857" s="36"/>
      <c r="BR857" s="36"/>
      <c r="BS857" s="36"/>
      <c r="BT857" s="36"/>
      <c r="BU857" s="36"/>
      <c r="BV857" s="36"/>
      <c r="BW857" s="36"/>
      <c r="BX857" s="36"/>
      <c r="BY857" s="36"/>
      <c r="BZ857" s="36"/>
      <c r="CA857" s="36"/>
      <c r="CB857" s="36"/>
      <c r="CC857" s="36"/>
      <c r="CD857" s="36"/>
      <c r="CE857" s="36"/>
      <c r="CF857" s="36"/>
      <c r="CG857" s="36"/>
      <c r="CH857" s="36"/>
      <c r="CI857" s="36"/>
      <c r="CJ857" s="36"/>
      <c r="CK857" s="36"/>
      <c r="CL857" s="36"/>
      <c r="CM857" s="36"/>
      <c r="CN857" s="36"/>
      <c r="CO857" s="36"/>
    </row>
    <row r="858">
      <c r="A858" s="36"/>
      <c r="B858" s="47"/>
      <c r="C858" s="50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  <c r="AL858" s="36"/>
      <c r="AM858" s="36"/>
      <c r="AN858" s="36"/>
      <c r="AO858" s="36"/>
      <c r="AP858" s="36"/>
      <c r="AQ858" s="36"/>
      <c r="AR858" s="36"/>
      <c r="AS858" s="36"/>
      <c r="AT858" s="36"/>
      <c r="AU858" s="36"/>
      <c r="AV858" s="36"/>
      <c r="AW858" s="36"/>
      <c r="AX858" s="36"/>
      <c r="AY858" s="36"/>
      <c r="AZ858" s="36"/>
      <c r="BA858" s="36"/>
      <c r="BB858" s="36"/>
      <c r="BC858" s="36"/>
      <c r="BD858" s="36"/>
      <c r="BE858" s="36"/>
      <c r="BF858" s="36"/>
      <c r="BG858" s="36"/>
      <c r="BH858" s="36"/>
      <c r="BI858" s="36"/>
      <c r="BJ858" s="36"/>
      <c r="BK858" s="36"/>
      <c r="BL858" s="36"/>
      <c r="BM858" s="36"/>
      <c r="BN858" s="36"/>
      <c r="BO858" s="36"/>
      <c r="BP858" s="36"/>
      <c r="BQ858" s="36"/>
      <c r="BR858" s="36"/>
      <c r="BS858" s="36"/>
      <c r="BT858" s="36"/>
      <c r="BU858" s="36"/>
      <c r="BV858" s="36"/>
      <c r="BW858" s="36"/>
      <c r="BX858" s="36"/>
      <c r="BY858" s="36"/>
      <c r="BZ858" s="36"/>
      <c r="CA858" s="36"/>
      <c r="CB858" s="36"/>
      <c r="CC858" s="36"/>
      <c r="CD858" s="36"/>
      <c r="CE858" s="36"/>
      <c r="CF858" s="36"/>
      <c r="CG858" s="36"/>
      <c r="CH858" s="36"/>
      <c r="CI858" s="36"/>
      <c r="CJ858" s="36"/>
      <c r="CK858" s="36"/>
      <c r="CL858" s="36"/>
      <c r="CM858" s="36"/>
      <c r="CN858" s="36"/>
      <c r="CO858" s="36"/>
    </row>
    <row r="859">
      <c r="A859" s="36"/>
      <c r="B859" s="47"/>
      <c r="C859" s="50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  <c r="AL859" s="36"/>
      <c r="AM859" s="36"/>
      <c r="AN859" s="36"/>
      <c r="AO859" s="36"/>
      <c r="AP859" s="36"/>
      <c r="AQ859" s="36"/>
      <c r="AR859" s="36"/>
      <c r="AS859" s="36"/>
      <c r="AT859" s="36"/>
      <c r="AU859" s="36"/>
      <c r="AV859" s="36"/>
      <c r="AW859" s="36"/>
      <c r="AX859" s="36"/>
      <c r="AY859" s="36"/>
      <c r="AZ859" s="36"/>
      <c r="BA859" s="36"/>
      <c r="BB859" s="36"/>
      <c r="BC859" s="36"/>
      <c r="BD859" s="36"/>
      <c r="BE859" s="36"/>
      <c r="BF859" s="36"/>
      <c r="BG859" s="36"/>
      <c r="BH859" s="36"/>
      <c r="BI859" s="36"/>
      <c r="BJ859" s="36"/>
      <c r="BK859" s="36"/>
      <c r="BL859" s="36"/>
      <c r="BM859" s="36"/>
      <c r="BN859" s="36"/>
      <c r="BO859" s="36"/>
      <c r="BP859" s="36"/>
      <c r="BQ859" s="36"/>
      <c r="BR859" s="36"/>
      <c r="BS859" s="36"/>
      <c r="BT859" s="36"/>
      <c r="BU859" s="36"/>
      <c r="BV859" s="36"/>
      <c r="BW859" s="36"/>
      <c r="BX859" s="36"/>
      <c r="BY859" s="36"/>
      <c r="BZ859" s="36"/>
      <c r="CA859" s="36"/>
      <c r="CB859" s="36"/>
      <c r="CC859" s="36"/>
      <c r="CD859" s="36"/>
      <c r="CE859" s="36"/>
      <c r="CF859" s="36"/>
      <c r="CG859" s="36"/>
      <c r="CH859" s="36"/>
      <c r="CI859" s="36"/>
      <c r="CJ859" s="36"/>
      <c r="CK859" s="36"/>
      <c r="CL859" s="36"/>
      <c r="CM859" s="36"/>
      <c r="CN859" s="36"/>
      <c r="CO859" s="36"/>
    </row>
    <row r="860">
      <c r="A860" s="36"/>
      <c r="B860" s="47"/>
      <c r="C860" s="50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  <c r="AL860" s="36"/>
      <c r="AM860" s="36"/>
      <c r="AN860" s="36"/>
      <c r="AO860" s="36"/>
      <c r="AP860" s="36"/>
      <c r="AQ860" s="36"/>
      <c r="AR860" s="36"/>
      <c r="AS860" s="36"/>
      <c r="AT860" s="36"/>
      <c r="AU860" s="36"/>
      <c r="AV860" s="36"/>
      <c r="AW860" s="36"/>
      <c r="AX860" s="36"/>
      <c r="AY860" s="36"/>
      <c r="AZ860" s="36"/>
      <c r="BA860" s="36"/>
      <c r="BB860" s="36"/>
      <c r="BC860" s="36"/>
      <c r="BD860" s="36"/>
      <c r="BE860" s="36"/>
      <c r="BF860" s="36"/>
      <c r="BG860" s="36"/>
      <c r="BH860" s="36"/>
      <c r="BI860" s="36"/>
      <c r="BJ860" s="36"/>
      <c r="BK860" s="36"/>
      <c r="BL860" s="36"/>
      <c r="BM860" s="36"/>
      <c r="BN860" s="36"/>
      <c r="BO860" s="36"/>
      <c r="BP860" s="36"/>
      <c r="BQ860" s="36"/>
      <c r="BR860" s="36"/>
      <c r="BS860" s="36"/>
      <c r="BT860" s="36"/>
      <c r="BU860" s="36"/>
      <c r="BV860" s="36"/>
      <c r="BW860" s="36"/>
      <c r="BX860" s="36"/>
      <c r="BY860" s="36"/>
      <c r="BZ860" s="36"/>
      <c r="CA860" s="36"/>
      <c r="CB860" s="36"/>
      <c r="CC860" s="36"/>
      <c r="CD860" s="36"/>
      <c r="CE860" s="36"/>
      <c r="CF860" s="36"/>
      <c r="CG860" s="36"/>
      <c r="CH860" s="36"/>
      <c r="CI860" s="36"/>
      <c r="CJ860" s="36"/>
      <c r="CK860" s="36"/>
      <c r="CL860" s="36"/>
      <c r="CM860" s="36"/>
      <c r="CN860" s="36"/>
      <c r="CO860" s="36"/>
    </row>
    <row r="861">
      <c r="A861" s="36"/>
      <c r="B861" s="47"/>
      <c r="C861" s="50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  <c r="AL861" s="36"/>
      <c r="AM861" s="36"/>
      <c r="AN861" s="36"/>
      <c r="AO861" s="36"/>
      <c r="AP861" s="36"/>
      <c r="AQ861" s="36"/>
      <c r="AR861" s="36"/>
      <c r="AS861" s="36"/>
      <c r="AT861" s="36"/>
      <c r="AU861" s="36"/>
      <c r="AV861" s="36"/>
      <c r="AW861" s="36"/>
      <c r="AX861" s="36"/>
      <c r="AY861" s="36"/>
      <c r="AZ861" s="36"/>
      <c r="BA861" s="36"/>
      <c r="BB861" s="36"/>
      <c r="BC861" s="36"/>
      <c r="BD861" s="36"/>
      <c r="BE861" s="36"/>
      <c r="BF861" s="36"/>
      <c r="BG861" s="36"/>
      <c r="BH861" s="36"/>
      <c r="BI861" s="36"/>
      <c r="BJ861" s="36"/>
      <c r="BK861" s="36"/>
      <c r="BL861" s="36"/>
      <c r="BM861" s="36"/>
      <c r="BN861" s="36"/>
      <c r="BO861" s="36"/>
      <c r="BP861" s="36"/>
      <c r="BQ861" s="36"/>
      <c r="BR861" s="36"/>
      <c r="BS861" s="36"/>
      <c r="BT861" s="36"/>
      <c r="BU861" s="36"/>
      <c r="BV861" s="36"/>
      <c r="BW861" s="36"/>
      <c r="BX861" s="36"/>
      <c r="BY861" s="36"/>
      <c r="BZ861" s="36"/>
      <c r="CA861" s="36"/>
      <c r="CB861" s="36"/>
      <c r="CC861" s="36"/>
      <c r="CD861" s="36"/>
      <c r="CE861" s="36"/>
      <c r="CF861" s="36"/>
      <c r="CG861" s="36"/>
      <c r="CH861" s="36"/>
      <c r="CI861" s="36"/>
      <c r="CJ861" s="36"/>
      <c r="CK861" s="36"/>
      <c r="CL861" s="36"/>
      <c r="CM861" s="36"/>
      <c r="CN861" s="36"/>
      <c r="CO861" s="36"/>
    </row>
    <row r="862">
      <c r="A862" s="36"/>
      <c r="B862" s="47"/>
      <c r="C862" s="50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  <c r="AL862" s="36"/>
      <c r="AM862" s="36"/>
      <c r="AN862" s="36"/>
      <c r="AO862" s="36"/>
      <c r="AP862" s="36"/>
      <c r="AQ862" s="36"/>
      <c r="AR862" s="36"/>
      <c r="AS862" s="36"/>
      <c r="AT862" s="36"/>
      <c r="AU862" s="36"/>
      <c r="AV862" s="36"/>
      <c r="AW862" s="36"/>
      <c r="AX862" s="36"/>
      <c r="AY862" s="36"/>
      <c r="AZ862" s="36"/>
      <c r="BA862" s="36"/>
      <c r="BB862" s="36"/>
      <c r="BC862" s="36"/>
      <c r="BD862" s="36"/>
      <c r="BE862" s="36"/>
      <c r="BF862" s="36"/>
      <c r="BG862" s="36"/>
      <c r="BH862" s="36"/>
      <c r="BI862" s="36"/>
      <c r="BJ862" s="36"/>
      <c r="BK862" s="36"/>
      <c r="BL862" s="36"/>
      <c r="BM862" s="36"/>
      <c r="BN862" s="36"/>
      <c r="BO862" s="36"/>
      <c r="BP862" s="36"/>
      <c r="BQ862" s="36"/>
      <c r="BR862" s="36"/>
      <c r="BS862" s="36"/>
      <c r="BT862" s="36"/>
      <c r="BU862" s="36"/>
      <c r="BV862" s="36"/>
      <c r="BW862" s="36"/>
      <c r="BX862" s="36"/>
      <c r="BY862" s="36"/>
      <c r="BZ862" s="36"/>
      <c r="CA862" s="36"/>
      <c r="CB862" s="36"/>
      <c r="CC862" s="36"/>
      <c r="CD862" s="36"/>
      <c r="CE862" s="36"/>
      <c r="CF862" s="36"/>
      <c r="CG862" s="36"/>
      <c r="CH862" s="36"/>
      <c r="CI862" s="36"/>
      <c r="CJ862" s="36"/>
      <c r="CK862" s="36"/>
      <c r="CL862" s="36"/>
      <c r="CM862" s="36"/>
      <c r="CN862" s="36"/>
      <c r="CO862" s="36"/>
    </row>
    <row r="863">
      <c r="A863" s="36"/>
      <c r="B863" s="47"/>
      <c r="C863" s="50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  <c r="AL863" s="36"/>
      <c r="AM863" s="36"/>
      <c r="AN863" s="36"/>
      <c r="AO863" s="36"/>
      <c r="AP863" s="36"/>
      <c r="AQ863" s="36"/>
      <c r="AR863" s="36"/>
      <c r="AS863" s="36"/>
      <c r="AT863" s="36"/>
      <c r="AU863" s="36"/>
      <c r="AV863" s="36"/>
      <c r="AW863" s="36"/>
      <c r="AX863" s="36"/>
      <c r="AY863" s="36"/>
      <c r="AZ863" s="36"/>
      <c r="BA863" s="36"/>
      <c r="BB863" s="36"/>
      <c r="BC863" s="36"/>
      <c r="BD863" s="36"/>
      <c r="BE863" s="36"/>
      <c r="BF863" s="36"/>
      <c r="BG863" s="36"/>
      <c r="BH863" s="36"/>
      <c r="BI863" s="36"/>
      <c r="BJ863" s="36"/>
      <c r="BK863" s="36"/>
      <c r="BL863" s="36"/>
      <c r="BM863" s="36"/>
      <c r="BN863" s="36"/>
      <c r="BO863" s="36"/>
      <c r="BP863" s="36"/>
      <c r="BQ863" s="36"/>
      <c r="BR863" s="36"/>
      <c r="BS863" s="36"/>
      <c r="BT863" s="36"/>
      <c r="BU863" s="36"/>
      <c r="BV863" s="36"/>
      <c r="BW863" s="36"/>
      <c r="BX863" s="36"/>
      <c r="BY863" s="36"/>
      <c r="BZ863" s="36"/>
      <c r="CA863" s="36"/>
      <c r="CB863" s="36"/>
      <c r="CC863" s="36"/>
      <c r="CD863" s="36"/>
      <c r="CE863" s="36"/>
      <c r="CF863" s="36"/>
      <c r="CG863" s="36"/>
      <c r="CH863" s="36"/>
      <c r="CI863" s="36"/>
      <c r="CJ863" s="36"/>
      <c r="CK863" s="36"/>
      <c r="CL863" s="36"/>
      <c r="CM863" s="36"/>
      <c r="CN863" s="36"/>
      <c r="CO863" s="36"/>
    </row>
    <row r="864">
      <c r="A864" s="36"/>
      <c r="B864" s="47"/>
      <c r="C864" s="50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  <c r="AL864" s="36"/>
      <c r="AM864" s="36"/>
      <c r="AN864" s="36"/>
      <c r="AO864" s="36"/>
      <c r="AP864" s="36"/>
      <c r="AQ864" s="36"/>
      <c r="AR864" s="36"/>
      <c r="AS864" s="36"/>
      <c r="AT864" s="36"/>
      <c r="AU864" s="36"/>
      <c r="AV864" s="36"/>
      <c r="AW864" s="36"/>
      <c r="AX864" s="36"/>
      <c r="AY864" s="36"/>
      <c r="AZ864" s="36"/>
      <c r="BA864" s="36"/>
      <c r="BB864" s="36"/>
      <c r="BC864" s="36"/>
      <c r="BD864" s="36"/>
      <c r="BE864" s="36"/>
      <c r="BF864" s="36"/>
      <c r="BG864" s="36"/>
      <c r="BH864" s="36"/>
      <c r="BI864" s="36"/>
      <c r="BJ864" s="36"/>
      <c r="BK864" s="36"/>
      <c r="BL864" s="36"/>
      <c r="BM864" s="36"/>
      <c r="BN864" s="36"/>
      <c r="BO864" s="36"/>
      <c r="BP864" s="36"/>
      <c r="BQ864" s="36"/>
      <c r="BR864" s="36"/>
      <c r="BS864" s="36"/>
      <c r="BT864" s="36"/>
      <c r="BU864" s="36"/>
      <c r="BV864" s="36"/>
      <c r="BW864" s="36"/>
      <c r="BX864" s="36"/>
      <c r="BY864" s="36"/>
      <c r="BZ864" s="36"/>
      <c r="CA864" s="36"/>
      <c r="CB864" s="36"/>
      <c r="CC864" s="36"/>
      <c r="CD864" s="36"/>
      <c r="CE864" s="36"/>
      <c r="CF864" s="36"/>
      <c r="CG864" s="36"/>
      <c r="CH864" s="36"/>
      <c r="CI864" s="36"/>
      <c r="CJ864" s="36"/>
      <c r="CK864" s="36"/>
      <c r="CL864" s="36"/>
      <c r="CM864" s="36"/>
      <c r="CN864" s="36"/>
      <c r="CO864" s="36"/>
    </row>
    <row r="865">
      <c r="A865" s="36"/>
      <c r="B865" s="47"/>
      <c r="C865" s="50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  <c r="AL865" s="36"/>
      <c r="AM865" s="36"/>
      <c r="AN865" s="36"/>
      <c r="AO865" s="36"/>
      <c r="AP865" s="36"/>
      <c r="AQ865" s="36"/>
      <c r="AR865" s="36"/>
      <c r="AS865" s="36"/>
      <c r="AT865" s="36"/>
      <c r="AU865" s="36"/>
      <c r="AV865" s="36"/>
      <c r="AW865" s="36"/>
      <c r="AX865" s="36"/>
      <c r="AY865" s="36"/>
      <c r="AZ865" s="36"/>
      <c r="BA865" s="36"/>
      <c r="BB865" s="36"/>
      <c r="BC865" s="36"/>
      <c r="BD865" s="36"/>
      <c r="BE865" s="36"/>
      <c r="BF865" s="36"/>
      <c r="BG865" s="36"/>
      <c r="BH865" s="36"/>
      <c r="BI865" s="36"/>
      <c r="BJ865" s="36"/>
      <c r="BK865" s="36"/>
      <c r="BL865" s="36"/>
      <c r="BM865" s="36"/>
      <c r="BN865" s="36"/>
      <c r="BO865" s="36"/>
      <c r="BP865" s="36"/>
      <c r="BQ865" s="36"/>
      <c r="BR865" s="36"/>
      <c r="BS865" s="36"/>
      <c r="BT865" s="36"/>
      <c r="BU865" s="36"/>
      <c r="BV865" s="36"/>
      <c r="BW865" s="36"/>
      <c r="BX865" s="36"/>
      <c r="BY865" s="36"/>
      <c r="BZ865" s="36"/>
      <c r="CA865" s="36"/>
      <c r="CB865" s="36"/>
      <c r="CC865" s="36"/>
      <c r="CD865" s="36"/>
      <c r="CE865" s="36"/>
      <c r="CF865" s="36"/>
      <c r="CG865" s="36"/>
      <c r="CH865" s="36"/>
      <c r="CI865" s="36"/>
      <c r="CJ865" s="36"/>
      <c r="CK865" s="36"/>
      <c r="CL865" s="36"/>
      <c r="CM865" s="36"/>
      <c r="CN865" s="36"/>
      <c r="CO865" s="36"/>
    </row>
    <row r="866">
      <c r="A866" s="36"/>
      <c r="B866" s="47"/>
      <c r="C866" s="50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  <c r="AL866" s="36"/>
      <c r="AM866" s="36"/>
      <c r="AN866" s="36"/>
      <c r="AO866" s="36"/>
      <c r="AP866" s="36"/>
      <c r="AQ866" s="36"/>
      <c r="AR866" s="36"/>
      <c r="AS866" s="36"/>
      <c r="AT866" s="36"/>
      <c r="AU866" s="36"/>
      <c r="AV866" s="36"/>
      <c r="AW866" s="36"/>
      <c r="AX866" s="36"/>
      <c r="AY866" s="36"/>
      <c r="AZ866" s="36"/>
      <c r="BA866" s="36"/>
      <c r="BB866" s="36"/>
      <c r="BC866" s="36"/>
      <c r="BD866" s="36"/>
      <c r="BE866" s="36"/>
      <c r="BF866" s="36"/>
      <c r="BG866" s="36"/>
      <c r="BH866" s="36"/>
      <c r="BI866" s="36"/>
      <c r="BJ866" s="36"/>
      <c r="BK866" s="36"/>
      <c r="BL866" s="36"/>
      <c r="BM866" s="36"/>
      <c r="BN866" s="36"/>
      <c r="BO866" s="36"/>
      <c r="BP866" s="36"/>
      <c r="BQ866" s="36"/>
      <c r="BR866" s="36"/>
      <c r="BS866" s="36"/>
      <c r="BT866" s="36"/>
      <c r="BU866" s="36"/>
      <c r="BV866" s="36"/>
      <c r="BW866" s="36"/>
      <c r="BX866" s="36"/>
      <c r="BY866" s="36"/>
      <c r="BZ866" s="36"/>
      <c r="CA866" s="36"/>
      <c r="CB866" s="36"/>
      <c r="CC866" s="36"/>
      <c r="CD866" s="36"/>
      <c r="CE866" s="36"/>
      <c r="CF866" s="36"/>
      <c r="CG866" s="36"/>
      <c r="CH866" s="36"/>
      <c r="CI866" s="36"/>
      <c r="CJ866" s="36"/>
      <c r="CK866" s="36"/>
      <c r="CL866" s="36"/>
      <c r="CM866" s="36"/>
      <c r="CN866" s="36"/>
      <c r="CO866" s="36"/>
    </row>
    <row r="867">
      <c r="A867" s="36"/>
      <c r="B867" s="47"/>
      <c r="C867" s="50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  <c r="AL867" s="36"/>
      <c r="AM867" s="36"/>
      <c r="AN867" s="36"/>
      <c r="AO867" s="36"/>
      <c r="AP867" s="36"/>
      <c r="AQ867" s="36"/>
      <c r="AR867" s="36"/>
      <c r="AS867" s="36"/>
      <c r="AT867" s="36"/>
      <c r="AU867" s="36"/>
      <c r="AV867" s="36"/>
      <c r="AW867" s="36"/>
      <c r="AX867" s="36"/>
      <c r="AY867" s="36"/>
      <c r="AZ867" s="36"/>
      <c r="BA867" s="36"/>
      <c r="BB867" s="36"/>
      <c r="BC867" s="36"/>
      <c r="BD867" s="36"/>
      <c r="BE867" s="36"/>
      <c r="BF867" s="36"/>
      <c r="BG867" s="36"/>
      <c r="BH867" s="36"/>
      <c r="BI867" s="36"/>
      <c r="BJ867" s="36"/>
      <c r="BK867" s="36"/>
      <c r="BL867" s="36"/>
      <c r="BM867" s="36"/>
      <c r="BN867" s="36"/>
      <c r="BO867" s="36"/>
      <c r="BP867" s="36"/>
      <c r="BQ867" s="36"/>
      <c r="BR867" s="36"/>
      <c r="BS867" s="36"/>
      <c r="BT867" s="36"/>
      <c r="BU867" s="36"/>
      <c r="BV867" s="36"/>
      <c r="BW867" s="36"/>
      <c r="BX867" s="36"/>
      <c r="BY867" s="36"/>
      <c r="BZ867" s="36"/>
      <c r="CA867" s="36"/>
      <c r="CB867" s="36"/>
      <c r="CC867" s="36"/>
      <c r="CD867" s="36"/>
      <c r="CE867" s="36"/>
      <c r="CF867" s="36"/>
      <c r="CG867" s="36"/>
      <c r="CH867" s="36"/>
      <c r="CI867" s="36"/>
      <c r="CJ867" s="36"/>
      <c r="CK867" s="36"/>
      <c r="CL867" s="36"/>
      <c r="CM867" s="36"/>
      <c r="CN867" s="36"/>
      <c r="CO867" s="36"/>
    </row>
    <row r="868">
      <c r="A868" s="36"/>
      <c r="B868" s="47"/>
      <c r="C868" s="50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  <c r="AL868" s="36"/>
      <c r="AM868" s="36"/>
      <c r="AN868" s="36"/>
      <c r="AO868" s="36"/>
      <c r="AP868" s="36"/>
      <c r="AQ868" s="36"/>
      <c r="AR868" s="36"/>
      <c r="AS868" s="36"/>
      <c r="AT868" s="36"/>
      <c r="AU868" s="36"/>
      <c r="AV868" s="36"/>
      <c r="AW868" s="36"/>
      <c r="AX868" s="36"/>
      <c r="AY868" s="36"/>
      <c r="AZ868" s="36"/>
      <c r="BA868" s="36"/>
      <c r="BB868" s="36"/>
      <c r="BC868" s="36"/>
      <c r="BD868" s="36"/>
      <c r="BE868" s="36"/>
      <c r="BF868" s="36"/>
      <c r="BG868" s="36"/>
      <c r="BH868" s="36"/>
      <c r="BI868" s="36"/>
      <c r="BJ868" s="36"/>
      <c r="BK868" s="36"/>
      <c r="BL868" s="36"/>
      <c r="BM868" s="36"/>
      <c r="BN868" s="36"/>
      <c r="BO868" s="36"/>
      <c r="BP868" s="36"/>
      <c r="BQ868" s="36"/>
      <c r="BR868" s="36"/>
      <c r="BS868" s="36"/>
      <c r="BT868" s="36"/>
      <c r="BU868" s="36"/>
      <c r="BV868" s="36"/>
      <c r="BW868" s="36"/>
      <c r="BX868" s="36"/>
      <c r="BY868" s="36"/>
      <c r="BZ868" s="36"/>
      <c r="CA868" s="36"/>
      <c r="CB868" s="36"/>
      <c r="CC868" s="36"/>
      <c r="CD868" s="36"/>
      <c r="CE868" s="36"/>
      <c r="CF868" s="36"/>
      <c r="CG868" s="36"/>
      <c r="CH868" s="36"/>
      <c r="CI868" s="36"/>
      <c r="CJ868" s="36"/>
      <c r="CK868" s="36"/>
      <c r="CL868" s="36"/>
      <c r="CM868" s="36"/>
      <c r="CN868" s="36"/>
      <c r="CO868" s="36"/>
    </row>
    <row r="869">
      <c r="A869" s="36"/>
      <c r="B869" s="47"/>
      <c r="C869" s="50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  <c r="AL869" s="36"/>
      <c r="AM869" s="36"/>
      <c r="AN869" s="36"/>
      <c r="AO869" s="36"/>
      <c r="AP869" s="36"/>
      <c r="AQ869" s="36"/>
      <c r="AR869" s="36"/>
      <c r="AS869" s="36"/>
      <c r="AT869" s="36"/>
      <c r="AU869" s="36"/>
      <c r="AV869" s="36"/>
      <c r="AW869" s="36"/>
      <c r="AX869" s="36"/>
      <c r="AY869" s="36"/>
      <c r="AZ869" s="36"/>
      <c r="BA869" s="36"/>
      <c r="BB869" s="36"/>
      <c r="BC869" s="36"/>
      <c r="BD869" s="36"/>
      <c r="BE869" s="36"/>
      <c r="BF869" s="36"/>
      <c r="BG869" s="36"/>
      <c r="BH869" s="36"/>
      <c r="BI869" s="36"/>
      <c r="BJ869" s="36"/>
      <c r="BK869" s="36"/>
      <c r="BL869" s="36"/>
      <c r="BM869" s="36"/>
      <c r="BN869" s="36"/>
      <c r="BO869" s="36"/>
      <c r="BP869" s="36"/>
      <c r="BQ869" s="36"/>
      <c r="BR869" s="36"/>
      <c r="BS869" s="36"/>
      <c r="BT869" s="36"/>
      <c r="BU869" s="36"/>
      <c r="BV869" s="36"/>
      <c r="BW869" s="36"/>
      <c r="BX869" s="36"/>
      <c r="BY869" s="36"/>
      <c r="BZ869" s="36"/>
      <c r="CA869" s="36"/>
      <c r="CB869" s="36"/>
      <c r="CC869" s="36"/>
      <c r="CD869" s="36"/>
      <c r="CE869" s="36"/>
      <c r="CF869" s="36"/>
      <c r="CG869" s="36"/>
      <c r="CH869" s="36"/>
      <c r="CI869" s="36"/>
      <c r="CJ869" s="36"/>
      <c r="CK869" s="36"/>
      <c r="CL869" s="36"/>
      <c r="CM869" s="36"/>
      <c r="CN869" s="36"/>
      <c r="CO869" s="36"/>
    </row>
    <row r="870">
      <c r="A870" s="36"/>
      <c r="B870" s="47"/>
      <c r="C870" s="50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  <c r="AL870" s="36"/>
      <c r="AM870" s="36"/>
      <c r="AN870" s="36"/>
      <c r="AO870" s="36"/>
      <c r="AP870" s="36"/>
      <c r="AQ870" s="36"/>
      <c r="AR870" s="36"/>
      <c r="AS870" s="36"/>
      <c r="AT870" s="36"/>
      <c r="AU870" s="36"/>
      <c r="AV870" s="36"/>
      <c r="AW870" s="36"/>
      <c r="AX870" s="36"/>
      <c r="AY870" s="36"/>
      <c r="AZ870" s="36"/>
      <c r="BA870" s="36"/>
      <c r="BB870" s="36"/>
      <c r="BC870" s="36"/>
      <c r="BD870" s="36"/>
      <c r="BE870" s="36"/>
      <c r="BF870" s="36"/>
      <c r="BG870" s="36"/>
      <c r="BH870" s="36"/>
      <c r="BI870" s="36"/>
      <c r="BJ870" s="36"/>
      <c r="BK870" s="36"/>
      <c r="BL870" s="36"/>
      <c r="BM870" s="36"/>
      <c r="BN870" s="36"/>
      <c r="BO870" s="36"/>
      <c r="BP870" s="36"/>
      <c r="BQ870" s="36"/>
      <c r="BR870" s="36"/>
      <c r="BS870" s="36"/>
      <c r="BT870" s="36"/>
      <c r="BU870" s="36"/>
      <c r="BV870" s="36"/>
      <c r="BW870" s="36"/>
      <c r="BX870" s="36"/>
      <c r="BY870" s="36"/>
      <c r="BZ870" s="36"/>
      <c r="CA870" s="36"/>
      <c r="CB870" s="36"/>
      <c r="CC870" s="36"/>
      <c r="CD870" s="36"/>
      <c r="CE870" s="36"/>
      <c r="CF870" s="36"/>
      <c r="CG870" s="36"/>
      <c r="CH870" s="36"/>
      <c r="CI870" s="36"/>
      <c r="CJ870" s="36"/>
      <c r="CK870" s="36"/>
      <c r="CL870" s="36"/>
      <c r="CM870" s="36"/>
      <c r="CN870" s="36"/>
      <c r="CO870" s="36"/>
    </row>
    <row r="871">
      <c r="A871" s="36"/>
      <c r="B871" s="47"/>
      <c r="C871" s="50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  <c r="AL871" s="36"/>
      <c r="AM871" s="36"/>
      <c r="AN871" s="36"/>
      <c r="AO871" s="36"/>
      <c r="AP871" s="36"/>
      <c r="AQ871" s="36"/>
      <c r="AR871" s="36"/>
      <c r="AS871" s="36"/>
      <c r="AT871" s="36"/>
      <c r="AU871" s="36"/>
      <c r="AV871" s="36"/>
      <c r="AW871" s="36"/>
      <c r="AX871" s="36"/>
      <c r="AY871" s="36"/>
      <c r="AZ871" s="36"/>
      <c r="BA871" s="36"/>
      <c r="BB871" s="36"/>
      <c r="BC871" s="36"/>
      <c r="BD871" s="36"/>
      <c r="BE871" s="36"/>
      <c r="BF871" s="36"/>
      <c r="BG871" s="36"/>
      <c r="BH871" s="36"/>
      <c r="BI871" s="36"/>
      <c r="BJ871" s="36"/>
      <c r="BK871" s="36"/>
      <c r="BL871" s="36"/>
      <c r="BM871" s="36"/>
      <c r="BN871" s="36"/>
      <c r="BO871" s="36"/>
      <c r="BP871" s="36"/>
      <c r="BQ871" s="36"/>
      <c r="BR871" s="36"/>
      <c r="BS871" s="36"/>
      <c r="BT871" s="36"/>
      <c r="BU871" s="36"/>
      <c r="BV871" s="36"/>
      <c r="BW871" s="36"/>
      <c r="BX871" s="36"/>
      <c r="BY871" s="36"/>
      <c r="BZ871" s="36"/>
      <c r="CA871" s="36"/>
      <c r="CB871" s="36"/>
      <c r="CC871" s="36"/>
      <c r="CD871" s="36"/>
      <c r="CE871" s="36"/>
      <c r="CF871" s="36"/>
      <c r="CG871" s="36"/>
      <c r="CH871" s="36"/>
      <c r="CI871" s="36"/>
      <c r="CJ871" s="36"/>
      <c r="CK871" s="36"/>
      <c r="CL871" s="36"/>
      <c r="CM871" s="36"/>
      <c r="CN871" s="36"/>
      <c r="CO871" s="36"/>
    </row>
    <row r="872">
      <c r="A872" s="36"/>
      <c r="B872" s="47"/>
      <c r="C872" s="50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  <c r="AL872" s="36"/>
      <c r="AM872" s="36"/>
      <c r="AN872" s="36"/>
      <c r="AO872" s="36"/>
      <c r="AP872" s="36"/>
      <c r="AQ872" s="36"/>
      <c r="AR872" s="36"/>
      <c r="AS872" s="36"/>
      <c r="AT872" s="36"/>
      <c r="AU872" s="36"/>
      <c r="AV872" s="36"/>
      <c r="AW872" s="36"/>
      <c r="AX872" s="36"/>
      <c r="AY872" s="36"/>
      <c r="AZ872" s="36"/>
      <c r="BA872" s="36"/>
      <c r="BB872" s="36"/>
      <c r="BC872" s="36"/>
      <c r="BD872" s="36"/>
      <c r="BE872" s="36"/>
      <c r="BF872" s="36"/>
      <c r="BG872" s="36"/>
      <c r="BH872" s="36"/>
      <c r="BI872" s="36"/>
      <c r="BJ872" s="36"/>
      <c r="BK872" s="36"/>
      <c r="BL872" s="36"/>
      <c r="BM872" s="36"/>
      <c r="BN872" s="36"/>
      <c r="BO872" s="36"/>
      <c r="BP872" s="36"/>
      <c r="BQ872" s="36"/>
      <c r="BR872" s="36"/>
      <c r="BS872" s="36"/>
      <c r="BT872" s="36"/>
      <c r="BU872" s="36"/>
      <c r="BV872" s="36"/>
      <c r="BW872" s="36"/>
      <c r="BX872" s="36"/>
      <c r="BY872" s="36"/>
      <c r="BZ872" s="36"/>
      <c r="CA872" s="36"/>
      <c r="CB872" s="36"/>
      <c r="CC872" s="36"/>
      <c r="CD872" s="36"/>
      <c r="CE872" s="36"/>
      <c r="CF872" s="36"/>
      <c r="CG872" s="36"/>
      <c r="CH872" s="36"/>
      <c r="CI872" s="36"/>
      <c r="CJ872" s="36"/>
      <c r="CK872" s="36"/>
      <c r="CL872" s="36"/>
      <c r="CM872" s="36"/>
      <c r="CN872" s="36"/>
      <c r="CO872" s="36"/>
    </row>
    <row r="873">
      <c r="A873" s="36"/>
      <c r="B873" s="47"/>
      <c r="C873" s="50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  <c r="AL873" s="36"/>
      <c r="AM873" s="36"/>
      <c r="AN873" s="36"/>
      <c r="AO873" s="36"/>
      <c r="AP873" s="36"/>
      <c r="AQ873" s="36"/>
      <c r="AR873" s="36"/>
      <c r="AS873" s="36"/>
      <c r="AT873" s="36"/>
      <c r="AU873" s="36"/>
      <c r="AV873" s="36"/>
      <c r="AW873" s="36"/>
      <c r="AX873" s="36"/>
      <c r="AY873" s="36"/>
      <c r="AZ873" s="36"/>
      <c r="BA873" s="36"/>
      <c r="BB873" s="36"/>
      <c r="BC873" s="36"/>
      <c r="BD873" s="36"/>
      <c r="BE873" s="36"/>
      <c r="BF873" s="36"/>
      <c r="BG873" s="36"/>
      <c r="BH873" s="36"/>
      <c r="BI873" s="36"/>
      <c r="BJ873" s="36"/>
      <c r="BK873" s="36"/>
      <c r="BL873" s="36"/>
      <c r="BM873" s="36"/>
      <c r="BN873" s="36"/>
      <c r="BO873" s="36"/>
      <c r="BP873" s="36"/>
      <c r="BQ873" s="36"/>
      <c r="BR873" s="36"/>
      <c r="BS873" s="36"/>
      <c r="BT873" s="36"/>
      <c r="BU873" s="36"/>
      <c r="BV873" s="36"/>
      <c r="BW873" s="36"/>
      <c r="BX873" s="36"/>
      <c r="BY873" s="36"/>
      <c r="BZ873" s="36"/>
      <c r="CA873" s="36"/>
      <c r="CB873" s="36"/>
      <c r="CC873" s="36"/>
      <c r="CD873" s="36"/>
      <c r="CE873" s="36"/>
      <c r="CF873" s="36"/>
      <c r="CG873" s="36"/>
      <c r="CH873" s="36"/>
      <c r="CI873" s="36"/>
      <c r="CJ873" s="36"/>
      <c r="CK873" s="36"/>
      <c r="CL873" s="36"/>
      <c r="CM873" s="36"/>
      <c r="CN873" s="36"/>
      <c r="CO873" s="36"/>
    </row>
    <row r="874">
      <c r="A874" s="36"/>
      <c r="B874" s="47"/>
      <c r="C874" s="50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  <c r="AL874" s="36"/>
      <c r="AM874" s="36"/>
      <c r="AN874" s="36"/>
      <c r="AO874" s="36"/>
      <c r="AP874" s="36"/>
      <c r="AQ874" s="36"/>
      <c r="AR874" s="36"/>
      <c r="AS874" s="36"/>
      <c r="AT874" s="36"/>
      <c r="AU874" s="36"/>
      <c r="AV874" s="36"/>
      <c r="AW874" s="36"/>
      <c r="AX874" s="36"/>
      <c r="AY874" s="36"/>
      <c r="AZ874" s="36"/>
      <c r="BA874" s="36"/>
      <c r="BB874" s="36"/>
      <c r="BC874" s="36"/>
      <c r="BD874" s="36"/>
      <c r="BE874" s="36"/>
      <c r="BF874" s="36"/>
      <c r="BG874" s="36"/>
      <c r="BH874" s="36"/>
      <c r="BI874" s="36"/>
      <c r="BJ874" s="36"/>
      <c r="BK874" s="36"/>
      <c r="BL874" s="36"/>
      <c r="BM874" s="36"/>
      <c r="BN874" s="36"/>
      <c r="BO874" s="36"/>
      <c r="BP874" s="36"/>
      <c r="BQ874" s="36"/>
      <c r="BR874" s="36"/>
      <c r="BS874" s="36"/>
      <c r="BT874" s="36"/>
      <c r="BU874" s="36"/>
      <c r="BV874" s="36"/>
      <c r="BW874" s="36"/>
      <c r="BX874" s="36"/>
      <c r="BY874" s="36"/>
      <c r="BZ874" s="36"/>
      <c r="CA874" s="36"/>
      <c r="CB874" s="36"/>
      <c r="CC874" s="36"/>
      <c r="CD874" s="36"/>
      <c r="CE874" s="36"/>
      <c r="CF874" s="36"/>
      <c r="CG874" s="36"/>
      <c r="CH874" s="36"/>
      <c r="CI874" s="36"/>
      <c r="CJ874" s="36"/>
      <c r="CK874" s="36"/>
      <c r="CL874" s="36"/>
      <c r="CM874" s="36"/>
      <c r="CN874" s="36"/>
      <c r="CO874" s="36"/>
    </row>
    <row r="875">
      <c r="A875" s="36"/>
      <c r="B875" s="47"/>
      <c r="C875" s="50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  <c r="AL875" s="36"/>
      <c r="AM875" s="36"/>
      <c r="AN875" s="36"/>
      <c r="AO875" s="36"/>
      <c r="AP875" s="36"/>
      <c r="AQ875" s="36"/>
      <c r="AR875" s="36"/>
      <c r="AS875" s="36"/>
      <c r="AT875" s="36"/>
      <c r="AU875" s="36"/>
      <c r="AV875" s="36"/>
      <c r="AW875" s="36"/>
      <c r="AX875" s="36"/>
      <c r="AY875" s="36"/>
      <c r="AZ875" s="36"/>
      <c r="BA875" s="36"/>
      <c r="BB875" s="36"/>
      <c r="BC875" s="36"/>
      <c r="BD875" s="36"/>
      <c r="BE875" s="36"/>
      <c r="BF875" s="36"/>
      <c r="BG875" s="36"/>
      <c r="BH875" s="36"/>
      <c r="BI875" s="36"/>
      <c r="BJ875" s="36"/>
      <c r="BK875" s="36"/>
      <c r="BL875" s="36"/>
      <c r="BM875" s="36"/>
      <c r="BN875" s="36"/>
      <c r="BO875" s="36"/>
      <c r="BP875" s="36"/>
      <c r="BQ875" s="36"/>
      <c r="BR875" s="36"/>
      <c r="BS875" s="36"/>
      <c r="BT875" s="36"/>
      <c r="BU875" s="36"/>
      <c r="BV875" s="36"/>
      <c r="BW875" s="36"/>
      <c r="BX875" s="36"/>
      <c r="BY875" s="36"/>
      <c r="BZ875" s="36"/>
      <c r="CA875" s="36"/>
      <c r="CB875" s="36"/>
      <c r="CC875" s="36"/>
      <c r="CD875" s="36"/>
      <c r="CE875" s="36"/>
      <c r="CF875" s="36"/>
      <c r="CG875" s="36"/>
      <c r="CH875" s="36"/>
      <c r="CI875" s="36"/>
      <c r="CJ875" s="36"/>
      <c r="CK875" s="36"/>
      <c r="CL875" s="36"/>
      <c r="CM875" s="36"/>
      <c r="CN875" s="36"/>
      <c r="CO875" s="36"/>
    </row>
    <row r="876">
      <c r="A876" s="36"/>
      <c r="B876" s="47"/>
      <c r="C876" s="50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  <c r="AL876" s="36"/>
      <c r="AM876" s="36"/>
      <c r="AN876" s="36"/>
      <c r="AO876" s="36"/>
      <c r="AP876" s="36"/>
      <c r="AQ876" s="36"/>
      <c r="AR876" s="36"/>
      <c r="AS876" s="36"/>
      <c r="AT876" s="36"/>
      <c r="AU876" s="36"/>
      <c r="AV876" s="36"/>
      <c r="AW876" s="36"/>
      <c r="AX876" s="36"/>
      <c r="AY876" s="36"/>
      <c r="AZ876" s="36"/>
      <c r="BA876" s="36"/>
      <c r="BB876" s="36"/>
      <c r="BC876" s="36"/>
      <c r="BD876" s="36"/>
      <c r="BE876" s="36"/>
      <c r="BF876" s="36"/>
      <c r="BG876" s="36"/>
      <c r="BH876" s="36"/>
      <c r="BI876" s="36"/>
      <c r="BJ876" s="36"/>
      <c r="BK876" s="36"/>
      <c r="BL876" s="36"/>
      <c r="BM876" s="36"/>
      <c r="BN876" s="36"/>
      <c r="BO876" s="36"/>
      <c r="BP876" s="36"/>
      <c r="BQ876" s="36"/>
      <c r="BR876" s="36"/>
      <c r="BS876" s="36"/>
      <c r="BT876" s="36"/>
      <c r="BU876" s="36"/>
      <c r="BV876" s="36"/>
      <c r="BW876" s="36"/>
      <c r="BX876" s="36"/>
      <c r="BY876" s="36"/>
      <c r="BZ876" s="36"/>
      <c r="CA876" s="36"/>
      <c r="CB876" s="36"/>
      <c r="CC876" s="36"/>
      <c r="CD876" s="36"/>
      <c r="CE876" s="36"/>
      <c r="CF876" s="36"/>
      <c r="CG876" s="36"/>
      <c r="CH876" s="36"/>
      <c r="CI876" s="36"/>
      <c r="CJ876" s="36"/>
      <c r="CK876" s="36"/>
      <c r="CL876" s="36"/>
      <c r="CM876" s="36"/>
      <c r="CN876" s="36"/>
      <c r="CO876" s="36"/>
    </row>
    <row r="877">
      <c r="A877" s="36"/>
      <c r="B877" s="47"/>
      <c r="C877" s="50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  <c r="AL877" s="36"/>
      <c r="AM877" s="36"/>
      <c r="AN877" s="36"/>
      <c r="AO877" s="36"/>
      <c r="AP877" s="36"/>
      <c r="AQ877" s="36"/>
      <c r="AR877" s="36"/>
      <c r="AS877" s="36"/>
      <c r="AT877" s="36"/>
      <c r="AU877" s="36"/>
      <c r="AV877" s="36"/>
      <c r="AW877" s="36"/>
      <c r="AX877" s="36"/>
      <c r="AY877" s="36"/>
      <c r="AZ877" s="36"/>
      <c r="BA877" s="36"/>
      <c r="BB877" s="36"/>
      <c r="BC877" s="36"/>
      <c r="BD877" s="36"/>
      <c r="BE877" s="36"/>
      <c r="BF877" s="36"/>
      <c r="BG877" s="36"/>
      <c r="BH877" s="36"/>
      <c r="BI877" s="36"/>
      <c r="BJ877" s="36"/>
      <c r="BK877" s="36"/>
      <c r="BL877" s="36"/>
      <c r="BM877" s="36"/>
      <c r="BN877" s="36"/>
      <c r="BO877" s="36"/>
      <c r="BP877" s="36"/>
      <c r="BQ877" s="36"/>
      <c r="BR877" s="36"/>
      <c r="BS877" s="36"/>
      <c r="BT877" s="36"/>
      <c r="BU877" s="36"/>
      <c r="BV877" s="36"/>
      <c r="BW877" s="36"/>
      <c r="BX877" s="36"/>
      <c r="BY877" s="36"/>
      <c r="BZ877" s="36"/>
      <c r="CA877" s="36"/>
      <c r="CB877" s="36"/>
      <c r="CC877" s="36"/>
      <c r="CD877" s="36"/>
      <c r="CE877" s="36"/>
      <c r="CF877" s="36"/>
      <c r="CG877" s="36"/>
      <c r="CH877" s="36"/>
      <c r="CI877" s="36"/>
      <c r="CJ877" s="36"/>
      <c r="CK877" s="36"/>
      <c r="CL877" s="36"/>
      <c r="CM877" s="36"/>
      <c r="CN877" s="36"/>
      <c r="CO877" s="36"/>
    </row>
    <row r="878">
      <c r="A878" s="36"/>
      <c r="B878" s="47"/>
      <c r="C878" s="50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  <c r="AL878" s="36"/>
      <c r="AM878" s="36"/>
      <c r="AN878" s="36"/>
      <c r="AO878" s="36"/>
      <c r="AP878" s="36"/>
      <c r="AQ878" s="36"/>
      <c r="AR878" s="36"/>
      <c r="AS878" s="36"/>
      <c r="AT878" s="36"/>
      <c r="AU878" s="36"/>
      <c r="AV878" s="36"/>
      <c r="AW878" s="36"/>
      <c r="AX878" s="36"/>
      <c r="AY878" s="36"/>
      <c r="AZ878" s="36"/>
      <c r="BA878" s="36"/>
      <c r="BB878" s="36"/>
      <c r="BC878" s="36"/>
      <c r="BD878" s="36"/>
      <c r="BE878" s="36"/>
      <c r="BF878" s="36"/>
      <c r="BG878" s="36"/>
      <c r="BH878" s="36"/>
      <c r="BI878" s="36"/>
      <c r="BJ878" s="36"/>
      <c r="BK878" s="36"/>
      <c r="BL878" s="36"/>
      <c r="BM878" s="36"/>
      <c r="BN878" s="36"/>
      <c r="BO878" s="36"/>
      <c r="BP878" s="36"/>
      <c r="BQ878" s="36"/>
      <c r="BR878" s="36"/>
      <c r="BS878" s="36"/>
      <c r="BT878" s="36"/>
      <c r="BU878" s="36"/>
      <c r="BV878" s="36"/>
      <c r="BW878" s="36"/>
      <c r="BX878" s="36"/>
      <c r="BY878" s="36"/>
      <c r="BZ878" s="36"/>
      <c r="CA878" s="36"/>
      <c r="CB878" s="36"/>
      <c r="CC878" s="36"/>
      <c r="CD878" s="36"/>
      <c r="CE878" s="36"/>
      <c r="CF878" s="36"/>
      <c r="CG878" s="36"/>
      <c r="CH878" s="36"/>
      <c r="CI878" s="36"/>
      <c r="CJ878" s="36"/>
      <c r="CK878" s="36"/>
      <c r="CL878" s="36"/>
      <c r="CM878" s="36"/>
      <c r="CN878" s="36"/>
      <c r="CO878" s="36"/>
    </row>
    <row r="879">
      <c r="A879" s="36"/>
      <c r="B879" s="47"/>
      <c r="C879" s="50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  <c r="AL879" s="36"/>
      <c r="AM879" s="36"/>
      <c r="AN879" s="36"/>
      <c r="AO879" s="36"/>
      <c r="AP879" s="36"/>
      <c r="AQ879" s="36"/>
      <c r="AR879" s="36"/>
      <c r="AS879" s="36"/>
      <c r="AT879" s="36"/>
      <c r="AU879" s="36"/>
      <c r="AV879" s="36"/>
      <c r="AW879" s="36"/>
      <c r="AX879" s="36"/>
      <c r="AY879" s="36"/>
      <c r="AZ879" s="36"/>
      <c r="BA879" s="36"/>
      <c r="BB879" s="36"/>
      <c r="BC879" s="36"/>
      <c r="BD879" s="36"/>
      <c r="BE879" s="36"/>
      <c r="BF879" s="36"/>
      <c r="BG879" s="36"/>
      <c r="BH879" s="36"/>
      <c r="BI879" s="36"/>
      <c r="BJ879" s="36"/>
      <c r="BK879" s="36"/>
      <c r="BL879" s="36"/>
      <c r="BM879" s="36"/>
      <c r="BN879" s="36"/>
      <c r="BO879" s="36"/>
      <c r="BP879" s="36"/>
      <c r="BQ879" s="36"/>
      <c r="BR879" s="36"/>
      <c r="BS879" s="36"/>
      <c r="BT879" s="36"/>
      <c r="BU879" s="36"/>
      <c r="BV879" s="36"/>
      <c r="BW879" s="36"/>
      <c r="BX879" s="36"/>
      <c r="BY879" s="36"/>
      <c r="BZ879" s="36"/>
      <c r="CA879" s="36"/>
      <c r="CB879" s="36"/>
      <c r="CC879" s="36"/>
      <c r="CD879" s="36"/>
      <c r="CE879" s="36"/>
      <c r="CF879" s="36"/>
      <c r="CG879" s="36"/>
      <c r="CH879" s="36"/>
      <c r="CI879" s="36"/>
      <c r="CJ879" s="36"/>
      <c r="CK879" s="36"/>
      <c r="CL879" s="36"/>
      <c r="CM879" s="36"/>
      <c r="CN879" s="36"/>
      <c r="CO879" s="36"/>
    </row>
    <row r="880">
      <c r="A880" s="36"/>
      <c r="B880" s="47"/>
      <c r="C880" s="50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  <c r="AL880" s="36"/>
      <c r="AM880" s="36"/>
      <c r="AN880" s="36"/>
      <c r="AO880" s="36"/>
      <c r="AP880" s="36"/>
      <c r="AQ880" s="36"/>
      <c r="AR880" s="36"/>
      <c r="AS880" s="36"/>
      <c r="AT880" s="36"/>
      <c r="AU880" s="36"/>
      <c r="AV880" s="36"/>
      <c r="AW880" s="36"/>
      <c r="AX880" s="36"/>
      <c r="AY880" s="36"/>
      <c r="AZ880" s="36"/>
      <c r="BA880" s="36"/>
      <c r="BB880" s="36"/>
      <c r="BC880" s="36"/>
      <c r="BD880" s="36"/>
      <c r="BE880" s="36"/>
      <c r="BF880" s="36"/>
      <c r="BG880" s="36"/>
      <c r="BH880" s="36"/>
      <c r="BI880" s="36"/>
      <c r="BJ880" s="36"/>
      <c r="BK880" s="36"/>
      <c r="BL880" s="36"/>
      <c r="BM880" s="36"/>
      <c r="BN880" s="36"/>
      <c r="BO880" s="36"/>
      <c r="BP880" s="36"/>
      <c r="BQ880" s="36"/>
      <c r="BR880" s="36"/>
      <c r="BS880" s="36"/>
      <c r="BT880" s="36"/>
      <c r="BU880" s="36"/>
      <c r="BV880" s="36"/>
      <c r="BW880" s="36"/>
      <c r="BX880" s="36"/>
      <c r="BY880" s="36"/>
      <c r="BZ880" s="36"/>
      <c r="CA880" s="36"/>
      <c r="CB880" s="36"/>
      <c r="CC880" s="36"/>
      <c r="CD880" s="36"/>
      <c r="CE880" s="36"/>
      <c r="CF880" s="36"/>
      <c r="CG880" s="36"/>
      <c r="CH880" s="36"/>
      <c r="CI880" s="36"/>
      <c r="CJ880" s="36"/>
      <c r="CK880" s="36"/>
      <c r="CL880" s="36"/>
      <c r="CM880" s="36"/>
      <c r="CN880" s="36"/>
      <c r="CO880" s="36"/>
    </row>
    <row r="881">
      <c r="A881" s="36"/>
      <c r="B881" s="47"/>
      <c r="C881" s="50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  <c r="AL881" s="36"/>
      <c r="AM881" s="36"/>
      <c r="AN881" s="36"/>
      <c r="AO881" s="36"/>
      <c r="AP881" s="36"/>
      <c r="AQ881" s="36"/>
      <c r="AR881" s="36"/>
      <c r="AS881" s="36"/>
      <c r="AT881" s="36"/>
      <c r="AU881" s="36"/>
      <c r="AV881" s="36"/>
      <c r="AW881" s="36"/>
      <c r="AX881" s="36"/>
      <c r="AY881" s="36"/>
      <c r="AZ881" s="36"/>
      <c r="BA881" s="36"/>
      <c r="BB881" s="36"/>
      <c r="BC881" s="36"/>
      <c r="BD881" s="36"/>
      <c r="BE881" s="36"/>
      <c r="BF881" s="36"/>
      <c r="BG881" s="36"/>
      <c r="BH881" s="36"/>
      <c r="BI881" s="36"/>
      <c r="BJ881" s="36"/>
      <c r="BK881" s="36"/>
      <c r="BL881" s="36"/>
      <c r="BM881" s="36"/>
      <c r="BN881" s="36"/>
      <c r="BO881" s="36"/>
      <c r="BP881" s="36"/>
      <c r="BQ881" s="36"/>
      <c r="BR881" s="36"/>
      <c r="BS881" s="36"/>
      <c r="BT881" s="36"/>
      <c r="BU881" s="36"/>
      <c r="BV881" s="36"/>
      <c r="BW881" s="36"/>
      <c r="BX881" s="36"/>
      <c r="BY881" s="36"/>
      <c r="BZ881" s="36"/>
      <c r="CA881" s="36"/>
      <c r="CB881" s="36"/>
      <c r="CC881" s="36"/>
      <c r="CD881" s="36"/>
      <c r="CE881" s="36"/>
      <c r="CF881" s="36"/>
      <c r="CG881" s="36"/>
      <c r="CH881" s="36"/>
      <c r="CI881" s="36"/>
      <c r="CJ881" s="36"/>
      <c r="CK881" s="36"/>
      <c r="CL881" s="36"/>
      <c r="CM881" s="36"/>
      <c r="CN881" s="36"/>
      <c r="CO881" s="36"/>
    </row>
    <row r="882">
      <c r="A882" s="36"/>
      <c r="B882" s="47"/>
      <c r="C882" s="50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  <c r="AL882" s="36"/>
      <c r="AM882" s="36"/>
      <c r="AN882" s="36"/>
      <c r="AO882" s="36"/>
      <c r="AP882" s="36"/>
      <c r="AQ882" s="36"/>
      <c r="AR882" s="36"/>
      <c r="AS882" s="36"/>
      <c r="AT882" s="36"/>
      <c r="AU882" s="36"/>
      <c r="AV882" s="36"/>
      <c r="AW882" s="36"/>
      <c r="AX882" s="36"/>
      <c r="AY882" s="36"/>
      <c r="AZ882" s="36"/>
      <c r="BA882" s="36"/>
      <c r="BB882" s="36"/>
      <c r="BC882" s="36"/>
      <c r="BD882" s="36"/>
      <c r="BE882" s="36"/>
      <c r="BF882" s="36"/>
      <c r="BG882" s="36"/>
      <c r="BH882" s="36"/>
      <c r="BI882" s="36"/>
      <c r="BJ882" s="36"/>
      <c r="BK882" s="36"/>
      <c r="BL882" s="36"/>
      <c r="BM882" s="36"/>
      <c r="BN882" s="36"/>
      <c r="BO882" s="36"/>
      <c r="BP882" s="36"/>
      <c r="BQ882" s="36"/>
      <c r="BR882" s="36"/>
      <c r="BS882" s="36"/>
      <c r="BT882" s="36"/>
      <c r="BU882" s="36"/>
      <c r="BV882" s="36"/>
      <c r="BW882" s="36"/>
      <c r="BX882" s="36"/>
      <c r="BY882" s="36"/>
      <c r="BZ882" s="36"/>
      <c r="CA882" s="36"/>
      <c r="CB882" s="36"/>
      <c r="CC882" s="36"/>
      <c r="CD882" s="36"/>
      <c r="CE882" s="36"/>
      <c r="CF882" s="36"/>
      <c r="CG882" s="36"/>
      <c r="CH882" s="36"/>
      <c r="CI882" s="36"/>
      <c r="CJ882" s="36"/>
      <c r="CK882" s="36"/>
      <c r="CL882" s="36"/>
      <c r="CM882" s="36"/>
      <c r="CN882" s="36"/>
      <c r="CO882" s="36"/>
    </row>
    <row r="883">
      <c r="A883" s="36"/>
      <c r="B883" s="47"/>
      <c r="C883" s="50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  <c r="AL883" s="36"/>
      <c r="AM883" s="36"/>
      <c r="AN883" s="36"/>
      <c r="AO883" s="36"/>
      <c r="AP883" s="36"/>
      <c r="AQ883" s="36"/>
      <c r="AR883" s="36"/>
      <c r="AS883" s="36"/>
      <c r="AT883" s="36"/>
      <c r="AU883" s="36"/>
      <c r="AV883" s="36"/>
      <c r="AW883" s="36"/>
      <c r="AX883" s="36"/>
      <c r="AY883" s="36"/>
      <c r="AZ883" s="36"/>
      <c r="BA883" s="36"/>
      <c r="BB883" s="36"/>
      <c r="BC883" s="36"/>
      <c r="BD883" s="36"/>
      <c r="BE883" s="36"/>
      <c r="BF883" s="36"/>
      <c r="BG883" s="36"/>
      <c r="BH883" s="36"/>
      <c r="BI883" s="36"/>
      <c r="BJ883" s="36"/>
      <c r="BK883" s="36"/>
      <c r="BL883" s="36"/>
      <c r="BM883" s="36"/>
      <c r="BN883" s="36"/>
      <c r="BO883" s="36"/>
      <c r="BP883" s="36"/>
      <c r="BQ883" s="36"/>
      <c r="BR883" s="36"/>
      <c r="BS883" s="36"/>
      <c r="BT883" s="36"/>
      <c r="BU883" s="36"/>
      <c r="BV883" s="36"/>
      <c r="BW883" s="36"/>
      <c r="BX883" s="36"/>
      <c r="BY883" s="36"/>
      <c r="BZ883" s="36"/>
      <c r="CA883" s="36"/>
      <c r="CB883" s="36"/>
      <c r="CC883" s="36"/>
      <c r="CD883" s="36"/>
      <c r="CE883" s="36"/>
      <c r="CF883" s="36"/>
      <c r="CG883" s="36"/>
      <c r="CH883" s="36"/>
      <c r="CI883" s="36"/>
      <c r="CJ883" s="36"/>
      <c r="CK883" s="36"/>
      <c r="CL883" s="36"/>
      <c r="CM883" s="36"/>
      <c r="CN883" s="36"/>
      <c r="CO883" s="36"/>
    </row>
    <row r="884">
      <c r="A884" s="36"/>
      <c r="B884" s="47"/>
      <c r="C884" s="50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  <c r="AL884" s="36"/>
      <c r="AM884" s="36"/>
      <c r="AN884" s="36"/>
      <c r="AO884" s="36"/>
      <c r="AP884" s="36"/>
      <c r="AQ884" s="36"/>
      <c r="AR884" s="36"/>
      <c r="AS884" s="36"/>
      <c r="AT884" s="36"/>
      <c r="AU884" s="36"/>
      <c r="AV884" s="36"/>
      <c r="AW884" s="36"/>
      <c r="AX884" s="36"/>
      <c r="AY884" s="36"/>
      <c r="AZ884" s="36"/>
      <c r="BA884" s="36"/>
      <c r="BB884" s="36"/>
      <c r="BC884" s="36"/>
      <c r="BD884" s="36"/>
      <c r="BE884" s="36"/>
      <c r="BF884" s="36"/>
      <c r="BG884" s="36"/>
      <c r="BH884" s="36"/>
      <c r="BI884" s="36"/>
      <c r="BJ884" s="36"/>
      <c r="BK884" s="36"/>
      <c r="BL884" s="36"/>
      <c r="BM884" s="36"/>
      <c r="BN884" s="36"/>
      <c r="BO884" s="36"/>
      <c r="BP884" s="36"/>
      <c r="BQ884" s="36"/>
      <c r="BR884" s="36"/>
      <c r="BS884" s="36"/>
      <c r="BT884" s="36"/>
      <c r="BU884" s="36"/>
      <c r="BV884" s="36"/>
      <c r="BW884" s="36"/>
      <c r="BX884" s="36"/>
      <c r="BY884" s="36"/>
      <c r="BZ884" s="36"/>
      <c r="CA884" s="36"/>
      <c r="CB884" s="36"/>
      <c r="CC884" s="36"/>
      <c r="CD884" s="36"/>
      <c r="CE884" s="36"/>
      <c r="CF884" s="36"/>
      <c r="CG884" s="36"/>
      <c r="CH884" s="36"/>
      <c r="CI884" s="36"/>
      <c r="CJ884" s="36"/>
      <c r="CK884" s="36"/>
      <c r="CL884" s="36"/>
      <c r="CM884" s="36"/>
      <c r="CN884" s="36"/>
      <c r="CO884" s="36"/>
    </row>
    <row r="885">
      <c r="A885" s="36"/>
      <c r="B885" s="47"/>
      <c r="C885" s="50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  <c r="AL885" s="36"/>
      <c r="AM885" s="36"/>
      <c r="AN885" s="36"/>
      <c r="AO885" s="36"/>
      <c r="AP885" s="36"/>
      <c r="AQ885" s="36"/>
      <c r="AR885" s="36"/>
      <c r="AS885" s="36"/>
      <c r="AT885" s="36"/>
      <c r="AU885" s="36"/>
      <c r="AV885" s="36"/>
      <c r="AW885" s="36"/>
      <c r="AX885" s="36"/>
      <c r="AY885" s="36"/>
      <c r="AZ885" s="36"/>
      <c r="BA885" s="36"/>
      <c r="BB885" s="36"/>
      <c r="BC885" s="36"/>
      <c r="BD885" s="36"/>
      <c r="BE885" s="36"/>
      <c r="BF885" s="36"/>
      <c r="BG885" s="36"/>
      <c r="BH885" s="36"/>
      <c r="BI885" s="36"/>
      <c r="BJ885" s="36"/>
      <c r="BK885" s="36"/>
      <c r="BL885" s="36"/>
      <c r="BM885" s="36"/>
      <c r="BN885" s="36"/>
      <c r="BO885" s="36"/>
      <c r="BP885" s="36"/>
      <c r="BQ885" s="36"/>
      <c r="BR885" s="36"/>
      <c r="BS885" s="36"/>
      <c r="BT885" s="36"/>
      <c r="BU885" s="36"/>
      <c r="BV885" s="36"/>
      <c r="BW885" s="36"/>
      <c r="BX885" s="36"/>
      <c r="BY885" s="36"/>
      <c r="BZ885" s="36"/>
      <c r="CA885" s="36"/>
      <c r="CB885" s="36"/>
      <c r="CC885" s="36"/>
      <c r="CD885" s="36"/>
      <c r="CE885" s="36"/>
      <c r="CF885" s="36"/>
      <c r="CG885" s="36"/>
      <c r="CH885" s="36"/>
      <c r="CI885" s="36"/>
      <c r="CJ885" s="36"/>
      <c r="CK885" s="36"/>
      <c r="CL885" s="36"/>
      <c r="CM885" s="36"/>
      <c r="CN885" s="36"/>
      <c r="CO885" s="36"/>
    </row>
    <row r="886">
      <c r="A886" s="36"/>
      <c r="B886" s="47"/>
      <c r="C886" s="50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  <c r="AL886" s="36"/>
      <c r="AM886" s="36"/>
      <c r="AN886" s="36"/>
      <c r="AO886" s="36"/>
      <c r="AP886" s="36"/>
      <c r="AQ886" s="36"/>
      <c r="AR886" s="36"/>
      <c r="AS886" s="36"/>
      <c r="AT886" s="36"/>
      <c r="AU886" s="36"/>
      <c r="AV886" s="36"/>
      <c r="AW886" s="36"/>
      <c r="AX886" s="36"/>
      <c r="AY886" s="36"/>
      <c r="AZ886" s="36"/>
      <c r="BA886" s="36"/>
      <c r="BB886" s="36"/>
      <c r="BC886" s="36"/>
      <c r="BD886" s="36"/>
      <c r="BE886" s="36"/>
      <c r="BF886" s="36"/>
      <c r="BG886" s="36"/>
      <c r="BH886" s="36"/>
      <c r="BI886" s="36"/>
      <c r="BJ886" s="36"/>
      <c r="BK886" s="36"/>
      <c r="BL886" s="36"/>
      <c r="BM886" s="36"/>
      <c r="BN886" s="36"/>
      <c r="BO886" s="36"/>
      <c r="BP886" s="36"/>
      <c r="BQ886" s="36"/>
      <c r="BR886" s="36"/>
      <c r="BS886" s="36"/>
      <c r="BT886" s="36"/>
      <c r="BU886" s="36"/>
      <c r="BV886" s="36"/>
      <c r="BW886" s="36"/>
      <c r="BX886" s="36"/>
      <c r="BY886" s="36"/>
      <c r="BZ886" s="36"/>
      <c r="CA886" s="36"/>
      <c r="CB886" s="36"/>
      <c r="CC886" s="36"/>
      <c r="CD886" s="36"/>
      <c r="CE886" s="36"/>
      <c r="CF886" s="36"/>
      <c r="CG886" s="36"/>
      <c r="CH886" s="36"/>
      <c r="CI886" s="36"/>
      <c r="CJ886" s="36"/>
      <c r="CK886" s="36"/>
      <c r="CL886" s="36"/>
      <c r="CM886" s="36"/>
      <c r="CN886" s="36"/>
      <c r="CO886" s="36"/>
    </row>
    <row r="887">
      <c r="A887" s="36"/>
      <c r="B887" s="47"/>
      <c r="C887" s="50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  <c r="AL887" s="36"/>
      <c r="AM887" s="36"/>
      <c r="AN887" s="36"/>
      <c r="AO887" s="36"/>
      <c r="AP887" s="36"/>
      <c r="AQ887" s="36"/>
      <c r="AR887" s="36"/>
      <c r="AS887" s="36"/>
      <c r="AT887" s="36"/>
      <c r="AU887" s="36"/>
      <c r="AV887" s="36"/>
      <c r="AW887" s="36"/>
      <c r="AX887" s="36"/>
      <c r="AY887" s="36"/>
      <c r="AZ887" s="36"/>
      <c r="BA887" s="36"/>
      <c r="BB887" s="36"/>
      <c r="BC887" s="36"/>
      <c r="BD887" s="36"/>
      <c r="BE887" s="36"/>
      <c r="BF887" s="36"/>
      <c r="BG887" s="36"/>
      <c r="BH887" s="36"/>
      <c r="BI887" s="36"/>
      <c r="BJ887" s="36"/>
      <c r="BK887" s="36"/>
      <c r="BL887" s="36"/>
      <c r="BM887" s="36"/>
      <c r="BN887" s="36"/>
      <c r="BO887" s="36"/>
      <c r="BP887" s="36"/>
      <c r="BQ887" s="36"/>
      <c r="BR887" s="36"/>
      <c r="BS887" s="36"/>
      <c r="BT887" s="36"/>
      <c r="BU887" s="36"/>
      <c r="BV887" s="36"/>
      <c r="BW887" s="36"/>
      <c r="BX887" s="36"/>
      <c r="BY887" s="36"/>
      <c r="BZ887" s="36"/>
      <c r="CA887" s="36"/>
      <c r="CB887" s="36"/>
      <c r="CC887" s="36"/>
      <c r="CD887" s="36"/>
      <c r="CE887" s="36"/>
      <c r="CF887" s="36"/>
      <c r="CG887" s="36"/>
      <c r="CH887" s="36"/>
      <c r="CI887" s="36"/>
      <c r="CJ887" s="36"/>
      <c r="CK887" s="36"/>
      <c r="CL887" s="36"/>
      <c r="CM887" s="36"/>
      <c r="CN887" s="36"/>
      <c r="CO887" s="36"/>
    </row>
    <row r="888">
      <c r="A888" s="36"/>
      <c r="B888" s="47"/>
      <c r="C888" s="50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  <c r="AL888" s="36"/>
      <c r="AM888" s="36"/>
      <c r="AN888" s="36"/>
      <c r="AO888" s="36"/>
      <c r="AP888" s="36"/>
      <c r="AQ888" s="36"/>
      <c r="AR888" s="36"/>
      <c r="AS888" s="36"/>
      <c r="AT888" s="36"/>
      <c r="AU888" s="36"/>
      <c r="AV888" s="36"/>
      <c r="AW888" s="36"/>
      <c r="AX888" s="36"/>
      <c r="AY888" s="36"/>
      <c r="AZ888" s="36"/>
      <c r="BA888" s="36"/>
      <c r="BB888" s="36"/>
      <c r="BC888" s="36"/>
      <c r="BD888" s="36"/>
      <c r="BE888" s="36"/>
      <c r="BF888" s="36"/>
      <c r="BG888" s="36"/>
      <c r="BH888" s="36"/>
      <c r="BI888" s="36"/>
      <c r="BJ888" s="36"/>
      <c r="BK888" s="36"/>
      <c r="BL888" s="36"/>
      <c r="BM888" s="36"/>
      <c r="BN888" s="36"/>
      <c r="BO888" s="36"/>
      <c r="BP888" s="36"/>
      <c r="BQ888" s="36"/>
      <c r="BR888" s="36"/>
      <c r="BS888" s="36"/>
      <c r="BT888" s="36"/>
      <c r="BU888" s="36"/>
      <c r="BV888" s="36"/>
      <c r="BW888" s="36"/>
      <c r="BX888" s="36"/>
      <c r="BY888" s="36"/>
      <c r="BZ888" s="36"/>
      <c r="CA888" s="36"/>
      <c r="CB888" s="36"/>
      <c r="CC888" s="36"/>
      <c r="CD888" s="36"/>
      <c r="CE888" s="36"/>
      <c r="CF888" s="36"/>
      <c r="CG888" s="36"/>
      <c r="CH888" s="36"/>
      <c r="CI888" s="36"/>
      <c r="CJ888" s="36"/>
      <c r="CK888" s="36"/>
      <c r="CL888" s="36"/>
      <c r="CM888" s="36"/>
      <c r="CN888" s="36"/>
      <c r="CO888" s="36"/>
    </row>
    <row r="889">
      <c r="A889" s="36"/>
      <c r="B889" s="47"/>
      <c r="C889" s="50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  <c r="AL889" s="36"/>
      <c r="AM889" s="36"/>
      <c r="AN889" s="36"/>
      <c r="AO889" s="36"/>
      <c r="AP889" s="36"/>
      <c r="AQ889" s="36"/>
      <c r="AR889" s="36"/>
      <c r="AS889" s="36"/>
      <c r="AT889" s="36"/>
      <c r="AU889" s="36"/>
      <c r="AV889" s="36"/>
      <c r="AW889" s="36"/>
      <c r="AX889" s="36"/>
      <c r="AY889" s="36"/>
      <c r="AZ889" s="36"/>
      <c r="BA889" s="36"/>
      <c r="BB889" s="36"/>
      <c r="BC889" s="36"/>
      <c r="BD889" s="36"/>
      <c r="BE889" s="36"/>
      <c r="BF889" s="36"/>
      <c r="BG889" s="36"/>
      <c r="BH889" s="36"/>
      <c r="BI889" s="36"/>
      <c r="BJ889" s="36"/>
      <c r="BK889" s="36"/>
      <c r="BL889" s="36"/>
      <c r="BM889" s="36"/>
      <c r="BN889" s="36"/>
      <c r="BO889" s="36"/>
      <c r="BP889" s="36"/>
      <c r="BQ889" s="36"/>
      <c r="BR889" s="36"/>
      <c r="BS889" s="36"/>
      <c r="BT889" s="36"/>
      <c r="BU889" s="36"/>
      <c r="BV889" s="36"/>
      <c r="BW889" s="36"/>
      <c r="BX889" s="36"/>
      <c r="BY889" s="36"/>
      <c r="BZ889" s="36"/>
      <c r="CA889" s="36"/>
      <c r="CB889" s="36"/>
      <c r="CC889" s="36"/>
      <c r="CD889" s="36"/>
      <c r="CE889" s="36"/>
      <c r="CF889" s="36"/>
      <c r="CG889" s="36"/>
      <c r="CH889" s="36"/>
      <c r="CI889" s="36"/>
      <c r="CJ889" s="36"/>
      <c r="CK889" s="36"/>
      <c r="CL889" s="36"/>
      <c r="CM889" s="36"/>
      <c r="CN889" s="36"/>
      <c r="CO889" s="36"/>
    </row>
    <row r="890">
      <c r="A890" s="36"/>
      <c r="B890" s="47"/>
      <c r="C890" s="50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  <c r="AL890" s="36"/>
      <c r="AM890" s="36"/>
      <c r="AN890" s="36"/>
      <c r="AO890" s="36"/>
      <c r="AP890" s="36"/>
      <c r="AQ890" s="36"/>
      <c r="AR890" s="36"/>
      <c r="AS890" s="36"/>
      <c r="AT890" s="36"/>
      <c r="AU890" s="36"/>
      <c r="AV890" s="36"/>
      <c r="AW890" s="36"/>
      <c r="AX890" s="36"/>
      <c r="AY890" s="36"/>
      <c r="AZ890" s="36"/>
      <c r="BA890" s="36"/>
      <c r="BB890" s="36"/>
      <c r="BC890" s="36"/>
      <c r="BD890" s="36"/>
      <c r="BE890" s="36"/>
      <c r="BF890" s="36"/>
      <c r="BG890" s="36"/>
      <c r="BH890" s="36"/>
      <c r="BI890" s="36"/>
      <c r="BJ890" s="36"/>
      <c r="BK890" s="36"/>
      <c r="BL890" s="36"/>
      <c r="BM890" s="36"/>
      <c r="BN890" s="36"/>
      <c r="BO890" s="36"/>
      <c r="BP890" s="36"/>
      <c r="BQ890" s="36"/>
      <c r="BR890" s="36"/>
      <c r="BS890" s="36"/>
      <c r="BT890" s="36"/>
      <c r="BU890" s="36"/>
      <c r="BV890" s="36"/>
      <c r="BW890" s="36"/>
      <c r="BX890" s="36"/>
      <c r="BY890" s="36"/>
      <c r="BZ890" s="36"/>
      <c r="CA890" s="36"/>
      <c r="CB890" s="36"/>
      <c r="CC890" s="36"/>
      <c r="CD890" s="36"/>
      <c r="CE890" s="36"/>
      <c r="CF890" s="36"/>
      <c r="CG890" s="36"/>
      <c r="CH890" s="36"/>
      <c r="CI890" s="36"/>
      <c r="CJ890" s="36"/>
      <c r="CK890" s="36"/>
      <c r="CL890" s="36"/>
      <c r="CM890" s="36"/>
      <c r="CN890" s="36"/>
      <c r="CO890" s="36"/>
    </row>
    <row r="891">
      <c r="A891" s="36"/>
      <c r="B891" s="47"/>
      <c r="C891" s="50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  <c r="AL891" s="36"/>
      <c r="AM891" s="36"/>
      <c r="AN891" s="36"/>
      <c r="AO891" s="36"/>
      <c r="AP891" s="36"/>
      <c r="AQ891" s="36"/>
      <c r="AR891" s="36"/>
      <c r="AS891" s="36"/>
      <c r="AT891" s="36"/>
      <c r="AU891" s="36"/>
      <c r="AV891" s="36"/>
      <c r="AW891" s="36"/>
      <c r="AX891" s="36"/>
      <c r="AY891" s="36"/>
      <c r="AZ891" s="36"/>
      <c r="BA891" s="36"/>
      <c r="BB891" s="36"/>
      <c r="BC891" s="36"/>
      <c r="BD891" s="36"/>
      <c r="BE891" s="36"/>
      <c r="BF891" s="36"/>
      <c r="BG891" s="36"/>
      <c r="BH891" s="36"/>
      <c r="BI891" s="36"/>
      <c r="BJ891" s="36"/>
      <c r="BK891" s="36"/>
      <c r="BL891" s="36"/>
      <c r="BM891" s="36"/>
      <c r="BN891" s="36"/>
      <c r="BO891" s="36"/>
      <c r="BP891" s="36"/>
      <c r="BQ891" s="36"/>
      <c r="BR891" s="36"/>
      <c r="BS891" s="36"/>
      <c r="BT891" s="36"/>
      <c r="BU891" s="36"/>
      <c r="BV891" s="36"/>
      <c r="BW891" s="36"/>
      <c r="BX891" s="36"/>
      <c r="BY891" s="36"/>
      <c r="BZ891" s="36"/>
      <c r="CA891" s="36"/>
      <c r="CB891" s="36"/>
      <c r="CC891" s="36"/>
      <c r="CD891" s="36"/>
      <c r="CE891" s="36"/>
      <c r="CF891" s="36"/>
      <c r="CG891" s="36"/>
      <c r="CH891" s="36"/>
      <c r="CI891" s="36"/>
      <c r="CJ891" s="36"/>
      <c r="CK891" s="36"/>
      <c r="CL891" s="36"/>
      <c r="CM891" s="36"/>
      <c r="CN891" s="36"/>
      <c r="CO891" s="36"/>
    </row>
    <row r="892">
      <c r="A892" s="36"/>
      <c r="B892" s="47"/>
      <c r="C892" s="50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  <c r="AL892" s="36"/>
      <c r="AM892" s="36"/>
      <c r="AN892" s="36"/>
      <c r="AO892" s="36"/>
      <c r="AP892" s="36"/>
      <c r="AQ892" s="36"/>
      <c r="AR892" s="36"/>
      <c r="AS892" s="36"/>
      <c r="AT892" s="36"/>
      <c r="AU892" s="36"/>
      <c r="AV892" s="36"/>
      <c r="AW892" s="36"/>
      <c r="AX892" s="36"/>
      <c r="AY892" s="36"/>
      <c r="AZ892" s="36"/>
      <c r="BA892" s="36"/>
      <c r="BB892" s="36"/>
      <c r="BC892" s="36"/>
      <c r="BD892" s="36"/>
      <c r="BE892" s="36"/>
      <c r="BF892" s="36"/>
      <c r="BG892" s="36"/>
      <c r="BH892" s="36"/>
      <c r="BI892" s="36"/>
      <c r="BJ892" s="36"/>
      <c r="BK892" s="36"/>
      <c r="BL892" s="36"/>
      <c r="BM892" s="36"/>
      <c r="BN892" s="36"/>
      <c r="BO892" s="36"/>
      <c r="BP892" s="36"/>
      <c r="BQ892" s="36"/>
      <c r="BR892" s="36"/>
      <c r="BS892" s="36"/>
      <c r="BT892" s="36"/>
      <c r="BU892" s="36"/>
      <c r="BV892" s="36"/>
      <c r="BW892" s="36"/>
      <c r="BX892" s="36"/>
      <c r="BY892" s="36"/>
      <c r="BZ892" s="36"/>
      <c r="CA892" s="36"/>
      <c r="CB892" s="36"/>
      <c r="CC892" s="36"/>
      <c r="CD892" s="36"/>
      <c r="CE892" s="36"/>
      <c r="CF892" s="36"/>
      <c r="CG892" s="36"/>
      <c r="CH892" s="36"/>
      <c r="CI892" s="36"/>
      <c r="CJ892" s="36"/>
      <c r="CK892" s="36"/>
      <c r="CL892" s="36"/>
      <c r="CM892" s="36"/>
      <c r="CN892" s="36"/>
      <c r="CO892" s="36"/>
    </row>
    <row r="893">
      <c r="A893" s="36"/>
      <c r="B893" s="47"/>
      <c r="C893" s="50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  <c r="AL893" s="36"/>
      <c r="AM893" s="36"/>
      <c r="AN893" s="36"/>
      <c r="AO893" s="36"/>
      <c r="AP893" s="36"/>
      <c r="AQ893" s="36"/>
      <c r="AR893" s="36"/>
      <c r="AS893" s="36"/>
      <c r="AT893" s="36"/>
      <c r="AU893" s="36"/>
      <c r="AV893" s="36"/>
      <c r="AW893" s="36"/>
      <c r="AX893" s="36"/>
      <c r="AY893" s="36"/>
      <c r="AZ893" s="36"/>
      <c r="BA893" s="36"/>
      <c r="BB893" s="36"/>
      <c r="BC893" s="36"/>
      <c r="BD893" s="36"/>
      <c r="BE893" s="36"/>
      <c r="BF893" s="36"/>
      <c r="BG893" s="36"/>
      <c r="BH893" s="36"/>
      <c r="BI893" s="36"/>
      <c r="BJ893" s="36"/>
      <c r="BK893" s="36"/>
      <c r="BL893" s="36"/>
      <c r="BM893" s="36"/>
      <c r="BN893" s="36"/>
      <c r="BO893" s="36"/>
      <c r="BP893" s="36"/>
      <c r="BQ893" s="36"/>
      <c r="BR893" s="36"/>
      <c r="BS893" s="36"/>
      <c r="BT893" s="36"/>
      <c r="BU893" s="36"/>
      <c r="BV893" s="36"/>
      <c r="BW893" s="36"/>
      <c r="BX893" s="36"/>
      <c r="BY893" s="36"/>
      <c r="BZ893" s="36"/>
      <c r="CA893" s="36"/>
      <c r="CB893" s="36"/>
      <c r="CC893" s="36"/>
      <c r="CD893" s="36"/>
      <c r="CE893" s="36"/>
      <c r="CF893" s="36"/>
      <c r="CG893" s="36"/>
      <c r="CH893" s="36"/>
      <c r="CI893" s="36"/>
      <c r="CJ893" s="36"/>
      <c r="CK893" s="36"/>
      <c r="CL893" s="36"/>
      <c r="CM893" s="36"/>
      <c r="CN893" s="36"/>
      <c r="CO893" s="36"/>
    </row>
    <row r="894">
      <c r="A894" s="36"/>
      <c r="B894" s="47"/>
      <c r="C894" s="50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  <c r="AL894" s="36"/>
      <c r="AM894" s="36"/>
      <c r="AN894" s="36"/>
      <c r="AO894" s="36"/>
      <c r="AP894" s="36"/>
      <c r="AQ894" s="36"/>
      <c r="AR894" s="36"/>
      <c r="AS894" s="36"/>
      <c r="AT894" s="36"/>
      <c r="AU894" s="36"/>
      <c r="AV894" s="36"/>
      <c r="AW894" s="36"/>
      <c r="AX894" s="36"/>
      <c r="AY894" s="36"/>
      <c r="AZ894" s="36"/>
      <c r="BA894" s="36"/>
      <c r="BB894" s="36"/>
      <c r="BC894" s="36"/>
      <c r="BD894" s="36"/>
      <c r="BE894" s="36"/>
      <c r="BF894" s="36"/>
      <c r="BG894" s="36"/>
      <c r="BH894" s="36"/>
      <c r="BI894" s="36"/>
      <c r="BJ894" s="36"/>
      <c r="BK894" s="36"/>
      <c r="BL894" s="36"/>
      <c r="BM894" s="36"/>
      <c r="BN894" s="36"/>
      <c r="BO894" s="36"/>
      <c r="BP894" s="36"/>
      <c r="BQ894" s="36"/>
      <c r="BR894" s="36"/>
      <c r="BS894" s="36"/>
      <c r="BT894" s="36"/>
      <c r="BU894" s="36"/>
      <c r="BV894" s="36"/>
      <c r="BW894" s="36"/>
      <c r="BX894" s="36"/>
      <c r="BY894" s="36"/>
      <c r="BZ894" s="36"/>
      <c r="CA894" s="36"/>
      <c r="CB894" s="36"/>
      <c r="CC894" s="36"/>
      <c r="CD894" s="36"/>
      <c r="CE894" s="36"/>
      <c r="CF894" s="36"/>
      <c r="CG894" s="36"/>
      <c r="CH894" s="36"/>
      <c r="CI894" s="36"/>
      <c r="CJ894" s="36"/>
      <c r="CK894" s="36"/>
      <c r="CL894" s="36"/>
      <c r="CM894" s="36"/>
      <c r="CN894" s="36"/>
      <c r="CO894" s="36"/>
    </row>
    <row r="895">
      <c r="A895" s="36"/>
      <c r="B895" s="47"/>
      <c r="C895" s="50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  <c r="AL895" s="36"/>
      <c r="AM895" s="36"/>
      <c r="AN895" s="36"/>
      <c r="AO895" s="36"/>
      <c r="AP895" s="36"/>
      <c r="AQ895" s="36"/>
      <c r="AR895" s="36"/>
      <c r="AS895" s="36"/>
      <c r="AT895" s="36"/>
      <c r="AU895" s="36"/>
      <c r="AV895" s="36"/>
      <c r="AW895" s="36"/>
      <c r="AX895" s="36"/>
      <c r="AY895" s="36"/>
      <c r="AZ895" s="36"/>
      <c r="BA895" s="36"/>
      <c r="BB895" s="36"/>
      <c r="BC895" s="36"/>
      <c r="BD895" s="36"/>
      <c r="BE895" s="36"/>
      <c r="BF895" s="36"/>
      <c r="BG895" s="36"/>
      <c r="BH895" s="36"/>
      <c r="BI895" s="36"/>
      <c r="BJ895" s="36"/>
      <c r="BK895" s="36"/>
      <c r="BL895" s="36"/>
      <c r="BM895" s="36"/>
      <c r="BN895" s="36"/>
      <c r="BO895" s="36"/>
      <c r="BP895" s="36"/>
      <c r="BQ895" s="36"/>
      <c r="BR895" s="36"/>
      <c r="BS895" s="36"/>
      <c r="BT895" s="36"/>
      <c r="BU895" s="36"/>
      <c r="BV895" s="36"/>
      <c r="BW895" s="36"/>
      <c r="BX895" s="36"/>
      <c r="BY895" s="36"/>
      <c r="BZ895" s="36"/>
      <c r="CA895" s="36"/>
      <c r="CB895" s="36"/>
      <c r="CC895" s="36"/>
      <c r="CD895" s="36"/>
      <c r="CE895" s="36"/>
      <c r="CF895" s="36"/>
      <c r="CG895" s="36"/>
      <c r="CH895" s="36"/>
      <c r="CI895" s="36"/>
      <c r="CJ895" s="36"/>
      <c r="CK895" s="36"/>
      <c r="CL895" s="36"/>
      <c r="CM895" s="36"/>
      <c r="CN895" s="36"/>
      <c r="CO895" s="36"/>
    </row>
    <row r="896">
      <c r="A896" s="36"/>
      <c r="B896" s="47"/>
      <c r="C896" s="50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  <c r="AL896" s="36"/>
      <c r="AM896" s="36"/>
      <c r="AN896" s="36"/>
      <c r="AO896" s="36"/>
      <c r="AP896" s="36"/>
      <c r="AQ896" s="36"/>
      <c r="AR896" s="36"/>
      <c r="AS896" s="36"/>
      <c r="AT896" s="36"/>
      <c r="AU896" s="36"/>
      <c r="AV896" s="36"/>
      <c r="AW896" s="36"/>
      <c r="AX896" s="36"/>
      <c r="AY896" s="36"/>
      <c r="AZ896" s="36"/>
      <c r="BA896" s="36"/>
      <c r="BB896" s="36"/>
      <c r="BC896" s="36"/>
      <c r="BD896" s="36"/>
      <c r="BE896" s="36"/>
      <c r="BF896" s="36"/>
      <c r="BG896" s="36"/>
      <c r="BH896" s="36"/>
      <c r="BI896" s="36"/>
      <c r="BJ896" s="36"/>
      <c r="BK896" s="36"/>
      <c r="BL896" s="36"/>
      <c r="BM896" s="36"/>
      <c r="BN896" s="36"/>
      <c r="BO896" s="36"/>
      <c r="BP896" s="36"/>
      <c r="BQ896" s="36"/>
      <c r="BR896" s="36"/>
      <c r="BS896" s="36"/>
      <c r="BT896" s="36"/>
      <c r="BU896" s="36"/>
      <c r="BV896" s="36"/>
      <c r="BW896" s="36"/>
      <c r="BX896" s="36"/>
      <c r="BY896" s="36"/>
      <c r="BZ896" s="36"/>
      <c r="CA896" s="36"/>
      <c r="CB896" s="36"/>
      <c r="CC896" s="36"/>
      <c r="CD896" s="36"/>
      <c r="CE896" s="36"/>
      <c r="CF896" s="36"/>
      <c r="CG896" s="36"/>
      <c r="CH896" s="36"/>
      <c r="CI896" s="36"/>
      <c r="CJ896" s="36"/>
      <c r="CK896" s="36"/>
      <c r="CL896" s="36"/>
      <c r="CM896" s="36"/>
      <c r="CN896" s="36"/>
      <c r="CO896" s="36"/>
    </row>
    <row r="897">
      <c r="A897" s="36"/>
      <c r="B897" s="47"/>
      <c r="C897" s="50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  <c r="AL897" s="36"/>
      <c r="AM897" s="36"/>
      <c r="AN897" s="36"/>
      <c r="AO897" s="36"/>
      <c r="AP897" s="36"/>
      <c r="AQ897" s="36"/>
      <c r="AR897" s="36"/>
      <c r="AS897" s="36"/>
      <c r="AT897" s="36"/>
      <c r="AU897" s="36"/>
      <c r="AV897" s="36"/>
      <c r="AW897" s="36"/>
      <c r="AX897" s="36"/>
      <c r="AY897" s="36"/>
      <c r="AZ897" s="36"/>
      <c r="BA897" s="36"/>
      <c r="BB897" s="36"/>
      <c r="BC897" s="36"/>
      <c r="BD897" s="36"/>
      <c r="BE897" s="36"/>
      <c r="BF897" s="36"/>
      <c r="BG897" s="36"/>
      <c r="BH897" s="36"/>
      <c r="BI897" s="36"/>
      <c r="BJ897" s="36"/>
      <c r="BK897" s="36"/>
      <c r="BL897" s="36"/>
      <c r="BM897" s="36"/>
      <c r="BN897" s="36"/>
      <c r="BO897" s="36"/>
      <c r="BP897" s="36"/>
      <c r="BQ897" s="36"/>
      <c r="BR897" s="36"/>
      <c r="BS897" s="36"/>
      <c r="BT897" s="36"/>
      <c r="BU897" s="36"/>
      <c r="BV897" s="36"/>
      <c r="BW897" s="36"/>
      <c r="BX897" s="36"/>
      <c r="BY897" s="36"/>
      <c r="BZ897" s="36"/>
      <c r="CA897" s="36"/>
      <c r="CB897" s="36"/>
      <c r="CC897" s="36"/>
      <c r="CD897" s="36"/>
      <c r="CE897" s="36"/>
      <c r="CF897" s="36"/>
      <c r="CG897" s="36"/>
      <c r="CH897" s="36"/>
      <c r="CI897" s="36"/>
      <c r="CJ897" s="36"/>
      <c r="CK897" s="36"/>
      <c r="CL897" s="36"/>
      <c r="CM897" s="36"/>
      <c r="CN897" s="36"/>
      <c r="CO897" s="36"/>
    </row>
    <row r="898">
      <c r="A898" s="36"/>
      <c r="B898" s="47"/>
      <c r="C898" s="50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  <c r="AL898" s="36"/>
      <c r="AM898" s="36"/>
      <c r="AN898" s="36"/>
      <c r="AO898" s="36"/>
      <c r="AP898" s="36"/>
      <c r="AQ898" s="36"/>
      <c r="AR898" s="36"/>
      <c r="AS898" s="36"/>
      <c r="AT898" s="36"/>
      <c r="AU898" s="36"/>
      <c r="AV898" s="36"/>
      <c r="AW898" s="36"/>
      <c r="AX898" s="36"/>
      <c r="AY898" s="36"/>
      <c r="AZ898" s="36"/>
      <c r="BA898" s="36"/>
      <c r="BB898" s="36"/>
      <c r="BC898" s="36"/>
      <c r="BD898" s="36"/>
      <c r="BE898" s="36"/>
      <c r="BF898" s="36"/>
      <c r="BG898" s="36"/>
      <c r="BH898" s="36"/>
      <c r="BI898" s="36"/>
      <c r="BJ898" s="36"/>
      <c r="BK898" s="36"/>
      <c r="BL898" s="36"/>
      <c r="BM898" s="36"/>
      <c r="BN898" s="36"/>
      <c r="BO898" s="36"/>
      <c r="BP898" s="36"/>
      <c r="BQ898" s="36"/>
      <c r="BR898" s="36"/>
      <c r="BS898" s="36"/>
      <c r="BT898" s="36"/>
      <c r="BU898" s="36"/>
      <c r="BV898" s="36"/>
      <c r="BW898" s="36"/>
      <c r="BX898" s="36"/>
      <c r="BY898" s="36"/>
      <c r="BZ898" s="36"/>
      <c r="CA898" s="36"/>
      <c r="CB898" s="36"/>
      <c r="CC898" s="36"/>
      <c r="CD898" s="36"/>
      <c r="CE898" s="36"/>
      <c r="CF898" s="36"/>
      <c r="CG898" s="36"/>
      <c r="CH898" s="36"/>
      <c r="CI898" s="36"/>
      <c r="CJ898" s="36"/>
      <c r="CK898" s="36"/>
      <c r="CL898" s="36"/>
      <c r="CM898" s="36"/>
      <c r="CN898" s="36"/>
      <c r="CO898" s="36"/>
    </row>
    <row r="899">
      <c r="A899" s="36"/>
      <c r="B899" s="47"/>
      <c r="C899" s="50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  <c r="AL899" s="36"/>
      <c r="AM899" s="36"/>
      <c r="AN899" s="36"/>
      <c r="AO899" s="36"/>
      <c r="AP899" s="36"/>
      <c r="AQ899" s="36"/>
      <c r="AR899" s="36"/>
      <c r="AS899" s="36"/>
      <c r="AT899" s="36"/>
      <c r="AU899" s="36"/>
      <c r="AV899" s="36"/>
      <c r="AW899" s="36"/>
      <c r="AX899" s="36"/>
      <c r="AY899" s="36"/>
      <c r="AZ899" s="36"/>
      <c r="BA899" s="36"/>
      <c r="BB899" s="36"/>
      <c r="BC899" s="36"/>
      <c r="BD899" s="36"/>
      <c r="BE899" s="36"/>
      <c r="BF899" s="36"/>
      <c r="BG899" s="36"/>
      <c r="BH899" s="36"/>
      <c r="BI899" s="36"/>
      <c r="BJ899" s="36"/>
      <c r="BK899" s="36"/>
      <c r="BL899" s="36"/>
      <c r="BM899" s="36"/>
      <c r="BN899" s="36"/>
      <c r="BO899" s="36"/>
      <c r="BP899" s="36"/>
      <c r="BQ899" s="36"/>
      <c r="BR899" s="36"/>
      <c r="BS899" s="36"/>
      <c r="BT899" s="36"/>
      <c r="BU899" s="36"/>
      <c r="BV899" s="36"/>
      <c r="BW899" s="36"/>
      <c r="BX899" s="36"/>
      <c r="BY899" s="36"/>
      <c r="BZ899" s="36"/>
      <c r="CA899" s="36"/>
      <c r="CB899" s="36"/>
      <c r="CC899" s="36"/>
      <c r="CD899" s="36"/>
      <c r="CE899" s="36"/>
      <c r="CF899" s="36"/>
      <c r="CG899" s="36"/>
      <c r="CH899" s="36"/>
      <c r="CI899" s="36"/>
      <c r="CJ899" s="36"/>
      <c r="CK899" s="36"/>
      <c r="CL899" s="36"/>
      <c r="CM899" s="36"/>
      <c r="CN899" s="36"/>
      <c r="CO899" s="36"/>
    </row>
    <row r="900">
      <c r="A900" s="36"/>
      <c r="B900" s="47"/>
      <c r="C900" s="50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  <c r="AL900" s="36"/>
      <c r="AM900" s="36"/>
      <c r="AN900" s="36"/>
      <c r="AO900" s="36"/>
      <c r="AP900" s="36"/>
      <c r="AQ900" s="36"/>
      <c r="AR900" s="36"/>
      <c r="AS900" s="36"/>
      <c r="AT900" s="36"/>
      <c r="AU900" s="36"/>
      <c r="AV900" s="36"/>
      <c r="AW900" s="36"/>
      <c r="AX900" s="36"/>
      <c r="AY900" s="36"/>
      <c r="AZ900" s="36"/>
      <c r="BA900" s="36"/>
      <c r="BB900" s="36"/>
      <c r="BC900" s="36"/>
      <c r="BD900" s="36"/>
      <c r="BE900" s="36"/>
      <c r="BF900" s="36"/>
      <c r="BG900" s="36"/>
      <c r="BH900" s="36"/>
      <c r="BI900" s="36"/>
      <c r="BJ900" s="36"/>
      <c r="BK900" s="36"/>
      <c r="BL900" s="36"/>
      <c r="BM900" s="36"/>
      <c r="BN900" s="36"/>
      <c r="BO900" s="36"/>
      <c r="BP900" s="36"/>
      <c r="BQ900" s="36"/>
      <c r="BR900" s="36"/>
      <c r="BS900" s="36"/>
      <c r="BT900" s="36"/>
      <c r="BU900" s="36"/>
      <c r="BV900" s="36"/>
      <c r="BW900" s="36"/>
      <c r="BX900" s="36"/>
      <c r="BY900" s="36"/>
      <c r="BZ900" s="36"/>
      <c r="CA900" s="36"/>
      <c r="CB900" s="36"/>
      <c r="CC900" s="36"/>
      <c r="CD900" s="36"/>
      <c r="CE900" s="36"/>
      <c r="CF900" s="36"/>
      <c r="CG900" s="36"/>
      <c r="CH900" s="36"/>
      <c r="CI900" s="36"/>
      <c r="CJ900" s="36"/>
      <c r="CK900" s="36"/>
      <c r="CL900" s="36"/>
      <c r="CM900" s="36"/>
      <c r="CN900" s="36"/>
      <c r="CO900" s="36"/>
    </row>
    <row r="901">
      <c r="A901" s="36"/>
      <c r="B901" s="47"/>
      <c r="C901" s="50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  <c r="AL901" s="36"/>
      <c r="AM901" s="36"/>
      <c r="AN901" s="36"/>
      <c r="AO901" s="36"/>
      <c r="AP901" s="36"/>
      <c r="AQ901" s="36"/>
      <c r="AR901" s="36"/>
      <c r="AS901" s="36"/>
      <c r="AT901" s="36"/>
      <c r="AU901" s="36"/>
      <c r="AV901" s="36"/>
      <c r="AW901" s="36"/>
      <c r="AX901" s="36"/>
      <c r="AY901" s="36"/>
      <c r="AZ901" s="36"/>
      <c r="BA901" s="36"/>
      <c r="BB901" s="36"/>
      <c r="BC901" s="36"/>
      <c r="BD901" s="36"/>
      <c r="BE901" s="36"/>
      <c r="BF901" s="36"/>
      <c r="BG901" s="36"/>
      <c r="BH901" s="36"/>
      <c r="BI901" s="36"/>
      <c r="BJ901" s="36"/>
      <c r="BK901" s="36"/>
      <c r="BL901" s="36"/>
      <c r="BM901" s="36"/>
      <c r="BN901" s="36"/>
      <c r="BO901" s="36"/>
      <c r="BP901" s="36"/>
      <c r="BQ901" s="36"/>
      <c r="BR901" s="36"/>
      <c r="BS901" s="36"/>
      <c r="BT901" s="36"/>
      <c r="BU901" s="36"/>
      <c r="BV901" s="36"/>
      <c r="BW901" s="36"/>
      <c r="BX901" s="36"/>
      <c r="BY901" s="36"/>
      <c r="BZ901" s="36"/>
      <c r="CA901" s="36"/>
      <c r="CB901" s="36"/>
      <c r="CC901" s="36"/>
      <c r="CD901" s="36"/>
      <c r="CE901" s="36"/>
      <c r="CF901" s="36"/>
      <c r="CG901" s="36"/>
      <c r="CH901" s="36"/>
      <c r="CI901" s="36"/>
      <c r="CJ901" s="36"/>
      <c r="CK901" s="36"/>
      <c r="CL901" s="36"/>
      <c r="CM901" s="36"/>
      <c r="CN901" s="36"/>
      <c r="CO901" s="36"/>
    </row>
    <row r="902">
      <c r="A902" s="36"/>
      <c r="B902" s="47"/>
      <c r="C902" s="50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  <c r="AL902" s="36"/>
      <c r="AM902" s="36"/>
      <c r="AN902" s="36"/>
      <c r="AO902" s="36"/>
      <c r="AP902" s="36"/>
      <c r="AQ902" s="36"/>
      <c r="AR902" s="36"/>
      <c r="AS902" s="36"/>
      <c r="AT902" s="36"/>
      <c r="AU902" s="36"/>
      <c r="AV902" s="36"/>
      <c r="AW902" s="36"/>
      <c r="AX902" s="36"/>
      <c r="AY902" s="36"/>
      <c r="AZ902" s="36"/>
      <c r="BA902" s="36"/>
      <c r="BB902" s="36"/>
      <c r="BC902" s="36"/>
      <c r="BD902" s="36"/>
      <c r="BE902" s="36"/>
      <c r="BF902" s="36"/>
      <c r="BG902" s="36"/>
      <c r="BH902" s="36"/>
      <c r="BI902" s="36"/>
      <c r="BJ902" s="36"/>
      <c r="BK902" s="36"/>
      <c r="BL902" s="36"/>
      <c r="BM902" s="36"/>
      <c r="BN902" s="36"/>
      <c r="BO902" s="36"/>
      <c r="BP902" s="36"/>
      <c r="BQ902" s="36"/>
      <c r="BR902" s="36"/>
      <c r="BS902" s="36"/>
      <c r="BT902" s="36"/>
      <c r="BU902" s="36"/>
      <c r="BV902" s="36"/>
      <c r="BW902" s="36"/>
      <c r="BX902" s="36"/>
      <c r="BY902" s="36"/>
      <c r="BZ902" s="36"/>
      <c r="CA902" s="36"/>
      <c r="CB902" s="36"/>
      <c r="CC902" s="36"/>
      <c r="CD902" s="36"/>
      <c r="CE902" s="36"/>
      <c r="CF902" s="36"/>
      <c r="CG902" s="36"/>
      <c r="CH902" s="36"/>
      <c r="CI902" s="36"/>
      <c r="CJ902" s="36"/>
      <c r="CK902" s="36"/>
      <c r="CL902" s="36"/>
      <c r="CM902" s="36"/>
      <c r="CN902" s="36"/>
      <c r="CO902" s="36"/>
    </row>
    <row r="903">
      <c r="A903" s="36"/>
      <c r="B903" s="47"/>
      <c r="C903" s="50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  <c r="AL903" s="36"/>
      <c r="AM903" s="36"/>
      <c r="AN903" s="36"/>
      <c r="AO903" s="36"/>
      <c r="AP903" s="36"/>
      <c r="AQ903" s="36"/>
      <c r="AR903" s="36"/>
      <c r="AS903" s="36"/>
      <c r="AT903" s="36"/>
      <c r="AU903" s="36"/>
      <c r="AV903" s="36"/>
      <c r="AW903" s="36"/>
      <c r="AX903" s="36"/>
      <c r="AY903" s="36"/>
      <c r="AZ903" s="36"/>
      <c r="BA903" s="36"/>
      <c r="BB903" s="36"/>
      <c r="BC903" s="36"/>
      <c r="BD903" s="36"/>
      <c r="BE903" s="36"/>
      <c r="BF903" s="36"/>
      <c r="BG903" s="36"/>
      <c r="BH903" s="36"/>
      <c r="BI903" s="36"/>
      <c r="BJ903" s="36"/>
      <c r="BK903" s="36"/>
      <c r="BL903" s="36"/>
      <c r="BM903" s="36"/>
      <c r="BN903" s="36"/>
      <c r="BO903" s="36"/>
      <c r="BP903" s="36"/>
      <c r="BQ903" s="36"/>
      <c r="BR903" s="36"/>
      <c r="BS903" s="36"/>
      <c r="BT903" s="36"/>
      <c r="BU903" s="36"/>
      <c r="BV903" s="36"/>
      <c r="BW903" s="36"/>
      <c r="BX903" s="36"/>
      <c r="BY903" s="36"/>
      <c r="BZ903" s="36"/>
      <c r="CA903" s="36"/>
      <c r="CB903" s="36"/>
      <c r="CC903" s="36"/>
      <c r="CD903" s="36"/>
      <c r="CE903" s="36"/>
      <c r="CF903" s="36"/>
      <c r="CG903" s="36"/>
      <c r="CH903" s="36"/>
      <c r="CI903" s="36"/>
      <c r="CJ903" s="36"/>
      <c r="CK903" s="36"/>
      <c r="CL903" s="36"/>
      <c r="CM903" s="36"/>
      <c r="CN903" s="36"/>
      <c r="CO903" s="36"/>
    </row>
    <row r="904">
      <c r="A904" s="36"/>
      <c r="B904" s="47"/>
      <c r="C904" s="50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  <c r="AL904" s="36"/>
      <c r="AM904" s="36"/>
      <c r="AN904" s="36"/>
      <c r="AO904" s="36"/>
      <c r="AP904" s="36"/>
      <c r="AQ904" s="36"/>
      <c r="AR904" s="36"/>
      <c r="AS904" s="36"/>
      <c r="AT904" s="36"/>
      <c r="AU904" s="36"/>
      <c r="AV904" s="36"/>
      <c r="AW904" s="36"/>
      <c r="AX904" s="36"/>
      <c r="AY904" s="36"/>
      <c r="AZ904" s="36"/>
      <c r="BA904" s="36"/>
      <c r="BB904" s="36"/>
      <c r="BC904" s="36"/>
      <c r="BD904" s="36"/>
      <c r="BE904" s="36"/>
      <c r="BF904" s="36"/>
      <c r="BG904" s="36"/>
      <c r="BH904" s="36"/>
      <c r="BI904" s="36"/>
      <c r="BJ904" s="36"/>
      <c r="BK904" s="36"/>
      <c r="BL904" s="36"/>
      <c r="BM904" s="36"/>
      <c r="BN904" s="36"/>
      <c r="BO904" s="36"/>
      <c r="BP904" s="36"/>
      <c r="BQ904" s="36"/>
      <c r="BR904" s="36"/>
      <c r="BS904" s="36"/>
      <c r="BT904" s="36"/>
      <c r="BU904" s="36"/>
      <c r="BV904" s="36"/>
      <c r="BW904" s="36"/>
      <c r="BX904" s="36"/>
      <c r="BY904" s="36"/>
      <c r="BZ904" s="36"/>
      <c r="CA904" s="36"/>
      <c r="CB904" s="36"/>
      <c r="CC904" s="36"/>
      <c r="CD904" s="36"/>
      <c r="CE904" s="36"/>
      <c r="CF904" s="36"/>
      <c r="CG904" s="36"/>
      <c r="CH904" s="36"/>
      <c r="CI904" s="36"/>
      <c r="CJ904" s="36"/>
      <c r="CK904" s="36"/>
      <c r="CL904" s="36"/>
      <c r="CM904" s="36"/>
      <c r="CN904" s="36"/>
      <c r="CO904" s="36"/>
    </row>
    <row r="905">
      <c r="A905" s="36"/>
      <c r="B905" s="47"/>
      <c r="C905" s="50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  <c r="AL905" s="36"/>
      <c r="AM905" s="36"/>
      <c r="AN905" s="36"/>
      <c r="AO905" s="36"/>
      <c r="AP905" s="36"/>
      <c r="AQ905" s="36"/>
      <c r="AR905" s="36"/>
      <c r="AS905" s="36"/>
      <c r="AT905" s="36"/>
      <c r="AU905" s="36"/>
      <c r="AV905" s="36"/>
      <c r="AW905" s="36"/>
      <c r="AX905" s="36"/>
      <c r="AY905" s="36"/>
      <c r="AZ905" s="36"/>
      <c r="BA905" s="36"/>
      <c r="BB905" s="36"/>
      <c r="BC905" s="36"/>
      <c r="BD905" s="36"/>
      <c r="BE905" s="36"/>
      <c r="BF905" s="36"/>
      <c r="BG905" s="36"/>
      <c r="BH905" s="36"/>
      <c r="BI905" s="36"/>
      <c r="BJ905" s="36"/>
      <c r="BK905" s="36"/>
      <c r="BL905" s="36"/>
      <c r="BM905" s="36"/>
      <c r="BN905" s="36"/>
      <c r="BO905" s="36"/>
      <c r="BP905" s="36"/>
      <c r="BQ905" s="36"/>
      <c r="BR905" s="36"/>
      <c r="BS905" s="36"/>
      <c r="BT905" s="36"/>
      <c r="BU905" s="36"/>
      <c r="BV905" s="36"/>
      <c r="BW905" s="36"/>
      <c r="BX905" s="36"/>
      <c r="BY905" s="36"/>
      <c r="BZ905" s="36"/>
      <c r="CA905" s="36"/>
      <c r="CB905" s="36"/>
      <c r="CC905" s="36"/>
      <c r="CD905" s="36"/>
      <c r="CE905" s="36"/>
      <c r="CF905" s="36"/>
      <c r="CG905" s="36"/>
      <c r="CH905" s="36"/>
      <c r="CI905" s="36"/>
      <c r="CJ905" s="36"/>
      <c r="CK905" s="36"/>
      <c r="CL905" s="36"/>
      <c r="CM905" s="36"/>
      <c r="CN905" s="36"/>
      <c r="CO905" s="36"/>
    </row>
    <row r="906">
      <c r="A906" s="36"/>
      <c r="B906" s="47"/>
      <c r="C906" s="50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  <c r="AL906" s="36"/>
      <c r="AM906" s="36"/>
      <c r="AN906" s="36"/>
      <c r="AO906" s="36"/>
      <c r="AP906" s="36"/>
      <c r="AQ906" s="36"/>
      <c r="AR906" s="36"/>
      <c r="AS906" s="36"/>
      <c r="AT906" s="36"/>
      <c r="AU906" s="36"/>
      <c r="AV906" s="36"/>
      <c r="AW906" s="36"/>
      <c r="AX906" s="36"/>
      <c r="AY906" s="36"/>
      <c r="AZ906" s="36"/>
      <c r="BA906" s="36"/>
      <c r="BB906" s="36"/>
      <c r="BC906" s="36"/>
      <c r="BD906" s="36"/>
      <c r="BE906" s="36"/>
      <c r="BF906" s="36"/>
      <c r="BG906" s="36"/>
      <c r="BH906" s="36"/>
      <c r="BI906" s="36"/>
      <c r="BJ906" s="36"/>
      <c r="BK906" s="36"/>
      <c r="BL906" s="36"/>
      <c r="BM906" s="36"/>
      <c r="BN906" s="36"/>
      <c r="BO906" s="36"/>
      <c r="BP906" s="36"/>
      <c r="BQ906" s="36"/>
      <c r="BR906" s="36"/>
      <c r="BS906" s="36"/>
      <c r="BT906" s="36"/>
      <c r="BU906" s="36"/>
      <c r="BV906" s="36"/>
      <c r="BW906" s="36"/>
      <c r="BX906" s="36"/>
      <c r="BY906" s="36"/>
      <c r="BZ906" s="36"/>
      <c r="CA906" s="36"/>
      <c r="CB906" s="36"/>
      <c r="CC906" s="36"/>
      <c r="CD906" s="36"/>
      <c r="CE906" s="36"/>
      <c r="CF906" s="36"/>
      <c r="CG906" s="36"/>
      <c r="CH906" s="36"/>
      <c r="CI906" s="36"/>
      <c r="CJ906" s="36"/>
      <c r="CK906" s="36"/>
      <c r="CL906" s="36"/>
      <c r="CM906" s="36"/>
      <c r="CN906" s="36"/>
      <c r="CO906" s="36"/>
    </row>
    <row r="907">
      <c r="A907" s="36"/>
      <c r="B907" s="47"/>
      <c r="C907" s="50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  <c r="AL907" s="36"/>
      <c r="AM907" s="36"/>
      <c r="AN907" s="36"/>
      <c r="AO907" s="36"/>
      <c r="AP907" s="36"/>
      <c r="AQ907" s="36"/>
      <c r="AR907" s="36"/>
      <c r="AS907" s="36"/>
      <c r="AT907" s="36"/>
      <c r="AU907" s="36"/>
      <c r="AV907" s="36"/>
      <c r="AW907" s="36"/>
      <c r="AX907" s="36"/>
      <c r="AY907" s="36"/>
      <c r="AZ907" s="36"/>
      <c r="BA907" s="36"/>
      <c r="BB907" s="36"/>
      <c r="BC907" s="36"/>
      <c r="BD907" s="36"/>
      <c r="BE907" s="36"/>
      <c r="BF907" s="36"/>
      <c r="BG907" s="36"/>
      <c r="BH907" s="36"/>
      <c r="BI907" s="36"/>
      <c r="BJ907" s="36"/>
      <c r="BK907" s="36"/>
      <c r="BL907" s="36"/>
      <c r="BM907" s="36"/>
      <c r="BN907" s="36"/>
      <c r="BO907" s="36"/>
      <c r="BP907" s="36"/>
      <c r="BQ907" s="36"/>
      <c r="BR907" s="36"/>
      <c r="BS907" s="36"/>
      <c r="BT907" s="36"/>
      <c r="BU907" s="36"/>
      <c r="BV907" s="36"/>
      <c r="BW907" s="36"/>
      <c r="BX907" s="36"/>
      <c r="BY907" s="36"/>
      <c r="BZ907" s="36"/>
      <c r="CA907" s="36"/>
      <c r="CB907" s="36"/>
      <c r="CC907" s="36"/>
      <c r="CD907" s="36"/>
      <c r="CE907" s="36"/>
      <c r="CF907" s="36"/>
      <c r="CG907" s="36"/>
      <c r="CH907" s="36"/>
      <c r="CI907" s="36"/>
      <c r="CJ907" s="36"/>
      <c r="CK907" s="36"/>
      <c r="CL907" s="36"/>
      <c r="CM907" s="36"/>
      <c r="CN907" s="36"/>
      <c r="CO907" s="36"/>
    </row>
    <row r="908">
      <c r="A908" s="36"/>
      <c r="B908" s="47"/>
      <c r="C908" s="50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  <c r="AL908" s="36"/>
      <c r="AM908" s="36"/>
      <c r="AN908" s="36"/>
      <c r="AO908" s="36"/>
      <c r="AP908" s="36"/>
      <c r="AQ908" s="36"/>
      <c r="AR908" s="36"/>
      <c r="AS908" s="36"/>
      <c r="AT908" s="36"/>
      <c r="AU908" s="36"/>
      <c r="AV908" s="36"/>
      <c r="AW908" s="36"/>
      <c r="AX908" s="36"/>
      <c r="AY908" s="36"/>
      <c r="AZ908" s="36"/>
      <c r="BA908" s="36"/>
      <c r="BB908" s="36"/>
      <c r="BC908" s="36"/>
      <c r="BD908" s="36"/>
      <c r="BE908" s="36"/>
      <c r="BF908" s="36"/>
      <c r="BG908" s="36"/>
      <c r="BH908" s="36"/>
      <c r="BI908" s="36"/>
      <c r="BJ908" s="36"/>
      <c r="BK908" s="36"/>
      <c r="BL908" s="36"/>
      <c r="BM908" s="36"/>
      <c r="BN908" s="36"/>
      <c r="BO908" s="36"/>
      <c r="BP908" s="36"/>
      <c r="BQ908" s="36"/>
      <c r="BR908" s="36"/>
      <c r="BS908" s="36"/>
      <c r="BT908" s="36"/>
      <c r="BU908" s="36"/>
      <c r="BV908" s="36"/>
      <c r="BW908" s="36"/>
      <c r="BX908" s="36"/>
      <c r="BY908" s="36"/>
      <c r="BZ908" s="36"/>
      <c r="CA908" s="36"/>
      <c r="CB908" s="36"/>
      <c r="CC908" s="36"/>
      <c r="CD908" s="36"/>
      <c r="CE908" s="36"/>
      <c r="CF908" s="36"/>
      <c r="CG908" s="36"/>
      <c r="CH908" s="36"/>
      <c r="CI908" s="36"/>
      <c r="CJ908" s="36"/>
      <c r="CK908" s="36"/>
      <c r="CL908" s="36"/>
      <c r="CM908" s="36"/>
      <c r="CN908" s="36"/>
      <c r="CO908" s="36"/>
    </row>
    <row r="909">
      <c r="A909" s="36"/>
      <c r="B909" s="47"/>
      <c r="C909" s="50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  <c r="AL909" s="36"/>
      <c r="AM909" s="36"/>
      <c r="AN909" s="36"/>
      <c r="AO909" s="36"/>
      <c r="AP909" s="36"/>
      <c r="AQ909" s="36"/>
      <c r="AR909" s="36"/>
      <c r="AS909" s="36"/>
      <c r="AT909" s="36"/>
      <c r="AU909" s="36"/>
      <c r="AV909" s="36"/>
      <c r="AW909" s="36"/>
      <c r="AX909" s="36"/>
      <c r="AY909" s="36"/>
      <c r="AZ909" s="36"/>
      <c r="BA909" s="36"/>
      <c r="BB909" s="36"/>
      <c r="BC909" s="36"/>
      <c r="BD909" s="36"/>
      <c r="BE909" s="36"/>
      <c r="BF909" s="36"/>
      <c r="BG909" s="36"/>
      <c r="BH909" s="36"/>
      <c r="BI909" s="36"/>
      <c r="BJ909" s="36"/>
      <c r="BK909" s="36"/>
      <c r="BL909" s="36"/>
      <c r="BM909" s="36"/>
      <c r="BN909" s="36"/>
      <c r="BO909" s="36"/>
      <c r="BP909" s="36"/>
      <c r="BQ909" s="36"/>
      <c r="BR909" s="36"/>
      <c r="BS909" s="36"/>
      <c r="BT909" s="36"/>
      <c r="BU909" s="36"/>
      <c r="BV909" s="36"/>
      <c r="BW909" s="36"/>
      <c r="BX909" s="36"/>
      <c r="BY909" s="36"/>
      <c r="BZ909" s="36"/>
      <c r="CA909" s="36"/>
      <c r="CB909" s="36"/>
      <c r="CC909" s="36"/>
      <c r="CD909" s="36"/>
      <c r="CE909" s="36"/>
      <c r="CF909" s="36"/>
      <c r="CG909" s="36"/>
      <c r="CH909" s="36"/>
      <c r="CI909" s="36"/>
      <c r="CJ909" s="36"/>
      <c r="CK909" s="36"/>
      <c r="CL909" s="36"/>
      <c r="CM909" s="36"/>
      <c r="CN909" s="36"/>
      <c r="CO909" s="36"/>
    </row>
    <row r="910">
      <c r="A910" s="36"/>
      <c r="B910" s="47"/>
      <c r="C910" s="50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  <c r="AL910" s="36"/>
      <c r="AM910" s="36"/>
      <c r="AN910" s="36"/>
      <c r="AO910" s="36"/>
      <c r="AP910" s="36"/>
      <c r="AQ910" s="36"/>
      <c r="AR910" s="36"/>
      <c r="AS910" s="36"/>
      <c r="AT910" s="36"/>
      <c r="AU910" s="36"/>
      <c r="AV910" s="36"/>
      <c r="AW910" s="36"/>
      <c r="AX910" s="36"/>
      <c r="AY910" s="36"/>
      <c r="AZ910" s="36"/>
      <c r="BA910" s="36"/>
      <c r="BB910" s="36"/>
      <c r="BC910" s="36"/>
      <c r="BD910" s="36"/>
      <c r="BE910" s="36"/>
      <c r="BF910" s="36"/>
      <c r="BG910" s="36"/>
      <c r="BH910" s="36"/>
      <c r="BI910" s="36"/>
      <c r="BJ910" s="36"/>
      <c r="BK910" s="36"/>
      <c r="BL910" s="36"/>
      <c r="BM910" s="36"/>
      <c r="BN910" s="36"/>
      <c r="BO910" s="36"/>
      <c r="BP910" s="36"/>
      <c r="BQ910" s="36"/>
      <c r="BR910" s="36"/>
      <c r="BS910" s="36"/>
      <c r="BT910" s="36"/>
      <c r="BU910" s="36"/>
      <c r="BV910" s="36"/>
      <c r="BW910" s="36"/>
      <c r="BX910" s="36"/>
      <c r="BY910" s="36"/>
      <c r="BZ910" s="36"/>
      <c r="CA910" s="36"/>
      <c r="CB910" s="36"/>
      <c r="CC910" s="36"/>
      <c r="CD910" s="36"/>
      <c r="CE910" s="36"/>
      <c r="CF910" s="36"/>
      <c r="CG910" s="36"/>
      <c r="CH910" s="36"/>
      <c r="CI910" s="36"/>
      <c r="CJ910" s="36"/>
      <c r="CK910" s="36"/>
      <c r="CL910" s="36"/>
      <c r="CM910" s="36"/>
      <c r="CN910" s="36"/>
      <c r="CO910" s="36"/>
    </row>
    <row r="911">
      <c r="A911" s="36"/>
      <c r="B911" s="47"/>
      <c r="C911" s="50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  <c r="AL911" s="36"/>
      <c r="AM911" s="36"/>
      <c r="AN911" s="36"/>
      <c r="AO911" s="36"/>
      <c r="AP911" s="36"/>
      <c r="AQ911" s="36"/>
      <c r="AR911" s="36"/>
      <c r="AS911" s="36"/>
      <c r="AT911" s="36"/>
      <c r="AU911" s="36"/>
      <c r="AV911" s="36"/>
      <c r="AW911" s="36"/>
      <c r="AX911" s="36"/>
      <c r="AY911" s="36"/>
      <c r="AZ911" s="36"/>
      <c r="BA911" s="36"/>
      <c r="BB911" s="36"/>
      <c r="BC911" s="36"/>
      <c r="BD911" s="36"/>
      <c r="BE911" s="36"/>
      <c r="BF911" s="36"/>
      <c r="BG911" s="36"/>
      <c r="BH911" s="36"/>
      <c r="BI911" s="36"/>
      <c r="BJ911" s="36"/>
      <c r="BK911" s="36"/>
      <c r="BL911" s="36"/>
      <c r="BM911" s="36"/>
      <c r="BN911" s="36"/>
      <c r="BO911" s="36"/>
      <c r="BP911" s="36"/>
      <c r="BQ911" s="36"/>
      <c r="BR911" s="36"/>
      <c r="BS911" s="36"/>
      <c r="BT911" s="36"/>
      <c r="BU911" s="36"/>
      <c r="BV911" s="36"/>
      <c r="BW911" s="36"/>
      <c r="BX911" s="36"/>
      <c r="BY911" s="36"/>
      <c r="BZ911" s="36"/>
      <c r="CA911" s="36"/>
      <c r="CB911" s="36"/>
      <c r="CC911" s="36"/>
      <c r="CD911" s="36"/>
      <c r="CE911" s="36"/>
      <c r="CF911" s="36"/>
      <c r="CG911" s="36"/>
      <c r="CH911" s="36"/>
      <c r="CI911" s="36"/>
      <c r="CJ911" s="36"/>
      <c r="CK911" s="36"/>
      <c r="CL911" s="36"/>
      <c r="CM911" s="36"/>
      <c r="CN911" s="36"/>
      <c r="CO911" s="36"/>
    </row>
    <row r="912">
      <c r="A912" s="36"/>
      <c r="B912" s="47"/>
      <c r="C912" s="50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  <c r="AL912" s="36"/>
      <c r="AM912" s="36"/>
      <c r="AN912" s="36"/>
      <c r="AO912" s="36"/>
      <c r="AP912" s="36"/>
      <c r="AQ912" s="36"/>
      <c r="AR912" s="36"/>
      <c r="AS912" s="36"/>
      <c r="AT912" s="36"/>
      <c r="AU912" s="36"/>
      <c r="AV912" s="36"/>
      <c r="AW912" s="36"/>
      <c r="AX912" s="36"/>
      <c r="AY912" s="36"/>
      <c r="AZ912" s="36"/>
      <c r="BA912" s="36"/>
      <c r="BB912" s="36"/>
      <c r="BC912" s="36"/>
      <c r="BD912" s="36"/>
      <c r="BE912" s="36"/>
      <c r="BF912" s="36"/>
      <c r="BG912" s="36"/>
      <c r="BH912" s="36"/>
      <c r="BI912" s="36"/>
      <c r="BJ912" s="36"/>
      <c r="BK912" s="36"/>
      <c r="BL912" s="36"/>
      <c r="BM912" s="36"/>
      <c r="BN912" s="36"/>
      <c r="BO912" s="36"/>
      <c r="BP912" s="36"/>
      <c r="BQ912" s="36"/>
      <c r="BR912" s="36"/>
      <c r="BS912" s="36"/>
      <c r="BT912" s="36"/>
      <c r="BU912" s="36"/>
      <c r="BV912" s="36"/>
      <c r="BW912" s="36"/>
      <c r="BX912" s="36"/>
      <c r="BY912" s="36"/>
      <c r="BZ912" s="36"/>
      <c r="CA912" s="36"/>
      <c r="CB912" s="36"/>
      <c r="CC912" s="36"/>
      <c r="CD912" s="36"/>
      <c r="CE912" s="36"/>
      <c r="CF912" s="36"/>
      <c r="CG912" s="36"/>
      <c r="CH912" s="36"/>
      <c r="CI912" s="36"/>
      <c r="CJ912" s="36"/>
      <c r="CK912" s="36"/>
      <c r="CL912" s="36"/>
      <c r="CM912" s="36"/>
      <c r="CN912" s="36"/>
      <c r="CO912" s="36"/>
    </row>
    <row r="913">
      <c r="A913" s="36"/>
      <c r="B913" s="47"/>
      <c r="C913" s="50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  <c r="AL913" s="36"/>
      <c r="AM913" s="36"/>
      <c r="AN913" s="36"/>
      <c r="AO913" s="36"/>
      <c r="AP913" s="36"/>
      <c r="AQ913" s="36"/>
      <c r="AR913" s="36"/>
      <c r="AS913" s="36"/>
      <c r="AT913" s="36"/>
      <c r="AU913" s="36"/>
      <c r="AV913" s="36"/>
      <c r="AW913" s="36"/>
      <c r="AX913" s="36"/>
      <c r="AY913" s="36"/>
      <c r="AZ913" s="36"/>
      <c r="BA913" s="36"/>
      <c r="BB913" s="36"/>
      <c r="BC913" s="36"/>
      <c r="BD913" s="36"/>
      <c r="BE913" s="36"/>
      <c r="BF913" s="36"/>
      <c r="BG913" s="36"/>
      <c r="BH913" s="36"/>
      <c r="BI913" s="36"/>
      <c r="BJ913" s="36"/>
      <c r="BK913" s="36"/>
      <c r="BL913" s="36"/>
      <c r="BM913" s="36"/>
      <c r="BN913" s="36"/>
      <c r="BO913" s="36"/>
      <c r="BP913" s="36"/>
      <c r="BQ913" s="36"/>
      <c r="BR913" s="36"/>
      <c r="BS913" s="36"/>
      <c r="BT913" s="36"/>
      <c r="BU913" s="36"/>
      <c r="BV913" s="36"/>
      <c r="BW913" s="36"/>
      <c r="BX913" s="36"/>
      <c r="BY913" s="36"/>
      <c r="BZ913" s="36"/>
      <c r="CA913" s="36"/>
      <c r="CB913" s="36"/>
      <c r="CC913" s="36"/>
      <c r="CD913" s="36"/>
      <c r="CE913" s="36"/>
      <c r="CF913" s="36"/>
      <c r="CG913" s="36"/>
      <c r="CH913" s="36"/>
      <c r="CI913" s="36"/>
      <c r="CJ913" s="36"/>
      <c r="CK913" s="36"/>
      <c r="CL913" s="36"/>
      <c r="CM913" s="36"/>
      <c r="CN913" s="36"/>
      <c r="CO913" s="36"/>
    </row>
    <row r="914">
      <c r="A914" s="36"/>
      <c r="B914" s="47"/>
      <c r="C914" s="50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  <c r="AL914" s="36"/>
      <c r="AM914" s="36"/>
      <c r="AN914" s="36"/>
      <c r="AO914" s="36"/>
      <c r="AP914" s="36"/>
      <c r="AQ914" s="36"/>
      <c r="AR914" s="36"/>
      <c r="AS914" s="36"/>
      <c r="AT914" s="36"/>
      <c r="AU914" s="36"/>
      <c r="AV914" s="36"/>
      <c r="AW914" s="36"/>
      <c r="AX914" s="36"/>
      <c r="AY914" s="36"/>
      <c r="AZ914" s="36"/>
      <c r="BA914" s="36"/>
      <c r="BB914" s="36"/>
      <c r="BC914" s="36"/>
      <c r="BD914" s="36"/>
      <c r="BE914" s="36"/>
      <c r="BF914" s="36"/>
      <c r="BG914" s="36"/>
      <c r="BH914" s="36"/>
      <c r="BI914" s="36"/>
      <c r="BJ914" s="36"/>
      <c r="BK914" s="36"/>
      <c r="BL914" s="36"/>
      <c r="BM914" s="36"/>
      <c r="BN914" s="36"/>
      <c r="BO914" s="36"/>
      <c r="BP914" s="36"/>
      <c r="BQ914" s="36"/>
      <c r="BR914" s="36"/>
      <c r="BS914" s="36"/>
      <c r="BT914" s="36"/>
      <c r="BU914" s="36"/>
      <c r="BV914" s="36"/>
      <c r="BW914" s="36"/>
      <c r="BX914" s="36"/>
      <c r="BY914" s="36"/>
      <c r="BZ914" s="36"/>
      <c r="CA914" s="36"/>
      <c r="CB914" s="36"/>
      <c r="CC914" s="36"/>
      <c r="CD914" s="36"/>
      <c r="CE914" s="36"/>
      <c r="CF914" s="36"/>
      <c r="CG914" s="36"/>
      <c r="CH914" s="36"/>
      <c r="CI914" s="36"/>
      <c r="CJ914" s="36"/>
      <c r="CK914" s="36"/>
      <c r="CL914" s="36"/>
      <c r="CM914" s="36"/>
      <c r="CN914" s="36"/>
      <c r="CO914" s="36"/>
    </row>
    <row r="915">
      <c r="A915" s="36"/>
      <c r="B915" s="47"/>
      <c r="C915" s="50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  <c r="AL915" s="36"/>
      <c r="AM915" s="36"/>
      <c r="AN915" s="36"/>
      <c r="AO915" s="36"/>
      <c r="AP915" s="36"/>
      <c r="AQ915" s="36"/>
      <c r="AR915" s="36"/>
      <c r="AS915" s="36"/>
      <c r="AT915" s="36"/>
      <c r="AU915" s="36"/>
      <c r="AV915" s="36"/>
      <c r="AW915" s="36"/>
      <c r="AX915" s="36"/>
      <c r="AY915" s="36"/>
      <c r="AZ915" s="36"/>
      <c r="BA915" s="36"/>
      <c r="BB915" s="36"/>
      <c r="BC915" s="36"/>
      <c r="BD915" s="36"/>
      <c r="BE915" s="36"/>
      <c r="BF915" s="36"/>
      <c r="BG915" s="36"/>
      <c r="BH915" s="36"/>
      <c r="BI915" s="36"/>
      <c r="BJ915" s="36"/>
      <c r="BK915" s="36"/>
      <c r="BL915" s="36"/>
      <c r="BM915" s="36"/>
      <c r="BN915" s="36"/>
      <c r="BO915" s="36"/>
      <c r="BP915" s="36"/>
      <c r="BQ915" s="36"/>
      <c r="BR915" s="36"/>
      <c r="BS915" s="36"/>
      <c r="BT915" s="36"/>
      <c r="BU915" s="36"/>
      <c r="BV915" s="36"/>
      <c r="BW915" s="36"/>
      <c r="BX915" s="36"/>
      <c r="BY915" s="36"/>
      <c r="BZ915" s="36"/>
      <c r="CA915" s="36"/>
      <c r="CB915" s="36"/>
      <c r="CC915" s="36"/>
      <c r="CD915" s="36"/>
      <c r="CE915" s="36"/>
      <c r="CF915" s="36"/>
      <c r="CG915" s="36"/>
      <c r="CH915" s="36"/>
      <c r="CI915" s="36"/>
      <c r="CJ915" s="36"/>
      <c r="CK915" s="36"/>
      <c r="CL915" s="36"/>
      <c r="CM915" s="36"/>
      <c r="CN915" s="36"/>
      <c r="CO915" s="36"/>
    </row>
    <row r="916">
      <c r="A916" s="36"/>
      <c r="B916" s="47"/>
      <c r="C916" s="50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  <c r="AL916" s="36"/>
      <c r="AM916" s="36"/>
      <c r="AN916" s="36"/>
      <c r="AO916" s="36"/>
      <c r="AP916" s="36"/>
      <c r="AQ916" s="36"/>
      <c r="AR916" s="36"/>
      <c r="AS916" s="36"/>
      <c r="AT916" s="36"/>
      <c r="AU916" s="36"/>
      <c r="AV916" s="36"/>
      <c r="AW916" s="36"/>
      <c r="AX916" s="36"/>
      <c r="AY916" s="36"/>
      <c r="AZ916" s="36"/>
      <c r="BA916" s="36"/>
      <c r="BB916" s="36"/>
      <c r="BC916" s="36"/>
      <c r="BD916" s="36"/>
      <c r="BE916" s="36"/>
      <c r="BF916" s="36"/>
      <c r="BG916" s="36"/>
      <c r="BH916" s="36"/>
      <c r="BI916" s="36"/>
      <c r="BJ916" s="36"/>
      <c r="BK916" s="36"/>
      <c r="BL916" s="36"/>
      <c r="BM916" s="36"/>
      <c r="BN916" s="36"/>
      <c r="BO916" s="36"/>
      <c r="BP916" s="36"/>
      <c r="BQ916" s="36"/>
      <c r="BR916" s="36"/>
      <c r="BS916" s="36"/>
      <c r="BT916" s="36"/>
      <c r="BU916" s="36"/>
      <c r="BV916" s="36"/>
      <c r="BW916" s="36"/>
      <c r="BX916" s="36"/>
      <c r="BY916" s="36"/>
      <c r="BZ916" s="36"/>
      <c r="CA916" s="36"/>
      <c r="CB916" s="36"/>
      <c r="CC916" s="36"/>
      <c r="CD916" s="36"/>
      <c r="CE916" s="36"/>
      <c r="CF916" s="36"/>
      <c r="CG916" s="36"/>
      <c r="CH916" s="36"/>
      <c r="CI916" s="36"/>
      <c r="CJ916" s="36"/>
      <c r="CK916" s="36"/>
      <c r="CL916" s="36"/>
      <c r="CM916" s="36"/>
      <c r="CN916" s="36"/>
      <c r="CO916" s="36"/>
    </row>
    <row r="917">
      <c r="A917" s="36"/>
      <c r="B917" s="47"/>
      <c r="C917" s="50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  <c r="AL917" s="36"/>
      <c r="AM917" s="36"/>
      <c r="AN917" s="36"/>
      <c r="AO917" s="36"/>
      <c r="AP917" s="36"/>
      <c r="AQ917" s="36"/>
      <c r="AR917" s="36"/>
      <c r="AS917" s="36"/>
      <c r="AT917" s="36"/>
      <c r="AU917" s="36"/>
      <c r="AV917" s="36"/>
      <c r="AW917" s="36"/>
      <c r="AX917" s="36"/>
      <c r="AY917" s="36"/>
      <c r="AZ917" s="36"/>
      <c r="BA917" s="36"/>
      <c r="BB917" s="36"/>
      <c r="BC917" s="36"/>
      <c r="BD917" s="36"/>
      <c r="BE917" s="36"/>
      <c r="BF917" s="36"/>
      <c r="BG917" s="36"/>
      <c r="BH917" s="36"/>
      <c r="BI917" s="36"/>
      <c r="BJ917" s="36"/>
      <c r="BK917" s="36"/>
      <c r="BL917" s="36"/>
      <c r="BM917" s="36"/>
      <c r="BN917" s="36"/>
      <c r="BO917" s="36"/>
      <c r="BP917" s="36"/>
      <c r="BQ917" s="36"/>
      <c r="BR917" s="36"/>
      <c r="BS917" s="36"/>
      <c r="BT917" s="36"/>
      <c r="BU917" s="36"/>
      <c r="BV917" s="36"/>
      <c r="BW917" s="36"/>
      <c r="BX917" s="36"/>
      <c r="BY917" s="36"/>
      <c r="BZ917" s="36"/>
      <c r="CA917" s="36"/>
      <c r="CB917" s="36"/>
      <c r="CC917" s="36"/>
      <c r="CD917" s="36"/>
      <c r="CE917" s="36"/>
      <c r="CF917" s="36"/>
      <c r="CG917" s="36"/>
      <c r="CH917" s="36"/>
      <c r="CI917" s="36"/>
      <c r="CJ917" s="36"/>
      <c r="CK917" s="36"/>
      <c r="CL917" s="36"/>
      <c r="CM917" s="36"/>
      <c r="CN917" s="36"/>
      <c r="CO917" s="36"/>
    </row>
    <row r="918">
      <c r="A918" s="36"/>
      <c r="B918" s="47"/>
      <c r="C918" s="50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  <c r="AL918" s="36"/>
      <c r="AM918" s="36"/>
      <c r="AN918" s="36"/>
      <c r="AO918" s="36"/>
      <c r="AP918" s="36"/>
      <c r="AQ918" s="36"/>
      <c r="AR918" s="36"/>
      <c r="AS918" s="36"/>
      <c r="AT918" s="36"/>
      <c r="AU918" s="36"/>
      <c r="AV918" s="36"/>
      <c r="AW918" s="36"/>
      <c r="AX918" s="36"/>
      <c r="AY918" s="36"/>
      <c r="AZ918" s="36"/>
      <c r="BA918" s="36"/>
      <c r="BB918" s="36"/>
      <c r="BC918" s="36"/>
      <c r="BD918" s="36"/>
      <c r="BE918" s="36"/>
      <c r="BF918" s="36"/>
      <c r="BG918" s="36"/>
      <c r="BH918" s="36"/>
      <c r="BI918" s="36"/>
      <c r="BJ918" s="36"/>
      <c r="BK918" s="36"/>
      <c r="BL918" s="36"/>
      <c r="BM918" s="36"/>
      <c r="BN918" s="36"/>
      <c r="BO918" s="36"/>
      <c r="BP918" s="36"/>
      <c r="BQ918" s="36"/>
      <c r="BR918" s="36"/>
      <c r="BS918" s="36"/>
      <c r="BT918" s="36"/>
      <c r="BU918" s="36"/>
      <c r="BV918" s="36"/>
      <c r="BW918" s="36"/>
      <c r="BX918" s="36"/>
      <c r="BY918" s="36"/>
      <c r="BZ918" s="36"/>
      <c r="CA918" s="36"/>
      <c r="CB918" s="36"/>
      <c r="CC918" s="36"/>
      <c r="CD918" s="36"/>
      <c r="CE918" s="36"/>
      <c r="CF918" s="36"/>
      <c r="CG918" s="36"/>
      <c r="CH918" s="36"/>
      <c r="CI918" s="36"/>
      <c r="CJ918" s="36"/>
      <c r="CK918" s="36"/>
      <c r="CL918" s="36"/>
      <c r="CM918" s="36"/>
      <c r="CN918" s="36"/>
      <c r="CO918" s="36"/>
    </row>
    <row r="919">
      <c r="A919" s="36"/>
      <c r="B919" s="47"/>
      <c r="C919" s="50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  <c r="AL919" s="36"/>
      <c r="AM919" s="36"/>
      <c r="AN919" s="36"/>
      <c r="AO919" s="36"/>
      <c r="AP919" s="36"/>
      <c r="AQ919" s="36"/>
      <c r="AR919" s="36"/>
      <c r="AS919" s="36"/>
      <c r="AT919" s="36"/>
      <c r="AU919" s="36"/>
      <c r="AV919" s="36"/>
      <c r="AW919" s="36"/>
      <c r="AX919" s="36"/>
      <c r="AY919" s="36"/>
      <c r="AZ919" s="36"/>
      <c r="BA919" s="36"/>
      <c r="BB919" s="36"/>
      <c r="BC919" s="36"/>
      <c r="BD919" s="36"/>
      <c r="BE919" s="36"/>
      <c r="BF919" s="36"/>
      <c r="BG919" s="36"/>
      <c r="BH919" s="36"/>
      <c r="BI919" s="36"/>
      <c r="BJ919" s="36"/>
      <c r="BK919" s="36"/>
      <c r="BL919" s="36"/>
      <c r="BM919" s="36"/>
      <c r="BN919" s="36"/>
      <c r="BO919" s="36"/>
      <c r="BP919" s="36"/>
      <c r="BQ919" s="36"/>
      <c r="BR919" s="36"/>
      <c r="BS919" s="36"/>
      <c r="BT919" s="36"/>
      <c r="BU919" s="36"/>
      <c r="BV919" s="36"/>
      <c r="BW919" s="36"/>
      <c r="BX919" s="36"/>
      <c r="BY919" s="36"/>
      <c r="BZ919" s="36"/>
      <c r="CA919" s="36"/>
      <c r="CB919" s="36"/>
      <c r="CC919" s="36"/>
      <c r="CD919" s="36"/>
      <c r="CE919" s="36"/>
      <c r="CF919" s="36"/>
      <c r="CG919" s="36"/>
      <c r="CH919" s="36"/>
      <c r="CI919" s="36"/>
      <c r="CJ919" s="36"/>
      <c r="CK919" s="36"/>
      <c r="CL919" s="36"/>
      <c r="CM919" s="36"/>
      <c r="CN919" s="36"/>
      <c r="CO919" s="36"/>
    </row>
    <row r="920">
      <c r="A920" s="36"/>
      <c r="B920" s="47"/>
      <c r="C920" s="50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  <c r="AL920" s="36"/>
      <c r="AM920" s="36"/>
      <c r="AN920" s="36"/>
      <c r="AO920" s="36"/>
      <c r="AP920" s="36"/>
      <c r="AQ920" s="36"/>
      <c r="AR920" s="36"/>
      <c r="AS920" s="36"/>
      <c r="AT920" s="36"/>
      <c r="AU920" s="36"/>
      <c r="AV920" s="36"/>
      <c r="AW920" s="36"/>
      <c r="AX920" s="36"/>
      <c r="AY920" s="36"/>
      <c r="AZ920" s="36"/>
      <c r="BA920" s="36"/>
      <c r="BB920" s="36"/>
      <c r="BC920" s="36"/>
      <c r="BD920" s="36"/>
      <c r="BE920" s="36"/>
      <c r="BF920" s="36"/>
      <c r="BG920" s="36"/>
      <c r="BH920" s="36"/>
      <c r="BI920" s="36"/>
      <c r="BJ920" s="36"/>
      <c r="BK920" s="36"/>
      <c r="BL920" s="36"/>
      <c r="BM920" s="36"/>
      <c r="BN920" s="36"/>
      <c r="BO920" s="36"/>
      <c r="BP920" s="36"/>
      <c r="BQ920" s="36"/>
      <c r="BR920" s="36"/>
      <c r="BS920" s="36"/>
      <c r="BT920" s="36"/>
      <c r="BU920" s="36"/>
      <c r="BV920" s="36"/>
      <c r="BW920" s="36"/>
      <c r="BX920" s="36"/>
      <c r="BY920" s="36"/>
      <c r="BZ920" s="36"/>
      <c r="CA920" s="36"/>
      <c r="CB920" s="36"/>
      <c r="CC920" s="36"/>
      <c r="CD920" s="36"/>
      <c r="CE920" s="36"/>
      <c r="CF920" s="36"/>
      <c r="CG920" s="36"/>
      <c r="CH920" s="36"/>
      <c r="CI920" s="36"/>
      <c r="CJ920" s="36"/>
      <c r="CK920" s="36"/>
      <c r="CL920" s="36"/>
      <c r="CM920" s="36"/>
      <c r="CN920" s="36"/>
      <c r="CO920" s="36"/>
    </row>
    <row r="921">
      <c r="A921" s="36"/>
      <c r="B921" s="47"/>
      <c r="C921" s="50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  <c r="AL921" s="36"/>
      <c r="AM921" s="36"/>
      <c r="AN921" s="36"/>
      <c r="AO921" s="36"/>
      <c r="AP921" s="36"/>
      <c r="AQ921" s="36"/>
      <c r="AR921" s="36"/>
      <c r="AS921" s="36"/>
      <c r="AT921" s="36"/>
      <c r="AU921" s="36"/>
      <c r="AV921" s="36"/>
      <c r="AW921" s="36"/>
      <c r="AX921" s="36"/>
      <c r="AY921" s="36"/>
      <c r="AZ921" s="36"/>
      <c r="BA921" s="36"/>
      <c r="BB921" s="36"/>
      <c r="BC921" s="36"/>
      <c r="BD921" s="36"/>
      <c r="BE921" s="36"/>
      <c r="BF921" s="36"/>
      <c r="BG921" s="36"/>
      <c r="BH921" s="36"/>
      <c r="BI921" s="36"/>
      <c r="BJ921" s="36"/>
      <c r="BK921" s="36"/>
      <c r="BL921" s="36"/>
      <c r="BM921" s="36"/>
      <c r="BN921" s="36"/>
      <c r="BO921" s="36"/>
      <c r="BP921" s="36"/>
      <c r="BQ921" s="36"/>
      <c r="BR921" s="36"/>
      <c r="BS921" s="36"/>
      <c r="BT921" s="36"/>
      <c r="BU921" s="36"/>
      <c r="BV921" s="36"/>
      <c r="BW921" s="36"/>
      <c r="BX921" s="36"/>
      <c r="BY921" s="36"/>
      <c r="BZ921" s="36"/>
      <c r="CA921" s="36"/>
      <c r="CB921" s="36"/>
      <c r="CC921" s="36"/>
      <c r="CD921" s="36"/>
      <c r="CE921" s="36"/>
      <c r="CF921" s="36"/>
      <c r="CG921" s="36"/>
      <c r="CH921" s="36"/>
      <c r="CI921" s="36"/>
      <c r="CJ921" s="36"/>
      <c r="CK921" s="36"/>
      <c r="CL921" s="36"/>
      <c r="CM921" s="36"/>
      <c r="CN921" s="36"/>
      <c r="CO921" s="36"/>
    </row>
    <row r="922">
      <c r="A922" s="36"/>
      <c r="B922" s="47"/>
      <c r="C922" s="50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  <c r="AL922" s="36"/>
      <c r="AM922" s="36"/>
      <c r="AN922" s="36"/>
      <c r="AO922" s="36"/>
      <c r="AP922" s="36"/>
      <c r="AQ922" s="36"/>
      <c r="AR922" s="36"/>
      <c r="AS922" s="36"/>
      <c r="AT922" s="36"/>
      <c r="AU922" s="36"/>
      <c r="AV922" s="36"/>
      <c r="AW922" s="36"/>
      <c r="AX922" s="36"/>
      <c r="AY922" s="36"/>
      <c r="AZ922" s="36"/>
      <c r="BA922" s="36"/>
      <c r="BB922" s="36"/>
      <c r="BC922" s="36"/>
      <c r="BD922" s="36"/>
      <c r="BE922" s="36"/>
      <c r="BF922" s="36"/>
      <c r="BG922" s="36"/>
      <c r="BH922" s="36"/>
      <c r="BI922" s="36"/>
      <c r="BJ922" s="36"/>
      <c r="BK922" s="36"/>
      <c r="BL922" s="36"/>
      <c r="BM922" s="36"/>
      <c r="BN922" s="36"/>
      <c r="BO922" s="36"/>
      <c r="BP922" s="36"/>
      <c r="BQ922" s="36"/>
      <c r="BR922" s="36"/>
      <c r="BS922" s="36"/>
      <c r="BT922" s="36"/>
      <c r="BU922" s="36"/>
      <c r="BV922" s="36"/>
      <c r="BW922" s="36"/>
      <c r="BX922" s="36"/>
      <c r="BY922" s="36"/>
      <c r="BZ922" s="36"/>
      <c r="CA922" s="36"/>
      <c r="CB922" s="36"/>
      <c r="CC922" s="36"/>
      <c r="CD922" s="36"/>
      <c r="CE922" s="36"/>
      <c r="CF922" s="36"/>
      <c r="CG922" s="36"/>
      <c r="CH922" s="36"/>
      <c r="CI922" s="36"/>
      <c r="CJ922" s="36"/>
      <c r="CK922" s="36"/>
      <c r="CL922" s="36"/>
      <c r="CM922" s="36"/>
      <c r="CN922" s="36"/>
      <c r="CO922" s="36"/>
    </row>
    <row r="923">
      <c r="A923" s="36"/>
      <c r="B923" s="47"/>
      <c r="C923" s="50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  <c r="AL923" s="36"/>
      <c r="AM923" s="36"/>
      <c r="AN923" s="36"/>
      <c r="AO923" s="36"/>
      <c r="AP923" s="36"/>
      <c r="AQ923" s="36"/>
      <c r="AR923" s="36"/>
      <c r="AS923" s="36"/>
      <c r="AT923" s="36"/>
      <c r="AU923" s="36"/>
      <c r="AV923" s="36"/>
      <c r="AW923" s="36"/>
      <c r="AX923" s="36"/>
      <c r="AY923" s="36"/>
      <c r="AZ923" s="36"/>
      <c r="BA923" s="36"/>
      <c r="BB923" s="36"/>
      <c r="BC923" s="36"/>
      <c r="BD923" s="36"/>
      <c r="BE923" s="36"/>
      <c r="BF923" s="36"/>
      <c r="BG923" s="36"/>
      <c r="BH923" s="36"/>
      <c r="BI923" s="36"/>
      <c r="BJ923" s="36"/>
      <c r="BK923" s="36"/>
      <c r="BL923" s="36"/>
      <c r="BM923" s="36"/>
      <c r="BN923" s="36"/>
      <c r="BO923" s="36"/>
      <c r="BP923" s="36"/>
      <c r="BQ923" s="36"/>
      <c r="BR923" s="36"/>
      <c r="BS923" s="36"/>
      <c r="BT923" s="36"/>
      <c r="BU923" s="36"/>
      <c r="BV923" s="36"/>
      <c r="BW923" s="36"/>
      <c r="BX923" s="36"/>
      <c r="BY923" s="36"/>
      <c r="BZ923" s="36"/>
      <c r="CA923" s="36"/>
      <c r="CB923" s="36"/>
      <c r="CC923" s="36"/>
      <c r="CD923" s="36"/>
      <c r="CE923" s="36"/>
      <c r="CF923" s="36"/>
      <c r="CG923" s="36"/>
      <c r="CH923" s="36"/>
      <c r="CI923" s="36"/>
      <c r="CJ923" s="36"/>
      <c r="CK923" s="36"/>
      <c r="CL923" s="36"/>
      <c r="CM923" s="36"/>
      <c r="CN923" s="36"/>
      <c r="CO923" s="36"/>
    </row>
    <row r="924">
      <c r="A924" s="36"/>
      <c r="B924" s="47"/>
      <c r="C924" s="50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  <c r="AL924" s="36"/>
      <c r="AM924" s="36"/>
      <c r="AN924" s="36"/>
      <c r="AO924" s="36"/>
      <c r="AP924" s="36"/>
      <c r="AQ924" s="36"/>
      <c r="AR924" s="36"/>
      <c r="AS924" s="36"/>
      <c r="AT924" s="36"/>
      <c r="AU924" s="36"/>
      <c r="AV924" s="36"/>
      <c r="AW924" s="36"/>
      <c r="AX924" s="36"/>
      <c r="AY924" s="36"/>
      <c r="AZ924" s="36"/>
      <c r="BA924" s="36"/>
      <c r="BB924" s="36"/>
      <c r="BC924" s="36"/>
      <c r="BD924" s="36"/>
      <c r="BE924" s="36"/>
      <c r="BF924" s="36"/>
      <c r="BG924" s="36"/>
      <c r="BH924" s="36"/>
      <c r="BI924" s="36"/>
      <c r="BJ924" s="36"/>
      <c r="BK924" s="36"/>
      <c r="BL924" s="36"/>
      <c r="BM924" s="36"/>
      <c r="BN924" s="36"/>
      <c r="BO924" s="36"/>
      <c r="BP924" s="36"/>
      <c r="BQ924" s="36"/>
      <c r="BR924" s="36"/>
      <c r="BS924" s="36"/>
      <c r="BT924" s="36"/>
      <c r="BU924" s="36"/>
      <c r="BV924" s="36"/>
      <c r="BW924" s="36"/>
      <c r="BX924" s="36"/>
      <c r="BY924" s="36"/>
      <c r="BZ924" s="36"/>
      <c r="CA924" s="36"/>
      <c r="CB924" s="36"/>
      <c r="CC924" s="36"/>
      <c r="CD924" s="36"/>
      <c r="CE924" s="36"/>
      <c r="CF924" s="36"/>
      <c r="CG924" s="36"/>
      <c r="CH924" s="36"/>
      <c r="CI924" s="36"/>
      <c r="CJ924" s="36"/>
      <c r="CK924" s="36"/>
      <c r="CL924" s="36"/>
      <c r="CM924" s="36"/>
      <c r="CN924" s="36"/>
      <c r="CO924" s="36"/>
    </row>
    <row r="925">
      <c r="A925" s="36"/>
      <c r="B925" s="47"/>
      <c r="C925" s="50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  <c r="AL925" s="36"/>
      <c r="AM925" s="36"/>
      <c r="AN925" s="36"/>
      <c r="AO925" s="36"/>
      <c r="AP925" s="36"/>
      <c r="AQ925" s="36"/>
      <c r="AR925" s="36"/>
      <c r="AS925" s="36"/>
      <c r="AT925" s="36"/>
      <c r="AU925" s="36"/>
      <c r="AV925" s="36"/>
      <c r="AW925" s="36"/>
      <c r="AX925" s="36"/>
      <c r="AY925" s="36"/>
      <c r="AZ925" s="36"/>
      <c r="BA925" s="36"/>
      <c r="BB925" s="36"/>
      <c r="BC925" s="36"/>
      <c r="BD925" s="36"/>
      <c r="BE925" s="36"/>
      <c r="BF925" s="36"/>
      <c r="BG925" s="36"/>
      <c r="BH925" s="36"/>
      <c r="BI925" s="36"/>
      <c r="BJ925" s="36"/>
      <c r="BK925" s="36"/>
      <c r="BL925" s="36"/>
      <c r="BM925" s="36"/>
      <c r="BN925" s="36"/>
      <c r="BO925" s="36"/>
      <c r="BP925" s="36"/>
      <c r="BQ925" s="36"/>
      <c r="BR925" s="36"/>
      <c r="BS925" s="36"/>
      <c r="BT925" s="36"/>
      <c r="BU925" s="36"/>
      <c r="BV925" s="36"/>
      <c r="BW925" s="36"/>
      <c r="BX925" s="36"/>
      <c r="BY925" s="36"/>
      <c r="BZ925" s="36"/>
      <c r="CA925" s="36"/>
      <c r="CB925" s="36"/>
      <c r="CC925" s="36"/>
      <c r="CD925" s="36"/>
      <c r="CE925" s="36"/>
      <c r="CF925" s="36"/>
      <c r="CG925" s="36"/>
      <c r="CH925" s="36"/>
      <c r="CI925" s="36"/>
      <c r="CJ925" s="36"/>
      <c r="CK925" s="36"/>
      <c r="CL925" s="36"/>
      <c r="CM925" s="36"/>
      <c r="CN925" s="36"/>
      <c r="CO925" s="36"/>
    </row>
    <row r="926">
      <c r="A926" s="36"/>
      <c r="B926" s="47"/>
      <c r="C926" s="50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  <c r="AL926" s="36"/>
      <c r="AM926" s="36"/>
      <c r="AN926" s="36"/>
      <c r="AO926" s="36"/>
      <c r="AP926" s="36"/>
      <c r="AQ926" s="36"/>
      <c r="AR926" s="36"/>
      <c r="AS926" s="36"/>
      <c r="AT926" s="36"/>
      <c r="AU926" s="36"/>
      <c r="AV926" s="36"/>
      <c r="AW926" s="36"/>
      <c r="AX926" s="36"/>
      <c r="AY926" s="36"/>
      <c r="AZ926" s="36"/>
      <c r="BA926" s="36"/>
      <c r="BB926" s="36"/>
      <c r="BC926" s="36"/>
      <c r="BD926" s="36"/>
      <c r="BE926" s="36"/>
      <c r="BF926" s="36"/>
      <c r="BG926" s="36"/>
      <c r="BH926" s="36"/>
      <c r="BI926" s="36"/>
      <c r="BJ926" s="36"/>
      <c r="BK926" s="36"/>
      <c r="BL926" s="36"/>
      <c r="BM926" s="36"/>
      <c r="BN926" s="36"/>
      <c r="BO926" s="36"/>
      <c r="BP926" s="36"/>
      <c r="BQ926" s="36"/>
      <c r="BR926" s="36"/>
      <c r="BS926" s="36"/>
      <c r="BT926" s="36"/>
      <c r="BU926" s="36"/>
      <c r="BV926" s="36"/>
      <c r="BW926" s="36"/>
      <c r="BX926" s="36"/>
      <c r="BY926" s="36"/>
      <c r="BZ926" s="36"/>
      <c r="CA926" s="36"/>
      <c r="CB926" s="36"/>
      <c r="CC926" s="36"/>
      <c r="CD926" s="36"/>
      <c r="CE926" s="36"/>
      <c r="CF926" s="36"/>
      <c r="CG926" s="36"/>
      <c r="CH926" s="36"/>
      <c r="CI926" s="36"/>
      <c r="CJ926" s="36"/>
      <c r="CK926" s="36"/>
      <c r="CL926" s="36"/>
      <c r="CM926" s="36"/>
      <c r="CN926" s="36"/>
      <c r="CO926" s="36"/>
    </row>
    <row r="927">
      <c r="A927" s="36"/>
      <c r="B927" s="47"/>
      <c r="C927" s="50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  <c r="AL927" s="36"/>
      <c r="AM927" s="36"/>
      <c r="AN927" s="36"/>
      <c r="AO927" s="36"/>
      <c r="AP927" s="36"/>
      <c r="AQ927" s="36"/>
      <c r="AR927" s="36"/>
      <c r="AS927" s="36"/>
      <c r="AT927" s="36"/>
      <c r="AU927" s="36"/>
      <c r="AV927" s="36"/>
      <c r="AW927" s="36"/>
      <c r="AX927" s="36"/>
      <c r="AY927" s="36"/>
      <c r="AZ927" s="36"/>
      <c r="BA927" s="36"/>
      <c r="BB927" s="36"/>
      <c r="BC927" s="36"/>
      <c r="BD927" s="36"/>
      <c r="BE927" s="36"/>
      <c r="BF927" s="36"/>
      <c r="BG927" s="36"/>
      <c r="BH927" s="36"/>
      <c r="BI927" s="36"/>
      <c r="BJ927" s="36"/>
      <c r="BK927" s="36"/>
      <c r="BL927" s="36"/>
      <c r="BM927" s="36"/>
      <c r="BN927" s="36"/>
      <c r="BO927" s="36"/>
      <c r="BP927" s="36"/>
      <c r="BQ927" s="36"/>
      <c r="BR927" s="36"/>
      <c r="BS927" s="36"/>
      <c r="BT927" s="36"/>
      <c r="BU927" s="36"/>
      <c r="BV927" s="36"/>
      <c r="BW927" s="36"/>
      <c r="BX927" s="36"/>
      <c r="BY927" s="36"/>
      <c r="BZ927" s="36"/>
      <c r="CA927" s="36"/>
      <c r="CB927" s="36"/>
      <c r="CC927" s="36"/>
      <c r="CD927" s="36"/>
      <c r="CE927" s="36"/>
      <c r="CF927" s="36"/>
      <c r="CG927" s="36"/>
      <c r="CH927" s="36"/>
      <c r="CI927" s="36"/>
      <c r="CJ927" s="36"/>
      <c r="CK927" s="36"/>
      <c r="CL927" s="36"/>
      <c r="CM927" s="36"/>
      <c r="CN927" s="36"/>
      <c r="CO927" s="36"/>
    </row>
    <row r="928">
      <c r="A928" s="36"/>
      <c r="B928" s="47"/>
      <c r="C928" s="50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  <c r="AL928" s="36"/>
      <c r="AM928" s="36"/>
      <c r="AN928" s="36"/>
      <c r="AO928" s="36"/>
      <c r="AP928" s="36"/>
      <c r="AQ928" s="36"/>
      <c r="AR928" s="36"/>
      <c r="AS928" s="36"/>
      <c r="AT928" s="36"/>
      <c r="AU928" s="36"/>
      <c r="AV928" s="36"/>
      <c r="AW928" s="36"/>
      <c r="AX928" s="36"/>
      <c r="AY928" s="36"/>
      <c r="AZ928" s="36"/>
      <c r="BA928" s="36"/>
      <c r="BB928" s="36"/>
      <c r="BC928" s="36"/>
      <c r="BD928" s="36"/>
      <c r="BE928" s="36"/>
      <c r="BF928" s="36"/>
      <c r="BG928" s="36"/>
      <c r="BH928" s="36"/>
      <c r="BI928" s="36"/>
      <c r="BJ928" s="36"/>
      <c r="BK928" s="36"/>
      <c r="BL928" s="36"/>
      <c r="BM928" s="36"/>
      <c r="BN928" s="36"/>
      <c r="BO928" s="36"/>
      <c r="BP928" s="36"/>
      <c r="BQ928" s="36"/>
      <c r="BR928" s="36"/>
      <c r="BS928" s="36"/>
      <c r="BT928" s="36"/>
      <c r="BU928" s="36"/>
      <c r="BV928" s="36"/>
      <c r="BW928" s="36"/>
      <c r="BX928" s="36"/>
      <c r="BY928" s="36"/>
      <c r="BZ928" s="36"/>
      <c r="CA928" s="36"/>
      <c r="CB928" s="36"/>
      <c r="CC928" s="36"/>
      <c r="CD928" s="36"/>
      <c r="CE928" s="36"/>
      <c r="CF928" s="36"/>
      <c r="CG928" s="36"/>
      <c r="CH928" s="36"/>
      <c r="CI928" s="36"/>
      <c r="CJ928" s="36"/>
      <c r="CK928" s="36"/>
      <c r="CL928" s="36"/>
      <c r="CM928" s="36"/>
      <c r="CN928" s="36"/>
      <c r="CO928" s="36"/>
    </row>
    <row r="929">
      <c r="A929" s="36"/>
      <c r="B929" s="47"/>
      <c r="C929" s="50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  <c r="AL929" s="36"/>
      <c r="AM929" s="36"/>
      <c r="AN929" s="36"/>
      <c r="AO929" s="36"/>
      <c r="AP929" s="36"/>
      <c r="AQ929" s="36"/>
      <c r="AR929" s="36"/>
      <c r="AS929" s="36"/>
      <c r="AT929" s="36"/>
      <c r="AU929" s="36"/>
      <c r="AV929" s="36"/>
      <c r="AW929" s="36"/>
      <c r="AX929" s="36"/>
      <c r="AY929" s="36"/>
      <c r="AZ929" s="36"/>
      <c r="BA929" s="36"/>
      <c r="BB929" s="36"/>
      <c r="BC929" s="36"/>
      <c r="BD929" s="36"/>
      <c r="BE929" s="36"/>
      <c r="BF929" s="36"/>
      <c r="BG929" s="36"/>
      <c r="BH929" s="36"/>
      <c r="BI929" s="36"/>
      <c r="BJ929" s="36"/>
      <c r="BK929" s="36"/>
      <c r="BL929" s="36"/>
      <c r="BM929" s="36"/>
      <c r="BN929" s="36"/>
      <c r="BO929" s="36"/>
      <c r="BP929" s="36"/>
      <c r="BQ929" s="36"/>
      <c r="BR929" s="36"/>
      <c r="BS929" s="36"/>
      <c r="BT929" s="36"/>
      <c r="BU929" s="36"/>
      <c r="BV929" s="36"/>
      <c r="BW929" s="36"/>
      <c r="BX929" s="36"/>
      <c r="BY929" s="36"/>
      <c r="BZ929" s="36"/>
      <c r="CA929" s="36"/>
      <c r="CB929" s="36"/>
      <c r="CC929" s="36"/>
      <c r="CD929" s="36"/>
      <c r="CE929" s="36"/>
      <c r="CF929" s="36"/>
      <c r="CG929" s="36"/>
      <c r="CH929" s="36"/>
      <c r="CI929" s="36"/>
      <c r="CJ929" s="36"/>
      <c r="CK929" s="36"/>
      <c r="CL929" s="36"/>
      <c r="CM929" s="36"/>
      <c r="CN929" s="36"/>
      <c r="CO929" s="36"/>
    </row>
    <row r="930">
      <c r="A930" s="36"/>
      <c r="B930" s="47"/>
      <c r="C930" s="50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  <c r="AL930" s="36"/>
      <c r="AM930" s="36"/>
      <c r="AN930" s="36"/>
      <c r="AO930" s="36"/>
      <c r="AP930" s="36"/>
      <c r="AQ930" s="36"/>
      <c r="AR930" s="36"/>
      <c r="AS930" s="36"/>
      <c r="AT930" s="36"/>
      <c r="AU930" s="36"/>
      <c r="AV930" s="36"/>
      <c r="AW930" s="36"/>
      <c r="AX930" s="36"/>
      <c r="AY930" s="36"/>
      <c r="AZ930" s="36"/>
      <c r="BA930" s="36"/>
      <c r="BB930" s="36"/>
      <c r="BC930" s="36"/>
      <c r="BD930" s="36"/>
      <c r="BE930" s="36"/>
      <c r="BF930" s="36"/>
      <c r="BG930" s="36"/>
      <c r="BH930" s="36"/>
      <c r="BI930" s="36"/>
      <c r="BJ930" s="36"/>
      <c r="BK930" s="36"/>
      <c r="BL930" s="36"/>
      <c r="BM930" s="36"/>
      <c r="BN930" s="36"/>
      <c r="BO930" s="36"/>
      <c r="BP930" s="36"/>
      <c r="BQ930" s="36"/>
      <c r="BR930" s="36"/>
      <c r="BS930" s="36"/>
      <c r="BT930" s="36"/>
      <c r="BU930" s="36"/>
      <c r="BV930" s="36"/>
      <c r="BW930" s="36"/>
      <c r="BX930" s="36"/>
      <c r="BY930" s="36"/>
      <c r="BZ930" s="36"/>
      <c r="CA930" s="36"/>
      <c r="CB930" s="36"/>
      <c r="CC930" s="36"/>
      <c r="CD930" s="36"/>
      <c r="CE930" s="36"/>
      <c r="CF930" s="36"/>
      <c r="CG930" s="36"/>
      <c r="CH930" s="36"/>
      <c r="CI930" s="36"/>
      <c r="CJ930" s="36"/>
      <c r="CK930" s="36"/>
      <c r="CL930" s="36"/>
      <c r="CM930" s="36"/>
      <c r="CN930" s="36"/>
      <c r="CO930" s="36"/>
    </row>
    <row r="931">
      <c r="A931" s="36"/>
      <c r="B931" s="47"/>
      <c r="C931" s="50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  <c r="AL931" s="36"/>
      <c r="AM931" s="36"/>
      <c r="AN931" s="36"/>
      <c r="AO931" s="36"/>
      <c r="AP931" s="36"/>
      <c r="AQ931" s="36"/>
      <c r="AR931" s="36"/>
      <c r="AS931" s="36"/>
      <c r="AT931" s="36"/>
      <c r="AU931" s="36"/>
      <c r="AV931" s="36"/>
      <c r="AW931" s="36"/>
      <c r="AX931" s="36"/>
      <c r="AY931" s="36"/>
      <c r="AZ931" s="36"/>
      <c r="BA931" s="36"/>
      <c r="BB931" s="36"/>
      <c r="BC931" s="36"/>
      <c r="BD931" s="36"/>
      <c r="BE931" s="36"/>
      <c r="BF931" s="36"/>
      <c r="BG931" s="36"/>
      <c r="BH931" s="36"/>
      <c r="BI931" s="36"/>
      <c r="BJ931" s="36"/>
      <c r="BK931" s="36"/>
      <c r="BL931" s="36"/>
      <c r="BM931" s="36"/>
      <c r="BN931" s="36"/>
      <c r="BO931" s="36"/>
      <c r="BP931" s="36"/>
      <c r="BQ931" s="36"/>
      <c r="BR931" s="36"/>
      <c r="BS931" s="36"/>
      <c r="BT931" s="36"/>
      <c r="BU931" s="36"/>
      <c r="BV931" s="36"/>
      <c r="BW931" s="36"/>
      <c r="BX931" s="36"/>
      <c r="BY931" s="36"/>
      <c r="BZ931" s="36"/>
      <c r="CA931" s="36"/>
      <c r="CB931" s="36"/>
      <c r="CC931" s="36"/>
      <c r="CD931" s="36"/>
      <c r="CE931" s="36"/>
      <c r="CF931" s="36"/>
      <c r="CG931" s="36"/>
      <c r="CH931" s="36"/>
      <c r="CI931" s="36"/>
      <c r="CJ931" s="36"/>
      <c r="CK931" s="36"/>
      <c r="CL931" s="36"/>
      <c r="CM931" s="36"/>
      <c r="CN931" s="36"/>
      <c r="CO931" s="36"/>
    </row>
    <row r="932">
      <c r="A932" s="36"/>
      <c r="B932" s="47"/>
      <c r="C932" s="50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  <c r="AL932" s="36"/>
      <c r="AM932" s="36"/>
      <c r="AN932" s="36"/>
      <c r="AO932" s="36"/>
      <c r="AP932" s="36"/>
      <c r="AQ932" s="36"/>
      <c r="AR932" s="36"/>
      <c r="AS932" s="36"/>
      <c r="AT932" s="36"/>
      <c r="AU932" s="36"/>
      <c r="AV932" s="36"/>
      <c r="AW932" s="36"/>
      <c r="AX932" s="36"/>
      <c r="AY932" s="36"/>
      <c r="AZ932" s="36"/>
      <c r="BA932" s="36"/>
      <c r="BB932" s="36"/>
      <c r="BC932" s="36"/>
      <c r="BD932" s="36"/>
      <c r="BE932" s="36"/>
      <c r="BF932" s="36"/>
      <c r="BG932" s="36"/>
      <c r="BH932" s="36"/>
      <c r="BI932" s="36"/>
      <c r="BJ932" s="36"/>
      <c r="BK932" s="36"/>
      <c r="BL932" s="36"/>
      <c r="BM932" s="36"/>
      <c r="BN932" s="36"/>
      <c r="BO932" s="36"/>
      <c r="BP932" s="36"/>
      <c r="BQ932" s="36"/>
      <c r="BR932" s="36"/>
      <c r="BS932" s="36"/>
      <c r="BT932" s="36"/>
      <c r="BU932" s="36"/>
      <c r="BV932" s="36"/>
      <c r="BW932" s="36"/>
      <c r="BX932" s="36"/>
      <c r="BY932" s="36"/>
      <c r="BZ932" s="36"/>
      <c r="CA932" s="36"/>
      <c r="CB932" s="36"/>
      <c r="CC932" s="36"/>
      <c r="CD932" s="36"/>
      <c r="CE932" s="36"/>
      <c r="CF932" s="36"/>
      <c r="CG932" s="36"/>
      <c r="CH932" s="36"/>
      <c r="CI932" s="36"/>
      <c r="CJ932" s="36"/>
      <c r="CK932" s="36"/>
      <c r="CL932" s="36"/>
      <c r="CM932" s="36"/>
      <c r="CN932" s="36"/>
      <c r="CO932" s="36"/>
    </row>
    <row r="933">
      <c r="A933" s="36"/>
      <c r="B933" s="47"/>
      <c r="C933" s="50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  <c r="AL933" s="36"/>
      <c r="AM933" s="36"/>
      <c r="AN933" s="36"/>
      <c r="AO933" s="36"/>
      <c r="AP933" s="36"/>
      <c r="AQ933" s="36"/>
      <c r="AR933" s="36"/>
      <c r="AS933" s="36"/>
      <c r="AT933" s="36"/>
      <c r="AU933" s="36"/>
      <c r="AV933" s="36"/>
      <c r="AW933" s="36"/>
      <c r="AX933" s="36"/>
      <c r="AY933" s="36"/>
      <c r="AZ933" s="36"/>
      <c r="BA933" s="36"/>
      <c r="BB933" s="36"/>
      <c r="BC933" s="36"/>
      <c r="BD933" s="36"/>
      <c r="BE933" s="36"/>
      <c r="BF933" s="36"/>
      <c r="BG933" s="36"/>
      <c r="BH933" s="36"/>
      <c r="BI933" s="36"/>
      <c r="BJ933" s="36"/>
      <c r="BK933" s="36"/>
      <c r="BL933" s="36"/>
      <c r="BM933" s="36"/>
      <c r="BN933" s="36"/>
      <c r="BO933" s="36"/>
      <c r="BP933" s="36"/>
      <c r="BQ933" s="36"/>
      <c r="BR933" s="36"/>
      <c r="BS933" s="36"/>
      <c r="BT933" s="36"/>
      <c r="BU933" s="36"/>
      <c r="BV933" s="36"/>
      <c r="BW933" s="36"/>
      <c r="BX933" s="36"/>
      <c r="BY933" s="36"/>
      <c r="BZ933" s="36"/>
      <c r="CA933" s="36"/>
      <c r="CB933" s="36"/>
      <c r="CC933" s="36"/>
      <c r="CD933" s="36"/>
      <c r="CE933" s="36"/>
      <c r="CF933" s="36"/>
      <c r="CG933" s="36"/>
      <c r="CH933" s="36"/>
      <c r="CI933" s="36"/>
      <c r="CJ933" s="36"/>
      <c r="CK933" s="36"/>
      <c r="CL933" s="36"/>
      <c r="CM933" s="36"/>
      <c r="CN933" s="36"/>
      <c r="CO933" s="36"/>
    </row>
    <row r="934">
      <c r="A934" s="36"/>
      <c r="B934" s="47"/>
      <c r="C934" s="50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  <c r="AL934" s="36"/>
      <c r="AM934" s="36"/>
      <c r="AN934" s="36"/>
      <c r="AO934" s="36"/>
      <c r="AP934" s="36"/>
      <c r="AQ934" s="36"/>
      <c r="AR934" s="36"/>
      <c r="AS934" s="36"/>
      <c r="AT934" s="36"/>
      <c r="AU934" s="36"/>
      <c r="AV934" s="36"/>
      <c r="AW934" s="36"/>
      <c r="AX934" s="36"/>
      <c r="AY934" s="36"/>
      <c r="AZ934" s="36"/>
      <c r="BA934" s="36"/>
      <c r="BB934" s="36"/>
      <c r="BC934" s="36"/>
      <c r="BD934" s="36"/>
      <c r="BE934" s="36"/>
      <c r="BF934" s="36"/>
      <c r="BG934" s="36"/>
      <c r="BH934" s="36"/>
      <c r="BI934" s="36"/>
      <c r="BJ934" s="36"/>
      <c r="BK934" s="36"/>
      <c r="BL934" s="36"/>
      <c r="BM934" s="36"/>
      <c r="BN934" s="36"/>
      <c r="BO934" s="36"/>
      <c r="BP934" s="36"/>
      <c r="BQ934" s="36"/>
      <c r="BR934" s="36"/>
      <c r="BS934" s="36"/>
      <c r="BT934" s="36"/>
      <c r="BU934" s="36"/>
      <c r="BV934" s="36"/>
      <c r="BW934" s="36"/>
      <c r="BX934" s="36"/>
      <c r="BY934" s="36"/>
      <c r="BZ934" s="36"/>
      <c r="CA934" s="36"/>
      <c r="CB934" s="36"/>
      <c r="CC934" s="36"/>
      <c r="CD934" s="36"/>
      <c r="CE934" s="36"/>
      <c r="CF934" s="36"/>
      <c r="CG934" s="36"/>
      <c r="CH934" s="36"/>
      <c r="CI934" s="36"/>
      <c r="CJ934" s="36"/>
      <c r="CK934" s="36"/>
      <c r="CL934" s="36"/>
      <c r="CM934" s="36"/>
      <c r="CN934" s="36"/>
      <c r="CO934" s="36"/>
    </row>
    <row r="935">
      <c r="A935" s="36"/>
      <c r="B935" s="47"/>
      <c r="C935" s="50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  <c r="AL935" s="36"/>
      <c r="AM935" s="36"/>
      <c r="AN935" s="36"/>
      <c r="AO935" s="36"/>
      <c r="AP935" s="36"/>
      <c r="AQ935" s="36"/>
      <c r="AR935" s="36"/>
      <c r="AS935" s="36"/>
      <c r="AT935" s="36"/>
      <c r="AU935" s="36"/>
      <c r="AV935" s="36"/>
      <c r="AW935" s="36"/>
      <c r="AX935" s="36"/>
      <c r="AY935" s="36"/>
      <c r="AZ935" s="36"/>
      <c r="BA935" s="36"/>
      <c r="BB935" s="36"/>
      <c r="BC935" s="36"/>
      <c r="BD935" s="36"/>
      <c r="BE935" s="36"/>
      <c r="BF935" s="36"/>
      <c r="BG935" s="36"/>
      <c r="BH935" s="36"/>
      <c r="BI935" s="36"/>
      <c r="BJ935" s="36"/>
      <c r="BK935" s="36"/>
      <c r="BL935" s="36"/>
      <c r="BM935" s="36"/>
      <c r="BN935" s="36"/>
      <c r="BO935" s="36"/>
      <c r="BP935" s="36"/>
      <c r="BQ935" s="36"/>
      <c r="BR935" s="36"/>
      <c r="BS935" s="36"/>
      <c r="BT935" s="36"/>
      <c r="BU935" s="36"/>
      <c r="BV935" s="36"/>
      <c r="BW935" s="36"/>
      <c r="BX935" s="36"/>
      <c r="BY935" s="36"/>
      <c r="BZ935" s="36"/>
      <c r="CA935" s="36"/>
      <c r="CB935" s="36"/>
      <c r="CC935" s="36"/>
      <c r="CD935" s="36"/>
      <c r="CE935" s="36"/>
      <c r="CF935" s="36"/>
      <c r="CG935" s="36"/>
      <c r="CH935" s="36"/>
      <c r="CI935" s="36"/>
      <c r="CJ935" s="36"/>
      <c r="CK935" s="36"/>
      <c r="CL935" s="36"/>
      <c r="CM935" s="36"/>
      <c r="CN935" s="36"/>
      <c r="CO935" s="36"/>
    </row>
    <row r="936">
      <c r="A936" s="36"/>
      <c r="B936" s="47"/>
      <c r="C936" s="50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  <c r="AL936" s="36"/>
      <c r="AM936" s="36"/>
      <c r="AN936" s="36"/>
      <c r="AO936" s="36"/>
      <c r="AP936" s="36"/>
      <c r="AQ936" s="36"/>
      <c r="AR936" s="36"/>
      <c r="AS936" s="36"/>
      <c r="AT936" s="36"/>
      <c r="AU936" s="36"/>
      <c r="AV936" s="36"/>
      <c r="AW936" s="36"/>
      <c r="AX936" s="36"/>
      <c r="AY936" s="36"/>
      <c r="AZ936" s="36"/>
      <c r="BA936" s="36"/>
      <c r="BB936" s="36"/>
      <c r="BC936" s="36"/>
      <c r="BD936" s="36"/>
      <c r="BE936" s="36"/>
      <c r="BF936" s="36"/>
      <c r="BG936" s="36"/>
      <c r="BH936" s="36"/>
      <c r="BI936" s="36"/>
      <c r="BJ936" s="36"/>
      <c r="BK936" s="36"/>
      <c r="BL936" s="36"/>
      <c r="BM936" s="36"/>
      <c r="BN936" s="36"/>
      <c r="BO936" s="36"/>
      <c r="BP936" s="36"/>
      <c r="BQ936" s="36"/>
      <c r="BR936" s="36"/>
      <c r="BS936" s="36"/>
      <c r="BT936" s="36"/>
      <c r="BU936" s="36"/>
      <c r="BV936" s="36"/>
      <c r="BW936" s="36"/>
      <c r="BX936" s="36"/>
      <c r="BY936" s="36"/>
      <c r="BZ936" s="36"/>
      <c r="CA936" s="36"/>
      <c r="CB936" s="36"/>
      <c r="CC936" s="36"/>
      <c r="CD936" s="36"/>
      <c r="CE936" s="36"/>
      <c r="CF936" s="36"/>
      <c r="CG936" s="36"/>
      <c r="CH936" s="36"/>
      <c r="CI936" s="36"/>
      <c r="CJ936" s="36"/>
      <c r="CK936" s="36"/>
      <c r="CL936" s="36"/>
      <c r="CM936" s="36"/>
      <c r="CN936" s="36"/>
      <c r="CO936" s="36"/>
    </row>
    <row r="937">
      <c r="A937" s="36"/>
      <c r="B937" s="47"/>
      <c r="C937" s="50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  <c r="AL937" s="36"/>
      <c r="AM937" s="36"/>
      <c r="AN937" s="36"/>
      <c r="AO937" s="36"/>
      <c r="AP937" s="36"/>
      <c r="AQ937" s="36"/>
      <c r="AR937" s="36"/>
      <c r="AS937" s="36"/>
      <c r="AT937" s="36"/>
      <c r="AU937" s="36"/>
      <c r="AV937" s="36"/>
      <c r="AW937" s="36"/>
      <c r="AX937" s="36"/>
      <c r="AY937" s="36"/>
      <c r="AZ937" s="36"/>
      <c r="BA937" s="36"/>
      <c r="BB937" s="36"/>
      <c r="BC937" s="36"/>
      <c r="BD937" s="36"/>
      <c r="BE937" s="36"/>
      <c r="BF937" s="36"/>
      <c r="BG937" s="36"/>
      <c r="BH937" s="36"/>
      <c r="BI937" s="36"/>
      <c r="BJ937" s="36"/>
      <c r="BK937" s="36"/>
      <c r="BL937" s="36"/>
      <c r="BM937" s="36"/>
      <c r="BN937" s="36"/>
      <c r="BO937" s="36"/>
      <c r="BP937" s="36"/>
      <c r="BQ937" s="36"/>
      <c r="BR937" s="36"/>
      <c r="BS937" s="36"/>
      <c r="BT937" s="36"/>
      <c r="BU937" s="36"/>
      <c r="BV937" s="36"/>
      <c r="BW937" s="36"/>
      <c r="BX937" s="36"/>
      <c r="BY937" s="36"/>
      <c r="BZ937" s="36"/>
      <c r="CA937" s="36"/>
      <c r="CB937" s="36"/>
      <c r="CC937" s="36"/>
      <c r="CD937" s="36"/>
      <c r="CE937" s="36"/>
      <c r="CF937" s="36"/>
      <c r="CG937" s="36"/>
      <c r="CH937" s="36"/>
      <c r="CI937" s="36"/>
      <c r="CJ937" s="36"/>
      <c r="CK937" s="36"/>
      <c r="CL937" s="36"/>
      <c r="CM937" s="36"/>
      <c r="CN937" s="36"/>
      <c r="CO937" s="36"/>
    </row>
    <row r="938">
      <c r="A938" s="36"/>
      <c r="B938" s="47"/>
      <c r="C938" s="50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  <c r="AL938" s="36"/>
      <c r="AM938" s="36"/>
      <c r="AN938" s="36"/>
      <c r="AO938" s="36"/>
      <c r="AP938" s="36"/>
      <c r="AQ938" s="36"/>
      <c r="AR938" s="36"/>
      <c r="AS938" s="36"/>
      <c r="AT938" s="36"/>
      <c r="AU938" s="36"/>
      <c r="AV938" s="36"/>
      <c r="AW938" s="36"/>
      <c r="AX938" s="36"/>
      <c r="AY938" s="36"/>
      <c r="AZ938" s="36"/>
      <c r="BA938" s="36"/>
      <c r="BB938" s="36"/>
      <c r="BC938" s="36"/>
      <c r="BD938" s="36"/>
      <c r="BE938" s="36"/>
      <c r="BF938" s="36"/>
      <c r="BG938" s="36"/>
      <c r="BH938" s="36"/>
      <c r="BI938" s="36"/>
      <c r="BJ938" s="36"/>
      <c r="BK938" s="36"/>
      <c r="BL938" s="36"/>
      <c r="BM938" s="36"/>
      <c r="BN938" s="36"/>
      <c r="BO938" s="36"/>
      <c r="BP938" s="36"/>
      <c r="BQ938" s="36"/>
      <c r="BR938" s="36"/>
      <c r="BS938" s="36"/>
      <c r="BT938" s="36"/>
      <c r="BU938" s="36"/>
      <c r="BV938" s="36"/>
      <c r="BW938" s="36"/>
      <c r="BX938" s="36"/>
      <c r="BY938" s="36"/>
      <c r="BZ938" s="36"/>
      <c r="CA938" s="36"/>
      <c r="CB938" s="36"/>
      <c r="CC938" s="36"/>
      <c r="CD938" s="36"/>
      <c r="CE938" s="36"/>
      <c r="CF938" s="36"/>
      <c r="CG938" s="36"/>
      <c r="CH938" s="36"/>
      <c r="CI938" s="36"/>
      <c r="CJ938" s="36"/>
      <c r="CK938" s="36"/>
      <c r="CL938" s="36"/>
      <c r="CM938" s="36"/>
      <c r="CN938" s="36"/>
      <c r="CO938" s="36"/>
    </row>
    <row r="939">
      <c r="A939" s="36"/>
      <c r="B939" s="47"/>
      <c r="C939" s="50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  <c r="AL939" s="36"/>
      <c r="AM939" s="36"/>
      <c r="AN939" s="36"/>
      <c r="AO939" s="36"/>
      <c r="AP939" s="36"/>
      <c r="AQ939" s="36"/>
      <c r="AR939" s="36"/>
      <c r="AS939" s="36"/>
      <c r="AT939" s="36"/>
      <c r="AU939" s="36"/>
      <c r="AV939" s="36"/>
      <c r="AW939" s="36"/>
      <c r="AX939" s="36"/>
      <c r="AY939" s="36"/>
      <c r="AZ939" s="36"/>
      <c r="BA939" s="36"/>
      <c r="BB939" s="36"/>
      <c r="BC939" s="36"/>
      <c r="BD939" s="36"/>
      <c r="BE939" s="36"/>
      <c r="BF939" s="36"/>
      <c r="BG939" s="36"/>
      <c r="BH939" s="36"/>
      <c r="BI939" s="36"/>
      <c r="BJ939" s="36"/>
      <c r="BK939" s="36"/>
      <c r="BL939" s="36"/>
      <c r="BM939" s="36"/>
      <c r="BN939" s="36"/>
      <c r="BO939" s="36"/>
      <c r="BP939" s="36"/>
      <c r="BQ939" s="36"/>
      <c r="BR939" s="36"/>
      <c r="BS939" s="36"/>
      <c r="BT939" s="36"/>
      <c r="BU939" s="36"/>
      <c r="BV939" s="36"/>
      <c r="BW939" s="36"/>
      <c r="BX939" s="36"/>
      <c r="BY939" s="36"/>
      <c r="BZ939" s="36"/>
      <c r="CA939" s="36"/>
      <c r="CB939" s="36"/>
      <c r="CC939" s="36"/>
      <c r="CD939" s="36"/>
      <c r="CE939" s="36"/>
      <c r="CF939" s="36"/>
      <c r="CG939" s="36"/>
      <c r="CH939" s="36"/>
      <c r="CI939" s="36"/>
      <c r="CJ939" s="36"/>
      <c r="CK939" s="36"/>
      <c r="CL939" s="36"/>
      <c r="CM939" s="36"/>
      <c r="CN939" s="36"/>
      <c r="CO939" s="36"/>
    </row>
    <row r="940">
      <c r="A940" s="36"/>
      <c r="B940" s="47"/>
      <c r="C940" s="50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  <c r="AL940" s="36"/>
      <c r="AM940" s="36"/>
      <c r="AN940" s="36"/>
      <c r="AO940" s="36"/>
      <c r="AP940" s="36"/>
      <c r="AQ940" s="36"/>
      <c r="AR940" s="36"/>
      <c r="AS940" s="36"/>
      <c r="AT940" s="36"/>
      <c r="AU940" s="36"/>
      <c r="AV940" s="36"/>
      <c r="AW940" s="36"/>
      <c r="AX940" s="36"/>
      <c r="AY940" s="36"/>
      <c r="AZ940" s="36"/>
      <c r="BA940" s="36"/>
      <c r="BB940" s="36"/>
      <c r="BC940" s="36"/>
      <c r="BD940" s="36"/>
      <c r="BE940" s="36"/>
      <c r="BF940" s="36"/>
      <c r="BG940" s="36"/>
      <c r="BH940" s="36"/>
      <c r="BI940" s="36"/>
      <c r="BJ940" s="36"/>
      <c r="BK940" s="36"/>
      <c r="BL940" s="36"/>
      <c r="BM940" s="36"/>
      <c r="BN940" s="36"/>
      <c r="BO940" s="36"/>
      <c r="BP940" s="36"/>
      <c r="BQ940" s="36"/>
      <c r="BR940" s="36"/>
      <c r="BS940" s="36"/>
      <c r="BT940" s="36"/>
      <c r="BU940" s="36"/>
      <c r="BV940" s="36"/>
      <c r="BW940" s="36"/>
      <c r="BX940" s="36"/>
      <c r="BY940" s="36"/>
      <c r="BZ940" s="36"/>
      <c r="CA940" s="36"/>
      <c r="CB940" s="36"/>
      <c r="CC940" s="36"/>
      <c r="CD940" s="36"/>
      <c r="CE940" s="36"/>
      <c r="CF940" s="36"/>
      <c r="CG940" s="36"/>
      <c r="CH940" s="36"/>
      <c r="CI940" s="36"/>
      <c r="CJ940" s="36"/>
      <c r="CK940" s="36"/>
      <c r="CL940" s="36"/>
      <c r="CM940" s="36"/>
      <c r="CN940" s="36"/>
      <c r="CO940" s="36"/>
    </row>
    <row r="941">
      <c r="A941" s="36"/>
      <c r="B941" s="47"/>
      <c r="C941" s="50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  <c r="AL941" s="36"/>
      <c r="AM941" s="36"/>
      <c r="AN941" s="36"/>
      <c r="AO941" s="36"/>
      <c r="AP941" s="36"/>
      <c r="AQ941" s="36"/>
      <c r="AR941" s="36"/>
      <c r="AS941" s="36"/>
      <c r="AT941" s="36"/>
      <c r="AU941" s="36"/>
      <c r="AV941" s="36"/>
      <c r="AW941" s="36"/>
      <c r="AX941" s="36"/>
      <c r="AY941" s="36"/>
      <c r="AZ941" s="36"/>
      <c r="BA941" s="36"/>
      <c r="BB941" s="36"/>
      <c r="BC941" s="36"/>
      <c r="BD941" s="36"/>
      <c r="BE941" s="36"/>
      <c r="BF941" s="36"/>
      <c r="BG941" s="36"/>
      <c r="BH941" s="36"/>
      <c r="BI941" s="36"/>
      <c r="BJ941" s="36"/>
      <c r="BK941" s="36"/>
      <c r="BL941" s="36"/>
      <c r="BM941" s="36"/>
      <c r="BN941" s="36"/>
      <c r="BO941" s="36"/>
      <c r="BP941" s="36"/>
      <c r="BQ941" s="36"/>
      <c r="BR941" s="36"/>
      <c r="BS941" s="36"/>
      <c r="BT941" s="36"/>
      <c r="BU941" s="36"/>
      <c r="BV941" s="36"/>
      <c r="BW941" s="36"/>
      <c r="BX941" s="36"/>
      <c r="BY941" s="36"/>
      <c r="BZ941" s="36"/>
      <c r="CA941" s="36"/>
      <c r="CB941" s="36"/>
      <c r="CC941" s="36"/>
      <c r="CD941" s="36"/>
      <c r="CE941" s="36"/>
      <c r="CF941" s="36"/>
      <c r="CG941" s="36"/>
      <c r="CH941" s="36"/>
      <c r="CI941" s="36"/>
      <c r="CJ941" s="36"/>
      <c r="CK941" s="36"/>
      <c r="CL941" s="36"/>
      <c r="CM941" s="36"/>
      <c r="CN941" s="36"/>
      <c r="CO941" s="36"/>
    </row>
    <row r="942">
      <c r="A942" s="36"/>
      <c r="B942" s="47"/>
      <c r="C942" s="50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  <c r="AL942" s="36"/>
      <c r="AM942" s="36"/>
      <c r="AN942" s="36"/>
      <c r="AO942" s="36"/>
      <c r="AP942" s="36"/>
      <c r="AQ942" s="36"/>
      <c r="AR942" s="36"/>
      <c r="AS942" s="36"/>
      <c r="AT942" s="36"/>
      <c r="AU942" s="36"/>
      <c r="AV942" s="36"/>
      <c r="AW942" s="36"/>
      <c r="AX942" s="36"/>
      <c r="AY942" s="36"/>
      <c r="AZ942" s="36"/>
      <c r="BA942" s="36"/>
      <c r="BB942" s="36"/>
      <c r="BC942" s="36"/>
      <c r="BD942" s="36"/>
      <c r="BE942" s="36"/>
      <c r="BF942" s="36"/>
      <c r="BG942" s="36"/>
      <c r="BH942" s="36"/>
      <c r="BI942" s="36"/>
      <c r="BJ942" s="36"/>
      <c r="BK942" s="36"/>
      <c r="BL942" s="36"/>
      <c r="BM942" s="36"/>
      <c r="BN942" s="36"/>
      <c r="BO942" s="36"/>
      <c r="BP942" s="36"/>
      <c r="BQ942" s="36"/>
      <c r="BR942" s="36"/>
      <c r="BS942" s="36"/>
      <c r="BT942" s="36"/>
      <c r="BU942" s="36"/>
      <c r="BV942" s="36"/>
      <c r="BW942" s="36"/>
      <c r="BX942" s="36"/>
      <c r="BY942" s="36"/>
      <c r="BZ942" s="36"/>
      <c r="CA942" s="36"/>
      <c r="CB942" s="36"/>
      <c r="CC942" s="36"/>
      <c r="CD942" s="36"/>
      <c r="CE942" s="36"/>
      <c r="CF942" s="36"/>
      <c r="CG942" s="36"/>
      <c r="CH942" s="36"/>
      <c r="CI942" s="36"/>
      <c r="CJ942" s="36"/>
      <c r="CK942" s="36"/>
      <c r="CL942" s="36"/>
      <c r="CM942" s="36"/>
      <c r="CN942" s="36"/>
      <c r="CO942" s="36"/>
    </row>
    <row r="943">
      <c r="A943" s="36"/>
      <c r="B943" s="47"/>
      <c r="C943" s="50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  <c r="AL943" s="36"/>
      <c r="AM943" s="36"/>
      <c r="AN943" s="36"/>
      <c r="AO943" s="36"/>
      <c r="AP943" s="36"/>
      <c r="AQ943" s="36"/>
      <c r="AR943" s="36"/>
      <c r="AS943" s="36"/>
      <c r="AT943" s="36"/>
      <c r="AU943" s="36"/>
      <c r="AV943" s="36"/>
      <c r="AW943" s="36"/>
      <c r="AX943" s="36"/>
      <c r="AY943" s="36"/>
      <c r="AZ943" s="36"/>
      <c r="BA943" s="36"/>
      <c r="BB943" s="36"/>
      <c r="BC943" s="36"/>
      <c r="BD943" s="36"/>
      <c r="BE943" s="36"/>
      <c r="BF943" s="36"/>
      <c r="BG943" s="36"/>
      <c r="BH943" s="36"/>
      <c r="BI943" s="36"/>
      <c r="BJ943" s="36"/>
      <c r="BK943" s="36"/>
      <c r="BL943" s="36"/>
      <c r="BM943" s="36"/>
      <c r="BN943" s="36"/>
      <c r="BO943" s="36"/>
      <c r="BP943" s="36"/>
      <c r="BQ943" s="36"/>
      <c r="BR943" s="36"/>
      <c r="BS943" s="36"/>
      <c r="BT943" s="36"/>
      <c r="BU943" s="36"/>
      <c r="BV943" s="36"/>
      <c r="BW943" s="36"/>
      <c r="BX943" s="36"/>
      <c r="BY943" s="36"/>
      <c r="BZ943" s="36"/>
      <c r="CA943" s="36"/>
      <c r="CB943" s="36"/>
      <c r="CC943" s="36"/>
      <c r="CD943" s="36"/>
      <c r="CE943" s="36"/>
      <c r="CF943" s="36"/>
      <c r="CG943" s="36"/>
      <c r="CH943" s="36"/>
      <c r="CI943" s="36"/>
      <c r="CJ943" s="36"/>
      <c r="CK943" s="36"/>
      <c r="CL943" s="36"/>
      <c r="CM943" s="36"/>
      <c r="CN943" s="36"/>
      <c r="CO943" s="36"/>
    </row>
    <row r="944">
      <c r="A944" s="36"/>
      <c r="B944" s="47"/>
      <c r="C944" s="50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  <c r="AL944" s="36"/>
      <c r="AM944" s="36"/>
      <c r="AN944" s="36"/>
      <c r="AO944" s="36"/>
      <c r="AP944" s="36"/>
      <c r="AQ944" s="36"/>
      <c r="AR944" s="36"/>
      <c r="AS944" s="36"/>
      <c r="AT944" s="36"/>
      <c r="AU944" s="36"/>
      <c r="AV944" s="36"/>
      <c r="AW944" s="36"/>
      <c r="AX944" s="36"/>
      <c r="AY944" s="36"/>
      <c r="AZ944" s="36"/>
      <c r="BA944" s="36"/>
      <c r="BB944" s="36"/>
      <c r="BC944" s="36"/>
      <c r="BD944" s="36"/>
      <c r="BE944" s="36"/>
      <c r="BF944" s="36"/>
      <c r="BG944" s="36"/>
      <c r="BH944" s="36"/>
      <c r="BI944" s="36"/>
      <c r="BJ944" s="36"/>
      <c r="BK944" s="36"/>
      <c r="BL944" s="36"/>
      <c r="BM944" s="36"/>
      <c r="BN944" s="36"/>
      <c r="BO944" s="36"/>
      <c r="BP944" s="36"/>
      <c r="BQ944" s="36"/>
      <c r="BR944" s="36"/>
      <c r="BS944" s="36"/>
      <c r="BT944" s="36"/>
      <c r="BU944" s="36"/>
      <c r="BV944" s="36"/>
      <c r="BW944" s="36"/>
      <c r="BX944" s="36"/>
      <c r="BY944" s="36"/>
      <c r="BZ944" s="36"/>
      <c r="CA944" s="36"/>
      <c r="CB944" s="36"/>
      <c r="CC944" s="36"/>
      <c r="CD944" s="36"/>
      <c r="CE944" s="36"/>
      <c r="CF944" s="36"/>
      <c r="CG944" s="36"/>
      <c r="CH944" s="36"/>
      <c r="CI944" s="36"/>
      <c r="CJ944" s="36"/>
      <c r="CK944" s="36"/>
      <c r="CL944" s="36"/>
      <c r="CM944" s="36"/>
      <c r="CN944" s="36"/>
      <c r="CO944" s="36"/>
    </row>
    <row r="945">
      <c r="A945" s="36"/>
      <c r="B945" s="47"/>
      <c r="C945" s="50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  <c r="AL945" s="36"/>
      <c r="AM945" s="36"/>
      <c r="AN945" s="36"/>
      <c r="AO945" s="36"/>
      <c r="AP945" s="36"/>
      <c r="AQ945" s="36"/>
      <c r="AR945" s="36"/>
      <c r="AS945" s="36"/>
      <c r="AT945" s="36"/>
      <c r="AU945" s="36"/>
      <c r="AV945" s="36"/>
      <c r="AW945" s="36"/>
      <c r="AX945" s="36"/>
      <c r="AY945" s="36"/>
      <c r="AZ945" s="36"/>
      <c r="BA945" s="36"/>
      <c r="BB945" s="36"/>
      <c r="BC945" s="36"/>
      <c r="BD945" s="36"/>
      <c r="BE945" s="36"/>
      <c r="BF945" s="36"/>
      <c r="BG945" s="36"/>
      <c r="BH945" s="36"/>
      <c r="BI945" s="36"/>
      <c r="BJ945" s="36"/>
      <c r="BK945" s="36"/>
      <c r="BL945" s="36"/>
      <c r="BM945" s="36"/>
      <c r="BN945" s="36"/>
      <c r="BO945" s="36"/>
      <c r="BP945" s="36"/>
      <c r="BQ945" s="36"/>
      <c r="BR945" s="36"/>
      <c r="BS945" s="36"/>
      <c r="BT945" s="36"/>
      <c r="BU945" s="36"/>
      <c r="BV945" s="36"/>
      <c r="BW945" s="36"/>
      <c r="BX945" s="36"/>
      <c r="BY945" s="36"/>
      <c r="BZ945" s="36"/>
      <c r="CA945" s="36"/>
      <c r="CB945" s="36"/>
      <c r="CC945" s="36"/>
      <c r="CD945" s="36"/>
      <c r="CE945" s="36"/>
      <c r="CF945" s="36"/>
      <c r="CG945" s="36"/>
      <c r="CH945" s="36"/>
      <c r="CI945" s="36"/>
      <c r="CJ945" s="36"/>
      <c r="CK945" s="36"/>
      <c r="CL945" s="36"/>
      <c r="CM945" s="36"/>
      <c r="CN945" s="36"/>
      <c r="CO945" s="36"/>
    </row>
    <row r="946">
      <c r="A946" s="36"/>
      <c r="B946" s="47"/>
      <c r="C946" s="50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  <c r="AL946" s="36"/>
      <c r="AM946" s="36"/>
      <c r="AN946" s="36"/>
      <c r="AO946" s="36"/>
      <c r="AP946" s="36"/>
      <c r="AQ946" s="36"/>
      <c r="AR946" s="36"/>
      <c r="AS946" s="36"/>
      <c r="AT946" s="36"/>
      <c r="AU946" s="36"/>
      <c r="AV946" s="36"/>
      <c r="AW946" s="36"/>
      <c r="AX946" s="36"/>
      <c r="AY946" s="36"/>
      <c r="AZ946" s="36"/>
      <c r="BA946" s="36"/>
      <c r="BB946" s="36"/>
      <c r="BC946" s="36"/>
      <c r="BD946" s="36"/>
      <c r="BE946" s="36"/>
      <c r="BF946" s="36"/>
      <c r="BG946" s="36"/>
      <c r="BH946" s="36"/>
      <c r="BI946" s="36"/>
      <c r="BJ946" s="36"/>
      <c r="BK946" s="36"/>
      <c r="BL946" s="36"/>
      <c r="BM946" s="36"/>
      <c r="BN946" s="36"/>
      <c r="BO946" s="36"/>
      <c r="BP946" s="36"/>
      <c r="BQ946" s="36"/>
      <c r="BR946" s="36"/>
      <c r="BS946" s="36"/>
      <c r="BT946" s="36"/>
      <c r="BU946" s="36"/>
      <c r="BV946" s="36"/>
      <c r="BW946" s="36"/>
      <c r="BX946" s="36"/>
      <c r="BY946" s="36"/>
      <c r="BZ946" s="36"/>
      <c r="CA946" s="36"/>
      <c r="CB946" s="36"/>
      <c r="CC946" s="36"/>
      <c r="CD946" s="36"/>
      <c r="CE946" s="36"/>
      <c r="CF946" s="36"/>
      <c r="CG946" s="36"/>
      <c r="CH946" s="36"/>
      <c r="CI946" s="36"/>
      <c r="CJ946" s="36"/>
      <c r="CK946" s="36"/>
      <c r="CL946" s="36"/>
      <c r="CM946" s="36"/>
      <c r="CN946" s="36"/>
      <c r="CO946" s="36"/>
    </row>
    <row r="947">
      <c r="A947" s="36"/>
      <c r="B947" s="47"/>
      <c r="C947" s="50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  <c r="AL947" s="36"/>
      <c r="AM947" s="36"/>
      <c r="AN947" s="36"/>
      <c r="AO947" s="36"/>
      <c r="AP947" s="36"/>
      <c r="AQ947" s="36"/>
      <c r="AR947" s="36"/>
      <c r="AS947" s="36"/>
      <c r="AT947" s="36"/>
      <c r="AU947" s="36"/>
      <c r="AV947" s="36"/>
      <c r="AW947" s="36"/>
      <c r="AX947" s="36"/>
      <c r="AY947" s="36"/>
      <c r="AZ947" s="36"/>
      <c r="BA947" s="36"/>
      <c r="BB947" s="36"/>
      <c r="BC947" s="36"/>
      <c r="BD947" s="36"/>
      <c r="BE947" s="36"/>
      <c r="BF947" s="36"/>
      <c r="BG947" s="36"/>
      <c r="BH947" s="36"/>
      <c r="BI947" s="36"/>
      <c r="BJ947" s="36"/>
      <c r="BK947" s="36"/>
      <c r="BL947" s="36"/>
      <c r="BM947" s="36"/>
      <c r="BN947" s="36"/>
      <c r="BO947" s="36"/>
      <c r="BP947" s="36"/>
      <c r="BQ947" s="36"/>
      <c r="BR947" s="36"/>
      <c r="BS947" s="36"/>
      <c r="BT947" s="36"/>
      <c r="BU947" s="36"/>
      <c r="BV947" s="36"/>
      <c r="BW947" s="36"/>
      <c r="BX947" s="36"/>
      <c r="BY947" s="36"/>
      <c r="BZ947" s="36"/>
      <c r="CA947" s="36"/>
      <c r="CB947" s="36"/>
      <c r="CC947" s="36"/>
      <c r="CD947" s="36"/>
      <c r="CE947" s="36"/>
      <c r="CF947" s="36"/>
      <c r="CG947" s="36"/>
      <c r="CH947" s="36"/>
      <c r="CI947" s="36"/>
      <c r="CJ947" s="36"/>
      <c r="CK947" s="36"/>
      <c r="CL947" s="36"/>
      <c r="CM947" s="36"/>
      <c r="CN947" s="36"/>
      <c r="CO947" s="36"/>
    </row>
    <row r="948">
      <c r="A948" s="36"/>
      <c r="B948" s="47"/>
      <c r="C948" s="50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  <c r="AL948" s="36"/>
      <c r="AM948" s="36"/>
      <c r="AN948" s="36"/>
      <c r="AO948" s="36"/>
      <c r="AP948" s="36"/>
      <c r="AQ948" s="36"/>
      <c r="AR948" s="36"/>
      <c r="AS948" s="36"/>
      <c r="AT948" s="36"/>
      <c r="AU948" s="36"/>
      <c r="AV948" s="36"/>
      <c r="AW948" s="36"/>
      <c r="AX948" s="36"/>
      <c r="AY948" s="36"/>
      <c r="AZ948" s="36"/>
      <c r="BA948" s="36"/>
      <c r="BB948" s="36"/>
      <c r="BC948" s="36"/>
      <c r="BD948" s="36"/>
      <c r="BE948" s="36"/>
      <c r="BF948" s="36"/>
      <c r="BG948" s="36"/>
      <c r="BH948" s="36"/>
      <c r="BI948" s="36"/>
      <c r="BJ948" s="36"/>
      <c r="BK948" s="36"/>
      <c r="BL948" s="36"/>
      <c r="BM948" s="36"/>
      <c r="BN948" s="36"/>
      <c r="BO948" s="36"/>
      <c r="BP948" s="36"/>
      <c r="BQ948" s="36"/>
      <c r="BR948" s="36"/>
      <c r="BS948" s="36"/>
      <c r="BT948" s="36"/>
      <c r="BU948" s="36"/>
      <c r="BV948" s="36"/>
      <c r="BW948" s="36"/>
      <c r="BX948" s="36"/>
      <c r="BY948" s="36"/>
      <c r="BZ948" s="36"/>
      <c r="CA948" s="36"/>
      <c r="CB948" s="36"/>
      <c r="CC948" s="36"/>
      <c r="CD948" s="36"/>
      <c r="CE948" s="36"/>
      <c r="CF948" s="36"/>
      <c r="CG948" s="36"/>
      <c r="CH948" s="36"/>
      <c r="CI948" s="36"/>
      <c r="CJ948" s="36"/>
      <c r="CK948" s="36"/>
      <c r="CL948" s="36"/>
      <c r="CM948" s="36"/>
      <c r="CN948" s="36"/>
      <c r="CO948" s="36"/>
    </row>
    <row r="949">
      <c r="A949" s="36"/>
      <c r="B949" s="47"/>
      <c r="C949" s="50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  <c r="AL949" s="36"/>
      <c r="AM949" s="36"/>
      <c r="AN949" s="36"/>
      <c r="AO949" s="36"/>
      <c r="AP949" s="36"/>
      <c r="AQ949" s="36"/>
      <c r="AR949" s="36"/>
      <c r="AS949" s="36"/>
      <c r="AT949" s="36"/>
      <c r="AU949" s="36"/>
      <c r="AV949" s="36"/>
      <c r="AW949" s="36"/>
      <c r="AX949" s="36"/>
      <c r="AY949" s="36"/>
      <c r="AZ949" s="36"/>
      <c r="BA949" s="36"/>
      <c r="BB949" s="36"/>
      <c r="BC949" s="36"/>
      <c r="BD949" s="36"/>
      <c r="BE949" s="36"/>
      <c r="BF949" s="36"/>
      <c r="BG949" s="36"/>
      <c r="BH949" s="36"/>
      <c r="BI949" s="36"/>
      <c r="BJ949" s="36"/>
      <c r="BK949" s="36"/>
      <c r="BL949" s="36"/>
      <c r="BM949" s="36"/>
      <c r="BN949" s="36"/>
      <c r="BO949" s="36"/>
      <c r="BP949" s="36"/>
      <c r="BQ949" s="36"/>
      <c r="BR949" s="36"/>
      <c r="BS949" s="36"/>
      <c r="BT949" s="36"/>
      <c r="BU949" s="36"/>
      <c r="BV949" s="36"/>
      <c r="BW949" s="36"/>
      <c r="BX949" s="36"/>
      <c r="BY949" s="36"/>
      <c r="BZ949" s="36"/>
      <c r="CA949" s="36"/>
      <c r="CB949" s="36"/>
      <c r="CC949" s="36"/>
      <c r="CD949" s="36"/>
      <c r="CE949" s="36"/>
      <c r="CF949" s="36"/>
      <c r="CG949" s="36"/>
      <c r="CH949" s="36"/>
      <c r="CI949" s="36"/>
      <c r="CJ949" s="36"/>
      <c r="CK949" s="36"/>
      <c r="CL949" s="36"/>
      <c r="CM949" s="36"/>
      <c r="CN949" s="36"/>
      <c r="CO949" s="36"/>
    </row>
    <row r="950">
      <c r="A950" s="36"/>
      <c r="B950" s="47"/>
      <c r="C950" s="50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  <c r="AL950" s="36"/>
      <c r="AM950" s="36"/>
      <c r="AN950" s="36"/>
      <c r="AO950" s="36"/>
      <c r="AP950" s="36"/>
      <c r="AQ950" s="36"/>
      <c r="AR950" s="36"/>
      <c r="AS950" s="36"/>
      <c r="AT950" s="36"/>
      <c r="AU950" s="36"/>
      <c r="AV950" s="36"/>
      <c r="AW950" s="36"/>
      <c r="AX950" s="36"/>
      <c r="AY950" s="36"/>
      <c r="AZ950" s="36"/>
      <c r="BA950" s="36"/>
      <c r="BB950" s="36"/>
      <c r="BC950" s="36"/>
      <c r="BD950" s="36"/>
      <c r="BE950" s="36"/>
      <c r="BF950" s="36"/>
      <c r="BG950" s="36"/>
      <c r="BH950" s="36"/>
      <c r="BI950" s="36"/>
      <c r="BJ950" s="36"/>
      <c r="BK950" s="36"/>
      <c r="BL950" s="36"/>
      <c r="BM950" s="36"/>
      <c r="BN950" s="36"/>
      <c r="BO950" s="36"/>
      <c r="BP950" s="36"/>
      <c r="BQ950" s="36"/>
      <c r="BR950" s="36"/>
      <c r="BS950" s="36"/>
      <c r="BT950" s="36"/>
      <c r="BU950" s="36"/>
      <c r="BV950" s="36"/>
      <c r="BW950" s="36"/>
      <c r="BX950" s="36"/>
      <c r="BY950" s="36"/>
      <c r="BZ950" s="36"/>
      <c r="CA950" s="36"/>
      <c r="CB950" s="36"/>
      <c r="CC950" s="36"/>
      <c r="CD950" s="36"/>
      <c r="CE950" s="36"/>
      <c r="CF950" s="36"/>
      <c r="CG950" s="36"/>
      <c r="CH950" s="36"/>
      <c r="CI950" s="36"/>
      <c r="CJ950" s="36"/>
      <c r="CK950" s="36"/>
      <c r="CL950" s="36"/>
      <c r="CM950" s="36"/>
      <c r="CN950" s="36"/>
      <c r="CO950" s="36"/>
    </row>
    <row r="951">
      <c r="A951" s="36"/>
      <c r="B951" s="47"/>
      <c r="C951" s="50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  <c r="AL951" s="36"/>
      <c r="AM951" s="36"/>
      <c r="AN951" s="36"/>
      <c r="AO951" s="36"/>
      <c r="AP951" s="36"/>
      <c r="AQ951" s="36"/>
      <c r="AR951" s="36"/>
      <c r="AS951" s="36"/>
      <c r="AT951" s="36"/>
      <c r="AU951" s="36"/>
      <c r="AV951" s="36"/>
      <c r="AW951" s="36"/>
      <c r="AX951" s="36"/>
      <c r="AY951" s="36"/>
      <c r="AZ951" s="36"/>
      <c r="BA951" s="36"/>
      <c r="BB951" s="36"/>
      <c r="BC951" s="36"/>
      <c r="BD951" s="36"/>
      <c r="BE951" s="36"/>
      <c r="BF951" s="36"/>
      <c r="BG951" s="36"/>
      <c r="BH951" s="36"/>
      <c r="BI951" s="36"/>
      <c r="BJ951" s="36"/>
      <c r="BK951" s="36"/>
      <c r="BL951" s="36"/>
      <c r="BM951" s="36"/>
      <c r="BN951" s="36"/>
      <c r="BO951" s="36"/>
      <c r="BP951" s="36"/>
      <c r="BQ951" s="36"/>
      <c r="BR951" s="36"/>
      <c r="BS951" s="36"/>
      <c r="BT951" s="36"/>
      <c r="BU951" s="36"/>
      <c r="BV951" s="36"/>
      <c r="BW951" s="36"/>
      <c r="BX951" s="36"/>
      <c r="BY951" s="36"/>
      <c r="BZ951" s="36"/>
      <c r="CA951" s="36"/>
      <c r="CB951" s="36"/>
      <c r="CC951" s="36"/>
      <c r="CD951" s="36"/>
      <c r="CE951" s="36"/>
      <c r="CF951" s="36"/>
      <c r="CG951" s="36"/>
      <c r="CH951" s="36"/>
      <c r="CI951" s="36"/>
      <c r="CJ951" s="36"/>
      <c r="CK951" s="36"/>
      <c r="CL951" s="36"/>
      <c r="CM951" s="36"/>
      <c r="CN951" s="36"/>
      <c r="CO951" s="36"/>
    </row>
    <row r="952">
      <c r="A952" s="36"/>
      <c r="B952" s="47"/>
      <c r="C952" s="50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  <c r="AL952" s="36"/>
      <c r="AM952" s="36"/>
      <c r="AN952" s="36"/>
      <c r="AO952" s="36"/>
      <c r="AP952" s="36"/>
      <c r="AQ952" s="36"/>
      <c r="AR952" s="36"/>
      <c r="AS952" s="36"/>
      <c r="AT952" s="36"/>
      <c r="AU952" s="36"/>
      <c r="AV952" s="36"/>
      <c r="AW952" s="36"/>
      <c r="AX952" s="36"/>
      <c r="AY952" s="36"/>
      <c r="AZ952" s="36"/>
      <c r="BA952" s="36"/>
      <c r="BB952" s="36"/>
      <c r="BC952" s="36"/>
      <c r="BD952" s="36"/>
      <c r="BE952" s="36"/>
      <c r="BF952" s="36"/>
      <c r="BG952" s="36"/>
      <c r="BH952" s="36"/>
      <c r="BI952" s="36"/>
      <c r="BJ952" s="36"/>
      <c r="BK952" s="36"/>
      <c r="BL952" s="36"/>
      <c r="BM952" s="36"/>
      <c r="BN952" s="36"/>
      <c r="BO952" s="36"/>
      <c r="BP952" s="36"/>
      <c r="BQ952" s="36"/>
      <c r="BR952" s="36"/>
      <c r="BS952" s="36"/>
      <c r="BT952" s="36"/>
      <c r="BU952" s="36"/>
      <c r="BV952" s="36"/>
      <c r="BW952" s="36"/>
      <c r="BX952" s="36"/>
      <c r="BY952" s="36"/>
      <c r="BZ952" s="36"/>
      <c r="CA952" s="36"/>
      <c r="CB952" s="36"/>
      <c r="CC952" s="36"/>
      <c r="CD952" s="36"/>
      <c r="CE952" s="36"/>
      <c r="CF952" s="36"/>
      <c r="CG952" s="36"/>
      <c r="CH952" s="36"/>
      <c r="CI952" s="36"/>
      <c r="CJ952" s="36"/>
      <c r="CK952" s="36"/>
      <c r="CL952" s="36"/>
      <c r="CM952" s="36"/>
      <c r="CN952" s="36"/>
      <c r="CO952" s="36"/>
    </row>
    <row r="953">
      <c r="A953" s="36"/>
      <c r="B953" s="47"/>
      <c r="C953" s="50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  <c r="AL953" s="36"/>
      <c r="AM953" s="36"/>
      <c r="AN953" s="36"/>
      <c r="AO953" s="36"/>
      <c r="AP953" s="36"/>
      <c r="AQ953" s="36"/>
      <c r="AR953" s="36"/>
      <c r="AS953" s="36"/>
      <c r="AT953" s="36"/>
      <c r="AU953" s="36"/>
      <c r="AV953" s="36"/>
      <c r="AW953" s="36"/>
      <c r="AX953" s="36"/>
      <c r="AY953" s="36"/>
      <c r="AZ953" s="36"/>
      <c r="BA953" s="36"/>
      <c r="BB953" s="36"/>
      <c r="BC953" s="36"/>
      <c r="BD953" s="36"/>
      <c r="BE953" s="36"/>
      <c r="BF953" s="36"/>
      <c r="BG953" s="36"/>
      <c r="BH953" s="36"/>
      <c r="BI953" s="36"/>
      <c r="BJ953" s="36"/>
      <c r="BK953" s="36"/>
      <c r="BL953" s="36"/>
      <c r="BM953" s="36"/>
      <c r="BN953" s="36"/>
      <c r="BO953" s="36"/>
      <c r="BP953" s="36"/>
      <c r="BQ953" s="36"/>
      <c r="BR953" s="36"/>
      <c r="BS953" s="36"/>
      <c r="BT953" s="36"/>
      <c r="BU953" s="36"/>
      <c r="BV953" s="36"/>
      <c r="BW953" s="36"/>
      <c r="BX953" s="36"/>
      <c r="BY953" s="36"/>
      <c r="BZ953" s="36"/>
      <c r="CA953" s="36"/>
      <c r="CB953" s="36"/>
      <c r="CC953" s="36"/>
      <c r="CD953" s="36"/>
      <c r="CE953" s="36"/>
      <c r="CF953" s="36"/>
      <c r="CG953" s="36"/>
      <c r="CH953" s="36"/>
      <c r="CI953" s="36"/>
      <c r="CJ953" s="36"/>
      <c r="CK953" s="36"/>
      <c r="CL953" s="36"/>
      <c r="CM953" s="36"/>
      <c r="CN953" s="36"/>
      <c r="CO953" s="36"/>
    </row>
    <row r="954">
      <c r="A954" s="36"/>
      <c r="B954" s="47"/>
      <c r="C954" s="50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  <c r="AL954" s="36"/>
      <c r="AM954" s="36"/>
      <c r="AN954" s="36"/>
      <c r="AO954" s="36"/>
      <c r="AP954" s="36"/>
      <c r="AQ954" s="36"/>
      <c r="AR954" s="36"/>
      <c r="AS954" s="36"/>
      <c r="AT954" s="36"/>
      <c r="AU954" s="36"/>
      <c r="AV954" s="36"/>
      <c r="AW954" s="36"/>
      <c r="AX954" s="36"/>
      <c r="AY954" s="36"/>
      <c r="AZ954" s="36"/>
      <c r="BA954" s="36"/>
      <c r="BB954" s="36"/>
      <c r="BC954" s="36"/>
      <c r="BD954" s="36"/>
      <c r="BE954" s="36"/>
      <c r="BF954" s="36"/>
      <c r="BG954" s="36"/>
      <c r="BH954" s="36"/>
      <c r="BI954" s="36"/>
      <c r="BJ954" s="36"/>
      <c r="BK954" s="36"/>
      <c r="BL954" s="36"/>
      <c r="BM954" s="36"/>
      <c r="BN954" s="36"/>
      <c r="BO954" s="36"/>
      <c r="BP954" s="36"/>
      <c r="BQ954" s="36"/>
      <c r="BR954" s="36"/>
      <c r="BS954" s="36"/>
      <c r="BT954" s="36"/>
      <c r="BU954" s="36"/>
      <c r="BV954" s="36"/>
      <c r="BW954" s="36"/>
      <c r="BX954" s="36"/>
      <c r="BY954" s="36"/>
      <c r="BZ954" s="36"/>
      <c r="CA954" s="36"/>
      <c r="CB954" s="36"/>
      <c r="CC954" s="36"/>
      <c r="CD954" s="36"/>
      <c r="CE954" s="36"/>
      <c r="CF954" s="36"/>
      <c r="CG954" s="36"/>
      <c r="CH954" s="36"/>
      <c r="CI954" s="36"/>
      <c r="CJ954" s="36"/>
      <c r="CK954" s="36"/>
      <c r="CL954" s="36"/>
      <c r="CM954" s="36"/>
      <c r="CN954" s="36"/>
      <c r="CO954" s="36"/>
    </row>
    <row r="955">
      <c r="A955" s="36"/>
      <c r="B955" s="47"/>
      <c r="C955" s="50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  <c r="AL955" s="36"/>
      <c r="AM955" s="36"/>
      <c r="AN955" s="36"/>
      <c r="AO955" s="36"/>
      <c r="AP955" s="36"/>
      <c r="AQ955" s="36"/>
      <c r="AR955" s="36"/>
      <c r="AS955" s="36"/>
      <c r="AT955" s="36"/>
      <c r="AU955" s="36"/>
      <c r="AV955" s="36"/>
      <c r="AW955" s="36"/>
      <c r="AX955" s="36"/>
      <c r="AY955" s="36"/>
      <c r="AZ955" s="36"/>
      <c r="BA955" s="36"/>
      <c r="BB955" s="36"/>
      <c r="BC955" s="36"/>
      <c r="BD955" s="36"/>
      <c r="BE955" s="36"/>
      <c r="BF955" s="36"/>
      <c r="BG955" s="36"/>
      <c r="BH955" s="36"/>
      <c r="BI955" s="36"/>
      <c r="BJ955" s="36"/>
      <c r="BK955" s="36"/>
      <c r="BL955" s="36"/>
      <c r="BM955" s="36"/>
      <c r="BN955" s="36"/>
      <c r="BO955" s="36"/>
      <c r="BP955" s="36"/>
      <c r="BQ955" s="36"/>
      <c r="BR955" s="36"/>
      <c r="BS955" s="36"/>
      <c r="BT955" s="36"/>
      <c r="BU955" s="36"/>
      <c r="BV955" s="36"/>
      <c r="BW955" s="36"/>
      <c r="BX955" s="36"/>
      <c r="BY955" s="36"/>
      <c r="BZ955" s="36"/>
      <c r="CA955" s="36"/>
      <c r="CB955" s="36"/>
      <c r="CC955" s="36"/>
      <c r="CD955" s="36"/>
      <c r="CE955" s="36"/>
      <c r="CF955" s="36"/>
      <c r="CG955" s="36"/>
      <c r="CH955" s="36"/>
      <c r="CI955" s="36"/>
      <c r="CJ955" s="36"/>
      <c r="CK955" s="36"/>
      <c r="CL955" s="36"/>
      <c r="CM955" s="36"/>
      <c r="CN955" s="36"/>
      <c r="CO955" s="36"/>
    </row>
    <row r="956">
      <c r="A956" s="36"/>
      <c r="B956" s="47"/>
      <c r="C956" s="50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  <c r="AL956" s="36"/>
      <c r="AM956" s="36"/>
      <c r="AN956" s="36"/>
      <c r="AO956" s="36"/>
      <c r="AP956" s="36"/>
      <c r="AQ956" s="36"/>
      <c r="AR956" s="36"/>
      <c r="AS956" s="36"/>
      <c r="AT956" s="36"/>
      <c r="AU956" s="36"/>
      <c r="AV956" s="36"/>
      <c r="AW956" s="36"/>
      <c r="AX956" s="36"/>
      <c r="AY956" s="36"/>
      <c r="AZ956" s="36"/>
      <c r="BA956" s="36"/>
      <c r="BB956" s="36"/>
      <c r="BC956" s="36"/>
      <c r="BD956" s="36"/>
      <c r="BE956" s="36"/>
      <c r="BF956" s="36"/>
      <c r="BG956" s="36"/>
      <c r="BH956" s="36"/>
      <c r="BI956" s="36"/>
      <c r="BJ956" s="36"/>
      <c r="BK956" s="36"/>
      <c r="BL956" s="36"/>
      <c r="BM956" s="36"/>
      <c r="BN956" s="36"/>
      <c r="BO956" s="36"/>
      <c r="BP956" s="36"/>
      <c r="BQ956" s="36"/>
      <c r="BR956" s="36"/>
      <c r="BS956" s="36"/>
      <c r="BT956" s="36"/>
      <c r="BU956" s="36"/>
      <c r="BV956" s="36"/>
      <c r="BW956" s="36"/>
      <c r="BX956" s="36"/>
      <c r="BY956" s="36"/>
      <c r="BZ956" s="36"/>
      <c r="CA956" s="36"/>
      <c r="CB956" s="36"/>
      <c r="CC956" s="36"/>
      <c r="CD956" s="36"/>
      <c r="CE956" s="36"/>
      <c r="CF956" s="36"/>
      <c r="CG956" s="36"/>
      <c r="CH956" s="36"/>
      <c r="CI956" s="36"/>
      <c r="CJ956" s="36"/>
      <c r="CK956" s="36"/>
      <c r="CL956" s="36"/>
      <c r="CM956" s="36"/>
      <c r="CN956" s="36"/>
      <c r="CO956" s="36"/>
    </row>
    <row r="957">
      <c r="A957" s="36"/>
      <c r="B957" s="47"/>
      <c r="C957" s="50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  <c r="AL957" s="36"/>
      <c r="AM957" s="36"/>
      <c r="AN957" s="36"/>
      <c r="AO957" s="36"/>
      <c r="AP957" s="36"/>
      <c r="AQ957" s="36"/>
      <c r="AR957" s="36"/>
      <c r="AS957" s="36"/>
      <c r="AT957" s="36"/>
      <c r="AU957" s="36"/>
      <c r="AV957" s="36"/>
      <c r="AW957" s="36"/>
      <c r="AX957" s="36"/>
      <c r="AY957" s="36"/>
      <c r="AZ957" s="36"/>
      <c r="BA957" s="36"/>
      <c r="BB957" s="36"/>
      <c r="BC957" s="36"/>
      <c r="BD957" s="36"/>
      <c r="BE957" s="36"/>
      <c r="BF957" s="36"/>
      <c r="BG957" s="36"/>
      <c r="BH957" s="36"/>
      <c r="BI957" s="36"/>
      <c r="BJ957" s="36"/>
      <c r="BK957" s="36"/>
      <c r="BL957" s="36"/>
      <c r="BM957" s="36"/>
      <c r="BN957" s="36"/>
      <c r="BO957" s="36"/>
      <c r="BP957" s="36"/>
      <c r="BQ957" s="36"/>
      <c r="BR957" s="36"/>
      <c r="BS957" s="36"/>
      <c r="BT957" s="36"/>
      <c r="BU957" s="36"/>
      <c r="BV957" s="36"/>
      <c r="BW957" s="36"/>
      <c r="BX957" s="36"/>
      <c r="BY957" s="36"/>
      <c r="BZ957" s="36"/>
      <c r="CA957" s="36"/>
      <c r="CB957" s="36"/>
      <c r="CC957" s="36"/>
      <c r="CD957" s="36"/>
      <c r="CE957" s="36"/>
      <c r="CF957" s="36"/>
      <c r="CG957" s="36"/>
      <c r="CH957" s="36"/>
      <c r="CI957" s="36"/>
      <c r="CJ957" s="36"/>
      <c r="CK957" s="36"/>
      <c r="CL957" s="36"/>
      <c r="CM957" s="36"/>
      <c r="CN957" s="36"/>
      <c r="CO957" s="36"/>
    </row>
    <row r="958">
      <c r="A958" s="36"/>
      <c r="B958" s="47"/>
      <c r="C958" s="50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  <c r="AL958" s="36"/>
      <c r="AM958" s="36"/>
      <c r="AN958" s="36"/>
      <c r="AO958" s="36"/>
      <c r="AP958" s="36"/>
      <c r="AQ958" s="36"/>
      <c r="AR958" s="36"/>
      <c r="AS958" s="36"/>
      <c r="AT958" s="36"/>
      <c r="AU958" s="36"/>
      <c r="AV958" s="36"/>
      <c r="AW958" s="36"/>
      <c r="AX958" s="36"/>
      <c r="AY958" s="36"/>
      <c r="AZ958" s="36"/>
      <c r="BA958" s="36"/>
      <c r="BB958" s="36"/>
      <c r="BC958" s="36"/>
      <c r="BD958" s="36"/>
      <c r="BE958" s="36"/>
      <c r="BF958" s="36"/>
      <c r="BG958" s="36"/>
      <c r="BH958" s="36"/>
      <c r="BI958" s="36"/>
      <c r="BJ958" s="36"/>
      <c r="BK958" s="36"/>
      <c r="BL958" s="36"/>
      <c r="BM958" s="36"/>
      <c r="BN958" s="36"/>
      <c r="BO958" s="36"/>
      <c r="BP958" s="36"/>
      <c r="BQ958" s="36"/>
      <c r="BR958" s="36"/>
      <c r="BS958" s="36"/>
      <c r="BT958" s="36"/>
      <c r="BU958" s="36"/>
      <c r="BV958" s="36"/>
      <c r="BW958" s="36"/>
      <c r="BX958" s="36"/>
      <c r="BY958" s="36"/>
      <c r="BZ958" s="36"/>
      <c r="CA958" s="36"/>
      <c r="CB958" s="36"/>
      <c r="CC958" s="36"/>
      <c r="CD958" s="36"/>
      <c r="CE958" s="36"/>
      <c r="CF958" s="36"/>
      <c r="CG958" s="36"/>
      <c r="CH958" s="36"/>
      <c r="CI958" s="36"/>
      <c r="CJ958" s="36"/>
      <c r="CK958" s="36"/>
      <c r="CL958" s="36"/>
      <c r="CM958" s="36"/>
      <c r="CN958" s="36"/>
      <c r="CO958" s="36"/>
    </row>
    <row r="959">
      <c r="A959" s="36"/>
      <c r="B959" s="47"/>
      <c r="C959" s="50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  <c r="AL959" s="36"/>
      <c r="AM959" s="36"/>
      <c r="AN959" s="36"/>
      <c r="AO959" s="36"/>
      <c r="AP959" s="36"/>
      <c r="AQ959" s="36"/>
      <c r="AR959" s="36"/>
      <c r="AS959" s="36"/>
      <c r="AT959" s="36"/>
      <c r="AU959" s="36"/>
      <c r="AV959" s="36"/>
      <c r="AW959" s="36"/>
      <c r="AX959" s="36"/>
      <c r="AY959" s="36"/>
      <c r="AZ959" s="36"/>
      <c r="BA959" s="36"/>
      <c r="BB959" s="36"/>
      <c r="BC959" s="36"/>
      <c r="BD959" s="36"/>
      <c r="BE959" s="36"/>
      <c r="BF959" s="36"/>
      <c r="BG959" s="36"/>
      <c r="BH959" s="36"/>
      <c r="BI959" s="36"/>
      <c r="BJ959" s="36"/>
      <c r="BK959" s="36"/>
      <c r="BL959" s="36"/>
      <c r="BM959" s="36"/>
      <c r="BN959" s="36"/>
      <c r="BO959" s="36"/>
      <c r="BP959" s="36"/>
      <c r="BQ959" s="36"/>
      <c r="BR959" s="36"/>
      <c r="BS959" s="36"/>
      <c r="BT959" s="36"/>
      <c r="BU959" s="36"/>
      <c r="BV959" s="36"/>
      <c r="BW959" s="36"/>
      <c r="BX959" s="36"/>
      <c r="BY959" s="36"/>
      <c r="BZ959" s="36"/>
      <c r="CA959" s="36"/>
      <c r="CB959" s="36"/>
      <c r="CC959" s="36"/>
      <c r="CD959" s="36"/>
      <c r="CE959" s="36"/>
      <c r="CF959" s="36"/>
      <c r="CG959" s="36"/>
      <c r="CH959" s="36"/>
      <c r="CI959" s="36"/>
      <c r="CJ959" s="36"/>
      <c r="CK959" s="36"/>
      <c r="CL959" s="36"/>
      <c r="CM959" s="36"/>
      <c r="CN959" s="36"/>
      <c r="CO959" s="36"/>
    </row>
    <row r="960">
      <c r="A960" s="36"/>
      <c r="B960" s="47"/>
      <c r="C960" s="50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  <c r="AL960" s="36"/>
      <c r="AM960" s="36"/>
      <c r="AN960" s="36"/>
      <c r="AO960" s="36"/>
      <c r="AP960" s="36"/>
      <c r="AQ960" s="36"/>
      <c r="AR960" s="36"/>
      <c r="AS960" s="36"/>
      <c r="AT960" s="36"/>
      <c r="AU960" s="36"/>
      <c r="AV960" s="36"/>
      <c r="AW960" s="36"/>
      <c r="AX960" s="36"/>
      <c r="AY960" s="36"/>
      <c r="AZ960" s="36"/>
      <c r="BA960" s="36"/>
      <c r="BB960" s="36"/>
      <c r="BC960" s="36"/>
      <c r="BD960" s="36"/>
      <c r="BE960" s="36"/>
      <c r="BF960" s="36"/>
      <c r="BG960" s="36"/>
      <c r="BH960" s="36"/>
      <c r="BI960" s="36"/>
      <c r="BJ960" s="36"/>
      <c r="BK960" s="36"/>
      <c r="BL960" s="36"/>
      <c r="BM960" s="36"/>
      <c r="BN960" s="36"/>
      <c r="BO960" s="36"/>
      <c r="BP960" s="36"/>
      <c r="BQ960" s="36"/>
      <c r="BR960" s="36"/>
      <c r="BS960" s="36"/>
      <c r="BT960" s="36"/>
      <c r="BU960" s="36"/>
      <c r="BV960" s="36"/>
      <c r="BW960" s="36"/>
      <c r="BX960" s="36"/>
      <c r="BY960" s="36"/>
      <c r="BZ960" s="36"/>
      <c r="CA960" s="36"/>
      <c r="CB960" s="36"/>
      <c r="CC960" s="36"/>
      <c r="CD960" s="36"/>
      <c r="CE960" s="36"/>
      <c r="CF960" s="36"/>
      <c r="CG960" s="36"/>
      <c r="CH960" s="36"/>
      <c r="CI960" s="36"/>
      <c r="CJ960" s="36"/>
      <c r="CK960" s="36"/>
      <c r="CL960" s="36"/>
      <c r="CM960" s="36"/>
      <c r="CN960" s="36"/>
      <c r="CO960" s="36"/>
    </row>
    <row r="961">
      <c r="A961" s="36"/>
      <c r="B961" s="47"/>
      <c r="C961" s="50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  <c r="AL961" s="36"/>
      <c r="AM961" s="36"/>
      <c r="AN961" s="36"/>
      <c r="AO961" s="36"/>
      <c r="AP961" s="36"/>
      <c r="AQ961" s="36"/>
      <c r="AR961" s="36"/>
      <c r="AS961" s="36"/>
      <c r="AT961" s="36"/>
      <c r="AU961" s="36"/>
      <c r="AV961" s="36"/>
      <c r="AW961" s="36"/>
      <c r="AX961" s="36"/>
      <c r="AY961" s="36"/>
      <c r="AZ961" s="36"/>
      <c r="BA961" s="36"/>
      <c r="BB961" s="36"/>
      <c r="BC961" s="36"/>
      <c r="BD961" s="36"/>
      <c r="BE961" s="36"/>
      <c r="BF961" s="36"/>
      <c r="BG961" s="36"/>
      <c r="BH961" s="36"/>
      <c r="BI961" s="36"/>
      <c r="BJ961" s="36"/>
      <c r="BK961" s="36"/>
      <c r="BL961" s="36"/>
      <c r="BM961" s="36"/>
      <c r="BN961" s="36"/>
      <c r="BO961" s="36"/>
      <c r="BP961" s="36"/>
      <c r="BQ961" s="36"/>
      <c r="BR961" s="36"/>
      <c r="BS961" s="36"/>
      <c r="BT961" s="36"/>
      <c r="BU961" s="36"/>
      <c r="BV961" s="36"/>
      <c r="BW961" s="36"/>
      <c r="BX961" s="36"/>
      <c r="BY961" s="36"/>
      <c r="BZ961" s="36"/>
      <c r="CA961" s="36"/>
      <c r="CB961" s="36"/>
      <c r="CC961" s="36"/>
      <c r="CD961" s="36"/>
      <c r="CE961" s="36"/>
      <c r="CF961" s="36"/>
      <c r="CG961" s="36"/>
      <c r="CH961" s="36"/>
      <c r="CI961" s="36"/>
      <c r="CJ961" s="36"/>
      <c r="CK961" s="36"/>
      <c r="CL961" s="36"/>
      <c r="CM961" s="36"/>
      <c r="CN961" s="36"/>
      <c r="CO961" s="36"/>
    </row>
    <row r="962">
      <c r="A962" s="36"/>
      <c r="B962" s="47"/>
      <c r="C962" s="50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  <c r="AL962" s="36"/>
      <c r="AM962" s="36"/>
      <c r="AN962" s="36"/>
      <c r="AO962" s="36"/>
      <c r="AP962" s="36"/>
      <c r="AQ962" s="36"/>
      <c r="AR962" s="36"/>
      <c r="AS962" s="36"/>
      <c r="AT962" s="36"/>
      <c r="AU962" s="36"/>
      <c r="AV962" s="36"/>
      <c r="AW962" s="36"/>
      <c r="AX962" s="36"/>
      <c r="AY962" s="36"/>
      <c r="AZ962" s="36"/>
      <c r="BA962" s="36"/>
      <c r="BB962" s="36"/>
      <c r="BC962" s="36"/>
      <c r="BD962" s="36"/>
      <c r="BE962" s="36"/>
      <c r="BF962" s="36"/>
      <c r="BG962" s="36"/>
      <c r="BH962" s="36"/>
      <c r="BI962" s="36"/>
      <c r="BJ962" s="36"/>
      <c r="BK962" s="36"/>
      <c r="BL962" s="36"/>
      <c r="BM962" s="36"/>
      <c r="BN962" s="36"/>
      <c r="BO962" s="36"/>
      <c r="BP962" s="36"/>
      <c r="BQ962" s="36"/>
      <c r="BR962" s="36"/>
      <c r="BS962" s="36"/>
      <c r="BT962" s="36"/>
      <c r="BU962" s="36"/>
      <c r="BV962" s="36"/>
      <c r="BW962" s="36"/>
      <c r="BX962" s="36"/>
      <c r="BY962" s="36"/>
      <c r="BZ962" s="36"/>
      <c r="CA962" s="36"/>
      <c r="CB962" s="36"/>
      <c r="CC962" s="36"/>
      <c r="CD962" s="36"/>
      <c r="CE962" s="36"/>
      <c r="CF962" s="36"/>
      <c r="CG962" s="36"/>
      <c r="CH962" s="36"/>
      <c r="CI962" s="36"/>
      <c r="CJ962" s="36"/>
      <c r="CK962" s="36"/>
      <c r="CL962" s="36"/>
      <c r="CM962" s="36"/>
      <c r="CN962" s="36"/>
      <c r="CO962" s="36"/>
    </row>
    <row r="963">
      <c r="A963" s="36"/>
      <c r="B963" s="47"/>
      <c r="C963" s="50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  <c r="AL963" s="36"/>
      <c r="AM963" s="36"/>
      <c r="AN963" s="36"/>
      <c r="AO963" s="36"/>
      <c r="AP963" s="36"/>
      <c r="AQ963" s="36"/>
      <c r="AR963" s="36"/>
      <c r="AS963" s="36"/>
      <c r="AT963" s="36"/>
      <c r="AU963" s="36"/>
      <c r="AV963" s="36"/>
      <c r="AW963" s="36"/>
      <c r="AX963" s="36"/>
      <c r="AY963" s="36"/>
      <c r="AZ963" s="36"/>
      <c r="BA963" s="36"/>
      <c r="BB963" s="36"/>
      <c r="BC963" s="36"/>
      <c r="BD963" s="36"/>
      <c r="BE963" s="36"/>
      <c r="BF963" s="36"/>
      <c r="BG963" s="36"/>
      <c r="BH963" s="36"/>
      <c r="BI963" s="36"/>
      <c r="BJ963" s="36"/>
      <c r="BK963" s="36"/>
      <c r="BL963" s="36"/>
      <c r="BM963" s="36"/>
      <c r="BN963" s="36"/>
      <c r="BO963" s="36"/>
      <c r="BP963" s="36"/>
      <c r="BQ963" s="36"/>
      <c r="BR963" s="36"/>
      <c r="BS963" s="36"/>
      <c r="BT963" s="36"/>
      <c r="BU963" s="36"/>
      <c r="BV963" s="36"/>
      <c r="BW963" s="36"/>
      <c r="BX963" s="36"/>
      <c r="BY963" s="36"/>
      <c r="BZ963" s="36"/>
      <c r="CA963" s="36"/>
      <c r="CB963" s="36"/>
      <c r="CC963" s="36"/>
      <c r="CD963" s="36"/>
      <c r="CE963" s="36"/>
      <c r="CF963" s="36"/>
      <c r="CG963" s="36"/>
      <c r="CH963" s="36"/>
      <c r="CI963" s="36"/>
      <c r="CJ963" s="36"/>
      <c r="CK963" s="36"/>
      <c r="CL963" s="36"/>
      <c r="CM963" s="36"/>
      <c r="CN963" s="36"/>
      <c r="CO963" s="36"/>
    </row>
    <row r="964">
      <c r="A964" s="36"/>
      <c r="B964" s="47"/>
      <c r="C964" s="50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  <c r="AL964" s="36"/>
      <c r="AM964" s="36"/>
      <c r="AN964" s="36"/>
      <c r="AO964" s="36"/>
      <c r="AP964" s="36"/>
      <c r="AQ964" s="36"/>
      <c r="AR964" s="36"/>
      <c r="AS964" s="36"/>
      <c r="AT964" s="36"/>
      <c r="AU964" s="36"/>
      <c r="AV964" s="36"/>
      <c r="AW964" s="36"/>
      <c r="AX964" s="36"/>
      <c r="AY964" s="36"/>
      <c r="AZ964" s="36"/>
      <c r="BA964" s="36"/>
      <c r="BB964" s="36"/>
      <c r="BC964" s="36"/>
      <c r="BD964" s="36"/>
      <c r="BE964" s="36"/>
      <c r="BF964" s="36"/>
      <c r="BG964" s="36"/>
      <c r="BH964" s="36"/>
      <c r="BI964" s="36"/>
      <c r="BJ964" s="36"/>
      <c r="BK964" s="36"/>
      <c r="BL964" s="36"/>
      <c r="BM964" s="36"/>
      <c r="BN964" s="36"/>
      <c r="BO964" s="36"/>
      <c r="BP964" s="36"/>
      <c r="BQ964" s="36"/>
      <c r="BR964" s="36"/>
      <c r="BS964" s="36"/>
      <c r="BT964" s="36"/>
      <c r="BU964" s="36"/>
      <c r="BV964" s="36"/>
      <c r="BW964" s="36"/>
      <c r="BX964" s="36"/>
      <c r="BY964" s="36"/>
      <c r="BZ964" s="36"/>
      <c r="CA964" s="36"/>
      <c r="CB964" s="36"/>
      <c r="CC964" s="36"/>
      <c r="CD964" s="36"/>
      <c r="CE964" s="36"/>
      <c r="CF964" s="36"/>
      <c r="CG964" s="36"/>
      <c r="CH964" s="36"/>
      <c r="CI964" s="36"/>
      <c r="CJ964" s="36"/>
      <c r="CK964" s="36"/>
      <c r="CL964" s="36"/>
      <c r="CM964" s="36"/>
      <c r="CN964" s="36"/>
      <c r="CO964" s="36"/>
    </row>
    <row r="965">
      <c r="A965" s="36"/>
      <c r="B965" s="47"/>
      <c r="C965" s="50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  <c r="AL965" s="36"/>
      <c r="AM965" s="36"/>
      <c r="AN965" s="36"/>
      <c r="AO965" s="36"/>
      <c r="AP965" s="36"/>
      <c r="AQ965" s="36"/>
      <c r="AR965" s="36"/>
      <c r="AS965" s="36"/>
      <c r="AT965" s="36"/>
      <c r="AU965" s="36"/>
      <c r="AV965" s="36"/>
      <c r="AW965" s="36"/>
      <c r="AX965" s="36"/>
      <c r="AY965" s="36"/>
      <c r="AZ965" s="36"/>
      <c r="BA965" s="36"/>
      <c r="BB965" s="36"/>
      <c r="BC965" s="36"/>
      <c r="BD965" s="36"/>
      <c r="BE965" s="36"/>
      <c r="BF965" s="36"/>
      <c r="BG965" s="36"/>
      <c r="BH965" s="36"/>
      <c r="BI965" s="36"/>
      <c r="BJ965" s="36"/>
      <c r="BK965" s="36"/>
      <c r="BL965" s="36"/>
      <c r="BM965" s="36"/>
      <c r="BN965" s="36"/>
      <c r="BO965" s="36"/>
      <c r="BP965" s="36"/>
      <c r="BQ965" s="36"/>
      <c r="BR965" s="36"/>
      <c r="BS965" s="36"/>
      <c r="BT965" s="36"/>
      <c r="BU965" s="36"/>
      <c r="BV965" s="36"/>
      <c r="BW965" s="36"/>
      <c r="BX965" s="36"/>
      <c r="BY965" s="36"/>
      <c r="BZ965" s="36"/>
      <c r="CA965" s="36"/>
      <c r="CB965" s="36"/>
      <c r="CC965" s="36"/>
      <c r="CD965" s="36"/>
      <c r="CE965" s="36"/>
      <c r="CF965" s="36"/>
      <c r="CG965" s="36"/>
      <c r="CH965" s="36"/>
      <c r="CI965" s="36"/>
      <c r="CJ965" s="36"/>
      <c r="CK965" s="36"/>
      <c r="CL965" s="36"/>
      <c r="CM965" s="36"/>
      <c r="CN965" s="36"/>
      <c r="CO965" s="36"/>
    </row>
    <row r="966">
      <c r="A966" s="36"/>
      <c r="B966" s="47"/>
      <c r="C966" s="50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  <c r="AL966" s="36"/>
      <c r="AM966" s="36"/>
      <c r="AN966" s="36"/>
      <c r="AO966" s="36"/>
      <c r="AP966" s="36"/>
      <c r="AQ966" s="36"/>
      <c r="AR966" s="36"/>
      <c r="AS966" s="36"/>
      <c r="AT966" s="36"/>
      <c r="AU966" s="36"/>
      <c r="AV966" s="36"/>
      <c r="AW966" s="36"/>
      <c r="AX966" s="36"/>
      <c r="AY966" s="36"/>
      <c r="AZ966" s="36"/>
      <c r="BA966" s="36"/>
      <c r="BB966" s="36"/>
      <c r="BC966" s="36"/>
      <c r="BD966" s="36"/>
      <c r="BE966" s="36"/>
      <c r="BF966" s="36"/>
      <c r="BG966" s="36"/>
      <c r="BH966" s="36"/>
      <c r="BI966" s="36"/>
      <c r="BJ966" s="36"/>
      <c r="BK966" s="36"/>
      <c r="BL966" s="36"/>
      <c r="BM966" s="36"/>
      <c r="BN966" s="36"/>
      <c r="BO966" s="36"/>
      <c r="BP966" s="36"/>
      <c r="BQ966" s="36"/>
      <c r="BR966" s="36"/>
      <c r="BS966" s="36"/>
      <c r="BT966" s="36"/>
      <c r="BU966" s="36"/>
      <c r="BV966" s="36"/>
      <c r="BW966" s="36"/>
      <c r="BX966" s="36"/>
      <c r="BY966" s="36"/>
      <c r="BZ966" s="36"/>
      <c r="CA966" s="36"/>
      <c r="CB966" s="36"/>
      <c r="CC966" s="36"/>
      <c r="CD966" s="36"/>
      <c r="CE966" s="36"/>
      <c r="CF966" s="36"/>
      <c r="CG966" s="36"/>
      <c r="CH966" s="36"/>
      <c r="CI966" s="36"/>
      <c r="CJ966" s="36"/>
      <c r="CK966" s="36"/>
      <c r="CL966" s="36"/>
      <c r="CM966" s="36"/>
      <c r="CN966" s="36"/>
      <c r="CO966" s="36"/>
    </row>
    <row r="967">
      <c r="A967" s="36"/>
      <c r="B967" s="47"/>
      <c r="C967" s="50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  <c r="AL967" s="36"/>
      <c r="AM967" s="36"/>
      <c r="AN967" s="36"/>
      <c r="AO967" s="36"/>
      <c r="AP967" s="36"/>
      <c r="AQ967" s="36"/>
      <c r="AR967" s="36"/>
      <c r="AS967" s="36"/>
      <c r="AT967" s="36"/>
      <c r="AU967" s="36"/>
      <c r="AV967" s="36"/>
      <c r="AW967" s="36"/>
      <c r="AX967" s="36"/>
      <c r="AY967" s="36"/>
      <c r="AZ967" s="36"/>
      <c r="BA967" s="36"/>
      <c r="BB967" s="36"/>
      <c r="BC967" s="36"/>
      <c r="BD967" s="36"/>
      <c r="BE967" s="36"/>
      <c r="BF967" s="36"/>
      <c r="BG967" s="36"/>
      <c r="BH967" s="36"/>
      <c r="BI967" s="36"/>
      <c r="BJ967" s="36"/>
      <c r="BK967" s="36"/>
      <c r="BL967" s="36"/>
      <c r="BM967" s="36"/>
      <c r="BN967" s="36"/>
      <c r="BO967" s="36"/>
      <c r="BP967" s="36"/>
      <c r="BQ967" s="36"/>
      <c r="BR967" s="36"/>
      <c r="BS967" s="36"/>
      <c r="BT967" s="36"/>
      <c r="BU967" s="36"/>
      <c r="BV967" s="36"/>
      <c r="BW967" s="36"/>
      <c r="BX967" s="36"/>
      <c r="BY967" s="36"/>
      <c r="BZ967" s="36"/>
      <c r="CA967" s="36"/>
      <c r="CB967" s="36"/>
      <c r="CC967" s="36"/>
      <c r="CD967" s="36"/>
      <c r="CE967" s="36"/>
      <c r="CF967" s="36"/>
      <c r="CG967" s="36"/>
      <c r="CH967" s="36"/>
      <c r="CI967" s="36"/>
      <c r="CJ967" s="36"/>
      <c r="CK967" s="36"/>
      <c r="CL967" s="36"/>
      <c r="CM967" s="36"/>
      <c r="CN967" s="36"/>
      <c r="CO967" s="36"/>
    </row>
    <row r="968">
      <c r="A968" s="36"/>
      <c r="B968" s="47"/>
      <c r="C968" s="50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  <c r="AL968" s="36"/>
      <c r="AM968" s="36"/>
      <c r="AN968" s="36"/>
      <c r="AO968" s="36"/>
      <c r="AP968" s="36"/>
      <c r="AQ968" s="36"/>
      <c r="AR968" s="36"/>
      <c r="AS968" s="36"/>
      <c r="AT968" s="36"/>
      <c r="AU968" s="36"/>
      <c r="AV968" s="36"/>
      <c r="AW968" s="36"/>
      <c r="AX968" s="36"/>
      <c r="AY968" s="36"/>
      <c r="AZ968" s="36"/>
      <c r="BA968" s="36"/>
      <c r="BB968" s="36"/>
      <c r="BC968" s="36"/>
      <c r="BD968" s="36"/>
      <c r="BE968" s="36"/>
      <c r="BF968" s="36"/>
      <c r="BG968" s="36"/>
      <c r="BH968" s="36"/>
      <c r="BI968" s="36"/>
      <c r="BJ968" s="36"/>
      <c r="BK968" s="36"/>
      <c r="BL968" s="36"/>
      <c r="BM968" s="36"/>
      <c r="BN968" s="36"/>
      <c r="BO968" s="36"/>
      <c r="BP968" s="36"/>
      <c r="BQ968" s="36"/>
      <c r="BR968" s="36"/>
      <c r="BS968" s="36"/>
      <c r="BT968" s="36"/>
      <c r="BU968" s="36"/>
      <c r="BV968" s="36"/>
      <c r="BW968" s="36"/>
      <c r="BX968" s="36"/>
      <c r="BY968" s="36"/>
      <c r="BZ968" s="36"/>
      <c r="CA968" s="36"/>
      <c r="CB968" s="36"/>
      <c r="CC968" s="36"/>
      <c r="CD968" s="36"/>
      <c r="CE968" s="36"/>
      <c r="CF968" s="36"/>
      <c r="CG968" s="36"/>
      <c r="CH968" s="36"/>
      <c r="CI968" s="36"/>
      <c r="CJ968" s="36"/>
      <c r="CK968" s="36"/>
      <c r="CL968" s="36"/>
      <c r="CM968" s="36"/>
      <c r="CN968" s="36"/>
      <c r="CO968" s="36"/>
    </row>
    <row r="969">
      <c r="A969" s="36"/>
      <c r="B969" s="47"/>
      <c r="C969" s="50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  <c r="AL969" s="36"/>
      <c r="AM969" s="36"/>
      <c r="AN969" s="36"/>
      <c r="AO969" s="36"/>
      <c r="AP969" s="36"/>
      <c r="AQ969" s="36"/>
      <c r="AR969" s="36"/>
      <c r="AS969" s="36"/>
      <c r="AT969" s="36"/>
      <c r="AU969" s="36"/>
      <c r="AV969" s="36"/>
      <c r="AW969" s="36"/>
      <c r="AX969" s="36"/>
      <c r="AY969" s="36"/>
      <c r="AZ969" s="36"/>
      <c r="BA969" s="36"/>
      <c r="BB969" s="36"/>
      <c r="BC969" s="36"/>
      <c r="BD969" s="36"/>
      <c r="BE969" s="36"/>
      <c r="BF969" s="36"/>
      <c r="BG969" s="36"/>
      <c r="BH969" s="36"/>
      <c r="BI969" s="36"/>
      <c r="BJ969" s="36"/>
      <c r="BK969" s="36"/>
      <c r="BL969" s="36"/>
      <c r="BM969" s="36"/>
      <c r="BN969" s="36"/>
      <c r="BO969" s="36"/>
      <c r="BP969" s="36"/>
      <c r="BQ969" s="36"/>
      <c r="BR969" s="36"/>
      <c r="BS969" s="36"/>
      <c r="BT969" s="36"/>
      <c r="BU969" s="36"/>
      <c r="BV969" s="36"/>
      <c r="BW969" s="36"/>
      <c r="BX969" s="36"/>
      <c r="BY969" s="36"/>
      <c r="BZ969" s="36"/>
      <c r="CA969" s="36"/>
      <c r="CB969" s="36"/>
      <c r="CC969" s="36"/>
      <c r="CD969" s="36"/>
      <c r="CE969" s="36"/>
      <c r="CF969" s="36"/>
      <c r="CG969" s="36"/>
      <c r="CH969" s="36"/>
      <c r="CI969" s="36"/>
      <c r="CJ969" s="36"/>
      <c r="CK969" s="36"/>
      <c r="CL969" s="36"/>
      <c r="CM969" s="36"/>
      <c r="CN969" s="36"/>
      <c r="CO969" s="36"/>
    </row>
    <row r="970">
      <c r="A970" s="36"/>
      <c r="B970" s="47"/>
      <c r="C970" s="50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  <c r="AL970" s="36"/>
      <c r="AM970" s="36"/>
      <c r="AN970" s="36"/>
      <c r="AO970" s="36"/>
      <c r="AP970" s="36"/>
      <c r="AQ970" s="36"/>
      <c r="AR970" s="36"/>
      <c r="AS970" s="36"/>
      <c r="AT970" s="36"/>
      <c r="AU970" s="36"/>
      <c r="AV970" s="36"/>
      <c r="AW970" s="36"/>
      <c r="AX970" s="36"/>
      <c r="AY970" s="36"/>
      <c r="AZ970" s="36"/>
      <c r="BA970" s="36"/>
      <c r="BB970" s="36"/>
      <c r="BC970" s="36"/>
      <c r="BD970" s="36"/>
      <c r="BE970" s="36"/>
      <c r="BF970" s="36"/>
      <c r="BG970" s="36"/>
      <c r="BH970" s="36"/>
      <c r="BI970" s="36"/>
      <c r="BJ970" s="36"/>
      <c r="BK970" s="36"/>
      <c r="BL970" s="36"/>
      <c r="BM970" s="36"/>
      <c r="BN970" s="36"/>
      <c r="BO970" s="36"/>
      <c r="BP970" s="36"/>
      <c r="BQ970" s="36"/>
      <c r="BR970" s="36"/>
      <c r="BS970" s="36"/>
      <c r="BT970" s="36"/>
      <c r="BU970" s="36"/>
      <c r="BV970" s="36"/>
      <c r="BW970" s="36"/>
      <c r="BX970" s="36"/>
      <c r="BY970" s="36"/>
      <c r="BZ970" s="36"/>
      <c r="CA970" s="36"/>
      <c r="CB970" s="36"/>
      <c r="CC970" s="36"/>
      <c r="CD970" s="36"/>
      <c r="CE970" s="36"/>
      <c r="CF970" s="36"/>
      <c r="CG970" s="36"/>
      <c r="CH970" s="36"/>
      <c r="CI970" s="36"/>
      <c r="CJ970" s="36"/>
      <c r="CK970" s="36"/>
      <c r="CL970" s="36"/>
      <c r="CM970" s="36"/>
      <c r="CN970" s="36"/>
      <c r="CO970" s="36"/>
    </row>
    <row r="971">
      <c r="A971" s="36"/>
      <c r="B971" s="47"/>
      <c r="C971" s="50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  <c r="AL971" s="36"/>
      <c r="AM971" s="36"/>
      <c r="AN971" s="36"/>
      <c r="AO971" s="36"/>
      <c r="AP971" s="36"/>
      <c r="AQ971" s="36"/>
      <c r="AR971" s="36"/>
      <c r="AS971" s="36"/>
      <c r="AT971" s="36"/>
      <c r="AU971" s="36"/>
      <c r="AV971" s="36"/>
      <c r="AW971" s="36"/>
      <c r="AX971" s="36"/>
      <c r="AY971" s="36"/>
      <c r="AZ971" s="36"/>
      <c r="BA971" s="36"/>
      <c r="BB971" s="36"/>
      <c r="BC971" s="36"/>
      <c r="BD971" s="36"/>
      <c r="BE971" s="36"/>
      <c r="BF971" s="36"/>
      <c r="BG971" s="36"/>
      <c r="BH971" s="36"/>
      <c r="BI971" s="36"/>
      <c r="BJ971" s="36"/>
      <c r="BK971" s="36"/>
      <c r="BL971" s="36"/>
      <c r="BM971" s="36"/>
      <c r="BN971" s="36"/>
      <c r="BO971" s="36"/>
      <c r="BP971" s="36"/>
      <c r="BQ971" s="36"/>
      <c r="BR971" s="36"/>
      <c r="BS971" s="36"/>
      <c r="BT971" s="36"/>
      <c r="BU971" s="36"/>
      <c r="BV971" s="36"/>
      <c r="BW971" s="36"/>
      <c r="BX971" s="36"/>
      <c r="BY971" s="36"/>
      <c r="BZ971" s="36"/>
      <c r="CA971" s="36"/>
      <c r="CB971" s="36"/>
      <c r="CC971" s="36"/>
      <c r="CD971" s="36"/>
      <c r="CE971" s="36"/>
      <c r="CF971" s="36"/>
      <c r="CG971" s="36"/>
      <c r="CH971" s="36"/>
      <c r="CI971" s="36"/>
      <c r="CJ971" s="36"/>
      <c r="CK971" s="36"/>
      <c r="CL971" s="36"/>
      <c r="CM971" s="36"/>
      <c r="CN971" s="36"/>
      <c r="CO971" s="36"/>
    </row>
    <row r="972">
      <c r="A972" s="36"/>
      <c r="B972" s="47"/>
      <c r="C972" s="50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  <c r="AL972" s="36"/>
      <c r="AM972" s="36"/>
      <c r="AN972" s="36"/>
      <c r="AO972" s="36"/>
      <c r="AP972" s="36"/>
      <c r="AQ972" s="36"/>
      <c r="AR972" s="36"/>
      <c r="AS972" s="36"/>
      <c r="AT972" s="36"/>
      <c r="AU972" s="36"/>
      <c r="AV972" s="36"/>
      <c r="AW972" s="36"/>
      <c r="AX972" s="36"/>
      <c r="AY972" s="36"/>
      <c r="AZ972" s="36"/>
      <c r="BA972" s="36"/>
      <c r="BB972" s="36"/>
      <c r="BC972" s="36"/>
      <c r="BD972" s="36"/>
      <c r="BE972" s="36"/>
      <c r="BF972" s="36"/>
      <c r="BG972" s="36"/>
      <c r="BH972" s="36"/>
      <c r="BI972" s="36"/>
      <c r="BJ972" s="36"/>
      <c r="BK972" s="36"/>
      <c r="BL972" s="36"/>
      <c r="BM972" s="36"/>
      <c r="BN972" s="36"/>
      <c r="BO972" s="36"/>
      <c r="BP972" s="36"/>
      <c r="BQ972" s="36"/>
      <c r="BR972" s="36"/>
      <c r="BS972" s="36"/>
      <c r="BT972" s="36"/>
      <c r="BU972" s="36"/>
      <c r="BV972" s="36"/>
      <c r="BW972" s="36"/>
      <c r="BX972" s="36"/>
      <c r="BY972" s="36"/>
      <c r="BZ972" s="36"/>
      <c r="CA972" s="36"/>
      <c r="CB972" s="36"/>
      <c r="CC972" s="36"/>
      <c r="CD972" s="36"/>
      <c r="CE972" s="36"/>
      <c r="CF972" s="36"/>
      <c r="CG972" s="36"/>
      <c r="CH972" s="36"/>
      <c r="CI972" s="36"/>
      <c r="CJ972" s="36"/>
      <c r="CK972" s="36"/>
      <c r="CL972" s="36"/>
      <c r="CM972" s="36"/>
      <c r="CN972" s="36"/>
      <c r="CO972" s="36"/>
    </row>
    <row r="973">
      <c r="A973" s="36"/>
      <c r="B973" s="47"/>
      <c r="C973" s="50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  <c r="AL973" s="36"/>
      <c r="AM973" s="36"/>
      <c r="AN973" s="36"/>
      <c r="AO973" s="36"/>
      <c r="AP973" s="36"/>
      <c r="AQ973" s="36"/>
      <c r="AR973" s="36"/>
      <c r="AS973" s="36"/>
      <c r="AT973" s="36"/>
      <c r="AU973" s="36"/>
      <c r="AV973" s="36"/>
      <c r="AW973" s="36"/>
      <c r="AX973" s="36"/>
      <c r="AY973" s="36"/>
      <c r="AZ973" s="36"/>
      <c r="BA973" s="36"/>
      <c r="BB973" s="36"/>
      <c r="BC973" s="36"/>
      <c r="BD973" s="36"/>
      <c r="BE973" s="36"/>
      <c r="BF973" s="36"/>
      <c r="BG973" s="36"/>
      <c r="BH973" s="36"/>
      <c r="BI973" s="36"/>
      <c r="BJ973" s="36"/>
      <c r="BK973" s="36"/>
      <c r="BL973" s="36"/>
      <c r="BM973" s="36"/>
      <c r="BN973" s="36"/>
      <c r="BO973" s="36"/>
      <c r="BP973" s="36"/>
      <c r="BQ973" s="36"/>
      <c r="BR973" s="36"/>
      <c r="BS973" s="36"/>
      <c r="BT973" s="36"/>
      <c r="BU973" s="36"/>
      <c r="BV973" s="36"/>
      <c r="BW973" s="36"/>
      <c r="BX973" s="36"/>
      <c r="BY973" s="36"/>
      <c r="BZ973" s="36"/>
      <c r="CA973" s="36"/>
      <c r="CB973" s="36"/>
      <c r="CC973" s="36"/>
      <c r="CD973" s="36"/>
      <c r="CE973" s="36"/>
      <c r="CF973" s="36"/>
      <c r="CG973" s="36"/>
      <c r="CH973" s="36"/>
      <c r="CI973" s="36"/>
      <c r="CJ973" s="36"/>
      <c r="CK973" s="36"/>
      <c r="CL973" s="36"/>
      <c r="CM973" s="36"/>
      <c r="CN973" s="36"/>
      <c r="CO973" s="36"/>
    </row>
    <row r="974">
      <c r="A974" s="36"/>
      <c r="B974" s="47"/>
      <c r="C974" s="50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  <c r="AL974" s="36"/>
      <c r="AM974" s="36"/>
      <c r="AN974" s="36"/>
      <c r="AO974" s="36"/>
      <c r="AP974" s="36"/>
      <c r="AQ974" s="36"/>
      <c r="AR974" s="36"/>
      <c r="AS974" s="36"/>
      <c r="AT974" s="36"/>
      <c r="AU974" s="36"/>
      <c r="AV974" s="36"/>
      <c r="AW974" s="36"/>
      <c r="AX974" s="36"/>
      <c r="AY974" s="36"/>
      <c r="AZ974" s="36"/>
      <c r="BA974" s="36"/>
      <c r="BB974" s="36"/>
      <c r="BC974" s="36"/>
      <c r="BD974" s="36"/>
      <c r="BE974" s="36"/>
      <c r="BF974" s="36"/>
      <c r="BG974" s="36"/>
      <c r="BH974" s="36"/>
      <c r="BI974" s="36"/>
      <c r="BJ974" s="36"/>
      <c r="BK974" s="36"/>
      <c r="BL974" s="36"/>
      <c r="BM974" s="36"/>
      <c r="BN974" s="36"/>
      <c r="BO974" s="36"/>
      <c r="BP974" s="36"/>
      <c r="BQ974" s="36"/>
      <c r="BR974" s="36"/>
      <c r="BS974" s="36"/>
      <c r="BT974" s="36"/>
      <c r="BU974" s="36"/>
      <c r="BV974" s="36"/>
      <c r="BW974" s="36"/>
      <c r="BX974" s="36"/>
      <c r="BY974" s="36"/>
      <c r="BZ974" s="36"/>
      <c r="CA974" s="36"/>
      <c r="CB974" s="36"/>
      <c r="CC974" s="36"/>
      <c r="CD974" s="36"/>
      <c r="CE974" s="36"/>
      <c r="CF974" s="36"/>
      <c r="CG974" s="36"/>
      <c r="CH974" s="36"/>
      <c r="CI974" s="36"/>
      <c r="CJ974" s="36"/>
      <c r="CK974" s="36"/>
      <c r="CL974" s="36"/>
      <c r="CM974" s="36"/>
      <c r="CN974" s="36"/>
      <c r="CO974" s="36"/>
    </row>
    <row r="975">
      <c r="A975" s="36"/>
      <c r="B975" s="47"/>
      <c r="C975" s="50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  <c r="AL975" s="36"/>
      <c r="AM975" s="36"/>
      <c r="AN975" s="36"/>
      <c r="AO975" s="36"/>
      <c r="AP975" s="36"/>
      <c r="AQ975" s="36"/>
      <c r="AR975" s="36"/>
      <c r="AS975" s="36"/>
      <c r="AT975" s="36"/>
      <c r="AU975" s="36"/>
      <c r="AV975" s="36"/>
      <c r="AW975" s="36"/>
      <c r="AX975" s="36"/>
      <c r="AY975" s="36"/>
      <c r="AZ975" s="36"/>
      <c r="BA975" s="36"/>
      <c r="BB975" s="36"/>
      <c r="BC975" s="36"/>
      <c r="BD975" s="36"/>
      <c r="BE975" s="36"/>
      <c r="BF975" s="36"/>
      <c r="BG975" s="36"/>
      <c r="BH975" s="36"/>
      <c r="BI975" s="36"/>
      <c r="BJ975" s="36"/>
      <c r="BK975" s="36"/>
      <c r="BL975" s="36"/>
      <c r="BM975" s="36"/>
      <c r="BN975" s="36"/>
      <c r="BO975" s="36"/>
      <c r="BP975" s="36"/>
      <c r="BQ975" s="36"/>
      <c r="BR975" s="36"/>
      <c r="BS975" s="36"/>
      <c r="BT975" s="36"/>
      <c r="BU975" s="36"/>
      <c r="BV975" s="36"/>
      <c r="BW975" s="36"/>
      <c r="BX975" s="36"/>
      <c r="BY975" s="36"/>
      <c r="BZ975" s="36"/>
      <c r="CA975" s="36"/>
      <c r="CB975" s="36"/>
      <c r="CC975" s="36"/>
      <c r="CD975" s="36"/>
      <c r="CE975" s="36"/>
      <c r="CF975" s="36"/>
      <c r="CG975" s="36"/>
      <c r="CH975" s="36"/>
      <c r="CI975" s="36"/>
      <c r="CJ975" s="36"/>
      <c r="CK975" s="36"/>
      <c r="CL975" s="36"/>
      <c r="CM975" s="36"/>
      <c r="CN975" s="36"/>
      <c r="CO975" s="36"/>
    </row>
    <row r="976">
      <c r="A976" s="36"/>
      <c r="B976" s="47"/>
      <c r="C976" s="50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  <c r="AL976" s="36"/>
      <c r="AM976" s="36"/>
      <c r="AN976" s="36"/>
      <c r="AO976" s="36"/>
      <c r="AP976" s="36"/>
      <c r="AQ976" s="36"/>
      <c r="AR976" s="36"/>
      <c r="AS976" s="36"/>
      <c r="AT976" s="36"/>
      <c r="AU976" s="36"/>
      <c r="AV976" s="36"/>
      <c r="AW976" s="36"/>
      <c r="AX976" s="36"/>
      <c r="AY976" s="36"/>
      <c r="AZ976" s="36"/>
      <c r="BA976" s="36"/>
      <c r="BB976" s="36"/>
      <c r="BC976" s="36"/>
      <c r="BD976" s="36"/>
      <c r="BE976" s="36"/>
      <c r="BF976" s="36"/>
      <c r="BG976" s="36"/>
      <c r="BH976" s="36"/>
      <c r="BI976" s="36"/>
      <c r="BJ976" s="36"/>
      <c r="BK976" s="36"/>
      <c r="BL976" s="36"/>
      <c r="BM976" s="36"/>
      <c r="BN976" s="36"/>
      <c r="BO976" s="36"/>
      <c r="BP976" s="36"/>
      <c r="BQ976" s="36"/>
      <c r="BR976" s="36"/>
      <c r="BS976" s="36"/>
      <c r="BT976" s="36"/>
      <c r="BU976" s="36"/>
      <c r="BV976" s="36"/>
      <c r="BW976" s="36"/>
      <c r="BX976" s="36"/>
      <c r="BY976" s="36"/>
      <c r="BZ976" s="36"/>
      <c r="CA976" s="36"/>
      <c r="CB976" s="36"/>
      <c r="CC976" s="36"/>
      <c r="CD976" s="36"/>
      <c r="CE976" s="36"/>
      <c r="CF976" s="36"/>
      <c r="CG976" s="36"/>
      <c r="CH976" s="36"/>
      <c r="CI976" s="36"/>
      <c r="CJ976" s="36"/>
      <c r="CK976" s="36"/>
      <c r="CL976" s="36"/>
      <c r="CM976" s="36"/>
      <c r="CN976" s="36"/>
      <c r="CO976" s="36"/>
    </row>
    <row r="977">
      <c r="A977" s="36"/>
      <c r="B977" s="47"/>
      <c r="C977" s="50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  <c r="AL977" s="36"/>
      <c r="AM977" s="36"/>
      <c r="AN977" s="36"/>
      <c r="AO977" s="36"/>
      <c r="AP977" s="36"/>
      <c r="AQ977" s="36"/>
      <c r="AR977" s="36"/>
      <c r="AS977" s="36"/>
      <c r="AT977" s="36"/>
      <c r="AU977" s="36"/>
      <c r="AV977" s="36"/>
      <c r="AW977" s="36"/>
      <c r="AX977" s="36"/>
      <c r="AY977" s="36"/>
      <c r="AZ977" s="36"/>
      <c r="BA977" s="36"/>
      <c r="BB977" s="36"/>
      <c r="BC977" s="36"/>
      <c r="BD977" s="36"/>
      <c r="BE977" s="36"/>
      <c r="BF977" s="36"/>
      <c r="BG977" s="36"/>
      <c r="BH977" s="36"/>
      <c r="BI977" s="36"/>
      <c r="BJ977" s="36"/>
      <c r="BK977" s="36"/>
      <c r="BL977" s="36"/>
      <c r="BM977" s="36"/>
      <c r="BN977" s="36"/>
      <c r="BO977" s="36"/>
      <c r="BP977" s="36"/>
      <c r="BQ977" s="36"/>
      <c r="BR977" s="36"/>
      <c r="BS977" s="36"/>
      <c r="BT977" s="36"/>
      <c r="BU977" s="36"/>
      <c r="BV977" s="36"/>
      <c r="BW977" s="36"/>
      <c r="BX977" s="36"/>
      <c r="BY977" s="36"/>
      <c r="BZ977" s="36"/>
      <c r="CA977" s="36"/>
      <c r="CB977" s="36"/>
      <c r="CC977" s="36"/>
      <c r="CD977" s="36"/>
      <c r="CE977" s="36"/>
      <c r="CF977" s="36"/>
      <c r="CG977" s="36"/>
      <c r="CH977" s="36"/>
      <c r="CI977" s="36"/>
      <c r="CJ977" s="36"/>
      <c r="CK977" s="36"/>
      <c r="CL977" s="36"/>
      <c r="CM977" s="36"/>
      <c r="CN977" s="36"/>
      <c r="CO977" s="36"/>
    </row>
    <row r="978">
      <c r="A978" s="36"/>
      <c r="B978" s="47"/>
      <c r="C978" s="50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  <c r="AL978" s="36"/>
      <c r="AM978" s="36"/>
      <c r="AN978" s="36"/>
      <c r="AO978" s="36"/>
      <c r="AP978" s="36"/>
      <c r="AQ978" s="36"/>
      <c r="AR978" s="36"/>
      <c r="AS978" s="36"/>
      <c r="AT978" s="36"/>
      <c r="AU978" s="36"/>
      <c r="AV978" s="36"/>
      <c r="AW978" s="36"/>
      <c r="AX978" s="36"/>
      <c r="AY978" s="36"/>
      <c r="AZ978" s="36"/>
      <c r="BA978" s="36"/>
      <c r="BB978" s="36"/>
      <c r="BC978" s="36"/>
      <c r="BD978" s="36"/>
      <c r="BE978" s="36"/>
      <c r="BF978" s="36"/>
      <c r="BG978" s="36"/>
      <c r="BH978" s="36"/>
      <c r="BI978" s="36"/>
      <c r="BJ978" s="36"/>
      <c r="BK978" s="36"/>
      <c r="BL978" s="36"/>
      <c r="BM978" s="36"/>
      <c r="BN978" s="36"/>
      <c r="BO978" s="36"/>
      <c r="BP978" s="36"/>
      <c r="BQ978" s="36"/>
      <c r="BR978" s="36"/>
      <c r="BS978" s="36"/>
      <c r="BT978" s="36"/>
      <c r="BU978" s="36"/>
      <c r="BV978" s="36"/>
      <c r="BW978" s="36"/>
      <c r="BX978" s="36"/>
      <c r="BY978" s="36"/>
      <c r="BZ978" s="36"/>
      <c r="CA978" s="36"/>
      <c r="CB978" s="36"/>
      <c r="CC978" s="36"/>
      <c r="CD978" s="36"/>
      <c r="CE978" s="36"/>
      <c r="CF978" s="36"/>
      <c r="CG978" s="36"/>
      <c r="CH978" s="36"/>
      <c r="CI978" s="36"/>
      <c r="CJ978" s="36"/>
      <c r="CK978" s="36"/>
      <c r="CL978" s="36"/>
      <c r="CM978" s="36"/>
      <c r="CN978" s="36"/>
      <c r="CO978" s="36"/>
    </row>
    <row r="979">
      <c r="A979" s="36"/>
      <c r="B979" s="47"/>
      <c r="C979" s="50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  <c r="AL979" s="36"/>
      <c r="AM979" s="36"/>
      <c r="AN979" s="36"/>
      <c r="AO979" s="36"/>
      <c r="AP979" s="36"/>
      <c r="AQ979" s="36"/>
      <c r="AR979" s="36"/>
      <c r="AS979" s="36"/>
      <c r="AT979" s="36"/>
      <c r="AU979" s="36"/>
      <c r="AV979" s="36"/>
      <c r="AW979" s="36"/>
      <c r="AX979" s="36"/>
      <c r="AY979" s="36"/>
      <c r="AZ979" s="36"/>
      <c r="BA979" s="36"/>
      <c r="BB979" s="36"/>
      <c r="BC979" s="36"/>
      <c r="BD979" s="36"/>
      <c r="BE979" s="36"/>
      <c r="BF979" s="36"/>
      <c r="BG979" s="36"/>
      <c r="BH979" s="36"/>
      <c r="BI979" s="36"/>
      <c r="BJ979" s="36"/>
      <c r="BK979" s="36"/>
      <c r="BL979" s="36"/>
      <c r="BM979" s="36"/>
      <c r="BN979" s="36"/>
      <c r="BO979" s="36"/>
      <c r="BP979" s="36"/>
      <c r="BQ979" s="36"/>
      <c r="BR979" s="36"/>
      <c r="BS979" s="36"/>
      <c r="BT979" s="36"/>
      <c r="BU979" s="36"/>
      <c r="BV979" s="36"/>
      <c r="BW979" s="36"/>
      <c r="BX979" s="36"/>
      <c r="BY979" s="36"/>
      <c r="BZ979" s="36"/>
      <c r="CA979" s="36"/>
      <c r="CB979" s="36"/>
      <c r="CC979" s="36"/>
      <c r="CD979" s="36"/>
      <c r="CE979" s="36"/>
      <c r="CF979" s="36"/>
      <c r="CG979" s="36"/>
      <c r="CH979" s="36"/>
      <c r="CI979" s="36"/>
      <c r="CJ979" s="36"/>
      <c r="CK979" s="36"/>
      <c r="CL979" s="36"/>
      <c r="CM979" s="36"/>
      <c r="CN979" s="36"/>
      <c r="CO979" s="36"/>
    </row>
    <row r="980">
      <c r="A980" s="36"/>
      <c r="B980" s="47"/>
      <c r="C980" s="50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  <c r="AL980" s="36"/>
      <c r="AM980" s="36"/>
      <c r="AN980" s="36"/>
      <c r="AO980" s="36"/>
      <c r="AP980" s="36"/>
      <c r="AQ980" s="36"/>
      <c r="AR980" s="36"/>
      <c r="AS980" s="36"/>
      <c r="AT980" s="36"/>
      <c r="AU980" s="36"/>
      <c r="AV980" s="36"/>
      <c r="AW980" s="36"/>
      <c r="AX980" s="36"/>
      <c r="AY980" s="36"/>
      <c r="AZ980" s="36"/>
      <c r="BA980" s="36"/>
      <c r="BB980" s="36"/>
      <c r="BC980" s="36"/>
      <c r="BD980" s="36"/>
      <c r="BE980" s="36"/>
      <c r="BF980" s="36"/>
      <c r="BG980" s="36"/>
      <c r="BH980" s="36"/>
      <c r="BI980" s="36"/>
      <c r="BJ980" s="36"/>
      <c r="BK980" s="36"/>
      <c r="BL980" s="36"/>
      <c r="BM980" s="36"/>
      <c r="BN980" s="36"/>
      <c r="BO980" s="36"/>
      <c r="BP980" s="36"/>
      <c r="BQ980" s="36"/>
      <c r="BR980" s="36"/>
      <c r="BS980" s="36"/>
      <c r="BT980" s="36"/>
      <c r="BU980" s="36"/>
      <c r="BV980" s="36"/>
      <c r="BW980" s="36"/>
      <c r="BX980" s="36"/>
      <c r="BY980" s="36"/>
      <c r="BZ980" s="36"/>
      <c r="CA980" s="36"/>
      <c r="CB980" s="36"/>
      <c r="CC980" s="36"/>
      <c r="CD980" s="36"/>
      <c r="CE980" s="36"/>
      <c r="CF980" s="36"/>
      <c r="CG980" s="36"/>
      <c r="CH980" s="36"/>
      <c r="CI980" s="36"/>
      <c r="CJ980" s="36"/>
      <c r="CK980" s="36"/>
      <c r="CL980" s="36"/>
      <c r="CM980" s="36"/>
      <c r="CN980" s="36"/>
      <c r="CO980" s="36"/>
    </row>
    <row r="981">
      <c r="A981" s="36"/>
      <c r="B981" s="47"/>
      <c r="C981" s="50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  <c r="AL981" s="36"/>
      <c r="AM981" s="36"/>
      <c r="AN981" s="36"/>
      <c r="AO981" s="36"/>
      <c r="AP981" s="36"/>
      <c r="AQ981" s="36"/>
      <c r="AR981" s="36"/>
      <c r="AS981" s="36"/>
      <c r="AT981" s="36"/>
      <c r="AU981" s="36"/>
      <c r="AV981" s="36"/>
      <c r="AW981" s="36"/>
      <c r="AX981" s="36"/>
      <c r="AY981" s="36"/>
      <c r="AZ981" s="36"/>
      <c r="BA981" s="36"/>
      <c r="BB981" s="36"/>
      <c r="BC981" s="36"/>
      <c r="BD981" s="36"/>
      <c r="BE981" s="36"/>
      <c r="BF981" s="36"/>
      <c r="BG981" s="36"/>
      <c r="BH981" s="36"/>
      <c r="BI981" s="36"/>
      <c r="BJ981" s="36"/>
      <c r="BK981" s="36"/>
      <c r="BL981" s="36"/>
      <c r="BM981" s="36"/>
      <c r="BN981" s="36"/>
      <c r="BO981" s="36"/>
      <c r="BP981" s="36"/>
      <c r="BQ981" s="36"/>
      <c r="BR981" s="36"/>
      <c r="BS981" s="36"/>
      <c r="BT981" s="36"/>
      <c r="BU981" s="36"/>
      <c r="BV981" s="36"/>
      <c r="BW981" s="36"/>
      <c r="BX981" s="36"/>
      <c r="BY981" s="36"/>
      <c r="BZ981" s="36"/>
      <c r="CA981" s="36"/>
      <c r="CB981" s="36"/>
      <c r="CC981" s="36"/>
      <c r="CD981" s="36"/>
      <c r="CE981" s="36"/>
      <c r="CF981" s="36"/>
      <c r="CG981" s="36"/>
      <c r="CH981" s="36"/>
      <c r="CI981" s="36"/>
      <c r="CJ981" s="36"/>
      <c r="CK981" s="36"/>
      <c r="CL981" s="36"/>
      <c r="CM981" s="36"/>
      <c r="CN981" s="36"/>
      <c r="CO981" s="36"/>
    </row>
    <row r="982">
      <c r="A982" s="36"/>
      <c r="B982" s="47"/>
      <c r="C982" s="50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  <c r="AL982" s="36"/>
      <c r="AM982" s="36"/>
      <c r="AN982" s="36"/>
      <c r="AO982" s="36"/>
      <c r="AP982" s="36"/>
      <c r="AQ982" s="36"/>
      <c r="AR982" s="36"/>
      <c r="AS982" s="36"/>
      <c r="AT982" s="36"/>
      <c r="AU982" s="36"/>
      <c r="AV982" s="36"/>
      <c r="AW982" s="36"/>
      <c r="AX982" s="36"/>
      <c r="AY982" s="36"/>
      <c r="AZ982" s="36"/>
      <c r="BA982" s="36"/>
      <c r="BB982" s="36"/>
      <c r="BC982" s="36"/>
      <c r="BD982" s="36"/>
      <c r="BE982" s="36"/>
      <c r="BF982" s="36"/>
      <c r="BG982" s="36"/>
      <c r="BH982" s="36"/>
      <c r="BI982" s="36"/>
      <c r="BJ982" s="36"/>
      <c r="BK982" s="36"/>
      <c r="BL982" s="36"/>
      <c r="BM982" s="36"/>
      <c r="BN982" s="36"/>
      <c r="BO982" s="36"/>
      <c r="BP982" s="36"/>
      <c r="BQ982" s="36"/>
      <c r="BR982" s="36"/>
      <c r="BS982" s="36"/>
      <c r="BT982" s="36"/>
      <c r="BU982" s="36"/>
      <c r="BV982" s="36"/>
      <c r="BW982" s="36"/>
      <c r="BX982" s="36"/>
      <c r="BY982" s="36"/>
      <c r="BZ982" s="36"/>
      <c r="CA982" s="36"/>
      <c r="CB982" s="36"/>
      <c r="CC982" s="36"/>
      <c r="CD982" s="36"/>
      <c r="CE982" s="36"/>
      <c r="CF982" s="36"/>
      <c r="CG982" s="36"/>
      <c r="CH982" s="36"/>
      <c r="CI982" s="36"/>
      <c r="CJ982" s="36"/>
      <c r="CK982" s="36"/>
      <c r="CL982" s="36"/>
      <c r="CM982" s="36"/>
      <c r="CN982" s="36"/>
      <c r="CO982" s="36"/>
    </row>
    <row r="983">
      <c r="A983" s="36"/>
      <c r="B983" s="47"/>
      <c r="C983" s="50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  <c r="AL983" s="36"/>
      <c r="AM983" s="36"/>
      <c r="AN983" s="36"/>
      <c r="AO983" s="36"/>
      <c r="AP983" s="36"/>
      <c r="AQ983" s="36"/>
      <c r="AR983" s="36"/>
      <c r="AS983" s="36"/>
      <c r="AT983" s="36"/>
      <c r="AU983" s="36"/>
      <c r="AV983" s="36"/>
      <c r="AW983" s="36"/>
      <c r="AX983" s="36"/>
      <c r="AY983" s="36"/>
      <c r="AZ983" s="36"/>
      <c r="BA983" s="36"/>
      <c r="BB983" s="36"/>
      <c r="BC983" s="36"/>
      <c r="BD983" s="36"/>
      <c r="BE983" s="36"/>
      <c r="BF983" s="36"/>
      <c r="BG983" s="36"/>
      <c r="BH983" s="36"/>
      <c r="BI983" s="36"/>
      <c r="BJ983" s="36"/>
      <c r="BK983" s="36"/>
      <c r="BL983" s="36"/>
      <c r="BM983" s="36"/>
      <c r="BN983" s="36"/>
      <c r="BO983" s="36"/>
      <c r="BP983" s="36"/>
      <c r="BQ983" s="36"/>
      <c r="BR983" s="36"/>
      <c r="BS983" s="36"/>
      <c r="BT983" s="36"/>
      <c r="BU983" s="36"/>
      <c r="BV983" s="36"/>
      <c r="BW983" s="36"/>
      <c r="BX983" s="36"/>
      <c r="BY983" s="36"/>
      <c r="BZ983" s="36"/>
      <c r="CA983" s="36"/>
      <c r="CB983" s="36"/>
      <c r="CC983" s="36"/>
      <c r="CD983" s="36"/>
      <c r="CE983" s="36"/>
      <c r="CF983" s="36"/>
      <c r="CG983" s="36"/>
      <c r="CH983" s="36"/>
      <c r="CI983" s="36"/>
      <c r="CJ983" s="36"/>
      <c r="CK983" s="36"/>
      <c r="CL983" s="36"/>
      <c r="CM983" s="36"/>
      <c r="CN983" s="36"/>
      <c r="CO983" s="36"/>
    </row>
    <row r="984">
      <c r="A984" s="36"/>
      <c r="B984" s="47"/>
      <c r="C984" s="50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  <c r="AL984" s="36"/>
      <c r="AM984" s="36"/>
      <c r="AN984" s="36"/>
      <c r="AO984" s="36"/>
      <c r="AP984" s="36"/>
      <c r="AQ984" s="36"/>
      <c r="AR984" s="36"/>
      <c r="AS984" s="36"/>
      <c r="AT984" s="36"/>
      <c r="AU984" s="36"/>
      <c r="AV984" s="36"/>
      <c r="AW984" s="36"/>
      <c r="AX984" s="36"/>
      <c r="AY984" s="36"/>
      <c r="AZ984" s="36"/>
      <c r="BA984" s="36"/>
      <c r="BB984" s="36"/>
      <c r="BC984" s="36"/>
      <c r="BD984" s="36"/>
      <c r="BE984" s="36"/>
      <c r="BF984" s="36"/>
      <c r="BG984" s="36"/>
      <c r="BH984" s="36"/>
      <c r="BI984" s="36"/>
      <c r="BJ984" s="36"/>
      <c r="BK984" s="36"/>
      <c r="BL984" s="36"/>
      <c r="BM984" s="36"/>
      <c r="BN984" s="36"/>
      <c r="BO984" s="36"/>
      <c r="BP984" s="36"/>
      <c r="BQ984" s="36"/>
      <c r="BR984" s="36"/>
      <c r="BS984" s="36"/>
      <c r="BT984" s="36"/>
      <c r="BU984" s="36"/>
      <c r="BV984" s="36"/>
      <c r="BW984" s="36"/>
      <c r="BX984" s="36"/>
      <c r="BY984" s="36"/>
      <c r="BZ984" s="36"/>
      <c r="CA984" s="36"/>
      <c r="CB984" s="36"/>
      <c r="CC984" s="36"/>
      <c r="CD984" s="36"/>
      <c r="CE984" s="36"/>
      <c r="CF984" s="36"/>
      <c r="CG984" s="36"/>
      <c r="CH984" s="36"/>
      <c r="CI984" s="36"/>
      <c r="CJ984" s="36"/>
      <c r="CK984" s="36"/>
      <c r="CL984" s="36"/>
      <c r="CM984" s="36"/>
      <c r="CN984" s="36"/>
      <c r="CO984" s="36"/>
    </row>
    <row r="985">
      <c r="A985" s="36"/>
      <c r="B985" s="47"/>
      <c r="C985" s="50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  <c r="AL985" s="36"/>
      <c r="AM985" s="36"/>
      <c r="AN985" s="36"/>
      <c r="AO985" s="36"/>
      <c r="AP985" s="36"/>
      <c r="AQ985" s="36"/>
      <c r="AR985" s="36"/>
      <c r="AS985" s="36"/>
      <c r="AT985" s="36"/>
      <c r="AU985" s="36"/>
      <c r="AV985" s="36"/>
      <c r="AW985" s="36"/>
      <c r="AX985" s="36"/>
      <c r="AY985" s="36"/>
      <c r="AZ985" s="36"/>
      <c r="BA985" s="36"/>
      <c r="BB985" s="36"/>
      <c r="BC985" s="36"/>
      <c r="BD985" s="36"/>
      <c r="BE985" s="36"/>
      <c r="BF985" s="36"/>
      <c r="BG985" s="36"/>
      <c r="BH985" s="36"/>
      <c r="BI985" s="36"/>
      <c r="BJ985" s="36"/>
      <c r="BK985" s="36"/>
      <c r="BL985" s="36"/>
      <c r="BM985" s="36"/>
      <c r="BN985" s="36"/>
      <c r="BO985" s="36"/>
      <c r="BP985" s="36"/>
      <c r="BQ985" s="36"/>
      <c r="BR985" s="36"/>
      <c r="BS985" s="36"/>
      <c r="BT985" s="36"/>
      <c r="BU985" s="36"/>
      <c r="BV985" s="36"/>
      <c r="BW985" s="36"/>
      <c r="BX985" s="36"/>
      <c r="BY985" s="36"/>
      <c r="BZ985" s="36"/>
      <c r="CA985" s="36"/>
      <c r="CB985" s="36"/>
      <c r="CC985" s="36"/>
      <c r="CD985" s="36"/>
      <c r="CE985" s="36"/>
      <c r="CF985" s="36"/>
      <c r="CG985" s="36"/>
      <c r="CH985" s="36"/>
      <c r="CI985" s="36"/>
      <c r="CJ985" s="36"/>
      <c r="CK985" s="36"/>
      <c r="CL985" s="36"/>
      <c r="CM985" s="36"/>
      <c r="CN985" s="36"/>
      <c r="CO985" s="36"/>
    </row>
    <row r="986">
      <c r="A986" s="36"/>
      <c r="B986" s="47"/>
      <c r="C986" s="50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  <c r="AL986" s="36"/>
      <c r="AM986" s="36"/>
      <c r="AN986" s="36"/>
      <c r="AO986" s="36"/>
      <c r="AP986" s="36"/>
      <c r="AQ986" s="36"/>
      <c r="AR986" s="36"/>
      <c r="AS986" s="36"/>
      <c r="AT986" s="36"/>
      <c r="AU986" s="36"/>
      <c r="AV986" s="36"/>
      <c r="AW986" s="36"/>
      <c r="AX986" s="36"/>
      <c r="AY986" s="36"/>
      <c r="AZ986" s="36"/>
      <c r="BA986" s="36"/>
      <c r="BB986" s="36"/>
      <c r="BC986" s="36"/>
      <c r="BD986" s="36"/>
      <c r="BE986" s="36"/>
      <c r="BF986" s="36"/>
      <c r="BG986" s="36"/>
      <c r="BH986" s="36"/>
      <c r="BI986" s="36"/>
      <c r="BJ986" s="36"/>
      <c r="BK986" s="36"/>
      <c r="BL986" s="36"/>
      <c r="BM986" s="36"/>
      <c r="BN986" s="36"/>
      <c r="BO986" s="36"/>
      <c r="BP986" s="36"/>
      <c r="BQ986" s="36"/>
      <c r="BR986" s="36"/>
      <c r="BS986" s="36"/>
      <c r="BT986" s="36"/>
      <c r="BU986" s="36"/>
      <c r="BV986" s="36"/>
      <c r="BW986" s="36"/>
      <c r="BX986" s="36"/>
      <c r="BY986" s="36"/>
      <c r="BZ986" s="36"/>
      <c r="CA986" s="36"/>
      <c r="CB986" s="36"/>
      <c r="CC986" s="36"/>
      <c r="CD986" s="36"/>
      <c r="CE986" s="36"/>
      <c r="CF986" s="36"/>
      <c r="CG986" s="36"/>
      <c r="CH986" s="36"/>
      <c r="CI986" s="36"/>
      <c r="CJ986" s="36"/>
      <c r="CK986" s="36"/>
      <c r="CL986" s="36"/>
      <c r="CM986" s="36"/>
      <c r="CN986" s="36"/>
      <c r="CO986" s="36"/>
    </row>
    <row r="987">
      <c r="A987" s="36"/>
      <c r="B987" s="47"/>
      <c r="C987" s="50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  <c r="AL987" s="36"/>
      <c r="AM987" s="36"/>
      <c r="AN987" s="36"/>
      <c r="AO987" s="36"/>
      <c r="AP987" s="36"/>
      <c r="AQ987" s="36"/>
      <c r="AR987" s="36"/>
      <c r="AS987" s="36"/>
      <c r="AT987" s="36"/>
      <c r="AU987" s="36"/>
      <c r="AV987" s="36"/>
      <c r="AW987" s="36"/>
      <c r="AX987" s="36"/>
      <c r="AY987" s="36"/>
      <c r="AZ987" s="36"/>
      <c r="BA987" s="36"/>
      <c r="BB987" s="36"/>
      <c r="BC987" s="36"/>
      <c r="BD987" s="36"/>
      <c r="BE987" s="36"/>
      <c r="BF987" s="36"/>
      <c r="BG987" s="36"/>
      <c r="BH987" s="36"/>
      <c r="BI987" s="36"/>
      <c r="BJ987" s="36"/>
      <c r="BK987" s="36"/>
      <c r="BL987" s="36"/>
      <c r="BM987" s="36"/>
      <c r="BN987" s="36"/>
      <c r="BO987" s="36"/>
      <c r="BP987" s="36"/>
      <c r="BQ987" s="36"/>
      <c r="BR987" s="36"/>
      <c r="BS987" s="36"/>
      <c r="BT987" s="36"/>
      <c r="BU987" s="36"/>
      <c r="BV987" s="36"/>
      <c r="BW987" s="36"/>
      <c r="BX987" s="36"/>
      <c r="BY987" s="36"/>
      <c r="BZ987" s="36"/>
      <c r="CA987" s="36"/>
      <c r="CB987" s="36"/>
      <c r="CC987" s="36"/>
      <c r="CD987" s="36"/>
      <c r="CE987" s="36"/>
      <c r="CF987" s="36"/>
      <c r="CG987" s="36"/>
      <c r="CH987" s="36"/>
      <c r="CI987" s="36"/>
      <c r="CJ987" s="36"/>
      <c r="CK987" s="36"/>
      <c r="CL987" s="36"/>
      <c r="CM987" s="36"/>
      <c r="CN987" s="36"/>
      <c r="CO987" s="36"/>
    </row>
    <row r="988">
      <c r="A988" s="36"/>
      <c r="B988" s="47"/>
      <c r="C988" s="50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  <c r="AL988" s="36"/>
      <c r="AM988" s="36"/>
      <c r="AN988" s="36"/>
      <c r="AO988" s="36"/>
      <c r="AP988" s="36"/>
      <c r="AQ988" s="36"/>
      <c r="AR988" s="36"/>
      <c r="AS988" s="36"/>
      <c r="AT988" s="36"/>
      <c r="AU988" s="36"/>
      <c r="AV988" s="36"/>
      <c r="AW988" s="36"/>
      <c r="AX988" s="36"/>
      <c r="AY988" s="36"/>
      <c r="AZ988" s="36"/>
      <c r="BA988" s="36"/>
      <c r="BB988" s="36"/>
      <c r="BC988" s="36"/>
      <c r="BD988" s="36"/>
      <c r="BE988" s="36"/>
      <c r="BF988" s="36"/>
      <c r="BG988" s="36"/>
      <c r="BH988" s="36"/>
      <c r="BI988" s="36"/>
      <c r="BJ988" s="36"/>
      <c r="BK988" s="36"/>
      <c r="BL988" s="36"/>
      <c r="BM988" s="36"/>
      <c r="BN988" s="36"/>
      <c r="BO988" s="36"/>
      <c r="BP988" s="36"/>
      <c r="BQ988" s="36"/>
      <c r="BR988" s="36"/>
      <c r="BS988" s="36"/>
      <c r="BT988" s="36"/>
      <c r="BU988" s="36"/>
      <c r="BV988" s="36"/>
      <c r="BW988" s="36"/>
      <c r="BX988" s="36"/>
      <c r="BY988" s="36"/>
      <c r="BZ988" s="36"/>
      <c r="CA988" s="36"/>
      <c r="CB988" s="36"/>
      <c r="CC988" s="36"/>
      <c r="CD988" s="36"/>
      <c r="CE988" s="36"/>
      <c r="CF988" s="36"/>
      <c r="CG988" s="36"/>
      <c r="CH988" s="36"/>
      <c r="CI988" s="36"/>
      <c r="CJ988" s="36"/>
      <c r="CK988" s="36"/>
      <c r="CL988" s="36"/>
      <c r="CM988" s="36"/>
      <c r="CN988" s="36"/>
      <c r="CO988" s="36"/>
    </row>
    <row r="989">
      <c r="A989" s="36"/>
      <c r="B989" s="47"/>
      <c r="C989" s="50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  <c r="AL989" s="36"/>
      <c r="AM989" s="36"/>
      <c r="AN989" s="36"/>
      <c r="AO989" s="36"/>
      <c r="AP989" s="36"/>
      <c r="AQ989" s="36"/>
      <c r="AR989" s="36"/>
      <c r="AS989" s="36"/>
      <c r="AT989" s="36"/>
      <c r="AU989" s="36"/>
      <c r="AV989" s="36"/>
      <c r="AW989" s="36"/>
      <c r="AX989" s="36"/>
      <c r="AY989" s="36"/>
      <c r="AZ989" s="36"/>
      <c r="BA989" s="36"/>
      <c r="BB989" s="36"/>
      <c r="BC989" s="36"/>
      <c r="BD989" s="36"/>
      <c r="BE989" s="36"/>
      <c r="BF989" s="36"/>
      <c r="BG989" s="36"/>
      <c r="BH989" s="36"/>
      <c r="BI989" s="36"/>
      <c r="BJ989" s="36"/>
      <c r="BK989" s="36"/>
      <c r="BL989" s="36"/>
      <c r="BM989" s="36"/>
      <c r="BN989" s="36"/>
      <c r="BO989" s="36"/>
      <c r="BP989" s="36"/>
      <c r="BQ989" s="36"/>
      <c r="BR989" s="36"/>
      <c r="BS989" s="36"/>
      <c r="BT989" s="36"/>
      <c r="BU989" s="36"/>
      <c r="BV989" s="36"/>
      <c r="BW989" s="36"/>
      <c r="BX989" s="36"/>
      <c r="BY989" s="36"/>
      <c r="BZ989" s="36"/>
      <c r="CA989" s="36"/>
      <c r="CB989" s="36"/>
      <c r="CC989" s="36"/>
      <c r="CD989" s="36"/>
      <c r="CE989" s="36"/>
      <c r="CF989" s="36"/>
      <c r="CG989" s="36"/>
      <c r="CH989" s="36"/>
      <c r="CI989" s="36"/>
      <c r="CJ989" s="36"/>
      <c r="CK989" s="36"/>
      <c r="CL989" s="36"/>
      <c r="CM989" s="36"/>
      <c r="CN989" s="36"/>
      <c r="CO989" s="36"/>
    </row>
    <row r="990">
      <c r="A990" s="36"/>
      <c r="B990" s="47"/>
      <c r="C990" s="50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  <c r="AL990" s="36"/>
      <c r="AM990" s="36"/>
      <c r="AN990" s="36"/>
      <c r="AO990" s="36"/>
      <c r="AP990" s="36"/>
      <c r="AQ990" s="36"/>
      <c r="AR990" s="36"/>
      <c r="AS990" s="36"/>
      <c r="AT990" s="36"/>
      <c r="AU990" s="36"/>
      <c r="AV990" s="36"/>
      <c r="AW990" s="36"/>
      <c r="AX990" s="36"/>
      <c r="AY990" s="36"/>
      <c r="AZ990" s="36"/>
      <c r="BA990" s="36"/>
      <c r="BB990" s="36"/>
      <c r="BC990" s="36"/>
      <c r="BD990" s="36"/>
      <c r="BE990" s="36"/>
      <c r="BF990" s="36"/>
      <c r="BG990" s="36"/>
      <c r="BH990" s="36"/>
      <c r="BI990" s="36"/>
      <c r="BJ990" s="36"/>
      <c r="BK990" s="36"/>
      <c r="BL990" s="36"/>
      <c r="BM990" s="36"/>
      <c r="BN990" s="36"/>
      <c r="BO990" s="36"/>
      <c r="BP990" s="36"/>
      <c r="BQ990" s="36"/>
      <c r="BR990" s="36"/>
      <c r="BS990" s="36"/>
      <c r="BT990" s="36"/>
      <c r="BU990" s="36"/>
      <c r="BV990" s="36"/>
      <c r="BW990" s="36"/>
      <c r="BX990" s="36"/>
      <c r="BY990" s="36"/>
      <c r="BZ990" s="36"/>
      <c r="CA990" s="36"/>
      <c r="CB990" s="36"/>
      <c r="CC990" s="36"/>
      <c r="CD990" s="36"/>
      <c r="CE990" s="36"/>
      <c r="CF990" s="36"/>
      <c r="CG990" s="36"/>
      <c r="CH990" s="36"/>
      <c r="CI990" s="36"/>
      <c r="CJ990" s="36"/>
      <c r="CK990" s="36"/>
      <c r="CL990" s="36"/>
      <c r="CM990" s="36"/>
      <c r="CN990" s="36"/>
      <c r="CO990" s="36"/>
    </row>
    <row r="991">
      <c r="A991" s="36"/>
      <c r="B991" s="47"/>
      <c r="C991" s="50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  <c r="AL991" s="36"/>
      <c r="AM991" s="36"/>
      <c r="AN991" s="36"/>
      <c r="AO991" s="36"/>
      <c r="AP991" s="36"/>
      <c r="AQ991" s="36"/>
      <c r="AR991" s="36"/>
      <c r="AS991" s="36"/>
      <c r="AT991" s="36"/>
      <c r="AU991" s="36"/>
      <c r="AV991" s="36"/>
      <c r="AW991" s="36"/>
      <c r="AX991" s="36"/>
      <c r="AY991" s="36"/>
      <c r="AZ991" s="36"/>
      <c r="BA991" s="36"/>
      <c r="BB991" s="36"/>
      <c r="BC991" s="36"/>
      <c r="BD991" s="36"/>
      <c r="BE991" s="36"/>
      <c r="BF991" s="36"/>
      <c r="BG991" s="36"/>
      <c r="BH991" s="36"/>
      <c r="BI991" s="36"/>
      <c r="BJ991" s="36"/>
      <c r="BK991" s="36"/>
      <c r="BL991" s="36"/>
      <c r="BM991" s="36"/>
      <c r="BN991" s="36"/>
      <c r="BO991" s="36"/>
      <c r="BP991" s="36"/>
      <c r="BQ991" s="36"/>
      <c r="BR991" s="36"/>
      <c r="BS991" s="36"/>
      <c r="BT991" s="36"/>
      <c r="BU991" s="36"/>
      <c r="BV991" s="36"/>
      <c r="BW991" s="36"/>
      <c r="BX991" s="36"/>
      <c r="BY991" s="36"/>
      <c r="BZ991" s="36"/>
      <c r="CA991" s="36"/>
      <c r="CB991" s="36"/>
      <c r="CC991" s="36"/>
      <c r="CD991" s="36"/>
      <c r="CE991" s="36"/>
      <c r="CF991" s="36"/>
      <c r="CG991" s="36"/>
      <c r="CH991" s="36"/>
      <c r="CI991" s="36"/>
      <c r="CJ991" s="36"/>
      <c r="CK991" s="36"/>
      <c r="CL991" s="36"/>
      <c r="CM991" s="36"/>
      <c r="CN991" s="36"/>
      <c r="CO991" s="36"/>
    </row>
    <row r="992">
      <c r="A992" s="36"/>
      <c r="B992" s="47"/>
      <c r="C992" s="50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  <c r="AL992" s="36"/>
      <c r="AM992" s="36"/>
      <c r="AN992" s="36"/>
      <c r="AO992" s="36"/>
      <c r="AP992" s="36"/>
      <c r="AQ992" s="36"/>
      <c r="AR992" s="36"/>
      <c r="AS992" s="36"/>
      <c r="AT992" s="36"/>
      <c r="AU992" s="36"/>
      <c r="AV992" s="36"/>
      <c r="AW992" s="36"/>
      <c r="AX992" s="36"/>
      <c r="AY992" s="36"/>
      <c r="AZ992" s="36"/>
      <c r="BA992" s="36"/>
      <c r="BB992" s="36"/>
      <c r="BC992" s="36"/>
      <c r="BD992" s="36"/>
      <c r="BE992" s="36"/>
      <c r="BF992" s="36"/>
      <c r="BG992" s="36"/>
      <c r="BH992" s="36"/>
      <c r="BI992" s="36"/>
      <c r="BJ992" s="36"/>
      <c r="BK992" s="36"/>
      <c r="BL992" s="36"/>
      <c r="BM992" s="36"/>
      <c r="BN992" s="36"/>
      <c r="BO992" s="36"/>
      <c r="BP992" s="36"/>
      <c r="BQ992" s="36"/>
      <c r="BR992" s="36"/>
      <c r="BS992" s="36"/>
      <c r="BT992" s="36"/>
      <c r="BU992" s="36"/>
      <c r="BV992" s="36"/>
      <c r="BW992" s="36"/>
      <c r="BX992" s="36"/>
      <c r="BY992" s="36"/>
      <c r="BZ992" s="36"/>
      <c r="CA992" s="36"/>
      <c r="CB992" s="36"/>
      <c r="CC992" s="36"/>
      <c r="CD992" s="36"/>
      <c r="CE992" s="36"/>
      <c r="CF992" s="36"/>
      <c r="CG992" s="36"/>
      <c r="CH992" s="36"/>
      <c r="CI992" s="36"/>
      <c r="CJ992" s="36"/>
      <c r="CK992" s="36"/>
      <c r="CL992" s="36"/>
      <c r="CM992" s="36"/>
      <c r="CN992" s="36"/>
      <c r="CO992" s="36"/>
    </row>
    <row r="993">
      <c r="A993" s="36"/>
      <c r="B993" s="47"/>
      <c r="C993" s="50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  <c r="AL993" s="36"/>
      <c r="AM993" s="36"/>
      <c r="AN993" s="36"/>
      <c r="AO993" s="36"/>
      <c r="AP993" s="36"/>
      <c r="AQ993" s="36"/>
      <c r="AR993" s="36"/>
      <c r="AS993" s="36"/>
      <c r="AT993" s="36"/>
      <c r="AU993" s="36"/>
      <c r="AV993" s="36"/>
      <c r="AW993" s="36"/>
      <c r="AX993" s="36"/>
      <c r="AY993" s="36"/>
      <c r="AZ993" s="36"/>
      <c r="BA993" s="36"/>
      <c r="BB993" s="36"/>
      <c r="BC993" s="36"/>
      <c r="BD993" s="36"/>
      <c r="BE993" s="36"/>
      <c r="BF993" s="36"/>
      <c r="BG993" s="36"/>
      <c r="BH993" s="36"/>
      <c r="BI993" s="36"/>
      <c r="BJ993" s="36"/>
      <c r="BK993" s="36"/>
      <c r="BL993" s="36"/>
      <c r="BM993" s="36"/>
      <c r="BN993" s="36"/>
      <c r="BO993" s="36"/>
      <c r="BP993" s="36"/>
      <c r="BQ993" s="36"/>
      <c r="BR993" s="36"/>
      <c r="BS993" s="36"/>
      <c r="BT993" s="36"/>
      <c r="BU993" s="36"/>
      <c r="BV993" s="36"/>
      <c r="BW993" s="36"/>
      <c r="BX993" s="36"/>
      <c r="BY993" s="36"/>
      <c r="BZ993" s="36"/>
      <c r="CA993" s="36"/>
      <c r="CB993" s="36"/>
      <c r="CC993" s="36"/>
      <c r="CD993" s="36"/>
      <c r="CE993" s="36"/>
      <c r="CF993" s="36"/>
      <c r="CG993" s="36"/>
      <c r="CH993" s="36"/>
      <c r="CI993" s="36"/>
      <c r="CJ993" s="36"/>
      <c r="CK993" s="36"/>
      <c r="CL993" s="36"/>
      <c r="CM993" s="36"/>
      <c r="CN993" s="36"/>
      <c r="CO993" s="36"/>
    </row>
    <row r="994">
      <c r="A994" s="36"/>
      <c r="B994" s="47"/>
      <c r="C994" s="50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  <c r="AL994" s="36"/>
      <c r="AM994" s="36"/>
      <c r="AN994" s="36"/>
      <c r="AO994" s="36"/>
      <c r="AP994" s="36"/>
      <c r="AQ994" s="36"/>
      <c r="AR994" s="36"/>
      <c r="AS994" s="36"/>
      <c r="AT994" s="36"/>
      <c r="AU994" s="36"/>
      <c r="AV994" s="36"/>
      <c r="AW994" s="36"/>
      <c r="AX994" s="36"/>
      <c r="AY994" s="36"/>
      <c r="AZ994" s="36"/>
      <c r="BA994" s="36"/>
      <c r="BB994" s="36"/>
      <c r="BC994" s="36"/>
      <c r="BD994" s="36"/>
      <c r="BE994" s="36"/>
      <c r="BF994" s="36"/>
      <c r="BG994" s="36"/>
      <c r="BH994" s="36"/>
      <c r="BI994" s="36"/>
      <c r="BJ994" s="36"/>
      <c r="BK994" s="36"/>
      <c r="BL994" s="36"/>
      <c r="BM994" s="36"/>
      <c r="BN994" s="36"/>
      <c r="BO994" s="36"/>
      <c r="BP994" s="36"/>
      <c r="BQ994" s="36"/>
      <c r="BR994" s="36"/>
      <c r="BS994" s="36"/>
      <c r="BT994" s="36"/>
      <c r="BU994" s="36"/>
      <c r="BV994" s="36"/>
      <c r="BW994" s="36"/>
      <c r="BX994" s="36"/>
      <c r="BY994" s="36"/>
      <c r="BZ994" s="36"/>
      <c r="CA994" s="36"/>
      <c r="CB994" s="36"/>
      <c r="CC994" s="36"/>
      <c r="CD994" s="36"/>
      <c r="CE994" s="36"/>
      <c r="CF994" s="36"/>
      <c r="CG994" s="36"/>
      <c r="CH994" s="36"/>
      <c r="CI994" s="36"/>
      <c r="CJ994" s="36"/>
      <c r="CK994" s="36"/>
      <c r="CL994" s="36"/>
      <c r="CM994" s="36"/>
      <c r="CN994" s="36"/>
      <c r="CO994" s="36"/>
    </row>
    <row r="995">
      <c r="A995" s="36"/>
      <c r="B995" s="47"/>
      <c r="C995" s="50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  <c r="AL995" s="36"/>
      <c r="AM995" s="36"/>
      <c r="AN995" s="36"/>
      <c r="AO995" s="36"/>
      <c r="AP995" s="36"/>
      <c r="AQ995" s="36"/>
      <c r="AR995" s="36"/>
      <c r="AS995" s="36"/>
      <c r="AT995" s="36"/>
      <c r="AU995" s="36"/>
      <c r="AV995" s="36"/>
      <c r="AW995" s="36"/>
      <c r="AX995" s="36"/>
      <c r="AY995" s="36"/>
      <c r="AZ995" s="36"/>
      <c r="BA995" s="36"/>
      <c r="BB995" s="36"/>
      <c r="BC995" s="36"/>
      <c r="BD995" s="36"/>
      <c r="BE995" s="36"/>
      <c r="BF995" s="36"/>
      <c r="BG995" s="36"/>
      <c r="BH995" s="36"/>
      <c r="BI995" s="36"/>
      <c r="BJ995" s="36"/>
      <c r="BK995" s="36"/>
      <c r="BL995" s="36"/>
      <c r="BM995" s="36"/>
      <c r="BN995" s="36"/>
      <c r="BO995" s="36"/>
      <c r="BP995" s="36"/>
      <c r="BQ995" s="36"/>
      <c r="BR995" s="36"/>
      <c r="BS995" s="36"/>
      <c r="BT995" s="36"/>
      <c r="BU995" s="36"/>
      <c r="BV995" s="36"/>
      <c r="BW995" s="36"/>
      <c r="BX995" s="36"/>
      <c r="BY995" s="36"/>
      <c r="BZ995" s="36"/>
      <c r="CA995" s="36"/>
      <c r="CB995" s="36"/>
      <c r="CC995" s="36"/>
      <c r="CD995" s="36"/>
      <c r="CE995" s="36"/>
      <c r="CF995" s="36"/>
      <c r="CG995" s="36"/>
      <c r="CH995" s="36"/>
      <c r="CI995" s="36"/>
      <c r="CJ995" s="36"/>
      <c r="CK995" s="36"/>
      <c r="CL995" s="36"/>
      <c r="CM995" s="36"/>
      <c r="CN995" s="36"/>
      <c r="CO995" s="36"/>
    </row>
    <row r="996">
      <c r="A996" s="36"/>
      <c r="B996" s="47"/>
      <c r="C996" s="50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  <c r="AL996" s="36"/>
      <c r="AM996" s="36"/>
      <c r="AN996" s="36"/>
      <c r="AO996" s="36"/>
      <c r="AP996" s="36"/>
      <c r="AQ996" s="36"/>
      <c r="AR996" s="36"/>
      <c r="AS996" s="36"/>
      <c r="AT996" s="36"/>
      <c r="AU996" s="36"/>
      <c r="AV996" s="36"/>
      <c r="AW996" s="36"/>
      <c r="AX996" s="36"/>
      <c r="AY996" s="36"/>
      <c r="AZ996" s="36"/>
      <c r="BA996" s="36"/>
      <c r="BB996" s="36"/>
      <c r="BC996" s="36"/>
      <c r="BD996" s="36"/>
      <c r="BE996" s="36"/>
      <c r="BF996" s="36"/>
      <c r="BG996" s="36"/>
      <c r="BH996" s="36"/>
      <c r="BI996" s="36"/>
      <c r="BJ996" s="36"/>
      <c r="BK996" s="36"/>
      <c r="BL996" s="36"/>
      <c r="BM996" s="36"/>
      <c r="BN996" s="36"/>
      <c r="BO996" s="36"/>
      <c r="BP996" s="36"/>
      <c r="BQ996" s="36"/>
      <c r="BR996" s="36"/>
      <c r="BS996" s="36"/>
      <c r="BT996" s="36"/>
      <c r="BU996" s="36"/>
      <c r="BV996" s="36"/>
      <c r="BW996" s="36"/>
      <c r="BX996" s="36"/>
      <c r="BY996" s="36"/>
      <c r="BZ996" s="36"/>
      <c r="CA996" s="36"/>
      <c r="CB996" s="36"/>
      <c r="CC996" s="36"/>
      <c r="CD996" s="36"/>
      <c r="CE996" s="36"/>
      <c r="CF996" s="36"/>
      <c r="CG996" s="36"/>
      <c r="CH996" s="36"/>
      <c r="CI996" s="36"/>
      <c r="CJ996" s="36"/>
      <c r="CK996" s="36"/>
      <c r="CL996" s="36"/>
      <c r="CM996" s="36"/>
      <c r="CN996" s="36"/>
      <c r="CO996" s="36"/>
    </row>
    <row r="997">
      <c r="A997" s="36"/>
      <c r="B997" s="47"/>
      <c r="C997" s="50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  <c r="AK997" s="36"/>
      <c r="AL997" s="36"/>
      <c r="AM997" s="36"/>
      <c r="AN997" s="36"/>
      <c r="AO997" s="36"/>
      <c r="AP997" s="36"/>
      <c r="AQ997" s="36"/>
      <c r="AR997" s="36"/>
      <c r="AS997" s="36"/>
      <c r="AT997" s="36"/>
      <c r="AU997" s="36"/>
      <c r="AV997" s="36"/>
      <c r="AW997" s="36"/>
      <c r="AX997" s="36"/>
      <c r="AY997" s="36"/>
      <c r="AZ997" s="36"/>
      <c r="BA997" s="36"/>
      <c r="BB997" s="36"/>
      <c r="BC997" s="36"/>
      <c r="BD997" s="36"/>
      <c r="BE997" s="36"/>
      <c r="BF997" s="36"/>
      <c r="BG997" s="36"/>
      <c r="BH997" s="36"/>
      <c r="BI997" s="36"/>
      <c r="BJ997" s="36"/>
      <c r="BK997" s="36"/>
      <c r="BL997" s="36"/>
      <c r="BM997" s="36"/>
      <c r="BN997" s="36"/>
      <c r="BO997" s="36"/>
      <c r="BP997" s="36"/>
      <c r="BQ997" s="36"/>
      <c r="BR997" s="36"/>
      <c r="BS997" s="36"/>
      <c r="BT997" s="36"/>
      <c r="BU997" s="36"/>
      <c r="BV997" s="36"/>
      <c r="BW997" s="36"/>
      <c r="BX997" s="36"/>
      <c r="BY997" s="36"/>
      <c r="BZ997" s="36"/>
      <c r="CA997" s="36"/>
      <c r="CB997" s="36"/>
      <c r="CC997" s="36"/>
      <c r="CD997" s="36"/>
      <c r="CE997" s="36"/>
      <c r="CF997" s="36"/>
      <c r="CG997" s="36"/>
      <c r="CH997" s="36"/>
      <c r="CI997" s="36"/>
      <c r="CJ997" s="36"/>
      <c r="CK997" s="36"/>
      <c r="CL997" s="36"/>
      <c r="CM997" s="36"/>
      <c r="CN997" s="36"/>
      <c r="CO997" s="36"/>
    </row>
    <row r="998">
      <c r="A998" s="36"/>
      <c r="B998" s="47"/>
      <c r="C998" s="50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  <c r="AK998" s="36"/>
      <c r="AL998" s="36"/>
      <c r="AM998" s="36"/>
      <c r="AN998" s="36"/>
      <c r="AO998" s="36"/>
      <c r="AP998" s="36"/>
      <c r="AQ998" s="36"/>
      <c r="AR998" s="36"/>
      <c r="AS998" s="36"/>
      <c r="AT998" s="36"/>
      <c r="AU998" s="36"/>
      <c r="AV998" s="36"/>
      <c r="AW998" s="36"/>
      <c r="AX998" s="36"/>
      <c r="AY998" s="36"/>
      <c r="AZ998" s="36"/>
      <c r="BA998" s="36"/>
      <c r="BB998" s="36"/>
      <c r="BC998" s="36"/>
      <c r="BD998" s="36"/>
      <c r="BE998" s="36"/>
      <c r="BF998" s="36"/>
      <c r="BG998" s="36"/>
      <c r="BH998" s="36"/>
      <c r="BI998" s="36"/>
      <c r="BJ998" s="36"/>
      <c r="BK998" s="36"/>
      <c r="BL998" s="36"/>
      <c r="BM998" s="36"/>
      <c r="BN998" s="36"/>
      <c r="BO998" s="36"/>
      <c r="BP998" s="36"/>
      <c r="BQ998" s="36"/>
      <c r="BR998" s="36"/>
      <c r="BS998" s="36"/>
      <c r="BT998" s="36"/>
      <c r="BU998" s="36"/>
      <c r="BV998" s="36"/>
      <c r="BW998" s="36"/>
      <c r="BX998" s="36"/>
      <c r="BY998" s="36"/>
      <c r="BZ998" s="36"/>
      <c r="CA998" s="36"/>
      <c r="CB998" s="36"/>
      <c r="CC998" s="36"/>
      <c r="CD998" s="36"/>
      <c r="CE998" s="36"/>
      <c r="CF998" s="36"/>
      <c r="CG998" s="36"/>
      <c r="CH998" s="36"/>
      <c r="CI998" s="36"/>
      <c r="CJ998" s="36"/>
      <c r="CK998" s="36"/>
      <c r="CL998" s="36"/>
      <c r="CM998" s="36"/>
      <c r="CN998" s="36"/>
      <c r="CO998" s="36"/>
    </row>
    <row r="999">
      <c r="A999" s="36"/>
      <c r="B999" s="47"/>
      <c r="C999" s="50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  <c r="AK999" s="36"/>
      <c r="AL999" s="36"/>
      <c r="AM999" s="36"/>
      <c r="AN999" s="36"/>
      <c r="AO999" s="36"/>
      <c r="AP999" s="36"/>
      <c r="AQ999" s="36"/>
      <c r="AR999" s="36"/>
      <c r="AS999" s="36"/>
      <c r="AT999" s="36"/>
      <c r="AU999" s="36"/>
      <c r="AV999" s="36"/>
      <c r="AW999" s="36"/>
      <c r="AX999" s="36"/>
      <c r="AY999" s="36"/>
      <c r="AZ999" s="36"/>
      <c r="BA999" s="36"/>
      <c r="BB999" s="36"/>
      <c r="BC999" s="36"/>
      <c r="BD999" s="36"/>
      <c r="BE999" s="36"/>
      <c r="BF999" s="36"/>
      <c r="BG999" s="36"/>
      <c r="BH999" s="36"/>
      <c r="BI999" s="36"/>
      <c r="BJ999" s="36"/>
      <c r="BK999" s="36"/>
      <c r="BL999" s="36"/>
      <c r="BM999" s="36"/>
      <c r="BN999" s="36"/>
      <c r="BO999" s="36"/>
      <c r="BP999" s="36"/>
      <c r="BQ999" s="36"/>
      <c r="BR999" s="36"/>
      <c r="BS999" s="36"/>
      <c r="BT999" s="36"/>
      <c r="BU999" s="36"/>
      <c r="BV999" s="36"/>
      <c r="BW999" s="36"/>
      <c r="BX999" s="36"/>
      <c r="BY999" s="36"/>
      <c r="BZ999" s="36"/>
      <c r="CA999" s="36"/>
      <c r="CB999" s="36"/>
      <c r="CC999" s="36"/>
      <c r="CD999" s="36"/>
      <c r="CE999" s="36"/>
      <c r="CF999" s="36"/>
      <c r="CG999" s="36"/>
      <c r="CH999" s="36"/>
      <c r="CI999" s="36"/>
      <c r="CJ999" s="36"/>
      <c r="CK999" s="36"/>
      <c r="CL999" s="36"/>
      <c r="CM999" s="36"/>
      <c r="CN999" s="36"/>
      <c r="CO999" s="36"/>
    </row>
    <row r="1000">
      <c r="A1000" s="36"/>
      <c r="B1000" s="47"/>
      <c r="C1000" s="50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  <c r="AK1000" s="36"/>
      <c r="AL1000" s="36"/>
      <c r="AM1000" s="36"/>
      <c r="AN1000" s="36"/>
      <c r="AO1000" s="36"/>
      <c r="AP1000" s="36"/>
      <c r="AQ1000" s="36"/>
      <c r="AR1000" s="36"/>
      <c r="AS1000" s="36"/>
      <c r="AT1000" s="36"/>
      <c r="AU1000" s="36"/>
      <c r="AV1000" s="36"/>
      <c r="AW1000" s="36"/>
      <c r="AX1000" s="36"/>
      <c r="AY1000" s="36"/>
      <c r="AZ1000" s="36"/>
      <c r="BA1000" s="36"/>
      <c r="BB1000" s="36"/>
      <c r="BC1000" s="36"/>
      <c r="BD1000" s="36"/>
      <c r="BE1000" s="36"/>
      <c r="BF1000" s="36"/>
      <c r="BG1000" s="36"/>
      <c r="BH1000" s="36"/>
      <c r="BI1000" s="36"/>
      <c r="BJ1000" s="36"/>
      <c r="BK1000" s="36"/>
      <c r="BL1000" s="36"/>
      <c r="BM1000" s="36"/>
      <c r="BN1000" s="36"/>
      <c r="BO1000" s="36"/>
      <c r="BP1000" s="36"/>
      <c r="BQ1000" s="36"/>
      <c r="BR1000" s="36"/>
      <c r="BS1000" s="36"/>
      <c r="BT1000" s="36"/>
      <c r="BU1000" s="36"/>
      <c r="BV1000" s="36"/>
      <c r="BW1000" s="36"/>
      <c r="BX1000" s="36"/>
      <c r="BY1000" s="36"/>
      <c r="BZ1000" s="36"/>
      <c r="CA1000" s="36"/>
      <c r="CB1000" s="36"/>
      <c r="CC1000" s="36"/>
      <c r="CD1000" s="36"/>
      <c r="CE1000" s="36"/>
      <c r="CF1000" s="36"/>
      <c r="CG1000" s="36"/>
      <c r="CH1000" s="36"/>
      <c r="CI1000" s="36"/>
      <c r="CJ1000" s="36"/>
      <c r="CK1000" s="36"/>
      <c r="CL1000" s="36"/>
      <c r="CM1000" s="36"/>
      <c r="CN1000" s="36"/>
      <c r="CO1000" s="36"/>
    </row>
    <row r="1001">
      <c r="A1001" s="36"/>
      <c r="B1001" s="47"/>
      <c r="C1001" s="50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  <c r="AI1001" s="36"/>
      <c r="AJ1001" s="36"/>
      <c r="AK1001" s="36"/>
      <c r="AL1001" s="36"/>
      <c r="AM1001" s="36"/>
      <c r="AN1001" s="36"/>
      <c r="AO1001" s="36"/>
      <c r="AP1001" s="36"/>
      <c r="AQ1001" s="36"/>
      <c r="AR1001" s="36"/>
      <c r="AS1001" s="36"/>
      <c r="AT1001" s="36"/>
      <c r="AU1001" s="36"/>
      <c r="AV1001" s="36"/>
      <c r="AW1001" s="36"/>
      <c r="AX1001" s="36"/>
      <c r="AY1001" s="36"/>
      <c r="AZ1001" s="36"/>
      <c r="BA1001" s="36"/>
      <c r="BB1001" s="36"/>
      <c r="BC1001" s="36"/>
      <c r="BD1001" s="36"/>
      <c r="BE1001" s="36"/>
      <c r="BF1001" s="36"/>
      <c r="BG1001" s="36"/>
      <c r="BH1001" s="36"/>
      <c r="BI1001" s="36"/>
      <c r="BJ1001" s="36"/>
      <c r="BK1001" s="36"/>
      <c r="BL1001" s="36"/>
      <c r="BM1001" s="36"/>
      <c r="BN1001" s="36"/>
      <c r="BO1001" s="36"/>
      <c r="BP1001" s="36"/>
      <c r="BQ1001" s="36"/>
      <c r="BR1001" s="36"/>
      <c r="BS1001" s="36"/>
      <c r="BT1001" s="36"/>
      <c r="BU1001" s="36"/>
      <c r="BV1001" s="36"/>
      <c r="BW1001" s="36"/>
      <c r="BX1001" s="36"/>
      <c r="BY1001" s="36"/>
      <c r="BZ1001" s="36"/>
      <c r="CA1001" s="36"/>
      <c r="CB1001" s="36"/>
      <c r="CC1001" s="36"/>
      <c r="CD1001" s="36"/>
      <c r="CE1001" s="36"/>
      <c r="CF1001" s="36"/>
      <c r="CG1001" s="36"/>
      <c r="CH1001" s="36"/>
      <c r="CI1001" s="36"/>
      <c r="CJ1001" s="36"/>
      <c r="CK1001" s="36"/>
      <c r="CL1001" s="36"/>
      <c r="CM1001" s="36"/>
      <c r="CN1001" s="36"/>
      <c r="CO1001" s="36"/>
    </row>
    <row r="1002">
      <c r="A1002" s="36"/>
      <c r="B1002" s="47"/>
      <c r="C1002" s="50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  <c r="AI1002" s="36"/>
      <c r="AJ1002" s="36"/>
      <c r="AK1002" s="36"/>
      <c r="AL1002" s="36"/>
      <c r="AM1002" s="36"/>
      <c r="AN1002" s="36"/>
      <c r="AO1002" s="36"/>
      <c r="AP1002" s="36"/>
      <c r="AQ1002" s="36"/>
      <c r="AR1002" s="36"/>
      <c r="AS1002" s="36"/>
      <c r="AT1002" s="36"/>
      <c r="AU1002" s="36"/>
      <c r="AV1002" s="36"/>
      <c r="AW1002" s="36"/>
      <c r="AX1002" s="36"/>
      <c r="AY1002" s="36"/>
      <c r="AZ1002" s="36"/>
      <c r="BA1002" s="36"/>
      <c r="BB1002" s="36"/>
      <c r="BC1002" s="36"/>
      <c r="BD1002" s="36"/>
      <c r="BE1002" s="36"/>
      <c r="BF1002" s="36"/>
      <c r="BG1002" s="36"/>
      <c r="BH1002" s="36"/>
      <c r="BI1002" s="36"/>
      <c r="BJ1002" s="36"/>
      <c r="BK1002" s="36"/>
      <c r="BL1002" s="36"/>
      <c r="BM1002" s="36"/>
      <c r="BN1002" s="36"/>
      <c r="BO1002" s="36"/>
      <c r="BP1002" s="36"/>
      <c r="BQ1002" s="36"/>
      <c r="BR1002" s="36"/>
      <c r="BS1002" s="36"/>
      <c r="BT1002" s="36"/>
      <c r="BU1002" s="36"/>
      <c r="BV1002" s="36"/>
      <c r="BW1002" s="36"/>
      <c r="BX1002" s="36"/>
      <c r="BY1002" s="36"/>
      <c r="BZ1002" s="36"/>
      <c r="CA1002" s="36"/>
      <c r="CB1002" s="36"/>
      <c r="CC1002" s="36"/>
      <c r="CD1002" s="36"/>
      <c r="CE1002" s="36"/>
      <c r="CF1002" s="36"/>
      <c r="CG1002" s="36"/>
      <c r="CH1002" s="36"/>
      <c r="CI1002" s="36"/>
      <c r="CJ1002" s="36"/>
      <c r="CK1002" s="36"/>
      <c r="CL1002" s="36"/>
      <c r="CM1002" s="36"/>
      <c r="CN1002" s="36"/>
      <c r="CO1002" s="36"/>
    </row>
    <row r="1003">
      <c r="A1003" s="36"/>
      <c r="B1003" s="47"/>
      <c r="C1003" s="50"/>
      <c r="D1003" s="36"/>
      <c r="E1003" s="36"/>
      <c r="F1003" s="36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  <c r="AI1003" s="36"/>
      <c r="AJ1003" s="36"/>
      <c r="AK1003" s="36"/>
      <c r="AL1003" s="36"/>
      <c r="AM1003" s="36"/>
      <c r="AN1003" s="36"/>
      <c r="AO1003" s="36"/>
      <c r="AP1003" s="36"/>
      <c r="AQ1003" s="36"/>
      <c r="AR1003" s="36"/>
      <c r="AS1003" s="36"/>
      <c r="AT1003" s="36"/>
      <c r="AU1003" s="36"/>
      <c r="AV1003" s="36"/>
      <c r="AW1003" s="36"/>
      <c r="AX1003" s="36"/>
      <c r="AY1003" s="36"/>
      <c r="AZ1003" s="36"/>
      <c r="BA1003" s="36"/>
      <c r="BB1003" s="36"/>
      <c r="BC1003" s="36"/>
      <c r="BD1003" s="36"/>
      <c r="BE1003" s="36"/>
      <c r="BF1003" s="36"/>
      <c r="BG1003" s="36"/>
      <c r="BH1003" s="36"/>
      <c r="BI1003" s="36"/>
      <c r="BJ1003" s="36"/>
      <c r="BK1003" s="36"/>
      <c r="BL1003" s="36"/>
      <c r="BM1003" s="36"/>
      <c r="BN1003" s="36"/>
      <c r="BO1003" s="36"/>
      <c r="BP1003" s="36"/>
      <c r="BQ1003" s="36"/>
      <c r="BR1003" s="36"/>
      <c r="BS1003" s="36"/>
      <c r="BT1003" s="36"/>
      <c r="BU1003" s="36"/>
      <c r="BV1003" s="36"/>
      <c r="BW1003" s="36"/>
      <c r="BX1003" s="36"/>
      <c r="BY1003" s="36"/>
      <c r="BZ1003" s="36"/>
      <c r="CA1003" s="36"/>
      <c r="CB1003" s="36"/>
      <c r="CC1003" s="36"/>
      <c r="CD1003" s="36"/>
      <c r="CE1003" s="36"/>
      <c r="CF1003" s="36"/>
      <c r="CG1003" s="36"/>
      <c r="CH1003" s="36"/>
      <c r="CI1003" s="36"/>
      <c r="CJ1003" s="36"/>
      <c r="CK1003" s="36"/>
      <c r="CL1003" s="36"/>
      <c r="CM1003" s="36"/>
      <c r="CN1003" s="36"/>
      <c r="CO1003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38"/>
    <col customWidth="1" min="3" max="8" width="16.75"/>
  </cols>
  <sheetData>
    <row r="1">
      <c r="A1" s="30" t="str">
        <f>Specs!D1</f>
        <v>ModularSwitch</v>
      </c>
      <c r="B1" s="31" t="s">
        <v>0</v>
      </c>
      <c r="C1" s="32" t="str">
        <f t="array" ref="C1">INDEX(D1:H1, MATCH(1, D16:H16, 0))</f>
        <v>C9404R </v>
      </c>
      <c r="D1" s="33" t="s">
        <v>107</v>
      </c>
      <c r="E1" s="33" t="s">
        <v>108</v>
      </c>
      <c r="F1" s="33" t="s">
        <v>109</v>
      </c>
      <c r="G1" s="33" t="s">
        <v>110</v>
      </c>
      <c r="H1" s="35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</row>
    <row r="2">
      <c r="A2" s="37" t="str">
        <f>Specs!D2</f>
        <v>Switching Bandwidth - Full Duplex (Gbps)</v>
      </c>
      <c r="B2" s="38">
        <f>IFERROR(__xludf.DUMMYFUNCTION("IMPORTRANGE(""https://docs.google.com/spreadsheets/d/18TjePryHG687L54fIGU6Od12DGyT3mPoblPemZTZRY4"",""SwitchCampus!B3:B10"")"),200.0)</f>
        <v>200</v>
      </c>
      <c r="C2" s="39">
        <f>hlookup($C$1,$D$1:$H$10,2,0)</f>
        <v>960</v>
      </c>
      <c r="D2" s="40">
        <f>480*2</f>
        <v>960</v>
      </c>
      <c r="E2" s="40">
        <f>480*5</f>
        <v>2400</v>
      </c>
      <c r="F2" s="40">
        <f>480*8</f>
        <v>3840</v>
      </c>
      <c r="G2" s="40">
        <f>3200*4</f>
        <v>12800</v>
      </c>
      <c r="H2" s="42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</row>
    <row r="3">
      <c r="A3" s="37" t="str">
        <f>Specs!D3</f>
        <v>Forwarding Capacity (Mpps)</v>
      </c>
      <c r="B3" s="38">
        <f>IFERROR(__xludf.DUMMYFUNCTION("""COMPUTED_VALUE"""),100.0)</f>
        <v>100</v>
      </c>
      <c r="C3" s="43" t="str">
        <f>hlookup($C$1,$D$1:$H$10,3,0)</f>
        <v/>
      </c>
      <c r="D3" s="42"/>
      <c r="E3" s="42"/>
      <c r="F3" s="42"/>
      <c r="G3" s="42"/>
      <c r="H3" s="42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</row>
    <row r="4">
      <c r="A4" s="37" t="str">
        <f>Specs!D4</f>
        <v>Số lượng cổng 1GE đồng</v>
      </c>
      <c r="B4" s="38">
        <f>IFERROR(__xludf.DUMMYFUNCTION("""COMPUTED_VALUE"""),16.0)</f>
        <v>16</v>
      </c>
      <c r="C4" s="39">
        <f>hlookup($C$1,$D$1:$H$10,4,0)</f>
        <v>96</v>
      </c>
      <c r="D4" s="40">
        <v>96.0</v>
      </c>
      <c r="E4" s="40">
        <v>240.0</v>
      </c>
      <c r="F4" s="40">
        <v>384.0</v>
      </c>
      <c r="G4" s="40">
        <v>192.0</v>
      </c>
      <c r="H4" s="42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</row>
    <row r="5">
      <c r="A5" s="37" t="str">
        <f>Specs!D5</f>
        <v>Số lượng cổng 1GE SFP</v>
      </c>
      <c r="B5" s="38">
        <f>IFERROR(__xludf.DUMMYFUNCTION("""COMPUTED_VALUE"""),2.0)</f>
        <v>2</v>
      </c>
      <c r="C5" s="39">
        <f>hlookup($C$1,$D$1:$H$10,5,0)</f>
        <v>96</v>
      </c>
      <c r="D5" s="40">
        <v>96.0</v>
      </c>
      <c r="E5" s="40">
        <v>240.0</v>
      </c>
      <c r="F5" s="40">
        <v>384.0</v>
      </c>
      <c r="G5" s="40">
        <v>192.0</v>
      </c>
      <c r="H5" s="37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</row>
    <row r="6">
      <c r="A6" s="37" t="str">
        <f>Specs!D6</f>
        <v>Số lượng cổng 10GE đồng</v>
      </c>
      <c r="B6" s="44">
        <f>IFERROR(__xludf.DUMMYFUNCTION("""COMPUTED_VALUE"""),10.0)</f>
        <v>10</v>
      </c>
      <c r="C6" s="39">
        <f>hlookup($C$1,$D$1:$H$10,6,0)</f>
        <v>96</v>
      </c>
      <c r="D6" s="40">
        <v>96.0</v>
      </c>
      <c r="E6" s="40">
        <v>240.0</v>
      </c>
      <c r="F6" s="40">
        <v>384.0</v>
      </c>
      <c r="G6" s="40">
        <v>192.0</v>
      </c>
      <c r="H6" s="37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>
      <c r="A7" s="37" t="str">
        <f>Specs!D7</f>
        <v>Số lượng cổng 10GE quang</v>
      </c>
      <c r="B7" s="45"/>
      <c r="C7" s="39">
        <f>hlookup($C$1,$D$1:$H$10,7,0)</f>
        <v>96</v>
      </c>
      <c r="D7" s="40">
        <v>96.0</v>
      </c>
      <c r="E7" s="40">
        <v>240.0</v>
      </c>
      <c r="F7" s="40">
        <v>384.0</v>
      </c>
      <c r="G7" s="40">
        <v>224.0</v>
      </c>
      <c r="H7" s="37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</row>
    <row r="8">
      <c r="A8" s="37" t="str">
        <f>Specs!D8</f>
        <v>Số lượng cổng 100GE</v>
      </c>
      <c r="B8" s="45"/>
      <c r="C8" s="39">
        <f>hlookup($C$1,$D$1:$H$10,8,0)</f>
        <v>8</v>
      </c>
      <c r="D8" s="40">
        <v>8.0</v>
      </c>
      <c r="E8" s="40">
        <v>20.0</v>
      </c>
      <c r="F8" s="40">
        <v>32.0</v>
      </c>
      <c r="G8" s="40">
        <v>128.0</v>
      </c>
      <c r="H8" s="37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</row>
    <row r="9">
      <c r="A9" s="37" t="str">
        <f>Specs!D9</f>
        <v>Stacking (Y/N)</v>
      </c>
      <c r="B9" s="44" t="str">
        <f>IFERROR(__xludf.DUMMYFUNCTION("""COMPUTED_VALUE"""),"Y")</f>
        <v>Y</v>
      </c>
      <c r="C9" s="39" t="str">
        <f>hlookup($C$1,$D$1:$H$10,9,0)</f>
        <v>Y</v>
      </c>
      <c r="D9" s="40" t="s">
        <v>105</v>
      </c>
      <c r="E9" s="40" t="s">
        <v>105</v>
      </c>
      <c r="F9" s="40" t="s">
        <v>105</v>
      </c>
      <c r="G9" s="40" t="s">
        <v>105</v>
      </c>
      <c r="H9" s="37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>
      <c r="A10" s="37" t="str">
        <f>Specs!D10</f>
        <v>PoE (Y/N)</v>
      </c>
      <c r="B10" s="45"/>
      <c r="C10" s="39" t="str">
        <f>hlookup($C$1,$D$1:$H$10,10,0)</f>
        <v>Y</v>
      </c>
      <c r="D10" s="40" t="s">
        <v>105</v>
      </c>
      <c r="E10" s="40" t="s">
        <v>105</v>
      </c>
      <c r="F10" s="40" t="s">
        <v>105</v>
      </c>
      <c r="G10" s="40" t="s">
        <v>111</v>
      </c>
      <c r="H10" s="37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</row>
    <row r="11">
      <c r="A11" s="46" t="s">
        <v>106</v>
      </c>
      <c r="B11" s="47"/>
      <c r="C11" s="48" t="str">
        <f>hlookup($C$1,$D$1:$H$11,11,0)</f>
        <v>High End</v>
      </c>
      <c r="D11" s="49" t="s">
        <v>25</v>
      </c>
      <c r="E11" s="49" t="s">
        <v>25</v>
      </c>
      <c r="F11" s="49" t="s">
        <v>25</v>
      </c>
      <c r="G11" s="49" t="s">
        <v>25</v>
      </c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</row>
    <row r="12">
      <c r="A12" s="36"/>
      <c r="B12" s="47"/>
      <c r="C12" s="50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>
      <c r="A13" s="36" t="s">
        <v>26</v>
      </c>
      <c r="B13" s="47"/>
      <c r="C13" s="48">
        <f t="shared" ref="C13:H13" si="1">sum(1*(C2&gt;=$B$2)+1*(C3&gt;=$B$3)+1*(C4&gt;=$B$4)+1*(C5&gt;=$B$5)+1*(C6&gt;=$B$6)+1*(C7&gt;=$B$7)+1*(C8&gt;=$B$8)+1*or(C9="Y",$B$9="N",$B$9="")+1*or(C10="Y",$B$10="N",$B$10=""))</f>
        <v>8</v>
      </c>
      <c r="D13" s="51">
        <f t="shared" si="1"/>
        <v>8</v>
      </c>
      <c r="E13" s="51">
        <f t="shared" si="1"/>
        <v>8</v>
      </c>
      <c r="F13" s="51">
        <f t="shared" si="1"/>
        <v>8</v>
      </c>
      <c r="G13" s="51">
        <f t="shared" si="1"/>
        <v>8</v>
      </c>
      <c r="H13" s="51">
        <f t="shared" si="1"/>
        <v>3</v>
      </c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</row>
    <row r="14">
      <c r="A14" s="36" t="s">
        <v>27</v>
      </c>
      <c r="B14" s="47"/>
      <c r="C14" s="52">
        <f>iferror(vlookup(C1,AllListPrice!$A$2:$D$1000,4,0),0)</f>
        <v>0</v>
      </c>
      <c r="D14" s="53">
        <f>iferror(vlookup(D1,AllListPrice!$A$2:$D$1000,4,0),0)</f>
        <v>0</v>
      </c>
      <c r="E14" s="53">
        <f>iferror(vlookup(E1,AllListPrice!$A$2:$D$1000,4,0),0)</f>
        <v>0</v>
      </c>
      <c r="F14" s="53">
        <f>iferror(vlookup(F1,AllListPrice!$A$2:$D$1000,4,0),0)</f>
        <v>0</v>
      </c>
      <c r="G14" s="53">
        <f>iferror(vlookup(G1,AllListPrice!$A$2:$D$1000,4,0),0)</f>
        <v>0</v>
      </c>
      <c r="H14" s="53">
        <f>iferror(vlookup(H1,Cisco!$A$2:$D$1000,4,0),0)</f>
        <v>0</v>
      </c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</row>
    <row r="15">
      <c r="A15" s="36" t="s">
        <v>28</v>
      </c>
      <c r="B15" s="47"/>
      <c r="C15" s="48">
        <f t="shared" ref="C15:H15" si="2">1*(C13=max($D$13:$H$13))</f>
        <v>1</v>
      </c>
      <c r="D15" s="51">
        <f t="shared" si="2"/>
        <v>1</v>
      </c>
      <c r="E15" s="51">
        <f t="shared" si="2"/>
        <v>1</v>
      </c>
      <c r="F15" s="51">
        <f t="shared" si="2"/>
        <v>1</v>
      </c>
      <c r="G15" s="51">
        <f t="shared" si="2"/>
        <v>1</v>
      </c>
      <c r="H15" s="51">
        <f t="shared" si="2"/>
        <v>0</v>
      </c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</row>
    <row r="16">
      <c r="A16" s="36" t="s">
        <v>29</v>
      </c>
      <c r="B16" s="47"/>
      <c r="C16" s="48">
        <f t="shared" ref="C16:H16" si="3">C15*(C14=minifs($D$14:$H$14,$D$15:$H$15,1))</f>
        <v>1</v>
      </c>
      <c r="D16" s="51">
        <f t="shared" si="3"/>
        <v>1</v>
      </c>
      <c r="E16" s="51">
        <f t="shared" si="3"/>
        <v>1</v>
      </c>
      <c r="F16" s="51">
        <f t="shared" si="3"/>
        <v>1</v>
      </c>
      <c r="G16" s="51">
        <f t="shared" si="3"/>
        <v>1</v>
      </c>
      <c r="H16" s="51">
        <f t="shared" si="3"/>
        <v>0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</row>
    <row r="17">
      <c r="A17" s="36" t="s">
        <v>30</v>
      </c>
      <c r="B17" s="47"/>
      <c r="C17" s="48">
        <f t="shared" ref="C17:H17" si="4">(1-($C$1=C1))*(C15=1)</f>
        <v>0</v>
      </c>
      <c r="D17" s="51">
        <f t="shared" si="4"/>
        <v>0</v>
      </c>
      <c r="E17" s="51">
        <f t="shared" si="4"/>
        <v>1</v>
      </c>
      <c r="F17" s="51">
        <f t="shared" si="4"/>
        <v>1</v>
      </c>
      <c r="G17" s="51">
        <f t="shared" si="4"/>
        <v>1</v>
      </c>
      <c r="H17" s="51">
        <f t="shared" si="4"/>
        <v>0</v>
      </c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</row>
    <row r="18">
      <c r="A18" s="36"/>
      <c r="B18" s="47"/>
      <c r="C18" s="50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</row>
    <row r="19">
      <c r="A19" s="46" t="s">
        <v>31</v>
      </c>
      <c r="B19" s="47"/>
      <c r="C19" s="54" t="str">
        <f>IFERROR(__xludf.DUMMYFUNCTION("iferror(filter(D1:H1,$D$17:$H$17=1),"""")"),"C9407R")</f>
        <v>C9407R</v>
      </c>
      <c r="D19" s="55" t="str">
        <f>IFERROR(__xludf.DUMMYFUNCTION("""COMPUTED_VALUE"""),"C9410R")</f>
        <v>C9410R</v>
      </c>
      <c r="E19" s="55" t="str">
        <f>IFERROR(__xludf.DUMMYFUNCTION("""COMPUTED_VALUE"""),"9606R")</f>
        <v>9606R</v>
      </c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</row>
    <row r="20">
      <c r="A20" s="36" t="str">
        <f t="shared" ref="A20:B20" si="5">A2</f>
        <v>Switching Bandwidth - Full Duplex (Gbps)</v>
      </c>
      <c r="B20" s="56">
        <f t="shared" si="5"/>
        <v>200</v>
      </c>
      <c r="C20" s="48">
        <f>IFERROR(__xludf.DUMMYFUNCTION("iferror(filter(D2:H2,$D$17:$H$17=1),"""")"),2400.0)</f>
        <v>2400</v>
      </c>
      <c r="D20" s="51">
        <f>IFERROR(__xludf.DUMMYFUNCTION("""COMPUTED_VALUE"""),3840.0)</f>
        <v>3840</v>
      </c>
      <c r="E20" s="51">
        <f>IFERROR(__xludf.DUMMYFUNCTION("""COMPUTED_VALUE"""),12800.0)</f>
        <v>12800</v>
      </c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</row>
    <row r="21">
      <c r="A21" s="36" t="str">
        <f t="shared" ref="A21:B21" si="6">A3</f>
        <v>Forwarding Capacity (Mpps)</v>
      </c>
      <c r="B21" s="56">
        <f t="shared" si="6"/>
        <v>100</v>
      </c>
      <c r="C21" s="50" t="str">
        <f>IFERROR(__xludf.DUMMYFUNCTION("iferror(filter(D3:H3,$D$17:$H$17=1),"""")"),"")</f>
        <v/>
      </c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</row>
    <row r="22">
      <c r="A22" s="36" t="str">
        <f t="shared" ref="A22:B22" si="7">A4</f>
        <v>Số lượng cổng 1GE đồng</v>
      </c>
      <c r="B22" s="56">
        <f t="shared" si="7"/>
        <v>16</v>
      </c>
      <c r="C22" s="48">
        <f>IFERROR(__xludf.DUMMYFUNCTION("iferror(filter(D4:H4,$D$17:$H$17=1),"""")"),240.0)</f>
        <v>240</v>
      </c>
      <c r="D22" s="51">
        <f>IFERROR(__xludf.DUMMYFUNCTION("""COMPUTED_VALUE"""),384.0)</f>
        <v>384</v>
      </c>
      <c r="E22" s="51">
        <f>IFERROR(__xludf.DUMMYFUNCTION("""COMPUTED_VALUE"""),192.0)</f>
        <v>192</v>
      </c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</row>
    <row r="23">
      <c r="A23" s="36" t="str">
        <f t="shared" ref="A23:B23" si="8">A5</f>
        <v>Số lượng cổng 1GE SFP</v>
      </c>
      <c r="B23" s="56">
        <f t="shared" si="8"/>
        <v>2</v>
      </c>
      <c r="C23" s="48">
        <f>IFERROR(__xludf.DUMMYFUNCTION("iferror(filter(D5:H5,$D$17:$H$17=1),"""")"),240.0)</f>
        <v>240</v>
      </c>
      <c r="D23" s="51">
        <f>IFERROR(__xludf.DUMMYFUNCTION("""COMPUTED_VALUE"""),384.0)</f>
        <v>384</v>
      </c>
      <c r="E23" s="51">
        <f>IFERROR(__xludf.DUMMYFUNCTION("""COMPUTED_VALUE"""),192.0)</f>
        <v>192</v>
      </c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</row>
    <row r="24">
      <c r="A24" s="36" t="str">
        <f t="shared" ref="A24:B24" si="9">A6</f>
        <v>Số lượng cổng 10GE đồng</v>
      </c>
      <c r="B24" s="56">
        <f t="shared" si="9"/>
        <v>10</v>
      </c>
      <c r="C24" s="48">
        <f>IFERROR(__xludf.DUMMYFUNCTION("iferror(filter(D6:H6,$D$17:$H$17=1),"""")"),240.0)</f>
        <v>240</v>
      </c>
      <c r="D24" s="51">
        <f>IFERROR(__xludf.DUMMYFUNCTION("""COMPUTED_VALUE"""),384.0)</f>
        <v>384</v>
      </c>
      <c r="E24" s="51">
        <f>IFERROR(__xludf.DUMMYFUNCTION("""COMPUTED_VALUE"""),192.0)</f>
        <v>192</v>
      </c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</row>
    <row r="25">
      <c r="A25" s="36" t="str">
        <f t="shared" ref="A25:B25" si="10">A7</f>
        <v>Số lượng cổng 10GE quang</v>
      </c>
      <c r="B25" s="47" t="str">
        <f t="shared" si="10"/>
        <v/>
      </c>
      <c r="C25" s="48">
        <f>IFERROR(__xludf.DUMMYFUNCTION("iferror(filter(D7:H7,$D$17:$H$17=1),"""")"),240.0)</f>
        <v>240</v>
      </c>
      <c r="D25" s="51">
        <f>IFERROR(__xludf.DUMMYFUNCTION("""COMPUTED_VALUE"""),384.0)</f>
        <v>384</v>
      </c>
      <c r="E25" s="51">
        <f>IFERROR(__xludf.DUMMYFUNCTION("""COMPUTED_VALUE"""),224.0)</f>
        <v>224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</row>
    <row r="26">
      <c r="A26" s="36" t="str">
        <f t="shared" ref="A26:B26" si="11">A8</f>
        <v>Số lượng cổng 100GE</v>
      </c>
      <c r="B26" s="47" t="str">
        <f t="shared" si="11"/>
        <v/>
      </c>
      <c r="C26" s="48">
        <f>IFERROR(__xludf.DUMMYFUNCTION("iferror(filter(D8:H8,$D$17:$H$17=1),"""")"),20.0)</f>
        <v>20</v>
      </c>
      <c r="D26" s="51">
        <f>IFERROR(__xludf.DUMMYFUNCTION("""COMPUTED_VALUE"""),32.0)</f>
        <v>32</v>
      </c>
      <c r="E26" s="51">
        <f>IFERROR(__xludf.DUMMYFUNCTION("""COMPUTED_VALUE"""),128.0)</f>
        <v>128</v>
      </c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</row>
    <row r="27">
      <c r="A27" s="36" t="str">
        <f t="shared" ref="A27:B27" si="12">A9</f>
        <v>Stacking (Y/N)</v>
      </c>
      <c r="B27" s="56" t="str">
        <f t="shared" si="12"/>
        <v>Y</v>
      </c>
      <c r="C27" s="48" t="str">
        <f>IFERROR(__xludf.DUMMYFUNCTION("iferror(filter(D9:H9,$D$17:$H$17=1),"""")"),"Y")</f>
        <v>Y</v>
      </c>
      <c r="D27" s="51" t="str">
        <f>IFERROR(__xludf.DUMMYFUNCTION("""COMPUTED_VALUE"""),"Y")</f>
        <v>Y</v>
      </c>
      <c r="E27" s="51" t="str">
        <f>IFERROR(__xludf.DUMMYFUNCTION("""COMPUTED_VALUE"""),"Y")</f>
        <v>Y</v>
      </c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</row>
    <row r="28">
      <c r="A28" s="36" t="str">
        <f>A10</f>
        <v>PoE (Y/N)</v>
      </c>
      <c r="B28" s="47"/>
      <c r="C28" s="48" t="str">
        <f>IFERROR(__xludf.DUMMYFUNCTION("iferror(filter(D10:G10,$D$17:$G$17=1),"""")"),"Y")</f>
        <v>Y</v>
      </c>
      <c r="D28" s="51" t="str">
        <f>IFERROR(__xludf.DUMMYFUNCTION("""COMPUTED_VALUE"""),"Y")</f>
        <v>Y</v>
      </c>
      <c r="E28" s="51" t="str">
        <f>IFERROR(__xludf.DUMMYFUNCTION("""COMPUTED_VALUE"""),"N")</f>
        <v>N</v>
      </c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</row>
    <row r="29">
      <c r="A29" s="36"/>
      <c r="B29" s="47"/>
      <c r="C29" s="50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</row>
    <row r="30">
      <c r="A30" s="36"/>
      <c r="B30" s="47"/>
      <c r="C30" s="50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</row>
    <row r="31">
      <c r="A31" s="36"/>
      <c r="B31" s="47"/>
      <c r="C31" s="50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</row>
    <row r="32">
      <c r="A32" s="36"/>
      <c r="B32" s="47"/>
      <c r="C32" s="50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</row>
    <row r="33">
      <c r="A33" s="36"/>
      <c r="B33" s="47"/>
      <c r="C33" s="50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</row>
    <row r="34">
      <c r="A34" s="36"/>
      <c r="B34" s="47"/>
      <c r="C34" s="50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</row>
    <row r="35">
      <c r="A35" s="36"/>
      <c r="B35" s="47"/>
      <c r="C35" s="50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</row>
    <row r="36">
      <c r="A36" s="36"/>
      <c r="B36" s="47"/>
      <c r="C36" s="50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</row>
    <row r="37">
      <c r="A37" s="36"/>
      <c r="B37" s="47"/>
      <c r="C37" s="50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</row>
    <row r="38">
      <c r="A38" s="36"/>
      <c r="B38" s="47"/>
      <c r="C38" s="50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</row>
    <row r="39">
      <c r="A39" s="36"/>
      <c r="B39" s="47"/>
      <c r="C39" s="50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</row>
    <row r="40">
      <c r="A40" s="36"/>
      <c r="B40" s="47"/>
      <c r="C40" s="50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</row>
    <row r="41">
      <c r="A41" s="36"/>
      <c r="B41" s="47"/>
      <c r="C41" s="50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</row>
    <row r="42">
      <c r="A42" s="36"/>
      <c r="B42" s="47"/>
      <c r="C42" s="50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</row>
    <row r="43">
      <c r="A43" s="36"/>
      <c r="B43" s="47"/>
      <c r="C43" s="50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</row>
    <row r="44">
      <c r="A44" s="36"/>
      <c r="B44" s="47"/>
      <c r="C44" s="50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</row>
    <row r="45">
      <c r="A45" s="36"/>
      <c r="B45" s="47"/>
      <c r="C45" s="50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</row>
    <row r="46">
      <c r="A46" s="36"/>
      <c r="B46" s="47"/>
      <c r="C46" s="50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</row>
    <row r="47">
      <c r="A47" s="36"/>
      <c r="B47" s="47"/>
      <c r="C47" s="50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</row>
    <row r="48">
      <c r="A48" s="36"/>
      <c r="B48" s="47"/>
      <c r="C48" s="50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</row>
    <row r="49">
      <c r="A49" s="36"/>
      <c r="B49" s="47"/>
      <c r="C49" s="50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</row>
    <row r="50">
      <c r="A50" s="36"/>
      <c r="B50" s="47"/>
      <c r="C50" s="50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</row>
    <row r="51">
      <c r="A51" s="36"/>
      <c r="B51" s="47"/>
      <c r="C51" s="50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</row>
    <row r="52">
      <c r="A52" s="36"/>
      <c r="B52" s="47"/>
      <c r="C52" s="50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</row>
    <row r="53">
      <c r="A53" s="36"/>
      <c r="B53" s="47"/>
      <c r="C53" s="50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</row>
    <row r="54">
      <c r="A54" s="36"/>
      <c r="B54" s="47"/>
      <c r="C54" s="50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</row>
    <row r="55">
      <c r="A55" s="36"/>
      <c r="B55" s="47"/>
      <c r="C55" s="50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</row>
    <row r="56">
      <c r="A56" s="36"/>
      <c r="B56" s="47"/>
      <c r="C56" s="50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</row>
    <row r="57">
      <c r="A57" s="36"/>
      <c r="B57" s="47"/>
      <c r="C57" s="50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</row>
    <row r="58">
      <c r="A58" s="36"/>
      <c r="B58" s="47"/>
      <c r="C58" s="50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</row>
    <row r="59">
      <c r="A59" s="36"/>
      <c r="B59" s="47"/>
      <c r="C59" s="50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</row>
    <row r="60">
      <c r="A60" s="36"/>
      <c r="B60" s="47"/>
      <c r="C60" s="50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</row>
    <row r="61">
      <c r="A61" s="36"/>
      <c r="B61" s="47"/>
      <c r="C61" s="50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</row>
    <row r="62">
      <c r="A62" s="36"/>
      <c r="B62" s="47"/>
      <c r="C62" s="50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</row>
    <row r="63">
      <c r="A63" s="36"/>
      <c r="B63" s="47"/>
      <c r="C63" s="50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</row>
    <row r="64">
      <c r="A64" s="36"/>
      <c r="B64" s="47"/>
      <c r="C64" s="50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</row>
    <row r="65">
      <c r="A65" s="36"/>
      <c r="B65" s="47"/>
      <c r="C65" s="50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</row>
    <row r="66">
      <c r="A66" s="36"/>
      <c r="B66" s="47"/>
      <c r="C66" s="50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</row>
    <row r="67">
      <c r="A67" s="36"/>
      <c r="B67" s="47"/>
      <c r="C67" s="50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</row>
    <row r="68">
      <c r="A68" s="36"/>
      <c r="B68" s="47"/>
      <c r="C68" s="50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</row>
    <row r="69">
      <c r="A69" s="36"/>
      <c r="B69" s="47"/>
      <c r="C69" s="50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</row>
    <row r="70">
      <c r="A70" s="36"/>
      <c r="B70" s="47"/>
      <c r="C70" s="50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</row>
    <row r="71">
      <c r="A71" s="36"/>
      <c r="B71" s="47"/>
      <c r="C71" s="50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</row>
    <row r="72">
      <c r="A72" s="36"/>
      <c r="B72" s="47"/>
      <c r="C72" s="50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</row>
    <row r="73">
      <c r="A73" s="36"/>
      <c r="B73" s="47"/>
      <c r="C73" s="50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</row>
    <row r="74">
      <c r="A74" s="36"/>
      <c r="B74" s="47"/>
      <c r="C74" s="50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</row>
    <row r="75">
      <c r="A75" s="36"/>
      <c r="B75" s="47"/>
      <c r="C75" s="50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</row>
    <row r="76">
      <c r="A76" s="36"/>
      <c r="B76" s="47"/>
      <c r="C76" s="50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</row>
    <row r="77">
      <c r="A77" s="36"/>
      <c r="B77" s="47"/>
      <c r="C77" s="50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</row>
    <row r="78">
      <c r="A78" s="36"/>
      <c r="B78" s="47"/>
      <c r="C78" s="50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</row>
    <row r="79">
      <c r="A79" s="36"/>
      <c r="B79" s="47"/>
      <c r="C79" s="50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</row>
    <row r="80">
      <c r="A80" s="36"/>
      <c r="B80" s="47"/>
      <c r="C80" s="50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</row>
    <row r="81">
      <c r="A81" s="36"/>
      <c r="B81" s="47"/>
      <c r="C81" s="50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</row>
    <row r="82">
      <c r="A82" s="36"/>
      <c r="B82" s="47"/>
      <c r="C82" s="50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</row>
    <row r="83">
      <c r="A83" s="36"/>
      <c r="B83" s="47"/>
      <c r="C83" s="50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</row>
    <row r="84">
      <c r="A84" s="36"/>
      <c r="B84" s="47"/>
      <c r="C84" s="50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</row>
    <row r="85">
      <c r="A85" s="36"/>
      <c r="B85" s="47"/>
      <c r="C85" s="50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</row>
    <row r="86">
      <c r="A86" s="36"/>
      <c r="B86" s="47"/>
      <c r="C86" s="50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</row>
    <row r="87">
      <c r="A87" s="36"/>
      <c r="B87" s="47"/>
      <c r="C87" s="50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</row>
    <row r="88">
      <c r="A88" s="36"/>
      <c r="B88" s="47"/>
      <c r="C88" s="50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</row>
    <row r="89">
      <c r="A89" s="36"/>
      <c r="B89" s="47"/>
      <c r="C89" s="50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</row>
    <row r="90">
      <c r="A90" s="36"/>
      <c r="B90" s="47"/>
      <c r="C90" s="50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</row>
    <row r="91">
      <c r="A91" s="36"/>
      <c r="B91" s="47"/>
      <c r="C91" s="50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</row>
    <row r="92">
      <c r="A92" s="36"/>
      <c r="B92" s="47"/>
      <c r="C92" s="50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</row>
    <row r="93">
      <c r="A93" s="36"/>
      <c r="B93" s="47"/>
      <c r="C93" s="50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</row>
    <row r="94">
      <c r="A94" s="36"/>
      <c r="B94" s="47"/>
      <c r="C94" s="50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</row>
    <row r="95">
      <c r="A95" s="36"/>
      <c r="B95" s="47"/>
      <c r="C95" s="50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</row>
    <row r="96">
      <c r="A96" s="36"/>
      <c r="B96" s="47"/>
      <c r="C96" s="50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</row>
    <row r="97">
      <c r="A97" s="36"/>
      <c r="B97" s="47"/>
      <c r="C97" s="50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</row>
    <row r="98">
      <c r="A98" s="36"/>
      <c r="B98" s="47"/>
      <c r="C98" s="50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</row>
    <row r="99">
      <c r="A99" s="36"/>
      <c r="B99" s="47"/>
      <c r="C99" s="50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</row>
    <row r="100">
      <c r="A100" s="36"/>
      <c r="B100" s="47"/>
      <c r="C100" s="50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</row>
    <row r="101">
      <c r="A101" s="36"/>
      <c r="B101" s="47"/>
      <c r="C101" s="50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</row>
    <row r="102">
      <c r="A102" s="36"/>
      <c r="B102" s="47"/>
      <c r="C102" s="50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</row>
    <row r="103">
      <c r="A103" s="36"/>
      <c r="B103" s="47"/>
      <c r="C103" s="50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</row>
    <row r="104">
      <c r="A104" s="36"/>
      <c r="B104" s="47"/>
      <c r="C104" s="50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</row>
    <row r="105">
      <c r="A105" s="36"/>
      <c r="B105" s="47"/>
      <c r="C105" s="50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</row>
    <row r="106">
      <c r="A106" s="36"/>
      <c r="B106" s="47"/>
      <c r="C106" s="50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</row>
    <row r="107">
      <c r="A107" s="36"/>
      <c r="B107" s="47"/>
      <c r="C107" s="50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</row>
    <row r="108">
      <c r="A108" s="36"/>
      <c r="B108" s="47"/>
      <c r="C108" s="50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</row>
    <row r="109">
      <c r="A109" s="36"/>
      <c r="B109" s="47"/>
      <c r="C109" s="50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</row>
    <row r="110">
      <c r="A110" s="36"/>
      <c r="B110" s="47"/>
      <c r="C110" s="50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</row>
    <row r="111">
      <c r="A111" s="36"/>
      <c r="B111" s="47"/>
      <c r="C111" s="50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</row>
    <row r="112">
      <c r="A112" s="36"/>
      <c r="B112" s="47"/>
      <c r="C112" s="50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</row>
    <row r="113">
      <c r="A113" s="36"/>
      <c r="B113" s="47"/>
      <c r="C113" s="50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</row>
    <row r="114">
      <c r="A114" s="36"/>
      <c r="B114" s="47"/>
      <c r="C114" s="50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</row>
    <row r="115">
      <c r="A115" s="36"/>
      <c r="B115" s="47"/>
      <c r="C115" s="50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</row>
    <row r="116">
      <c r="A116" s="36"/>
      <c r="B116" s="47"/>
      <c r="C116" s="50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</row>
    <row r="117">
      <c r="A117" s="36"/>
      <c r="B117" s="47"/>
      <c r="C117" s="50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</row>
    <row r="118">
      <c r="A118" s="36"/>
      <c r="B118" s="47"/>
      <c r="C118" s="50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</row>
    <row r="119">
      <c r="A119" s="36"/>
      <c r="B119" s="47"/>
      <c r="C119" s="50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</row>
    <row r="120">
      <c r="A120" s="36"/>
      <c r="B120" s="47"/>
      <c r="C120" s="50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</row>
    <row r="121">
      <c r="A121" s="36"/>
      <c r="B121" s="47"/>
      <c r="C121" s="50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</row>
    <row r="122">
      <c r="A122" s="36"/>
      <c r="B122" s="47"/>
      <c r="C122" s="50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</row>
    <row r="123">
      <c r="A123" s="36"/>
      <c r="B123" s="47"/>
      <c r="C123" s="50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</row>
    <row r="124">
      <c r="A124" s="36"/>
      <c r="B124" s="47"/>
      <c r="C124" s="50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</row>
    <row r="125">
      <c r="A125" s="36"/>
      <c r="B125" s="47"/>
      <c r="C125" s="50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</row>
    <row r="126">
      <c r="A126" s="36"/>
      <c r="B126" s="47"/>
      <c r="C126" s="50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</row>
    <row r="127">
      <c r="A127" s="36"/>
      <c r="B127" s="47"/>
      <c r="C127" s="50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</row>
    <row r="128">
      <c r="A128" s="36"/>
      <c r="B128" s="47"/>
      <c r="C128" s="50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</row>
    <row r="129">
      <c r="A129" s="36"/>
      <c r="B129" s="47"/>
      <c r="C129" s="50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</row>
    <row r="130">
      <c r="A130" s="36"/>
      <c r="B130" s="47"/>
      <c r="C130" s="50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</row>
    <row r="131">
      <c r="A131" s="36"/>
      <c r="B131" s="47"/>
      <c r="C131" s="50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</row>
    <row r="132">
      <c r="A132" s="36"/>
      <c r="B132" s="47"/>
      <c r="C132" s="50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</row>
    <row r="133">
      <c r="A133" s="36"/>
      <c r="B133" s="47"/>
      <c r="C133" s="50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</row>
    <row r="134">
      <c r="A134" s="36"/>
      <c r="B134" s="47"/>
      <c r="C134" s="50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</row>
    <row r="135">
      <c r="A135" s="36"/>
      <c r="B135" s="47"/>
      <c r="C135" s="50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</row>
    <row r="136">
      <c r="A136" s="36"/>
      <c r="B136" s="47"/>
      <c r="C136" s="50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</row>
    <row r="137">
      <c r="A137" s="36"/>
      <c r="B137" s="47"/>
      <c r="C137" s="50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</row>
    <row r="138">
      <c r="A138" s="36"/>
      <c r="B138" s="47"/>
      <c r="C138" s="50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</row>
    <row r="139">
      <c r="A139" s="36"/>
      <c r="B139" s="47"/>
      <c r="C139" s="50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</row>
    <row r="140">
      <c r="A140" s="36"/>
      <c r="B140" s="47"/>
      <c r="C140" s="50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</row>
    <row r="141">
      <c r="A141" s="36"/>
      <c r="B141" s="47"/>
      <c r="C141" s="50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</row>
    <row r="142">
      <c r="A142" s="36"/>
      <c r="B142" s="47"/>
      <c r="C142" s="50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</row>
    <row r="143">
      <c r="A143" s="36"/>
      <c r="B143" s="47"/>
      <c r="C143" s="50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</row>
    <row r="144">
      <c r="A144" s="36"/>
      <c r="B144" s="47"/>
      <c r="C144" s="50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</row>
    <row r="145">
      <c r="A145" s="36"/>
      <c r="B145" s="47"/>
      <c r="C145" s="50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</row>
    <row r="146">
      <c r="A146" s="36"/>
      <c r="B146" s="47"/>
      <c r="C146" s="50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</row>
    <row r="147">
      <c r="A147" s="36"/>
      <c r="B147" s="47"/>
      <c r="C147" s="50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</row>
    <row r="148">
      <c r="A148" s="36"/>
      <c r="B148" s="47"/>
      <c r="C148" s="50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</row>
    <row r="149">
      <c r="A149" s="36"/>
      <c r="B149" s="47"/>
      <c r="C149" s="50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</row>
    <row r="150">
      <c r="A150" s="36"/>
      <c r="B150" s="47"/>
      <c r="C150" s="50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</row>
    <row r="151">
      <c r="A151" s="36"/>
      <c r="B151" s="47"/>
      <c r="C151" s="50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</row>
    <row r="152">
      <c r="A152" s="36"/>
      <c r="B152" s="47"/>
      <c r="C152" s="50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</row>
    <row r="153">
      <c r="A153" s="36"/>
      <c r="B153" s="47"/>
      <c r="C153" s="50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</row>
    <row r="154">
      <c r="A154" s="36"/>
      <c r="B154" s="47"/>
      <c r="C154" s="50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</row>
    <row r="155">
      <c r="A155" s="36"/>
      <c r="B155" s="47"/>
      <c r="C155" s="50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</row>
    <row r="156">
      <c r="A156" s="36"/>
      <c r="B156" s="47"/>
      <c r="C156" s="50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</row>
    <row r="157">
      <c r="A157" s="36"/>
      <c r="B157" s="47"/>
      <c r="C157" s="50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</row>
    <row r="158">
      <c r="A158" s="36"/>
      <c r="B158" s="47"/>
      <c r="C158" s="50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</row>
    <row r="159">
      <c r="A159" s="36"/>
      <c r="B159" s="47"/>
      <c r="C159" s="50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</row>
    <row r="160">
      <c r="A160" s="36"/>
      <c r="B160" s="47"/>
      <c r="C160" s="50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</row>
    <row r="161">
      <c r="A161" s="36"/>
      <c r="B161" s="47"/>
      <c r="C161" s="50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</row>
    <row r="162">
      <c r="A162" s="36"/>
      <c r="B162" s="47"/>
      <c r="C162" s="50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</row>
    <row r="163">
      <c r="A163" s="36"/>
      <c r="B163" s="47"/>
      <c r="C163" s="50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</row>
    <row r="164">
      <c r="A164" s="36"/>
      <c r="B164" s="47"/>
      <c r="C164" s="50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</row>
    <row r="165">
      <c r="A165" s="36"/>
      <c r="B165" s="47"/>
      <c r="C165" s="50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</row>
    <row r="166">
      <c r="A166" s="36"/>
      <c r="B166" s="47"/>
      <c r="C166" s="50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</row>
    <row r="167">
      <c r="A167" s="36"/>
      <c r="B167" s="47"/>
      <c r="C167" s="50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</row>
    <row r="168">
      <c r="A168" s="36"/>
      <c r="B168" s="47"/>
      <c r="C168" s="50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</row>
    <row r="169">
      <c r="A169" s="36"/>
      <c r="B169" s="47"/>
      <c r="C169" s="50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</row>
    <row r="170">
      <c r="A170" s="36"/>
      <c r="B170" s="47"/>
      <c r="C170" s="50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</row>
    <row r="171">
      <c r="A171" s="36"/>
      <c r="B171" s="47"/>
      <c r="C171" s="50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</row>
    <row r="172">
      <c r="A172" s="36"/>
      <c r="B172" s="47"/>
      <c r="C172" s="50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</row>
    <row r="173">
      <c r="A173" s="36"/>
      <c r="B173" s="47"/>
      <c r="C173" s="50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</row>
    <row r="174">
      <c r="A174" s="36"/>
      <c r="B174" s="47"/>
      <c r="C174" s="50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</row>
    <row r="175">
      <c r="A175" s="36"/>
      <c r="B175" s="47"/>
      <c r="C175" s="50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</row>
    <row r="176">
      <c r="A176" s="36"/>
      <c r="B176" s="47"/>
      <c r="C176" s="50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</row>
    <row r="177">
      <c r="A177" s="36"/>
      <c r="B177" s="47"/>
      <c r="C177" s="50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</row>
    <row r="178">
      <c r="A178" s="36"/>
      <c r="B178" s="47"/>
      <c r="C178" s="50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</row>
    <row r="179">
      <c r="A179" s="36"/>
      <c r="B179" s="47"/>
      <c r="C179" s="50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</row>
    <row r="180">
      <c r="A180" s="36"/>
      <c r="B180" s="47"/>
      <c r="C180" s="50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</row>
    <row r="181">
      <c r="A181" s="36"/>
      <c r="B181" s="47"/>
      <c r="C181" s="50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</row>
    <row r="182">
      <c r="A182" s="36"/>
      <c r="B182" s="47"/>
      <c r="C182" s="50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</row>
    <row r="183">
      <c r="A183" s="36"/>
      <c r="B183" s="47"/>
      <c r="C183" s="50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</row>
    <row r="184">
      <c r="A184" s="36"/>
      <c r="B184" s="47"/>
      <c r="C184" s="50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</row>
    <row r="185">
      <c r="A185" s="36"/>
      <c r="B185" s="47"/>
      <c r="C185" s="50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</row>
    <row r="186">
      <c r="A186" s="36"/>
      <c r="B186" s="47"/>
      <c r="C186" s="50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</row>
    <row r="187">
      <c r="A187" s="36"/>
      <c r="B187" s="47"/>
      <c r="C187" s="50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</row>
    <row r="188">
      <c r="A188" s="36"/>
      <c r="B188" s="47"/>
      <c r="C188" s="50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</row>
    <row r="189">
      <c r="A189" s="36"/>
      <c r="B189" s="47"/>
      <c r="C189" s="50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</row>
    <row r="190">
      <c r="A190" s="36"/>
      <c r="B190" s="47"/>
      <c r="C190" s="50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</row>
    <row r="191">
      <c r="A191" s="36"/>
      <c r="B191" s="47"/>
      <c r="C191" s="50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</row>
    <row r="192">
      <c r="A192" s="36"/>
      <c r="B192" s="47"/>
      <c r="C192" s="50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</row>
    <row r="193">
      <c r="A193" s="36"/>
      <c r="B193" s="47"/>
      <c r="C193" s="50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</row>
    <row r="194">
      <c r="A194" s="36"/>
      <c r="B194" s="47"/>
      <c r="C194" s="50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</row>
    <row r="195">
      <c r="A195" s="36"/>
      <c r="B195" s="47"/>
      <c r="C195" s="50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</row>
    <row r="196">
      <c r="A196" s="36"/>
      <c r="B196" s="47"/>
      <c r="C196" s="50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</row>
    <row r="197">
      <c r="A197" s="36"/>
      <c r="B197" s="47"/>
      <c r="C197" s="50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</row>
    <row r="198">
      <c r="A198" s="36"/>
      <c r="B198" s="47"/>
      <c r="C198" s="50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</row>
    <row r="199">
      <c r="A199" s="36"/>
      <c r="B199" s="47"/>
      <c r="C199" s="50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</row>
    <row r="200">
      <c r="A200" s="36"/>
      <c r="B200" s="47"/>
      <c r="C200" s="50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</row>
    <row r="201">
      <c r="A201" s="36"/>
      <c r="B201" s="47"/>
      <c r="C201" s="50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</row>
    <row r="202">
      <c r="A202" s="36"/>
      <c r="B202" s="47"/>
      <c r="C202" s="50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</row>
    <row r="203">
      <c r="A203" s="36"/>
      <c r="B203" s="47"/>
      <c r="C203" s="50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</row>
    <row r="204">
      <c r="A204" s="36"/>
      <c r="B204" s="47"/>
      <c r="C204" s="50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</row>
    <row r="205">
      <c r="A205" s="36"/>
      <c r="B205" s="47"/>
      <c r="C205" s="50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</row>
    <row r="206">
      <c r="A206" s="36"/>
      <c r="B206" s="47"/>
      <c r="C206" s="50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</row>
    <row r="207">
      <c r="A207" s="36"/>
      <c r="B207" s="47"/>
      <c r="C207" s="50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</row>
    <row r="208">
      <c r="A208" s="36"/>
      <c r="B208" s="47"/>
      <c r="C208" s="50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</row>
    <row r="209">
      <c r="A209" s="36"/>
      <c r="B209" s="47"/>
      <c r="C209" s="50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</row>
    <row r="210">
      <c r="A210" s="36"/>
      <c r="B210" s="47"/>
      <c r="C210" s="50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</row>
    <row r="211">
      <c r="A211" s="36"/>
      <c r="B211" s="47"/>
      <c r="C211" s="50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</row>
    <row r="212">
      <c r="A212" s="36"/>
      <c r="B212" s="47"/>
      <c r="C212" s="50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</row>
    <row r="213">
      <c r="A213" s="36"/>
      <c r="B213" s="47"/>
      <c r="C213" s="50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</row>
    <row r="214">
      <c r="A214" s="36"/>
      <c r="B214" s="47"/>
      <c r="C214" s="50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</row>
    <row r="215">
      <c r="A215" s="36"/>
      <c r="B215" s="47"/>
      <c r="C215" s="50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</row>
    <row r="216">
      <c r="A216" s="36"/>
      <c r="B216" s="47"/>
      <c r="C216" s="50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</row>
    <row r="217">
      <c r="A217" s="36"/>
      <c r="B217" s="47"/>
      <c r="C217" s="50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</row>
    <row r="218">
      <c r="A218" s="36"/>
      <c r="B218" s="47"/>
      <c r="C218" s="50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</row>
    <row r="219">
      <c r="A219" s="36"/>
      <c r="B219" s="47"/>
      <c r="C219" s="50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</row>
    <row r="220">
      <c r="A220" s="36"/>
      <c r="B220" s="47"/>
      <c r="C220" s="50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</row>
    <row r="221">
      <c r="A221" s="36"/>
      <c r="B221" s="47"/>
      <c r="C221" s="50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</row>
    <row r="222">
      <c r="A222" s="36"/>
      <c r="B222" s="47"/>
      <c r="C222" s="50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</row>
    <row r="223">
      <c r="A223" s="36"/>
      <c r="B223" s="47"/>
      <c r="C223" s="50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</row>
    <row r="224">
      <c r="A224" s="36"/>
      <c r="B224" s="47"/>
      <c r="C224" s="50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</row>
    <row r="225">
      <c r="A225" s="36"/>
      <c r="B225" s="47"/>
      <c r="C225" s="50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</row>
    <row r="226">
      <c r="A226" s="36"/>
      <c r="B226" s="47"/>
      <c r="C226" s="50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</row>
    <row r="227">
      <c r="A227" s="36"/>
      <c r="B227" s="47"/>
      <c r="C227" s="50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</row>
    <row r="228">
      <c r="A228" s="36"/>
      <c r="B228" s="47"/>
      <c r="C228" s="50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</row>
    <row r="229">
      <c r="A229" s="36"/>
      <c r="B229" s="47"/>
      <c r="C229" s="50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</row>
    <row r="230">
      <c r="A230" s="36"/>
      <c r="B230" s="47"/>
      <c r="C230" s="50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</row>
    <row r="231">
      <c r="A231" s="36"/>
      <c r="B231" s="47"/>
      <c r="C231" s="50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</row>
    <row r="232">
      <c r="A232" s="36"/>
      <c r="B232" s="47"/>
      <c r="C232" s="50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</row>
    <row r="233">
      <c r="A233" s="36"/>
      <c r="B233" s="47"/>
      <c r="C233" s="50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</row>
    <row r="234">
      <c r="A234" s="36"/>
      <c r="B234" s="47"/>
      <c r="C234" s="50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</row>
    <row r="235">
      <c r="A235" s="36"/>
      <c r="B235" s="47"/>
      <c r="C235" s="50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</row>
    <row r="236">
      <c r="A236" s="36"/>
      <c r="B236" s="47"/>
      <c r="C236" s="50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</row>
    <row r="237">
      <c r="A237" s="36"/>
      <c r="B237" s="47"/>
      <c r="C237" s="50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</row>
    <row r="238">
      <c r="A238" s="36"/>
      <c r="B238" s="47"/>
      <c r="C238" s="50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</row>
    <row r="239">
      <c r="A239" s="36"/>
      <c r="B239" s="47"/>
      <c r="C239" s="50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</row>
    <row r="240">
      <c r="A240" s="36"/>
      <c r="B240" s="47"/>
      <c r="C240" s="50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</row>
    <row r="241">
      <c r="A241" s="36"/>
      <c r="B241" s="47"/>
      <c r="C241" s="50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</row>
    <row r="242">
      <c r="A242" s="36"/>
      <c r="B242" s="47"/>
      <c r="C242" s="50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</row>
    <row r="243">
      <c r="A243" s="36"/>
      <c r="B243" s="47"/>
      <c r="C243" s="50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</row>
    <row r="244">
      <c r="A244" s="36"/>
      <c r="B244" s="47"/>
      <c r="C244" s="50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</row>
    <row r="245">
      <c r="A245" s="36"/>
      <c r="B245" s="47"/>
      <c r="C245" s="50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</row>
    <row r="246">
      <c r="A246" s="36"/>
      <c r="B246" s="47"/>
      <c r="C246" s="50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</row>
    <row r="247">
      <c r="A247" s="36"/>
      <c r="B247" s="47"/>
      <c r="C247" s="50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</row>
    <row r="248">
      <c r="A248" s="36"/>
      <c r="B248" s="47"/>
      <c r="C248" s="50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</row>
    <row r="249">
      <c r="A249" s="36"/>
      <c r="B249" s="47"/>
      <c r="C249" s="50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</row>
    <row r="250">
      <c r="A250" s="36"/>
      <c r="B250" s="47"/>
      <c r="C250" s="50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</row>
    <row r="251">
      <c r="A251" s="36"/>
      <c r="B251" s="47"/>
      <c r="C251" s="50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</row>
    <row r="252">
      <c r="A252" s="36"/>
      <c r="B252" s="47"/>
      <c r="C252" s="50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</row>
    <row r="253">
      <c r="A253" s="36"/>
      <c r="B253" s="47"/>
      <c r="C253" s="50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</row>
    <row r="254">
      <c r="A254" s="36"/>
      <c r="B254" s="47"/>
      <c r="C254" s="50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</row>
    <row r="255">
      <c r="A255" s="36"/>
      <c r="B255" s="47"/>
      <c r="C255" s="50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</row>
    <row r="256">
      <c r="A256" s="36"/>
      <c r="B256" s="47"/>
      <c r="C256" s="50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</row>
    <row r="257">
      <c r="A257" s="36"/>
      <c r="B257" s="47"/>
      <c r="C257" s="50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</row>
    <row r="258">
      <c r="A258" s="36"/>
      <c r="B258" s="47"/>
      <c r="C258" s="50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</row>
    <row r="259">
      <c r="A259" s="36"/>
      <c r="B259" s="47"/>
      <c r="C259" s="50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</row>
    <row r="260">
      <c r="A260" s="36"/>
      <c r="B260" s="47"/>
      <c r="C260" s="50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</row>
    <row r="261">
      <c r="A261" s="36"/>
      <c r="B261" s="47"/>
      <c r="C261" s="50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</row>
    <row r="262">
      <c r="A262" s="36"/>
      <c r="B262" s="47"/>
      <c r="C262" s="50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</row>
    <row r="263">
      <c r="A263" s="36"/>
      <c r="B263" s="47"/>
      <c r="C263" s="50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</row>
    <row r="264">
      <c r="A264" s="36"/>
      <c r="B264" s="47"/>
      <c r="C264" s="50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</row>
    <row r="265">
      <c r="A265" s="36"/>
      <c r="B265" s="47"/>
      <c r="C265" s="50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</row>
    <row r="266">
      <c r="A266" s="36"/>
      <c r="B266" s="47"/>
      <c r="C266" s="50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</row>
    <row r="267">
      <c r="A267" s="36"/>
      <c r="B267" s="47"/>
      <c r="C267" s="50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</row>
    <row r="268">
      <c r="A268" s="36"/>
      <c r="B268" s="47"/>
      <c r="C268" s="50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</row>
    <row r="269">
      <c r="A269" s="36"/>
      <c r="B269" s="47"/>
      <c r="C269" s="50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</row>
    <row r="270">
      <c r="A270" s="36"/>
      <c r="B270" s="47"/>
      <c r="C270" s="50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</row>
    <row r="271">
      <c r="A271" s="36"/>
      <c r="B271" s="47"/>
      <c r="C271" s="50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</row>
    <row r="272">
      <c r="A272" s="36"/>
      <c r="B272" s="47"/>
      <c r="C272" s="50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</row>
    <row r="273">
      <c r="A273" s="36"/>
      <c r="B273" s="47"/>
      <c r="C273" s="50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</row>
    <row r="274">
      <c r="A274" s="36"/>
      <c r="B274" s="47"/>
      <c r="C274" s="50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</row>
    <row r="275">
      <c r="A275" s="36"/>
      <c r="B275" s="47"/>
      <c r="C275" s="50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</row>
    <row r="276">
      <c r="A276" s="36"/>
      <c r="B276" s="47"/>
      <c r="C276" s="50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</row>
    <row r="277">
      <c r="A277" s="36"/>
      <c r="B277" s="47"/>
      <c r="C277" s="50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</row>
    <row r="278">
      <c r="A278" s="36"/>
      <c r="B278" s="47"/>
      <c r="C278" s="50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</row>
    <row r="279">
      <c r="A279" s="36"/>
      <c r="B279" s="47"/>
      <c r="C279" s="50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</row>
    <row r="280">
      <c r="A280" s="36"/>
      <c r="B280" s="47"/>
      <c r="C280" s="50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</row>
    <row r="281">
      <c r="A281" s="36"/>
      <c r="B281" s="47"/>
      <c r="C281" s="50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</row>
    <row r="282">
      <c r="A282" s="36"/>
      <c r="B282" s="47"/>
      <c r="C282" s="50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</row>
    <row r="283">
      <c r="A283" s="36"/>
      <c r="B283" s="47"/>
      <c r="C283" s="50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</row>
    <row r="284">
      <c r="A284" s="36"/>
      <c r="B284" s="47"/>
      <c r="C284" s="50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</row>
    <row r="285">
      <c r="A285" s="36"/>
      <c r="B285" s="47"/>
      <c r="C285" s="50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</row>
    <row r="286">
      <c r="A286" s="36"/>
      <c r="B286" s="47"/>
      <c r="C286" s="50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</row>
    <row r="287">
      <c r="A287" s="36"/>
      <c r="B287" s="47"/>
      <c r="C287" s="50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</row>
    <row r="288">
      <c r="A288" s="36"/>
      <c r="B288" s="47"/>
      <c r="C288" s="50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</row>
    <row r="289">
      <c r="A289" s="36"/>
      <c r="B289" s="47"/>
      <c r="C289" s="50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</row>
    <row r="290">
      <c r="A290" s="36"/>
      <c r="B290" s="47"/>
      <c r="C290" s="50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</row>
    <row r="291">
      <c r="A291" s="36"/>
      <c r="B291" s="47"/>
      <c r="C291" s="50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</row>
    <row r="292">
      <c r="A292" s="36"/>
      <c r="B292" s="47"/>
      <c r="C292" s="50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</row>
    <row r="293">
      <c r="A293" s="36"/>
      <c r="B293" s="47"/>
      <c r="C293" s="50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</row>
    <row r="294">
      <c r="A294" s="36"/>
      <c r="B294" s="47"/>
      <c r="C294" s="50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</row>
    <row r="295">
      <c r="A295" s="36"/>
      <c r="B295" s="47"/>
      <c r="C295" s="50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</row>
    <row r="296">
      <c r="A296" s="36"/>
      <c r="B296" s="47"/>
      <c r="C296" s="50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</row>
    <row r="297">
      <c r="A297" s="36"/>
      <c r="B297" s="47"/>
      <c r="C297" s="50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</row>
    <row r="298">
      <c r="A298" s="36"/>
      <c r="B298" s="47"/>
      <c r="C298" s="50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</row>
    <row r="299">
      <c r="A299" s="36"/>
      <c r="B299" s="47"/>
      <c r="C299" s="50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</row>
    <row r="300">
      <c r="A300" s="36"/>
      <c r="B300" s="47"/>
      <c r="C300" s="50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</row>
    <row r="301">
      <c r="A301" s="36"/>
      <c r="B301" s="47"/>
      <c r="C301" s="50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</row>
    <row r="302">
      <c r="A302" s="36"/>
      <c r="B302" s="47"/>
      <c r="C302" s="50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</row>
    <row r="303">
      <c r="A303" s="36"/>
      <c r="B303" s="47"/>
      <c r="C303" s="50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</row>
    <row r="304">
      <c r="A304" s="36"/>
      <c r="B304" s="47"/>
      <c r="C304" s="50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</row>
    <row r="305">
      <c r="A305" s="36"/>
      <c r="B305" s="47"/>
      <c r="C305" s="50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</row>
    <row r="306">
      <c r="A306" s="36"/>
      <c r="B306" s="47"/>
      <c r="C306" s="50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</row>
    <row r="307">
      <c r="A307" s="36"/>
      <c r="B307" s="47"/>
      <c r="C307" s="50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</row>
    <row r="308">
      <c r="A308" s="36"/>
      <c r="B308" s="47"/>
      <c r="C308" s="50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</row>
    <row r="309">
      <c r="A309" s="36"/>
      <c r="B309" s="47"/>
      <c r="C309" s="50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</row>
    <row r="310">
      <c r="A310" s="36"/>
      <c r="B310" s="47"/>
      <c r="C310" s="50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</row>
    <row r="311">
      <c r="A311" s="36"/>
      <c r="B311" s="47"/>
      <c r="C311" s="50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</row>
    <row r="312">
      <c r="A312" s="36"/>
      <c r="B312" s="47"/>
      <c r="C312" s="50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</row>
    <row r="313">
      <c r="A313" s="36"/>
      <c r="B313" s="47"/>
      <c r="C313" s="50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</row>
    <row r="314">
      <c r="A314" s="36"/>
      <c r="B314" s="47"/>
      <c r="C314" s="50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</row>
    <row r="315">
      <c r="A315" s="36"/>
      <c r="B315" s="47"/>
      <c r="C315" s="50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</row>
    <row r="316">
      <c r="A316" s="36"/>
      <c r="B316" s="47"/>
      <c r="C316" s="50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</row>
    <row r="317">
      <c r="A317" s="36"/>
      <c r="B317" s="47"/>
      <c r="C317" s="50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</row>
    <row r="318">
      <c r="A318" s="36"/>
      <c r="B318" s="47"/>
      <c r="C318" s="50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</row>
    <row r="319">
      <c r="A319" s="36"/>
      <c r="B319" s="47"/>
      <c r="C319" s="50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</row>
    <row r="320">
      <c r="A320" s="36"/>
      <c r="B320" s="47"/>
      <c r="C320" s="50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</row>
    <row r="321">
      <c r="A321" s="36"/>
      <c r="B321" s="47"/>
      <c r="C321" s="50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</row>
    <row r="322">
      <c r="A322" s="36"/>
      <c r="B322" s="47"/>
      <c r="C322" s="50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</row>
    <row r="323">
      <c r="A323" s="36"/>
      <c r="B323" s="47"/>
      <c r="C323" s="50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</row>
    <row r="324">
      <c r="A324" s="36"/>
      <c r="B324" s="47"/>
      <c r="C324" s="50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</row>
    <row r="325">
      <c r="A325" s="36"/>
      <c r="B325" s="47"/>
      <c r="C325" s="50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</row>
    <row r="326">
      <c r="A326" s="36"/>
      <c r="B326" s="47"/>
      <c r="C326" s="50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</row>
    <row r="327">
      <c r="A327" s="36"/>
      <c r="B327" s="47"/>
      <c r="C327" s="50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</row>
    <row r="328">
      <c r="A328" s="36"/>
      <c r="B328" s="47"/>
      <c r="C328" s="50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</row>
    <row r="329">
      <c r="A329" s="36"/>
      <c r="B329" s="47"/>
      <c r="C329" s="50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</row>
    <row r="330">
      <c r="A330" s="36"/>
      <c r="B330" s="47"/>
      <c r="C330" s="50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</row>
    <row r="331">
      <c r="A331" s="36"/>
      <c r="B331" s="47"/>
      <c r="C331" s="50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</row>
    <row r="332">
      <c r="A332" s="36"/>
      <c r="B332" s="47"/>
      <c r="C332" s="50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</row>
    <row r="333">
      <c r="A333" s="36"/>
      <c r="B333" s="47"/>
      <c r="C333" s="50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</row>
    <row r="334">
      <c r="A334" s="36"/>
      <c r="B334" s="47"/>
      <c r="C334" s="50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</row>
    <row r="335">
      <c r="A335" s="36"/>
      <c r="B335" s="47"/>
      <c r="C335" s="50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</row>
    <row r="336">
      <c r="A336" s="36"/>
      <c r="B336" s="47"/>
      <c r="C336" s="50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</row>
    <row r="337">
      <c r="A337" s="36"/>
      <c r="B337" s="47"/>
      <c r="C337" s="50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</row>
    <row r="338">
      <c r="A338" s="36"/>
      <c r="B338" s="47"/>
      <c r="C338" s="50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</row>
    <row r="339">
      <c r="A339" s="36"/>
      <c r="B339" s="47"/>
      <c r="C339" s="50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</row>
    <row r="340">
      <c r="A340" s="36"/>
      <c r="B340" s="47"/>
      <c r="C340" s="50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</row>
    <row r="341">
      <c r="A341" s="36"/>
      <c r="B341" s="47"/>
      <c r="C341" s="50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</row>
    <row r="342">
      <c r="A342" s="36"/>
      <c r="B342" s="47"/>
      <c r="C342" s="50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</row>
    <row r="343">
      <c r="A343" s="36"/>
      <c r="B343" s="47"/>
      <c r="C343" s="50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</row>
    <row r="344">
      <c r="A344" s="36"/>
      <c r="B344" s="47"/>
      <c r="C344" s="50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</row>
    <row r="345">
      <c r="A345" s="36"/>
      <c r="B345" s="47"/>
      <c r="C345" s="50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</row>
    <row r="346">
      <c r="A346" s="36"/>
      <c r="B346" s="47"/>
      <c r="C346" s="50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</row>
    <row r="347">
      <c r="A347" s="36"/>
      <c r="B347" s="47"/>
      <c r="C347" s="50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</row>
    <row r="348">
      <c r="A348" s="36"/>
      <c r="B348" s="47"/>
      <c r="C348" s="50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</row>
    <row r="349">
      <c r="A349" s="36"/>
      <c r="B349" s="47"/>
      <c r="C349" s="50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</row>
    <row r="350">
      <c r="A350" s="36"/>
      <c r="B350" s="47"/>
      <c r="C350" s="50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</row>
    <row r="351">
      <c r="A351" s="36"/>
      <c r="B351" s="47"/>
      <c r="C351" s="50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</row>
    <row r="352">
      <c r="A352" s="36"/>
      <c r="B352" s="47"/>
      <c r="C352" s="50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</row>
    <row r="353">
      <c r="A353" s="36"/>
      <c r="B353" s="47"/>
      <c r="C353" s="50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</row>
    <row r="354">
      <c r="A354" s="36"/>
      <c r="B354" s="47"/>
      <c r="C354" s="50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</row>
    <row r="355">
      <c r="A355" s="36"/>
      <c r="B355" s="47"/>
      <c r="C355" s="50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</row>
    <row r="356">
      <c r="A356" s="36"/>
      <c r="B356" s="47"/>
      <c r="C356" s="50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</row>
    <row r="357">
      <c r="A357" s="36"/>
      <c r="B357" s="47"/>
      <c r="C357" s="50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</row>
    <row r="358">
      <c r="A358" s="36"/>
      <c r="B358" s="47"/>
      <c r="C358" s="50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</row>
    <row r="359">
      <c r="A359" s="36"/>
      <c r="B359" s="47"/>
      <c r="C359" s="50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</row>
    <row r="360">
      <c r="A360" s="36"/>
      <c r="B360" s="47"/>
      <c r="C360" s="50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</row>
    <row r="361">
      <c r="A361" s="36"/>
      <c r="B361" s="47"/>
      <c r="C361" s="50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</row>
    <row r="362">
      <c r="A362" s="36"/>
      <c r="B362" s="47"/>
      <c r="C362" s="50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</row>
    <row r="363">
      <c r="A363" s="36"/>
      <c r="B363" s="47"/>
      <c r="C363" s="50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</row>
    <row r="364">
      <c r="A364" s="36"/>
      <c r="B364" s="47"/>
      <c r="C364" s="50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</row>
    <row r="365">
      <c r="A365" s="36"/>
      <c r="B365" s="47"/>
      <c r="C365" s="50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</row>
    <row r="366">
      <c r="A366" s="36"/>
      <c r="B366" s="47"/>
      <c r="C366" s="50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</row>
    <row r="367">
      <c r="A367" s="36"/>
      <c r="B367" s="47"/>
      <c r="C367" s="50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</row>
    <row r="368">
      <c r="A368" s="36"/>
      <c r="B368" s="47"/>
      <c r="C368" s="50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</row>
    <row r="369">
      <c r="A369" s="36"/>
      <c r="B369" s="47"/>
      <c r="C369" s="50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</row>
    <row r="370">
      <c r="A370" s="36"/>
      <c r="B370" s="47"/>
      <c r="C370" s="50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</row>
    <row r="371">
      <c r="A371" s="36"/>
      <c r="B371" s="47"/>
      <c r="C371" s="50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</row>
    <row r="372">
      <c r="A372" s="36"/>
      <c r="B372" s="47"/>
      <c r="C372" s="50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</row>
    <row r="373">
      <c r="A373" s="36"/>
      <c r="B373" s="47"/>
      <c r="C373" s="50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</row>
    <row r="374">
      <c r="A374" s="36"/>
      <c r="B374" s="47"/>
      <c r="C374" s="50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</row>
    <row r="375">
      <c r="A375" s="36"/>
      <c r="B375" s="47"/>
      <c r="C375" s="50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</row>
    <row r="376">
      <c r="A376" s="36"/>
      <c r="B376" s="47"/>
      <c r="C376" s="50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</row>
    <row r="377">
      <c r="A377" s="36"/>
      <c r="B377" s="47"/>
      <c r="C377" s="50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</row>
    <row r="378">
      <c r="A378" s="36"/>
      <c r="B378" s="47"/>
      <c r="C378" s="50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</row>
    <row r="379">
      <c r="A379" s="36"/>
      <c r="B379" s="47"/>
      <c r="C379" s="50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</row>
    <row r="380">
      <c r="A380" s="36"/>
      <c r="B380" s="47"/>
      <c r="C380" s="50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</row>
    <row r="381">
      <c r="A381" s="36"/>
      <c r="B381" s="47"/>
      <c r="C381" s="50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</row>
    <row r="382">
      <c r="A382" s="36"/>
      <c r="B382" s="47"/>
      <c r="C382" s="50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</row>
    <row r="383">
      <c r="A383" s="36"/>
      <c r="B383" s="47"/>
      <c r="C383" s="50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</row>
    <row r="384">
      <c r="A384" s="36"/>
      <c r="B384" s="47"/>
      <c r="C384" s="50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</row>
    <row r="385">
      <c r="A385" s="36"/>
      <c r="B385" s="47"/>
      <c r="C385" s="50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</row>
    <row r="386">
      <c r="A386" s="36"/>
      <c r="B386" s="47"/>
      <c r="C386" s="50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</row>
    <row r="387">
      <c r="A387" s="36"/>
      <c r="B387" s="47"/>
      <c r="C387" s="50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</row>
    <row r="388">
      <c r="A388" s="36"/>
      <c r="B388" s="47"/>
      <c r="C388" s="50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</row>
    <row r="389">
      <c r="A389" s="36"/>
      <c r="B389" s="47"/>
      <c r="C389" s="50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</row>
    <row r="390">
      <c r="A390" s="36"/>
      <c r="B390" s="47"/>
      <c r="C390" s="50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</row>
    <row r="391">
      <c r="A391" s="36"/>
      <c r="B391" s="47"/>
      <c r="C391" s="50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</row>
    <row r="392">
      <c r="A392" s="36"/>
      <c r="B392" s="47"/>
      <c r="C392" s="50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</row>
    <row r="393">
      <c r="A393" s="36"/>
      <c r="B393" s="47"/>
      <c r="C393" s="50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</row>
    <row r="394">
      <c r="A394" s="36"/>
      <c r="B394" s="47"/>
      <c r="C394" s="50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</row>
    <row r="395">
      <c r="A395" s="36"/>
      <c r="B395" s="47"/>
      <c r="C395" s="50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</row>
    <row r="396">
      <c r="A396" s="36"/>
      <c r="B396" s="47"/>
      <c r="C396" s="50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</row>
    <row r="397">
      <c r="A397" s="36"/>
      <c r="B397" s="47"/>
      <c r="C397" s="50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</row>
    <row r="398">
      <c r="A398" s="36"/>
      <c r="B398" s="47"/>
      <c r="C398" s="50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</row>
    <row r="399">
      <c r="A399" s="36"/>
      <c r="B399" s="47"/>
      <c r="C399" s="50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</row>
    <row r="400">
      <c r="A400" s="36"/>
      <c r="B400" s="47"/>
      <c r="C400" s="50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</row>
    <row r="401">
      <c r="A401" s="36"/>
      <c r="B401" s="47"/>
      <c r="C401" s="50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</row>
    <row r="402">
      <c r="A402" s="36"/>
      <c r="B402" s="47"/>
      <c r="C402" s="50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</row>
    <row r="403">
      <c r="A403" s="36"/>
      <c r="B403" s="47"/>
      <c r="C403" s="50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</row>
    <row r="404">
      <c r="A404" s="36"/>
      <c r="B404" s="47"/>
      <c r="C404" s="50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</row>
    <row r="405">
      <c r="A405" s="36"/>
      <c r="B405" s="47"/>
      <c r="C405" s="50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</row>
    <row r="406">
      <c r="A406" s="36"/>
      <c r="B406" s="47"/>
      <c r="C406" s="50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</row>
    <row r="407">
      <c r="A407" s="36"/>
      <c r="B407" s="47"/>
      <c r="C407" s="50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</row>
    <row r="408">
      <c r="A408" s="36"/>
      <c r="B408" s="47"/>
      <c r="C408" s="50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</row>
    <row r="409">
      <c r="A409" s="36"/>
      <c r="B409" s="47"/>
      <c r="C409" s="50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</row>
    <row r="410">
      <c r="A410" s="36"/>
      <c r="B410" s="47"/>
      <c r="C410" s="50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</row>
    <row r="411">
      <c r="A411" s="36"/>
      <c r="B411" s="47"/>
      <c r="C411" s="50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</row>
    <row r="412">
      <c r="A412" s="36"/>
      <c r="B412" s="47"/>
      <c r="C412" s="50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</row>
    <row r="413">
      <c r="A413" s="36"/>
      <c r="B413" s="47"/>
      <c r="C413" s="50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</row>
    <row r="414">
      <c r="A414" s="36"/>
      <c r="B414" s="47"/>
      <c r="C414" s="50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</row>
    <row r="415">
      <c r="A415" s="36"/>
      <c r="B415" s="47"/>
      <c r="C415" s="50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</row>
    <row r="416">
      <c r="A416" s="36"/>
      <c r="B416" s="47"/>
      <c r="C416" s="50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</row>
    <row r="417">
      <c r="A417" s="36"/>
      <c r="B417" s="47"/>
      <c r="C417" s="50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</row>
    <row r="418">
      <c r="A418" s="36"/>
      <c r="B418" s="47"/>
      <c r="C418" s="50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</row>
    <row r="419">
      <c r="A419" s="36"/>
      <c r="B419" s="47"/>
      <c r="C419" s="50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</row>
    <row r="420">
      <c r="A420" s="36"/>
      <c r="B420" s="47"/>
      <c r="C420" s="50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</row>
    <row r="421">
      <c r="A421" s="36"/>
      <c r="B421" s="47"/>
      <c r="C421" s="50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</row>
    <row r="422">
      <c r="A422" s="36"/>
      <c r="B422" s="47"/>
      <c r="C422" s="50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</row>
    <row r="423">
      <c r="A423" s="36"/>
      <c r="B423" s="47"/>
      <c r="C423" s="50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</row>
    <row r="424">
      <c r="A424" s="36"/>
      <c r="B424" s="47"/>
      <c r="C424" s="50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</row>
    <row r="425">
      <c r="A425" s="36"/>
      <c r="B425" s="47"/>
      <c r="C425" s="50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</row>
    <row r="426">
      <c r="A426" s="36"/>
      <c r="B426" s="47"/>
      <c r="C426" s="50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</row>
    <row r="427">
      <c r="A427" s="36"/>
      <c r="B427" s="47"/>
      <c r="C427" s="50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</row>
    <row r="428">
      <c r="A428" s="36"/>
      <c r="B428" s="47"/>
      <c r="C428" s="50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</row>
    <row r="429">
      <c r="A429" s="36"/>
      <c r="B429" s="47"/>
      <c r="C429" s="50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</row>
    <row r="430">
      <c r="A430" s="36"/>
      <c r="B430" s="47"/>
      <c r="C430" s="50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</row>
    <row r="431">
      <c r="A431" s="36"/>
      <c r="B431" s="47"/>
      <c r="C431" s="50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</row>
    <row r="432">
      <c r="A432" s="36"/>
      <c r="B432" s="47"/>
      <c r="C432" s="50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</row>
    <row r="433">
      <c r="A433" s="36"/>
      <c r="B433" s="47"/>
      <c r="C433" s="50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</row>
    <row r="434">
      <c r="A434" s="36"/>
      <c r="B434" s="47"/>
      <c r="C434" s="50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</row>
    <row r="435">
      <c r="A435" s="36"/>
      <c r="B435" s="47"/>
      <c r="C435" s="50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</row>
    <row r="436">
      <c r="A436" s="36"/>
      <c r="B436" s="47"/>
      <c r="C436" s="50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</row>
    <row r="437">
      <c r="A437" s="36"/>
      <c r="B437" s="47"/>
      <c r="C437" s="50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</row>
    <row r="438">
      <c r="A438" s="36"/>
      <c r="B438" s="47"/>
      <c r="C438" s="50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</row>
    <row r="439">
      <c r="A439" s="36"/>
      <c r="B439" s="47"/>
      <c r="C439" s="50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</row>
    <row r="440">
      <c r="A440" s="36"/>
      <c r="B440" s="47"/>
      <c r="C440" s="50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</row>
    <row r="441">
      <c r="A441" s="36"/>
      <c r="B441" s="47"/>
      <c r="C441" s="50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</row>
    <row r="442">
      <c r="A442" s="36"/>
      <c r="B442" s="47"/>
      <c r="C442" s="50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</row>
    <row r="443">
      <c r="A443" s="36"/>
      <c r="B443" s="47"/>
      <c r="C443" s="50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</row>
    <row r="444">
      <c r="A444" s="36"/>
      <c r="B444" s="47"/>
      <c r="C444" s="50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</row>
    <row r="445">
      <c r="A445" s="36"/>
      <c r="B445" s="47"/>
      <c r="C445" s="50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</row>
    <row r="446">
      <c r="A446" s="36"/>
      <c r="B446" s="47"/>
      <c r="C446" s="50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</row>
    <row r="447">
      <c r="A447" s="36"/>
      <c r="B447" s="47"/>
      <c r="C447" s="50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</row>
    <row r="448">
      <c r="A448" s="36"/>
      <c r="B448" s="47"/>
      <c r="C448" s="50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</row>
    <row r="449">
      <c r="A449" s="36"/>
      <c r="B449" s="47"/>
      <c r="C449" s="50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</row>
    <row r="450">
      <c r="A450" s="36"/>
      <c r="B450" s="47"/>
      <c r="C450" s="50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</row>
    <row r="451">
      <c r="A451" s="36"/>
      <c r="B451" s="47"/>
      <c r="C451" s="50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</row>
    <row r="452">
      <c r="A452" s="36"/>
      <c r="B452" s="47"/>
      <c r="C452" s="50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</row>
    <row r="453">
      <c r="A453" s="36"/>
      <c r="B453" s="47"/>
      <c r="C453" s="50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</row>
    <row r="454">
      <c r="A454" s="36"/>
      <c r="B454" s="47"/>
      <c r="C454" s="50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</row>
    <row r="455">
      <c r="A455" s="36"/>
      <c r="B455" s="47"/>
      <c r="C455" s="50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</row>
    <row r="456">
      <c r="A456" s="36"/>
      <c r="B456" s="47"/>
      <c r="C456" s="50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</row>
    <row r="457">
      <c r="A457" s="36"/>
      <c r="B457" s="47"/>
      <c r="C457" s="50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</row>
    <row r="458">
      <c r="A458" s="36"/>
      <c r="B458" s="47"/>
      <c r="C458" s="50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</row>
    <row r="459">
      <c r="A459" s="36"/>
      <c r="B459" s="47"/>
      <c r="C459" s="50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</row>
    <row r="460">
      <c r="A460" s="36"/>
      <c r="B460" s="47"/>
      <c r="C460" s="50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</row>
    <row r="461">
      <c r="A461" s="36"/>
      <c r="B461" s="47"/>
      <c r="C461" s="50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</row>
    <row r="462">
      <c r="A462" s="36"/>
      <c r="B462" s="47"/>
      <c r="C462" s="50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</row>
    <row r="463">
      <c r="A463" s="36"/>
      <c r="B463" s="47"/>
      <c r="C463" s="50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</row>
    <row r="464">
      <c r="A464" s="36"/>
      <c r="B464" s="47"/>
      <c r="C464" s="50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</row>
    <row r="465">
      <c r="A465" s="36"/>
      <c r="B465" s="47"/>
      <c r="C465" s="50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</row>
    <row r="466">
      <c r="A466" s="36"/>
      <c r="B466" s="47"/>
      <c r="C466" s="50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</row>
    <row r="467">
      <c r="A467" s="36"/>
      <c r="B467" s="47"/>
      <c r="C467" s="50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</row>
    <row r="468">
      <c r="A468" s="36"/>
      <c r="B468" s="47"/>
      <c r="C468" s="50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</row>
    <row r="469">
      <c r="A469" s="36"/>
      <c r="B469" s="47"/>
      <c r="C469" s="50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</row>
    <row r="470">
      <c r="A470" s="36"/>
      <c r="B470" s="47"/>
      <c r="C470" s="50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</row>
    <row r="471">
      <c r="A471" s="36"/>
      <c r="B471" s="47"/>
      <c r="C471" s="50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</row>
    <row r="472">
      <c r="A472" s="36"/>
      <c r="B472" s="47"/>
      <c r="C472" s="50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</row>
    <row r="473">
      <c r="A473" s="36"/>
      <c r="B473" s="47"/>
      <c r="C473" s="50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</row>
    <row r="474">
      <c r="A474" s="36"/>
      <c r="B474" s="47"/>
      <c r="C474" s="50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</row>
    <row r="475">
      <c r="A475" s="36"/>
      <c r="B475" s="47"/>
      <c r="C475" s="50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</row>
    <row r="476">
      <c r="A476" s="36"/>
      <c r="B476" s="47"/>
      <c r="C476" s="50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</row>
    <row r="477">
      <c r="A477" s="36"/>
      <c r="B477" s="47"/>
      <c r="C477" s="50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</row>
    <row r="478">
      <c r="A478" s="36"/>
      <c r="B478" s="47"/>
      <c r="C478" s="50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</row>
    <row r="479">
      <c r="A479" s="36"/>
      <c r="B479" s="47"/>
      <c r="C479" s="50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</row>
    <row r="480">
      <c r="A480" s="36"/>
      <c r="B480" s="47"/>
      <c r="C480" s="50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</row>
    <row r="481">
      <c r="A481" s="36"/>
      <c r="B481" s="47"/>
      <c r="C481" s="50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</row>
    <row r="482">
      <c r="A482" s="36"/>
      <c r="B482" s="47"/>
      <c r="C482" s="50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</row>
    <row r="483">
      <c r="A483" s="36"/>
      <c r="B483" s="47"/>
      <c r="C483" s="50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</row>
    <row r="484">
      <c r="A484" s="36"/>
      <c r="B484" s="47"/>
      <c r="C484" s="50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</row>
    <row r="485">
      <c r="A485" s="36"/>
      <c r="B485" s="47"/>
      <c r="C485" s="50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</row>
    <row r="486">
      <c r="A486" s="36"/>
      <c r="B486" s="47"/>
      <c r="C486" s="50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</row>
    <row r="487">
      <c r="A487" s="36"/>
      <c r="B487" s="47"/>
      <c r="C487" s="50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</row>
    <row r="488">
      <c r="A488" s="36"/>
      <c r="B488" s="47"/>
      <c r="C488" s="50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</row>
    <row r="489">
      <c r="A489" s="36"/>
      <c r="B489" s="47"/>
      <c r="C489" s="50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</row>
    <row r="490">
      <c r="A490" s="36"/>
      <c r="B490" s="47"/>
      <c r="C490" s="50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</row>
    <row r="491">
      <c r="A491" s="36"/>
      <c r="B491" s="47"/>
      <c r="C491" s="50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</row>
    <row r="492">
      <c r="A492" s="36"/>
      <c r="B492" s="47"/>
      <c r="C492" s="50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</row>
    <row r="493">
      <c r="A493" s="36"/>
      <c r="B493" s="47"/>
      <c r="C493" s="50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</row>
    <row r="494">
      <c r="A494" s="36"/>
      <c r="B494" s="47"/>
      <c r="C494" s="50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</row>
    <row r="495">
      <c r="A495" s="36"/>
      <c r="B495" s="47"/>
      <c r="C495" s="50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</row>
    <row r="496">
      <c r="A496" s="36"/>
      <c r="B496" s="47"/>
      <c r="C496" s="50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</row>
    <row r="497">
      <c r="A497" s="36"/>
      <c r="B497" s="47"/>
      <c r="C497" s="50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</row>
    <row r="498">
      <c r="A498" s="36"/>
      <c r="B498" s="47"/>
      <c r="C498" s="50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</row>
    <row r="499">
      <c r="A499" s="36"/>
      <c r="B499" s="47"/>
      <c r="C499" s="50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</row>
    <row r="500">
      <c r="A500" s="36"/>
      <c r="B500" s="47"/>
      <c r="C500" s="50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</row>
    <row r="501">
      <c r="A501" s="36"/>
      <c r="B501" s="47"/>
      <c r="C501" s="50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</row>
    <row r="502">
      <c r="A502" s="36"/>
      <c r="B502" s="47"/>
      <c r="C502" s="50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</row>
    <row r="503">
      <c r="A503" s="36"/>
      <c r="B503" s="47"/>
      <c r="C503" s="50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</row>
    <row r="504">
      <c r="A504" s="36"/>
      <c r="B504" s="47"/>
      <c r="C504" s="50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</row>
    <row r="505">
      <c r="A505" s="36"/>
      <c r="B505" s="47"/>
      <c r="C505" s="50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</row>
    <row r="506">
      <c r="A506" s="36"/>
      <c r="B506" s="47"/>
      <c r="C506" s="50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</row>
    <row r="507">
      <c r="A507" s="36"/>
      <c r="B507" s="47"/>
      <c r="C507" s="50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</row>
    <row r="508">
      <c r="A508" s="36"/>
      <c r="B508" s="47"/>
      <c r="C508" s="50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</row>
    <row r="509">
      <c r="A509" s="36"/>
      <c r="B509" s="47"/>
      <c r="C509" s="50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</row>
    <row r="510">
      <c r="A510" s="36"/>
      <c r="B510" s="47"/>
      <c r="C510" s="50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</row>
    <row r="511">
      <c r="A511" s="36"/>
      <c r="B511" s="47"/>
      <c r="C511" s="50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</row>
    <row r="512">
      <c r="A512" s="36"/>
      <c r="B512" s="47"/>
      <c r="C512" s="50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</row>
    <row r="513">
      <c r="A513" s="36"/>
      <c r="B513" s="47"/>
      <c r="C513" s="50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</row>
    <row r="514">
      <c r="A514" s="36"/>
      <c r="B514" s="47"/>
      <c r="C514" s="50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</row>
    <row r="515">
      <c r="A515" s="36"/>
      <c r="B515" s="47"/>
      <c r="C515" s="50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</row>
    <row r="516">
      <c r="A516" s="36"/>
      <c r="B516" s="47"/>
      <c r="C516" s="50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</row>
    <row r="517">
      <c r="A517" s="36"/>
      <c r="B517" s="47"/>
      <c r="C517" s="50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</row>
    <row r="518">
      <c r="A518" s="36"/>
      <c r="B518" s="47"/>
      <c r="C518" s="50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</row>
    <row r="519">
      <c r="A519" s="36"/>
      <c r="B519" s="47"/>
      <c r="C519" s="50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</row>
    <row r="520">
      <c r="A520" s="36"/>
      <c r="B520" s="47"/>
      <c r="C520" s="50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</row>
    <row r="521">
      <c r="A521" s="36"/>
      <c r="B521" s="47"/>
      <c r="C521" s="50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</row>
    <row r="522">
      <c r="A522" s="36"/>
      <c r="B522" s="47"/>
      <c r="C522" s="50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</row>
    <row r="523">
      <c r="A523" s="36"/>
      <c r="B523" s="47"/>
      <c r="C523" s="50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</row>
    <row r="524">
      <c r="A524" s="36"/>
      <c r="B524" s="47"/>
      <c r="C524" s="50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</row>
    <row r="525">
      <c r="A525" s="36"/>
      <c r="B525" s="47"/>
      <c r="C525" s="50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</row>
    <row r="526">
      <c r="A526" s="36"/>
      <c r="B526" s="47"/>
      <c r="C526" s="50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</row>
    <row r="527">
      <c r="A527" s="36"/>
      <c r="B527" s="47"/>
      <c r="C527" s="50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</row>
    <row r="528">
      <c r="A528" s="36"/>
      <c r="B528" s="47"/>
      <c r="C528" s="50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</row>
    <row r="529">
      <c r="A529" s="36"/>
      <c r="B529" s="47"/>
      <c r="C529" s="50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</row>
    <row r="530">
      <c r="A530" s="36"/>
      <c r="B530" s="47"/>
      <c r="C530" s="50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</row>
    <row r="531">
      <c r="A531" s="36"/>
      <c r="B531" s="47"/>
      <c r="C531" s="50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</row>
    <row r="532">
      <c r="A532" s="36"/>
      <c r="B532" s="47"/>
      <c r="C532" s="50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</row>
    <row r="533">
      <c r="A533" s="36"/>
      <c r="B533" s="47"/>
      <c r="C533" s="50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</row>
    <row r="534">
      <c r="A534" s="36"/>
      <c r="B534" s="47"/>
      <c r="C534" s="50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</row>
    <row r="535">
      <c r="A535" s="36"/>
      <c r="B535" s="47"/>
      <c r="C535" s="50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</row>
    <row r="536">
      <c r="A536" s="36"/>
      <c r="B536" s="47"/>
      <c r="C536" s="50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</row>
    <row r="537">
      <c r="A537" s="36"/>
      <c r="B537" s="47"/>
      <c r="C537" s="50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</row>
    <row r="538">
      <c r="A538" s="36"/>
      <c r="B538" s="47"/>
      <c r="C538" s="50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</row>
    <row r="539">
      <c r="A539" s="36"/>
      <c r="B539" s="47"/>
      <c r="C539" s="50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</row>
    <row r="540">
      <c r="A540" s="36"/>
      <c r="B540" s="47"/>
      <c r="C540" s="50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</row>
    <row r="541">
      <c r="A541" s="36"/>
      <c r="B541" s="47"/>
      <c r="C541" s="50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</row>
    <row r="542">
      <c r="A542" s="36"/>
      <c r="B542" s="47"/>
      <c r="C542" s="50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</row>
    <row r="543">
      <c r="A543" s="36"/>
      <c r="B543" s="47"/>
      <c r="C543" s="50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</row>
    <row r="544">
      <c r="A544" s="36"/>
      <c r="B544" s="47"/>
      <c r="C544" s="50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</row>
    <row r="545">
      <c r="A545" s="36"/>
      <c r="B545" s="47"/>
      <c r="C545" s="50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</row>
    <row r="546">
      <c r="A546" s="36"/>
      <c r="B546" s="47"/>
      <c r="C546" s="50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</row>
    <row r="547">
      <c r="A547" s="36"/>
      <c r="B547" s="47"/>
      <c r="C547" s="50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</row>
    <row r="548">
      <c r="A548" s="36"/>
      <c r="B548" s="47"/>
      <c r="C548" s="50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</row>
    <row r="549">
      <c r="A549" s="36"/>
      <c r="B549" s="47"/>
      <c r="C549" s="50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</row>
    <row r="550">
      <c r="A550" s="36"/>
      <c r="B550" s="47"/>
      <c r="C550" s="50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</row>
    <row r="551">
      <c r="A551" s="36"/>
      <c r="B551" s="47"/>
      <c r="C551" s="50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</row>
    <row r="552">
      <c r="A552" s="36"/>
      <c r="B552" s="47"/>
      <c r="C552" s="50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</row>
    <row r="553">
      <c r="A553" s="36"/>
      <c r="B553" s="47"/>
      <c r="C553" s="50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</row>
    <row r="554">
      <c r="A554" s="36"/>
      <c r="B554" s="47"/>
      <c r="C554" s="50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</row>
    <row r="555">
      <c r="A555" s="36"/>
      <c r="B555" s="47"/>
      <c r="C555" s="50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</row>
    <row r="556">
      <c r="A556" s="36"/>
      <c r="B556" s="47"/>
      <c r="C556" s="50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</row>
    <row r="557">
      <c r="A557" s="36"/>
      <c r="B557" s="47"/>
      <c r="C557" s="50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</row>
    <row r="558">
      <c r="A558" s="36"/>
      <c r="B558" s="47"/>
      <c r="C558" s="50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</row>
    <row r="559">
      <c r="A559" s="36"/>
      <c r="B559" s="47"/>
      <c r="C559" s="50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</row>
    <row r="560">
      <c r="A560" s="36"/>
      <c r="B560" s="47"/>
      <c r="C560" s="50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</row>
    <row r="561">
      <c r="A561" s="36"/>
      <c r="B561" s="47"/>
      <c r="C561" s="50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</row>
    <row r="562">
      <c r="A562" s="36"/>
      <c r="B562" s="47"/>
      <c r="C562" s="50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</row>
    <row r="563">
      <c r="A563" s="36"/>
      <c r="B563" s="47"/>
      <c r="C563" s="50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</row>
    <row r="564">
      <c r="A564" s="36"/>
      <c r="B564" s="47"/>
      <c r="C564" s="50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</row>
    <row r="565">
      <c r="A565" s="36"/>
      <c r="B565" s="47"/>
      <c r="C565" s="50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</row>
    <row r="566">
      <c r="A566" s="36"/>
      <c r="B566" s="47"/>
      <c r="C566" s="50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</row>
    <row r="567">
      <c r="A567" s="36"/>
      <c r="B567" s="47"/>
      <c r="C567" s="50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</row>
    <row r="568">
      <c r="A568" s="36"/>
      <c r="B568" s="47"/>
      <c r="C568" s="50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</row>
    <row r="569">
      <c r="A569" s="36"/>
      <c r="B569" s="47"/>
      <c r="C569" s="50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</row>
    <row r="570">
      <c r="A570" s="36"/>
      <c r="B570" s="47"/>
      <c r="C570" s="50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</row>
    <row r="571">
      <c r="A571" s="36"/>
      <c r="B571" s="47"/>
      <c r="C571" s="50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</row>
    <row r="572">
      <c r="A572" s="36"/>
      <c r="B572" s="47"/>
      <c r="C572" s="50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</row>
    <row r="573">
      <c r="A573" s="36"/>
      <c r="B573" s="47"/>
      <c r="C573" s="50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</row>
    <row r="574">
      <c r="A574" s="36"/>
      <c r="B574" s="47"/>
      <c r="C574" s="50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</row>
    <row r="575">
      <c r="A575" s="36"/>
      <c r="B575" s="47"/>
      <c r="C575" s="50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</row>
    <row r="576">
      <c r="A576" s="36"/>
      <c r="B576" s="47"/>
      <c r="C576" s="50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</row>
    <row r="577">
      <c r="A577" s="36"/>
      <c r="B577" s="47"/>
      <c r="C577" s="50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</row>
    <row r="578">
      <c r="A578" s="36"/>
      <c r="B578" s="47"/>
      <c r="C578" s="50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</row>
    <row r="579">
      <c r="A579" s="36"/>
      <c r="B579" s="47"/>
      <c r="C579" s="50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</row>
    <row r="580">
      <c r="A580" s="36"/>
      <c r="B580" s="47"/>
      <c r="C580" s="50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</row>
    <row r="581">
      <c r="A581" s="36"/>
      <c r="B581" s="47"/>
      <c r="C581" s="50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</row>
    <row r="582">
      <c r="A582" s="36"/>
      <c r="B582" s="47"/>
      <c r="C582" s="50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</row>
    <row r="583">
      <c r="A583" s="36"/>
      <c r="B583" s="47"/>
      <c r="C583" s="50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</row>
    <row r="584">
      <c r="A584" s="36"/>
      <c r="B584" s="47"/>
      <c r="C584" s="50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</row>
    <row r="585">
      <c r="A585" s="36"/>
      <c r="B585" s="47"/>
      <c r="C585" s="50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</row>
    <row r="586">
      <c r="A586" s="36"/>
      <c r="B586" s="47"/>
      <c r="C586" s="50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</row>
    <row r="587">
      <c r="A587" s="36"/>
      <c r="B587" s="47"/>
      <c r="C587" s="50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</row>
    <row r="588">
      <c r="A588" s="36"/>
      <c r="B588" s="47"/>
      <c r="C588" s="50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</row>
    <row r="589">
      <c r="A589" s="36"/>
      <c r="B589" s="47"/>
      <c r="C589" s="50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</row>
    <row r="590">
      <c r="A590" s="36"/>
      <c r="B590" s="47"/>
      <c r="C590" s="50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</row>
    <row r="591">
      <c r="A591" s="36"/>
      <c r="B591" s="47"/>
      <c r="C591" s="50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</row>
    <row r="592">
      <c r="A592" s="36"/>
      <c r="B592" s="47"/>
      <c r="C592" s="50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</row>
    <row r="593">
      <c r="A593" s="36"/>
      <c r="B593" s="47"/>
      <c r="C593" s="50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</row>
    <row r="594">
      <c r="A594" s="36"/>
      <c r="B594" s="47"/>
      <c r="C594" s="50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</row>
    <row r="595">
      <c r="A595" s="36"/>
      <c r="B595" s="47"/>
      <c r="C595" s="50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</row>
    <row r="596">
      <c r="A596" s="36"/>
      <c r="B596" s="47"/>
      <c r="C596" s="50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</row>
    <row r="597">
      <c r="A597" s="36"/>
      <c r="B597" s="47"/>
      <c r="C597" s="50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</row>
    <row r="598">
      <c r="A598" s="36"/>
      <c r="B598" s="47"/>
      <c r="C598" s="50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</row>
    <row r="599">
      <c r="A599" s="36"/>
      <c r="B599" s="47"/>
      <c r="C599" s="50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</row>
    <row r="600">
      <c r="A600" s="36"/>
      <c r="B600" s="47"/>
      <c r="C600" s="50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</row>
    <row r="601">
      <c r="A601" s="36"/>
      <c r="B601" s="47"/>
      <c r="C601" s="50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</row>
    <row r="602">
      <c r="A602" s="36"/>
      <c r="B602" s="47"/>
      <c r="C602" s="50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</row>
    <row r="603">
      <c r="A603" s="36"/>
      <c r="B603" s="47"/>
      <c r="C603" s="50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</row>
    <row r="604">
      <c r="A604" s="36"/>
      <c r="B604" s="47"/>
      <c r="C604" s="50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</row>
    <row r="605">
      <c r="A605" s="36"/>
      <c r="B605" s="47"/>
      <c r="C605" s="50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</row>
    <row r="606">
      <c r="A606" s="36"/>
      <c r="B606" s="47"/>
      <c r="C606" s="50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</row>
    <row r="607">
      <c r="A607" s="36"/>
      <c r="B607" s="47"/>
      <c r="C607" s="50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</row>
    <row r="608">
      <c r="A608" s="36"/>
      <c r="B608" s="47"/>
      <c r="C608" s="50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</row>
    <row r="609">
      <c r="A609" s="36"/>
      <c r="B609" s="47"/>
      <c r="C609" s="50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</row>
    <row r="610">
      <c r="A610" s="36"/>
      <c r="B610" s="47"/>
      <c r="C610" s="50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</row>
    <row r="611">
      <c r="A611" s="36"/>
      <c r="B611" s="47"/>
      <c r="C611" s="50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</row>
    <row r="612">
      <c r="A612" s="36"/>
      <c r="B612" s="47"/>
      <c r="C612" s="50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</row>
    <row r="613">
      <c r="A613" s="36"/>
      <c r="B613" s="47"/>
      <c r="C613" s="50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</row>
    <row r="614">
      <c r="A614" s="36"/>
      <c r="B614" s="47"/>
      <c r="C614" s="50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</row>
    <row r="615">
      <c r="A615" s="36"/>
      <c r="B615" s="47"/>
      <c r="C615" s="50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</row>
    <row r="616">
      <c r="A616" s="36"/>
      <c r="B616" s="47"/>
      <c r="C616" s="50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</row>
    <row r="617">
      <c r="A617" s="36"/>
      <c r="B617" s="47"/>
      <c r="C617" s="50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</row>
    <row r="618">
      <c r="A618" s="36"/>
      <c r="B618" s="47"/>
      <c r="C618" s="50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</row>
    <row r="619">
      <c r="A619" s="36"/>
      <c r="B619" s="47"/>
      <c r="C619" s="50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</row>
    <row r="620">
      <c r="A620" s="36"/>
      <c r="B620" s="47"/>
      <c r="C620" s="50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</row>
    <row r="621">
      <c r="A621" s="36"/>
      <c r="B621" s="47"/>
      <c r="C621" s="50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</row>
    <row r="622">
      <c r="A622" s="36"/>
      <c r="B622" s="47"/>
      <c r="C622" s="50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</row>
    <row r="623">
      <c r="A623" s="36"/>
      <c r="B623" s="47"/>
      <c r="C623" s="50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</row>
    <row r="624">
      <c r="A624" s="36"/>
      <c r="B624" s="47"/>
      <c r="C624" s="50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</row>
    <row r="625">
      <c r="A625" s="36"/>
      <c r="B625" s="47"/>
      <c r="C625" s="50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</row>
    <row r="626">
      <c r="A626" s="36"/>
      <c r="B626" s="47"/>
      <c r="C626" s="50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</row>
    <row r="627">
      <c r="A627" s="36"/>
      <c r="B627" s="47"/>
      <c r="C627" s="50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</row>
    <row r="628">
      <c r="A628" s="36"/>
      <c r="B628" s="47"/>
      <c r="C628" s="50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</row>
    <row r="629">
      <c r="A629" s="36"/>
      <c r="B629" s="47"/>
      <c r="C629" s="50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</row>
    <row r="630">
      <c r="A630" s="36"/>
      <c r="B630" s="47"/>
      <c r="C630" s="50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</row>
    <row r="631">
      <c r="A631" s="36"/>
      <c r="B631" s="47"/>
      <c r="C631" s="50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</row>
    <row r="632">
      <c r="A632" s="36"/>
      <c r="B632" s="47"/>
      <c r="C632" s="50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</row>
    <row r="633">
      <c r="A633" s="36"/>
      <c r="B633" s="47"/>
      <c r="C633" s="50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</row>
    <row r="634">
      <c r="A634" s="36"/>
      <c r="B634" s="47"/>
      <c r="C634" s="50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</row>
    <row r="635">
      <c r="A635" s="36"/>
      <c r="B635" s="47"/>
      <c r="C635" s="50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</row>
    <row r="636">
      <c r="A636" s="36"/>
      <c r="B636" s="47"/>
      <c r="C636" s="50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</row>
    <row r="637">
      <c r="A637" s="36"/>
      <c r="B637" s="47"/>
      <c r="C637" s="50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</row>
    <row r="638">
      <c r="A638" s="36"/>
      <c r="B638" s="47"/>
      <c r="C638" s="50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</row>
    <row r="639">
      <c r="A639" s="36"/>
      <c r="B639" s="47"/>
      <c r="C639" s="50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</row>
    <row r="640">
      <c r="A640" s="36"/>
      <c r="B640" s="47"/>
      <c r="C640" s="50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</row>
    <row r="641">
      <c r="A641" s="36"/>
      <c r="B641" s="47"/>
      <c r="C641" s="50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</row>
    <row r="642">
      <c r="A642" s="36"/>
      <c r="B642" s="47"/>
      <c r="C642" s="50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</row>
    <row r="643">
      <c r="A643" s="36"/>
      <c r="B643" s="47"/>
      <c r="C643" s="50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</row>
    <row r="644">
      <c r="A644" s="36"/>
      <c r="B644" s="47"/>
      <c r="C644" s="50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</row>
    <row r="645">
      <c r="A645" s="36"/>
      <c r="B645" s="47"/>
      <c r="C645" s="50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</row>
    <row r="646">
      <c r="A646" s="36"/>
      <c r="B646" s="47"/>
      <c r="C646" s="50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</row>
    <row r="647">
      <c r="A647" s="36"/>
      <c r="B647" s="47"/>
      <c r="C647" s="50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</row>
    <row r="648">
      <c r="A648" s="36"/>
      <c r="B648" s="47"/>
      <c r="C648" s="50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</row>
    <row r="649">
      <c r="A649" s="36"/>
      <c r="B649" s="47"/>
      <c r="C649" s="50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</row>
    <row r="650">
      <c r="A650" s="36"/>
      <c r="B650" s="47"/>
      <c r="C650" s="50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</row>
    <row r="651">
      <c r="A651" s="36"/>
      <c r="B651" s="47"/>
      <c r="C651" s="50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</row>
    <row r="652">
      <c r="A652" s="36"/>
      <c r="B652" s="47"/>
      <c r="C652" s="50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</row>
    <row r="653">
      <c r="A653" s="36"/>
      <c r="B653" s="47"/>
      <c r="C653" s="50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</row>
    <row r="654">
      <c r="A654" s="36"/>
      <c r="B654" s="47"/>
      <c r="C654" s="50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</row>
    <row r="655">
      <c r="A655" s="36"/>
      <c r="B655" s="47"/>
      <c r="C655" s="50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</row>
    <row r="656">
      <c r="A656" s="36"/>
      <c r="B656" s="47"/>
      <c r="C656" s="50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</row>
    <row r="657">
      <c r="A657" s="36"/>
      <c r="B657" s="47"/>
      <c r="C657" s="50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</row>
    <row r="658">
      <c r="A658" s="36"/>
      <c r="B658" s="47"/>
      <c r="C658" s="50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</row>
    <row r="659">
      <c r="A659" s="36"/>
      <c r="B659" s="47"/>
      <c r="C659" s="50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</row>
    <row r="660">
      <c r="A660" s="36"/>
      <c r="B660" s="47"/>
      <c r="C660" s="50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</row>
    <row r="661">
      <c r="A661" s="36"/>
      <c r="B661" s="47"/>
      <c r="C661" s="50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</row>
    <row r="662">
      <c r="A662" s="36"/>
      <c r="B662" s="47"/>
      <c r="C662" s="50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</row>
    <row r="663">
      <c r="A663" s="36"/>
      <c r="B663" s="47"/>
      <c r="C663" s="50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</row>
    <row r="664">
      <c r="A664" s="36"/>
      <c r="B664" s="47"/>
      <c r="C664" s="50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</row>
    <row r="665">
      <c r="A665" s="36"/>
      <c r="B665" s="47"/>
      <c r="C665" s="50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</row>
    <row r="666">
      <c r="A666" s="36"/>
      <c r="B666" s="47"/>
      <c r="C666" s="50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</row>
    <row r="667">
      <c r="A667" s="36"/>
      <c r="B667" s="47"/>
      <c r="C667" s="50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</row>
    <row r="668">
      <c r="A668" s="36"/>
      <c r="B668" s="47"/>
      <c r="C668" s="50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</row>
    <row r="669">
      <c r="A669" s="36"/>
      <c r="B669" s="47"/>
      <c r="C669" s="50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</row>
    <row r="670">
      <c r="A670" s="36"/>
      <c r="B670" s="47"/>
      <c r="C670" s="50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</row>
    <row r="671">
      <c r="A671" s="36"/>
      <c r="B671" s="47"/>
      <c r="C671" s="50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</row>
    <row r="672">
      <c r="A672" s="36"/>
      <c r="B672" s="47"/>
      <c r="C672" s="50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</row>
    <row r="673">
      <c r="A673" s="36"/>
      <c r="B673" s="47"/>
      <c r="C673" s="50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</row>
    <row r="674">
      <c r="A674" s="36"/>
      <c r="B674" s="47"/>
      <c r="C674" s="50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</row>
    <row r="675">
      <c r="A675" s="36"/>
      <c r="B675" s="47"/>
      <c r="C675" s="50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</row>
    <row r="676">
      <c r="A676" s="36"/>
      <c r="B676" s="47"/>
      <c r="C676" s="50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</row>
    <row r="677">
      <c r="A677" s="36"/>
      <c r="B677" s="47"/>
      <c r="C677" s="50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</row>
    <row r="678">
      <c r="A678" s="36"/>
      <c r="B678" s="47"/>
      <c r="C678" s="50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</row>
    <row r="679">
      <c r="A679" s="36"/>
      <c r="B679" s="47"/>
      <c r="C679" s="50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</row>
    <row r="680">
      <c r="A680" s="36"/>
      <c r="B680" s="47"/>
      <c r="C680" s="50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</row>
    <row r="681">
      <c r="A681" s="36"/>
      <c r="B681" s="47"/>
      <c r="C681" s="50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</row>
    <row r="682">
      <c r="A682" s="36"/>
      <c r="B682" s="47"/>
      <c r="C682" s="50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</row>
    <row r="683">
      <c r="A683" s="36"/>
      <c r="B683" s="47"/>
      <c r="C683" s="50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</row>
    <row r="684">
      <c r="A684" s="36"/>
      <c r="B684" s="47"/>
      <c r="C684" s="50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</row>
    <row r="685">
      <c r="A685" s="36"/>
      <c r="B685" s="47"/>
      <c r="C685" s="50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</row>
    <row r="686">
      <c r="A686" s="36"/>
      <c r="B686" s="47"/>
      <c r="C686" s="50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</row>
    <row r="687">
      <c r="A687" s="36"/>
      <c r="B687" s="47"/>
      <c r="C687" s="50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</row>
    <row r="688">
      <c r="A688" s="36"/>
      <c r="B688" s="47"/>
      <c r="C688" s="50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</row>
    <row r="689">
      <c r="A689" s="36"/>
      <c r="B689" s="47"/>
      <c r="C689" s="50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</row>
    <row r="690">
      <c r="A690" s="36"/>
      <c r="B690" s="47"/>
      <c r="C690" s="50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</row>
    <row r="691">
      <c r="A691" s="36"/>
      <c r="B691" s="47"/>
      <c r="C691" s="50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</row>
    <row r="692">
      <c r="A692" s="36"/>
      <c r="B692" s="47"/>
      <c r="C692" s="50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</row>
    <row r="693">
      <c r="A693" s="36"/>
      <c r="B693" s="47"/>
      <c r="C693" s="50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</row>
    <row r="694">
      <c r="A694" s="36"/>
      <c r="B694" s="47"/>
      <c r="C694" s="50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</row>
    <row r="695">
      <c r="A695" s="36"/>
      <c r="B695" s="47"/>
      <c r="C695" s="50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</row>
    <row r="696">
      <c r="A696" s="36"/>
      <c r="B696" s="47"/>
      <c r="C696" s="50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</row>
    <row r="697">
      <c r="A697" s="36"/>
      <c r="B697" s="47"/>
      <c r="C697" s="50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</row>
    <row r="698">
      <c r="A698" s="36"/>
      <c r="B698" s="47"/>
      <c r="C698" s="50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</row>
    <row r="699">
      <c r="A699" s="36"/>
      <c r="B699" s="47"/>
      <c r="C699" s="50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</row>
    <row r="700">
      <c r="A700" s="36"/>
      <c r="B700" s="47"/>
      <c r="C700" s="50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</row>
    <row r="701">
      <c r="A701" s="36"/>
      <c r="B701" s="47"/>
      <c r="C701" s="50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</row>
    <row r="702">
      <c r="A702" s="36"/>
      <c r="B702" s="47"/>
      <c r="C702" s="50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</row>
    <row r="703">
      <c r="A703" s="36"/>
      <c r="B703" s="47"/>
      <c r="C703" s="50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</row>
    <row r="704">
      <c r="A704" s="36"/>
      <c r="B704" s="47"/>
      <c r="C704" s="50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</row>
    <row r="705">
      <c r="A705" s="36"/>
      <c r="B705" s="47"/>
      <c r="C705" s="50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</row>
    <row r="706">
      <c r="A706" s="36"/>
      <c r="B706" s="47"/>
      <c r="C706" s="50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</row>
    <row r="707">
      <c r="A707" s="36"/>
      <c r="B707" s="47"/>
      <c r="C707" s="50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</row>
    <row r="708">
      <c r="A708" s="36"/>
      <c r="B708" s="47"/>
      <c r="C708" s="50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</row>
    <row r="709">
      <c r="A709" s="36"/>
      <c r="B709" s="47"/>
      <c r="C709" s="50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</row>
    <row r="710">
      <c r="A710" s="36"/>
      <c r="B710" s="47"/>
      <c r="C710" s="50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</row>
    <row r="711">
      <c r="A711" s="36"/>
      <c r="B711" s="47"/>
      <c r="C711" s="50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</row>
    <row r="712">
      <c r="A712" s="36"/>
      <c r="B712" s="47"/>
      <c r="C712" s="50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</row>
    <row r="713">
      <c r="A713" s="36"/>
      <c r="B713" s="47"/>
      <c r="C713" s="50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</row>
    <row r="714">
      <c r="A714" s="36"/>
      <c r="B714" s="47"/>
      <c r="C714" s="50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</row>
    <row r="715">
      <c r="A715" s="36"/>
      <c r="B715" s="47"/>
      <c r="C715" s="50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</row>
    <row r="716">
      <c r="A716" s="36"/>
      <c r="B716" s="47"/>
      <c r="C716" s="50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</row>
    <row r="717">
      <c r="A717" s="36"/>
      <c r="B717" s="47"/>
      <c r="C717" s="50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</row>
    <row r="718">
      <c r="A718" s="36"/>
      <c r="B718" s="47"/>
      <c r="C718" s="50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</row>
    <row r="719">
      <c r="A719" s="36"/>
      <c r="B719" s="47"/>
      <c r="C719" s="50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</row>
    <row r="720">
      <c r="A720" s="36"/>
      <c r="B720" s="47"/>
      <c r="C720" s="50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</row>
    <row r="721">
      <c r="A721" s="36"/>
      <c r="B721" s="47"/>
      <c r="C721" s="50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</row>
    <row r="722">
      <c r="A722" s="36"/>
      <c r="B722" s="47"/>
      <c r="C722" s="50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</row>
    <row r="723">
      <c r="A723" s="36"/>
      <c r="B723" s="47"/>
      <c r="C723" s="50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</row>
    <row r="724">
      <c r="A724" s="36"/>
      <c r="B724" s="47"/>
      <c r="C724" s="50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</row>
    <row r="725">
      <c r="A725" s="36"/>
      <c r="B725" s="47"/>
      <c r="C725" s="50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</row>
    <row r="726">
      <c r="A726" s="36"/>
      <c r="B726" s="47"/>
      <c r="C726" s="50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</row>
    <row r="727">
      <c r="A727" s="36"/>
      <c r="B727" s="47"/>
      <c r="C727" s="50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</row>
    <row r="728">
      <c r="A728" s="36"/>
      <c r="B728" s="47"/>
      <c r="C728" s="50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</row>
    <row r="729">
      <c r="A729" s="36"/>
      <c r="B729" s="47"/>
      <c r="C729" s="50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</row>
    <row r="730">
      <c r="A730" s="36"/>
      <c r="B730" s="47"/>
      <c r="C730" s="50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</row>
    <row r="731">
      <c r="A731" s="36"/>
      <c r="B731" s="47"/>
      <c r="C731" s="50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</row>
    <row r="732">
      <c r="A732" s="36"/>
      <c r="B732" s="47"/>
      <c r="C732" s="50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</row>
    <row r="733">
      <c r="A733" s="36"/>
      <c r="B733" s="47"/>
      <c r="C733" s="50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</row>
    <row r="734">
      <c r="A734" s="36"/>
      <c r="B734" s="47"/>
      <c r="C734" s="50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</row>
    <row r="735">
      <c r="A735" s="36"/>
      <c r="B735" s="47"/>
      <c r="C735" s="50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</row>
    <row r="736">
      <c r="A736" s="36"/>
      <c r="B736" s="47"/>
      <c r="C736" s="50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</row>
    <row r="737">
      <c r="A737" s="36"/>
      <c r="B737" s="47"/>
      <c r="C737" s="50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</row>
    <row r="738">
      <c r="A738" s="36"/>
      <c r="B738" s="47"/>
      <c r="C738" s="50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</row>
    <row r="739">
      <c r="A739" s="36"/>
      <c r="B739" s="47"/>
      <c r="C739" s="50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</row>
    <row r="740">
      <c r="A740" s="36"/>
      <c r="B740" s="47"/>
      <c r="C740" s="50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</row>
    <row r="741">
      <c r="A741" s="36"/>
      <c r="B741" s="47"/>
      <c r="C741" s="50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</row>
    <row r="742">
      <c r="A742" s="36"/>
      <c r="B742" s="47"/>
      <c r="C742" s="50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</row>
    <row r="743">
      <c r="A743" s="36"/>
      <c r="B743" s="47"/>
      <c r="C743" s="50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</row>
    <row r="744">
      <c r="A744" s="36"/>
      <c r="B744" s="47"/>
      <c r="C744" s="50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</row>
    <row r="745">
      <c r="A745" s="36"/>
      <c r="B745" s="47"/>
      <c r="C745" s="50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</row>
    <row r="746">
      <c r="A746" s="36"/>
      <c r="B746" s="47"/>
      <c r="C746" s="50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</row>
    <row r="747">
      <c r="A747" s="36"/>
      <c r="B747" s="47"/>
      <c r="C747" s="50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</row>
    <row r="748">
      <c r="A748" s="36"/>
      <c r="B748" s="47"/>
      <c r="C748" s="50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</row>
    <row r="749">
      <c r="A749" s="36"/>
      <c r="B749" s="47"/>
      <c r="C749" s="50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</row>
    <row r="750">
      <c r="A750" s="36"/>
      <c r="B750" s="47"/>
      <c r="C750" s="50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</row>
    <row r="751">
      <c r="A751" s="36"/>
      <c r="B751" s="47"/>
      <c r="C751" s="50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</row>
    <row r="752">
      <c r="A752" s="36"/>
      <c r="B752" s="47"/>
      <c r="C752" s="50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</row>
    <row r="753">
      <c r="A753" s="36"/>
      <c r="B753" s="47"/>
      <c r="C753" s="50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</row>
    <row r="754">
      <c r="A754" s="36"/>
      <c r="B754" s="47"/>
      <c r="C754" s="50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</row>
    <row r="755">
      <c r="A755" s="36"/>
      <c r="B755" s="47"/>
      <c r="C755" s="50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</row>
    <row r="756">
      <c r="A756" s="36"/>
      <c r="B756" s="47"/>
      <c r="C756" s="50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</row>
    <row r="757">
      <c r="A757" s="36"/>
      <c r="B757" s="47"/>
      <c r="C757" s="50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</row>
    <row r="758">
      <c r="A758" s="36"/>
      <c r="B758" s="47"/>
      <c r="C758" s="50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</row>
    <row r="759">
      <c r="A759" s="36"/>
      <c r="B759" s="47"/>
      <c r="C759" s="50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</row>
    <row r="760">
      <c r="A760" s="36"/>
      <c r="B760" s="47"/>
      <c r="C760" s="50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</row>
    <row r="761">
      <c r="A761" s="36"/>
      <c r="B761" s="47"/>
      <c r="C761" s="50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</row>
    <row r="762">
      <c r="A762" s="36"/>
      <c r="B762" s="47"/>
      <c r="C762" s="50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</row>
    <row r="763">
      <c r="A763" s="36"/>
      <c r="B763" s="47"/>
      <c r="C763" s="50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</row>
    <row r="764">
      <c r="A764" s="36"/>
      <c r="B764" s="47"/>
      <c r="C764" s="50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</row>
    <row r="765">
      <c r="A765" s="36"/>
      <c r="B765" s="47"/>
      <c r="C765" s="50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</row>
    <row r="766">
      <c r="A766" s="36"/>
      <c r="B766" s="47"/>
      <c r="C766" s="50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</row>
    <row r="767">
      <c r="A767" s="36"/>
      <c r="B767" s="47"/>
      <c r="C767" s="50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</row>
    <row r="768">
      <c r="A768" s="36"/>
      <c r="B768" s="47"/>
      <c r="C768" s="50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</row>
    <row r="769">
      <c r="A769" s="36"/>
      <c r="B769" s="47"/>
      <c r="C769" s="50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</row>
    <row r="770">
      <c r="A770" s="36"/>
      <c r="B770" s="47"/>
      <c r="C770" s="50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</row>
    <row r="771">
      <c r="A771" s="36"/>
      <c r="B771" s="47"/>
      <c r="C771" s="50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</row>
    <row r="772">
      <c r="A772" s="36"/>
      <c r="B772" s="47"/>
      <c r="C772" s="50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</row>
    <row r="773">
      <c r="A773" s="36"/>
      <c r="B773" s="47"/>
      <c r="C773" s="50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</row>
    <row r="774">
      <c r="A774" s="36"/>
      <c r="B774" s="47"/>
      <c r="C774" s="50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</row>
    <row r="775">
      <c r="A775" s="36"/>
      <c r="B775" s="47"/>
      <c r="C775" s="50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</row>
    <row r="776">
      <c r="A776" s="36"/>
      <c r="B776" s="47"/>
      <c r="C776" s="50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</row>
    <row r="777">
      <c r="A777" s="36"/>
      <c r="B777" s="47"/>
      <c r="C777" s="50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</row>
    <row r="778">
      <c r="A778" s="36"/>
      <c r="B778" s="47"/>
      <c r="C778" s="50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</row>
    <row r="779">
      <c r="A779" s="36"/>
      <c r="B779" s="47"/>
      <c r="C779" s="50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</row>
    <row r="780">
      <c r="A780" s="36"/>
      <c r="B780" s="47"/>
      <c r="C780" s="50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</row>
    <row r="781">
      <c r="A781" s="36"/>
      <c r="B781" s="47"/>
      <c r="C781" s="50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</row>
    <row r="782">
      <c r="A782" s="36"/>
      <c r="B782" s="47"/>
      <c r="C782" s="50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</row>
    <row r="783">
      <c r="A783" s="36"/>
      <c r="B783" s="47"/>
      <c r="C783" s="50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</row>
    <row r="784">
      <c r="A784" s="36"/>
      <c r="B784" s="47"/>
      <c r="C784" s="50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</row>
    <row r="785">
      <c r="A785" s="36"/>
      <c r="B785" s="47"/>
      <c r="C785" s="50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</row>
    <row r="786">
      <c r="A786" s="36"/>
      <c r="B786" s="47"/>
      <c r="C786" s="50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</row>
    <row r="787">
      <c r="A787" s="36"/>
      <c r="B787" s="47"/>
      <c r="C787" s="50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</row>
    <row r="788">
      <c r="A788" s="36"/>
      <c r="B788" s="47"/>
      <c r="C788" s="50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</row>
    <row r="789">
      <c r="A789" s="36"/>
      <c r="B789" s="47"/>
      <c r="C789" s="50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</row>
    <row r="790">
      <c r="A790" s="36"/>
      <c r="B790" s="47"/>
      <c r="C790" s="50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</row>
    <row r="791">
      <c r="A791" s="36"/>
      <c r="B791" s="47"/>
      <c r="C791" s="50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</row>
    <row r="792">
      <c r="A792" s="36"/>
      <c r="B792" s="47"/>
      <c r="C792" s="50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</row>
    <row r="793">
      <c r="A793" s="36"/>
      <c r="B793" s="47"/>
      <c r="C793" s="50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</row>
    <row r="794">
      <c r="A794" s="36"/>
      <c r="B794" s="47"/>
      <c r="C794" s="50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</row>
    <row r="795">
      <c r="A795" s="36"/>
      <c r="B795" s="47"/>
      <c r="C795" s="50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</row>
    <row r="796">
      <c r="A796" s="36"/>
      <c r="B796" s="47"/>
      <c r="C796" s="50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</row>
    <row r="797">
      <c r="A797" s="36"/>
      <c r="B797" s="47"/>
      <c r="C797" s="50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</row>
    <row r="798">
      <c r="A798" s="36"/>
      <c r="B798" s="47"/>
      <c r="C798" s="50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</row>
    <row r="799">
      <c r="A799" s="36"/>
      <c r="B799" s="47"/>
      <c r="C799" s="50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</row>
    <row r="800">
      <c r="A800" s="36"/>
      <c r="B800" s="47"/>
      <c r="C800" s="50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</row>
    <row r="801">
      <c r="A801" s="36"/>
      <c r="B801" s="47"/>
      <c r="C801" s="50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</row>
    <row r="802">
      <c r="A802" s="36"/>
      <c r="B802" s="47"/>
      <c r="C802" s="50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</row>
    <row r="803">
      <c r="A803" s="36"/>
      <c r="B803" s="47"/>
      <c r="C803" s="50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</row>
    <row r="804">
      <c r="A804" s="36"/>
      <c r="B804" s="47"/>
      <c r="C804" s="50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</row>
    <row r="805">
      <c r="A805" s="36"/>
      <c r="B805" s="47"/>
      <c r="C805" s="50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</row>
    <row r="806">
      <c r="A806" s="36"/>
      <c r="B806" s="47"/>
      <c r="C806" s="50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</row>
    <row r="807">
      <c r="A807" s="36"/>
      <c r="B807" s="47"/>
      <c r="C807" s="50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</row>
    <row r="808">
      <c r="A808" s="36"/>
      <c r="B808" s="47"/>
      <c r="C808" s="50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</row>
    <row r="809">
      <c r="A809" s="36"/>
      <c r="B809" s="47"/>
      <c r="C809" s="50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</row>
    <row r="810">
      <c r="A810" s="36"/>
      <c r="B810" s="47"/>
      <c r="C810" s="50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</row>
    <row r="811">
      <c r="A811" s="36"/>
      <c r="B811" s="47"/>
      <c r="C811" s="50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</row>
    <row r="812">
      <c r="A812" s="36"/>
      <c r="B812" s="47"/>
      <c r="C812" s="50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</row>
    <row r="813">
      <c r="A813" s="36"/>
      <c r="B813" s="47"/>
      <c r="C813" s="50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</row>
    <row r="814">
      <c r="A814" s="36"/>
      <c r="B814" s="47"/>
      <c r="C814" s="50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</row>
    <row r="815">
      <c r="A815" s="36"/>
      <c r="B815" s="47"/>
      <c r="C815" s="50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</row>
    <row r="816">
      <c r="A816" s="36"/>
      <c r="B816" s="47"/>
      <c r="C816" s="50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</row>
    <row r="817">
      <c r="A817" s="36"/>
      <c r="B817" s="47"/>
      <c r="C817" s="50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</row>
    <row r="818">
      <c r="A818" s="36"/>
      <c r="B818" s="47"/>
      <c r="C818" s="50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</row>
    <row r="819">
      <c r="A819" s="36"/>
      <c r="B819" s="47"/>
      <c r="C819" s="50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</row>
    <row r="820">
      <c r="A820" s="36"/>
      <c r="B820" s="47"/>
      <c r="C820" s="50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</row>
    <row r="821">
      <c r="A821" s="36"/>
      <c r="B821" s="47"/>
      <c r="C821" s="50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</row>
    <row r="822">
      <c r="A822" s="36"/>
      <c r="B822" s="47"/>
      <c r="C822" s="50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</row>
    <row r="823">
      <c r="A823" s="36"/>
      <c r="B823" s="47"/>
      <c r="C823" s="50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</row>
    <row r="824">
      <c r="A824" s="36"/>
      <c r="B824" s="47"/>
      <c r="C824" s="50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</row>
    <row r="825">
      <c r="A825" s="36"/>
      <c r="B825" s="47"/>
      <c r="C825" s="50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</row>
    <row r="826">
      <c r="A826" s="36"/>
      <c r="B826" s="47"/>
      <c r="C826" s="50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</row>
    <row r="827">
      <c r="A827" s="36"/>
      <c r="B827" s="47"/>
      <c r="C827" s="50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</row>
    <row r="828">
      <c r="A828" s="36"/>
      <c r="B828" s="47"/>
      <c r="C828" s="50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</row>
    <row r="829">
      <c r="A829" s="36"/>
      <c r="B829" s="47"/>
      <c r="C829" s="50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</row>
    <row r="830">
      <c r="A830" s="36"/>
      <c r="B830" s="47"/>
      <c r="C830" s="50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</row>
    <row r="831">
      <c r="A831" s="36"/>
      <c r="B831" s="47"/>
      <c r="C831" s="50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</row>
    <row r="832">
      <c r="A832" s="36"/>
      <c r="B832" s="47"/>
      <c r="C832" s="50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</row>
    <row r="833">
      <c r="A833" s="36"/>
      <c r="B833" s="47"/>
      <c r="C833" s="50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</row>
    <row r="834">
      <c r="A834" s="36"/>
      <c r="B834" s="47"/>
      <c r="C834" s="50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</row>
    <row r="835">
      <c r="A835" s="36"/>
      <c r="B835" s="47"/>
      <c r="C835" s="50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</row>
    <row r="836">
      <c r="A836" s="36"/>
      <c r="B836" s="47"/>
      <c r="C836" s="50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</row>
    <row r="837">
      <c r="A837" s="36"/>
      <c r="B837" s="47"/>
      <c r="C837" s="50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</row>
    <row r="838">
      <c r="A838" s="36"/>
      <c r="B838" s="47"/>
      <c r="C838" s="50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</row>
    <row r="839">
      <c r="A839" s="36"/>
      <c r="B839" s="47"/>
      <c r="C839" s="50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</row>
    <row r="840">
      <c r="A840" s="36"/>
      <c r="B840" s="47"/>
      <c r="C840" s="50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</row>
    <row r="841">
      <c r="A841" s="36"/>
      <c r="B841" s="47"/>
      <c r="C841" s="50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</row>
    <row r="842">
      <c r="A842" s="36"/>
      <c r="B842" s="47"/>
      <c r="C842" s="50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</row>
    <row r="843">
      <c r="A843" s="36"/>
      <c r="B843" s="47"/>
      <c r="C843" s="50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</row>
    <row r="844">
      <c r="A844" s="36"/>
      <c r="B844" s="47"/>
      <c r="C844" s="50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</row>
    <row r="845">
      <c r="A845" s="36"/>
      <c r="B845" s="47"/>
      <c r="C845" s="50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</row>
    <row r="846">
      <c r="A846" s="36"/>
      <c r="B846" s="47"/>
      <c r="C846" s="50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</row>
    <row r="847">
      <c r="A847" s="36"/>
      <c r="B847" s="47"/>
      <c r="C847" s="50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</row>
    <row r="848">
      <c r="A848" s="36"/>
      <c r="B848" s="47"/>
      <c r="C848" s="50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</row>
    <row r="849">
      <c r="A849" s="36"/>
      <c r="B849" s="47"/>
      <c r="C849" s="50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</row>
    <row r="850">
      <c r="A850" s="36"/>
      <c r="B850" s="47"/>
      <c r="C850" s="50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</row>
    <row r="851">
      <c r="A851" s="36"/>
      <c r="B851" s="47"/>
      <c r="C851" s="50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</row>
    <row r="852">
      <c r="A852" s="36"/>
      <c r="B852" s="47"/>
      <c r="C852" s="50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</row>
    <row r="853">
      <c r="A853" s="36"/>
      <c r="B853" s="47"/>
      <c r="C853" s="50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</row>
    <row r="854">
      <c r="A854" s="36"/>
      <c r="B854" s="47"/>
      <c r="C854" s="50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</row>
    <row r="855">
      <c r="A855" s="36"/>
      <c r="B855" s="47"/>
      <c r="C855" s="50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</row>
    <row r="856">
      <c r="A856" s="36"/>
      <c r="B856" s="47"/>
      <c r="C856" s="50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</row>
    <row r="857">
      <c r="A857" s="36"/>
      <c r="B857" s="47"/>
      <c r="C857" s="50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</row>
    <row r="858">
      <c r="A858" s="36"/>
      <c r="B858" s="47"/>
      <c r="C858" s="50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</row>
    <row r="859">
      <c r="A859" s="36"/>
      <c r="B859" s="47"/>
      <c r="C859" s="50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</row>
    <row r="860">
      <c r="A860" s="36"/>
      <c r="B860" s="47"/>
      <c r="C860" s="50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</row>
    <row r="861">
      <c r="A861" s="36"/>
      <c r="B861" s="47"/>
      <c r="C861" s="50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</row>
    <row r="862">
      <c r="A862" s="36"/>
      <c r="B862" s="47"/>
      <c r="C862" s="50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</row>
    <row r="863">
      <c r="A863" s="36"/>
      <c r="B863" s="47"/>
      <c r="C863" s="50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</row>
    <row r="864">
      <c r="A864" s="36"/>
      <c r="B864" s="47"/>
      <c r="C864" s="50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</row>
    <row r="865">
      <c r="A865" s="36"/>
      <c r="B865" s="47"/>
      <c r="C865" s="50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</row>
    <row r="866">
      <c r="A866" s="36"/>
      <c r="B866" s="47"/>
      <c r="C866" s="50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</row>
    <row r="867">
      <c r="A867" s="36"/>
      <c r="B867" s="47"/>
      <c r="C867" s="50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</row>
    <row r="868">
      <c r="A868" s="36"/>
      <c r="B868" s="47"/>
      <c r="C868" s="50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</row>
    <row r="869">
      <c r="A869" s="36"/>
      <c r="B869" s="47"/>
      <c r="C869" s="50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</row>
    <row r="870">
      <c r="A870" s="36"/>
      <c r="B870" s="47"/>
      <c r="C870" s="50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</row>
    <row r="871">
      <c r="A871" s="36"/>
      <c r="B871" s="47"/>
      <c r="C871" s="50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</row>
    <row r="872">
      <c r="A872" s="36"/>
      <c r="B872" s="47"/>
      <c r="C872" s="50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</row>
    <row r="873">
      <c r="A873" s="36"/>
      <c r="B873" s="47"/>
      <c r="C873" s="50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</row>
    <row r="874">
      <c r="A874" s="36"/>
      <c r="B874" s="47"/>
      <c r="C874" s="50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</row>
    <row r="875">
      <c r="A875" s="36"/>
      <c r="B875" s="47"/>
      <c r="C875" s="50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</row>
    <row r="876">
      <c r="A876" s="36"/>
      <c r="B876" s="47"/>
      <c r="C876" s="50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</row>
    <row r="877">
      <c r="A877" s="36"/>
      <c r="B877" s="47"/>
      <c r="C877" s="50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</row>
    <row r="878">
      <c r="A878" s="36"/>
      <c r="B878" s="47"/>
      <c r="C878" s="50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</row>
    <row r="879">
      <c r="A879" s="36"/>
      <c r="B879" s="47"/>
      <c r="C879" s="50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</row>
    <row r="880">
      <c r="A880" s="36"/>
      <c r="B880" s="47"/>
      <c r="C880" s="50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</row>
    <row r="881">
      <c r="A881" s="36"/>
      <c r="B881" s="47"/>
      <c r="C881" s="50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</row>
    <row r="882">
      <c r="A882" s="36"/>
      <c r="B882" s="47"/>
      <c r="C882" s="50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</row>
    <row r="883">
      <c r="A883" s="36"/>
      <c r="B883" s="47"/>
      <c r="C883" s="50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</row>
    <row r="884">
      <c r="A884" s="36"/>
      <c r="B884" s="47"/>
      <c r="C884" s="50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</row>
    <row r="885">
      <c r="A885" s="36"/>
      <c r="B885" s="47"/>
      <c r="C885" s="50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</row>
    <row r="886">
      <c r="A886" s="36"/>
      <c r="B886" s="47"/>
      <c r="C886" s="50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</row>
    <row r="887">
      <c r="A887" s="36"/>
      <c r="B887" s="47"/>
      <c r="C887" s="50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</row>
    <row r="888">
      <c r="A888" s="36"/>
      <c r="B888" s="47"/>
      <c r="C888" s="50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</row>
    <row r="889">
      <c r="A889" s="36"/>
      <c r="B889" s="47"/>
      <c r="C889" s="50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</row>
    <row r="890">
      <c r="A890" s="36"/>
      <c r="B890" s="47"/>
      <c r="C890" s="50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</row>
    <row r="891">
      <c r="A891" s="36"/>
      <c r="B891" s="47"/>
      <c r="C891" s="50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</row>
    <row r="892">
      <c r="A892" s="36"/>
      <c r="B892" s="47"/>
      <c r="C892" s="50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</row>
    <row r="893">
      <c r="A893" s="36"/>
      <c r="B893" s="47"/>
      <c r="C893" s="50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</row>
    <row r="894">
      <c r="A894" s="36"/>
      <c r="B894" s="47"/>
      <c r="C894" s="50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</row>
    <row r="895">
      <c r="A895" s="36"/>
      <c r="B895" s="47"/>
      <c r="C895" s="50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</row>
    <row r="896">
      <c r="A896" s="36"/>
      <c r="B896" s="47"/>
      <c r="C896" s="50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</row>
    <row r="897">
      <c r="A897" s="36"/>
      <c r="B897" s="47"/>
      <c r="C897" s="50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</row>
    <row r="898">
      <c r="A898" s="36"/>
      <c r="B898" s="47"/>
      <c r="C898" s="50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</row>
    <row r="899">
      <c r="A899" s="36"/>
      <c r="B899" s="47"/>
      <c r="C899" s="50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</row>
    <row r="900">
      <c r="A900" s="36"/>
      <c r="B900" s="47"/>
      <c r="C900" s="50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</row>
    <row r="901">
      <c r="A901" s="36"/>
      <c r="B901" s="47"/>
      <c r="C901" s="50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</row>
    <row r="902">
      <c r="A902" s="36"/>
      <c r="B902" s="47"/>
      <c r="C902" s="50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</row>
    <row r="903">
      <c r="A903" s="36"/>
      <c r="B903" s="47"/>
      <c r="C903" s="50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</row>
    <row r="904">
      <c r="A904" s="36"/>
      <c r="B904" s="47"/>
      <c r="C904" s="50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</row>
    <row r="905">
      <c r="A905" s="36"/>
      <c r="B905" s="47"/>
      <c r="C905" s="50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</row>
    <row r="906">
      <c r="A906" s="36"/>
      <c r="B906" s="47"/>
      <c r="C906" s="50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</row>
    <row r="907">
      <c r="A907" s="36"/>
      <c r="B907" s="47"/>
      <c r="C907" s="50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</row>
    <row r="908">
      <c r="A908" s="36"/>
      <c r="B908" s="47"/>
      <c r="C908" s="50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</row>
    <row r="909">
      <c r="A909" s="36"/>
      <c r="B909" s="47"/>
      <c r="C909" s="50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</row>
    <row r="910">
      <c r="A910" s="36"/>
      <c r="B910" s="47"/>
      <c r="C910" s="50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</row>
    <row r="911">
      <c r="A911" s="36"/>
      <c r="B911" s="47"/>
      <c r="C911" s="50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</row>
    <row r="912">
      <c r="A912" s="36"/>
      <c r="B912" s="47"/>
      <c r="C912" s="50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</row>
    <row r="913">
      <c r="A913" s="36"/>
      <c r="B913" s="47"/>
      <c r="C913" s="50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</row>
    <row r="914">
      <c r="A914" s="36"/>
      <c r="B914" s="47"/>
      <c r="C914" s="50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</row>
    <row r="915">
      <c r="A915" s="36"/>
      <c r="B915" s="47"/>
      <c r="C915" s="50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</row>
    <row r="916">
      <c r="A916" s="36"/>
      <c r="B916" s="47"/>
      <c r="C916" s="50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</row>
    <row r="917">
      <c r="A917" s="36"/>
      <c r="B917" s="47"/>
      <c r="C917" s="50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</row>
    <row r="918">
      <c r="A918" s="36"/>
      <c r="B918" s="47"/>
      <c r="C918" s="50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</row>
    <row r="919">
      <c r="A919" s="36"/>
      <c r="B919" s="47"/>
      <c r="C919" s="50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</row>
    <row r="920">
      <c r="A920" s="36"/>
      <c r="B920" s="47"/>
      <c r="C920" s="50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</row>
    <row r="921">
      <c r="A921" s="36"/>
      <c r="B921" s="47"/>
      <c r="C921" s="50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</row>
    <row r="922">
      <c r="A922" s="36"/>
      <c r="B922" s="47"/>
      <c r="C922" s="50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</row>
    <row r="923">
      <c r="A923" s="36"/>
      <c r="B923" s="47"/>
      <c r="C923" s="50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</row>
    <row r="924">
      <c r="A924" s="36"/>
      <c r="B924" s="47"/>
      <c r="C924" s="50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</row>
    <row r="925">
      <c r="A925" s="36"/>
      <c r="B925" s="47"/>
      <c r="C925" s="50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</row>
    <row r="926">
      <c r="A926" s="36"/>
      <c r="B926" s="47"/>
      <c r="C926" s="50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</row>
    <row r="927">
      <c r="A927" s="36"/>
      <c r="B927" s="47"/>
      <c r="C927" s="50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</row>
    <row r="928">
      <c r="A928" s="36"/>
      <c r="B928" s="47"/>
      <c r="C928" s="50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</row>
    <row r="929">
      <c r="A929" s="36"/>
      <c r="B929" s="47"/>
      <c r="C929" s="50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</row>
    <row r="930">
      <c r="A930" s="36"/>
      <c r="B930" s="47"/>
      <c r="C930" s="50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</row>
    <row r="931">
      <c r="A931" s="36"/>
      <c r="B931" s="47"/>
      <c r="C931" s="50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</row>
    <row r="932">
      <c r="A932" s="36"/>
      <c r="B932" s="47"/>
      <c r="C932" s="50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</row>
    <row r="933">
      <c r="A933" s="36"/>
      <c r="B933" s="47"/>
      <c r="C933" s="50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</row>
    <row r="934">
      <c r="A934" s="36"/>
      <c r="B934" s="47"/>
      <c r="C934" s="50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</row>
    <row r="935">
      <c r="A935" s="36"/>
      <c r="B935" s="47"/>
      <c r="C935" s="50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</row>
    <row r="936">
      <c r="A936" s="36"/>
      <c r="B936" s="47"/>
      <c r="C936" s="50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</row>
    <row r="937">
      <c r="A937" s="36"/>
      <c r="B937" s="47"/>
      <c r="C937" s="50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</row>
    <row r="938">
      <c r="A938" s="36"/>
      <c r="B938" s="47"/>
      <c r="C938" s="50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</row>
    <row r="939">
      <c r="A939" s="36"/>
      <c r="B939" s="47"/>
      <c r="C939" s="50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</row>
    <row r="940">
      <c r="A940" s="36"/>
      <c r="B940" s="47"/>
      <c r="C940" s="50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</row>
    <row r="941">
      <c r="A941" s="36"/>
      <c r="B941" s="47"/>
      <c r="C941" s="50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</row>
    <row r="942">
      <c r="A942" s="36"/>
      <c r="B942" s="47"/>
      <c r="C942" s="50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</row>
    <row r="943">
      <c r="A943" s="36"/>
      <c r="B943" s="47"/>
      <c r="C943" s="50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</row>
    <row r="944">
      <c r="A944" s="36"/>
      <c r="B944" s="47"/>
      <c r="C944" s="50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</row>
    <row r="945">
      <c r="A945" s="36"/>
      <c r="B945" s="47"/>
      <c r="C945" s="50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</row>
    <row r="946">
      <c r="A946" s="36"/>
      <c r="B946" s="47"/>
      <c r="C946" s="50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</row>
    <row r="947">
      <c r="A947" s="36"/>
      <c r="B947" s="47"/>
      <c r="C947" s="50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</row>
    <row r="948">
      <c r="A948" s="36"/>
      <c r="B948" s="47"/>
      <c r="C948" s="50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</row>
    <row r="949">
      <c r="A949" s="36"/>
      <c r="B949" s="47"/>
      <c r="C949" s="50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</row>
    <row r="950">
      <c r="A950" s="36"/>
      <c r="B950" s="47"/>
      <c r="C950" s="50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</row>
    <row r="951">
      <c r="A951" s="36"/>
      <c r="B951" s="47"/>
      <c r="C951" s="50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</row>
    <row r="952">
      <c r="A952" s="36"/>
      <c r="B952" s="47"/>
      <c r="C952" s="50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</row>
    <row r="953">
      <c r="A953" s="36"/>
      <c r="B953" s="47"/>
      <c r="C953" s="50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</row>
    <row r="954">
      <c r="A954" s="36"/>
      <c r="B954" s="47"/>
      <c r="C954" s="50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</row>
    <row r="955">
      <c r="A955" s="36"/>
      <c r="B955" s="47"/>
      <c r="C955" s="50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</row>
    <row r="956">
      <c r="A956" s="36"/>
      <c r="B956" s="47"/>
      <c r="C956" s="50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</row>
    <row r="957">
      <c r="A957" s="36"/>
      <c r="B957" s="47"/>
      <c r="C957" s="50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</row>
    <row r="958">
      <c r="A958" s="36"/>
      <c r="B958" s="47"/>
      <c r="C958" s="50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</row>
    <row r="959">
      <c r="A959" s="36"/>
      <c r="B959" s="47"/>
      <c r="C959" s="50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</row>
    <row r="960">
      <c r="A960" s="36"/>
      <c r="B960" s="47"/>
      <c r="C960" s="50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</row>
    <row r="961">
      <c r="A961" s="36"/>
      <c r="B961" s="47"/>
      <c r="C961" s="50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</row>
    <row r="962">
      <c r="A962" s="36"/>
      <c r="B962" s="47"/>
      <c r="C962" s="50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</row>
    <row r="963">
      <c r="A963" s="36"/>
      <c r="B963" s="47"/>
      <c r="C963" s="50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</row>
    <row r="964">
      <c r="A964" s="36"/>
      <c r="B964" s="47"/>
      <c r="C964" s="50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</row>
    <row r="965">
      <c r="A965" s="36"/>
      <c r="B965" s="47"/>
      <c r="C965" s="50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</row>
    <row r="966">
      <c r="A966" s="36"/>
      <c r="B966" s="47"/>
      <c r="C966" s="50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</row>
    <row r="967">
      <c r="A967" s="36"/>
      <c r="B967" s="47"/>
      <c r="C967" s="50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</row>
    <row r="968">
      <c r="A968" s="36"/>
      <c r="B968" s="47"/>
      <c r="C968" s="50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</row>
    <row r="969">
      <c r="A969" s="36"/>
      <c r="B969" s="47"/>
      <c r="C969" s="50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</row>
    <row r="970">
      <c r="A970" s="36"/>
      <c r="B970" s="47"/>
      <c r="C970" s="50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</row>
    <row r="971">
      <c r="A971" s="36"/>
      <c r="B971" s="47"/>
      <c r="C971" s="50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</row>
    <row r="972">
      <c r="A972" s="36"/>
      <c r="B972" s="47"/>
      <c r="C972" s="50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</row>
    <row r="973">
      <c r="A973" s="36"/>
      <c r="B973" s="47"/>
      <c r="C973" s="50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</row>
    <row r="974">
      <c r="A974" s="36"/>
      <c r="B974" s="47"/>
      <c r="C974" s="50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</row>
    <row r="975">
      <c r="A975" s="36"/>
      <c r="B975" s="47"/>
      <c r="C975" s="50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</row>
    <row r="976">
      <c r="A976" s="36"/>
      <c r="B976" s="47"/>
      <c r="C976" s="50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</row>
    <row r="977">
      <c r="A977" s="36"/>
      <c r="B977" s="47"/>
      <c r="C977" s="50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</row>
    <row r="978">
      <c r="A978" s="36"/>
      <c r="B978" s="47"/>
      <c r="C978" s="50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</row>
    <row r="979">
      <c r="A979" s="36"/>
      <c r="B979" s="47"/>
      <c r="C979" s="50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</row>
    <row r="980">
      <c r="A980" s="36"/>
      <c r="B980" s="47"/>
      <c r="C980" s="50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</row>
    <row r="981">
      <c r="A981" s="36"/>
      <c r="B981" s="47"/>
      <c r="C981" s="50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</row>
    <row r="982">
      <c r="A982" s="36"/>
      <c r="B982" s="47"/>
      <c r="C982" s="50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</row>
    <row r="983">
      <c r="A983" s="36"/>
      <c r="B983" s="47"/>
      <c r="C983" s="50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</row>
    <row r="984">
      <c r="A984" s="36"/>
      <c r="B984" s="47"/>
      <c r="C984" s="50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</row>
    <row r="985">
      <c r="A985" s="36"/>
      <c r="B985" s="47"/>
      <c r="C985" s="50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</row>
    <row r="986">
      <c r="A986" s="36"/>
      <c r="B986" s="47"/>
      <c r="C986" s="50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</row>
    <row r="987">
      <c r="A987" s="36"/>
      <c r="B987" s="47"/>
      <c r="C987" s="50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</row>
    <row r="988">
      <c r="A988" s="36"/>
      <c r="B988" s="47"/>
      <c r="C988" s="50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</row>
    <row r="989">
      <c r="A989" s="36"/>
      <c r="B989" s="47"/>
      <c r="C989" s="50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</row>
    <row r="990">
      <c r="A990" s="36"/>
      <c r="B990" s="47"/>
      <c r="C990" s="50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</row>
    <row r="991">
      <c r="A991" s="36"/>
      <c r="B991" s="47"/>
      <c r="C991" s="50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</row>
    <row r="992">
      <c r="A992" s="36"/>
      <c r="B992" s="47"/>
      <c r="C992" s="50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</row>
    <row r="993">
      <c r="A993" s="36"/>
      <c r="B993" s="47"/>
      <c r="C993" s="50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</row>
    <row r="994">
      <c r="A994" s="36"/>
      <c r="B994" s="47"/>
      <c r="C994" s="50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</row>
    <row r="995">
      <c r="A995" s="36"/>
      <c r="B995" s="47"/>
      <c r="C995" s="50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</row>
    <row r="996">
      <c r="A996" s="36"/>
      <c r="B996" s="47"/>
      <c r="C996" s="50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</row>
    <row r="997">
      <c r="A997" s="36"/>
      <c r="B997" s="47"/>
      <c r="C997" s="50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</row>
    <row r="998">
      <c r="A998" s="36"/>
      <c r="B998" s="47"/>
      <c r="C998" s="50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</row>
    <row r="999">
      <c r="A999" s="36"/>
      <c r="B999" s="47"/>
      <c r="C999" s="50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</row>
    <row r="1000">
      <c r="A1000" s="36"/>
      <c r="B1000" s="47"/>
      <c r="C1000" s="50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</row>
    <row r="1001">
      <c r="A1001" s="36"/>
      <c r="B1001" s="47"/>
      <c r="C1001" s="50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</row>
    <row r="1002">
      <c r="A1002" s="36"/>
      <c r="B1002" s="47"/>
      <c r="C1002" s="50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</row>
    <row r="1003">
      <c r="A1003" s="36"/>
      <c r="B1003" s="47"/>
      <c r="C1003" s="50"/>
      <c r="D1003" s="36"/>
      <c r="E1003" s="36"/>
      <c r="F1003" s="36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9.63"/>
    <col customWidth="1" min="2" max="4" width="12.63"/>
    <col customWidth="1" min="5" max="7" width="13.5"/>
    <col customWidth="1" min="8" max="10" width="14.38"/>
    <col customWidth="1" min="11" max="12" width="12.5"/>
    <col customWidth="1" min="13" max="13" width="12.38"/>
    <col customWidth="1" min="14" max="16" width="11.75"/>
    <col customWidth="1" min="17" max="17" width="16.5"/>
    <col customWidth="1" min="18" max="18" width="17.63"/>
    <col customWidth="1" min="19" max="19" width="16.5"/>
  </cols>
  <sheetData>
    <row r="1">
      <c r="A1" s="30" t="str">
        <f>Specs!I1</f>
        <v>SFP</v>
      </c>
      <c r="B1" s="34" t="s">
        <v>112</v>
      </c>
      <c r="C1" s="34" t="s">
        <v>113</v>
      </c>
      <c r="D1" s="34" t="s">
        <v>114</v>
      </c>
      <c r="E1" s="34" t="s">
        <v>115</v>
      </c>
      <c r="F1" s="34" t="s">
        <v>116</v>
      </c>
      <c r="G1" s="34" t="s">
        <v>117</v>
      </c>
      <c r="H1" s="34" t="s">
        <v>118</v>
      </c>
      <c r="I1" s="34" t="s">
        <v>119</v>
      </c>
      <c r="J1" s="34" t="s">
        <v>120</v>
      </c>
      <c r="K1" s="34" t="s">
        <v>121</v>
      </c>
      <c r="L1" s="34" t="s">
        <v>122</v>
      </c>
      <c r="M1" s="34" t="s">
        <v>123</v>
      </c>
      <c r="N1" s="34" t="s">
        <v>124</v>
      </c>
      <c r="O1" s="34" t="s">
        <v>125</v>
      </c>
      <c r="P1" s="34" t="s">
        <v>126</v>
      </c>
      <c r="Q1" s="34" t="s">
        <v>127</v>
      </c>
      <c r="R1" s="34" t="s">
        <v>128</v>
      </c>
      <c r="S1" s="34" t="s">
        <v>129</v>
      </c>
      <c r="T1" s="57" t="s">
        <v>130</v>
      </c>
      <c r="U1" s="57" t="s">
        <v>131</v>
      </c>
      <c r="V1" s="57" t="s">
        <v>132</v>
      </c>
      <c r="W1" s="57" t="s">
        <v>133</v>
      </c>
      <c r="X1" s="57" t="s">
        <v>134</v>
      </c>
      <c r="Y1" s="57" t="s">
        <v>135</v>
      </c>
      <c r="Z1" s="21"/>
    </row>
    <row r="2">
      <c r="A2" s="37" t="str">
        <f>Specs!I2</f>
        <v>Tốc độ (1G/10G/100G)</v>
      </c>
      <c r="B2" s="58">
        <v>1.0</v>
      </c>
      <c r="C2" s="58">
        <v>1.0</v>
      </c>
      <c r="D2" s="58">
        <v>1.0</v>
      </c>
      <c r="E2" s="58">
        <v>10.0</v>
      </c>
      <c r="F2" s="58">
        <v>10.0</v>
      </c>
      <c r="G2" s="58">
        <v>10.0</v>
      </c>
      <c r="H2" s="58">
        <v>100.0</v>
      </c>
      <c r="I2" s="58">
        <v>100.0</v>
      </c>
      <c r="J2" s="58">
        <v>100.0</v>
      </c>
      <c r="K2" s="58">
        <v>1.0</v>
      </c>
      <c r="L2" s="58">
        <v>1.0</v>
      </c>
      <c r="M2" s="58">
        <v>1.0</v>
      </c>
      <c r="N2" s="58">
        <v>1.0</v>
      </c>
      <c r="O2" s="58">
        <v>10.0</v>
      </c>
      <c r="P2" s="58">
        <v>10.0</v>
      </c>
      <c r="Q2" s="58">
        <v>10.0</v>
      </c>
      <c r="R2" s="58">
        <v>10.0</v>
      </c>
      <c r="S2" s="58">
        <v>10.0</v>
      </c>
      <c r="T2" s="59">
        <v>10.0</v>
      </c>
      <c r="U2" s="59">
        <v>10.0</v>
      </c>
      <c r="V2" s="59">
        <v>10.0</v>
      </c>
      <c r="W2" s="59">
        <v>100.0</v>
      </c>
      <c r="X2" s="59">
        <v>100.0</v>
      </c>
      <c r="Y2" s="59">
        <v>100.0</v>
      </c>
      <c r="Z2" s="21"/>
    </row>
    <row r="3">
      <c r="A3" s="37" t="str">
        <f>Specs!I3</f>
        <v>Khoảng cách truyền (km)</v>
      </c>
      <c r="B3" s="58">
        <v>10.0</v>
      </c>
      <c r="C3" s="58">
        <v>40.0</v>
      </c>
      <c r="D3" s="58">
        <v>80.0</v>
      </c>
      <c r="E3" s="58">
        <v>10.0</v>
      </c>
      <c r="F3" s="58">
        <v>40.0</v>
      </c>
      <c r="G3" s="58">
        <v>80.0</v>
      </c>
      <c r="H3" s="58">
        <v>10.0</v>
      </c>
      <c r="I3" s="58">
        <v>40.0</v>
      </c>
      <c r="J3" s="58">
        <v>80.0</v>
      </c>
      <c r="K3" s="58">
        <v>0.5</v>
      </c>
      <c r="L3" s="58">
        <v>10.0</v>
      </c>
      <c r="M3" s="58">
        <v>40.0</v>
      </c>
      <c r="N3" s="58">
        <v>70.0</v>
      </c>
      <c r="O3" s="58">
        <v>0.5</v>
      </c>
      <c r="P3" s="58">
        <v>0.5</v>
      </c>
      <c r="Q3" s="58">
        <v>10.0</v>
      </c>
      <c r="R3" s="58">
        <v>10.0</v>
      </c>
      <c r="S3" s="58">
        <v>40.0</v>
      </c>
      <c r="T3" s="59">
        <v>40.0</v>
      </c>
      <c r="U3" s="59">
        <v>80.0</v>
      </c>
      <c r="V3" s="59">
        <v>80.0</v>
      </c>
      <c r="W3" s="59">
        <v>10.0</v>
      </c>
      <c r="X3" s="59">
        <v>40.0</v>
      </c>
      <c r="Y3" s="59">
        <v>80.0</v>
      </c>
      <c r="Z3" s="21"/>
    </row>
    <row r="4">
      <c r="A4" s="60" t="s">
        <v>136</v>
      </c>
      <c r="B4" s="49" t="s">
        <v>23</v>
      </c>
      <c r="C4" s="49" t="s">
        <v>23</v>
      </c>
      <c r="D4" s="49" t="s">
        <v>23</v>
      </c>
      <c r="E4" s="49" t="s">
        <v>23</v>
      </c>
      <c r="F4" s="49" t="s">
        <v>23</v>
      </c>
      <c r="G4" s="49" t="s">
        <v>23</v>
      </c>
      <c r="H4" s="49" t="s">
        <v>23</v>
      </c>
      <c r="I4" s="49" t="s">
        <v>23</v>
      </c>
      <c r="J4" s="49" t="s">
        <v>23</v>
      </c>
      <c r="K4" s="49" t="s">
        <v>25</v>
      </c>
      <c r="L4" s="49" t="s">
        <v>25</v>
      </c>
      <c r="M4" s="49" t="s">
        <v>25</v>
      </c>
      <c r="N4" s="49" t="s">
        <v>25</v>
      </c>
      <c r="O4" s="49" t="s">
        <v>25</v>
      </c>
      <c r="P4" s="49" t="s">
        <v>25</v>
      </c>
      <c r="Q4" s="49" t="s">
        <v>25</v>
      </c>
      <c r="R4" s="49" t="s">
        <v>25</v>
      </c>
      <c r="S4" s="49" t="s">
        <v>25</v>
      </c>
      <c r="T4" s="51" t="s">
        <v>25</v>
      </c>
      <c r="U4" s="51" t="s">
        <v>25</v>
      </c>
      <c r="V4" s="51" t="s">
        <v>25</v>
      </c>
      <c r="W4" s="51" t="s">
        <v>25</v>
      </c>
      <c r="X4" s="51" t="s">
        <v>25</v>
      </c>
      <c r="Y4" s="51" t="s">
        <v>25</v>
      </c>
      <c r="Z4" s="21"/>
    </row>
    <row r="5">
      <c r="A5" s="60" t="s">
        <v>27</v>
      </c>
      <c r="B5" s="53">
        <f>iferror(vlookup(B1,AllListPrice!$A$2:$D$1000,4,0),0)</f>
        <v>0</v>
      </c>
      <c r="C5" s="53">
        <f>iferror(vlookup(C1,AllListPrice!$A$2:$D$1000,4,0),0)</f>
        <v>0</v>
      </c>
      <c r="D5" s="53">
        <f>iferror(vlookup(D1,AllListPrice!$A$2:$D$1000,4,0),0)</f>
        <v>0</v>
      </c>
      <c r="E5" s="53">
        <f>iferror(vlookup(E1,AllListPrice!$A$2:$D$1000,4,0),0)</f>
        <v>0</v>
      </c>
      <c r="F5" s="53">
        <f>iferror(vlookup(F1,AllListPrice!$A$2:$D$1000,4,0),0)</f>
        <v>0</v>
      </c>
      <c r="G5" s="53">
        <f>iferror(vlookup(G1,AllListPrice!$A$2:$D$1000,4,0),0)</f>
        <v>0</v>
      </c>
      <c r="H5" s="53">
        <f>iferror(vlookup(H1,AllListPrice!$A$2:$D$1000,4,0),0)</f>
        <v>0</v>
      </c>
      <c r="I5" s="53">
        <f>iferror(vlookup(I1,AllListPrice!$A$2:$D$1000,4,0),0)</f>
        <v>0</v>
      </c>
      <c r="J5" s="53">
        <f>iferror(vlookup(J1,AllListPrice!$A$2:$D$1000,4,0),0)</f>
        <v>0</v>
      </c>
      <c r="K5" s="53">
        <f>iferror(vlookup(K1,AllListPrice!$A$2:$D$1000,4,0),0)</f>
        <v>608.51</v>
      </c>
      <c r="L5" s="53">
        <f>iferror(vlookup(L1,AllListPrice!$A$2:$D$1000,4,0),0)</f>
        <v>1210.94</v>
      </c>
      <c r="M5" s="53">
        <f>iferror(vlookup(M1,AllListPrice!$A$2:$D$1000,4,0),0)</f>
        <v>2427.96</v>
      </c>
      <c r="N5" s="53">
        <f>iferror(vlookup(N1,AllListPrice!$A$2:$D$1000,4,0),0)</f>
        <v>4861.99</v>
      </c>
      <c r="O5" s="53">
        <f>iferror(vlookup(O1,AllListPrice!$A$2:$D$1000,4,0),0)</f>
        <v>851.91</v>
      </c>
      <c r="P5" s="53">
        <f>iferror(vlookup(P1,AllListPrice!$A$2:$D$1000,4,0),0)</f>
        <v>1210.94</v>
      </c>
      <c r="Q5" s="53">
        <f>iferror(vlookup(Q1,AllListPrice!$A$2:$D$1000,4,0),0)</f>
        <v>2434.04</v>
      </c>
      <c r="R5" s="53">
        <f>iferror(vlookup(R1,AllListPrice!$A$2:$D$1000,4,0),0)</f>
        <v>4861.99</v>
      </c>
      <c r="S5" s="53">
        <f>iferror(vlookup(S1,AllListPrice!$A$2:$D$1000,4,0),0)</f>
        <v>9614.44</v>
      </c>
      <c r="T5" s="53">
        <f>iferror(vlookup(T1,AllListPrice!$A$2:$D$1000,4,0),0)</f>
        <v>12170.18</v>
      </c>
      <c r="U5" s="53">
        <f>iferror(vlookup(U1,AllListPrice!$A$2:$D$1000,4,0),0)</f>
        <v>13265.5</v>
      </c>
      <c r="V5" s="53">
        <f>iferror(vlookup(V1,AllListPrice!$A$2:$D$1000,4,0),0)</f>
        <v>19472.29</v>
      </c>
      <c r="W5" s="53">
        <f>iferror(vlookup("100GQSFP-LR4-4=",AllListPrice!$A$2:$D$1000,4,0),0)</f>
        <v>36510.54</v>
      </c>
      <c r="X5" s="53">
        <f>iferror(vlookup(X1,AllListPrice!$A$2:$D$1000,4,0),0)</f>
        <v>91270.27</v>
      </c>
      <c r="Y5" s="53">
        <f>iferror(vlookup(Y1,AllListPrice!$A$2:$D$1000,4,0),0)</f>
        <v>36190</v>
      </c>
      <c r="Z5" s="21"/>
    </row>
    <row r="6">
      <c r="A6" s="6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>
      <c r="A7" s="6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>
      <c r="A8" s="6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6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>
      <c r="A10" s="6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6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6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6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6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6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6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>
      <c r="A17" s="6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>
      <c r="A18" s="6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>
      <c r="A19" s="6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>
      <c r="A20" s="6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>
      <c r="A21" s="6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>
      <c r="A22" s="6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>
      <c r="A23" s="6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>
      <c r="A24" s="6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>
      <c r="A25" s="6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>
      <c r="A26" s="6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>
      <c r="A27" s="6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>
      <c r="A28" s="6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>
      <c r="A29" s="6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>
      <c r="A30" s="6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>
      <c r="A31" s="6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>
      <c r="A32" s="6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>
      <c r="A33" s="6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>
      <c r="A34" s="6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>
      <c r="A35" s="6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>
      <c r="A36" s="6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>
      <c r="A37" s="6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>
      <c r="A38" s="6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>
      <c r="A39" s="6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>
      <c r="A40" s="6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>
      <c r="A41" s="6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>
      <c r="A42" s="6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>
      <c r="A43" s="6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>
      <c r="A44" s="6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>
      <c r="A45" s="6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>
      <c r="A46" s="6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>
      <c r="A47" s="6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>
      <c r="A48" s="6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>
      <c r="A49" s="6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>
      <c r="A50" s="6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>
      <c r="A51" s="6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>
      <c r="A52" s="6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>
      <c r="A53" s="6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>
      <c r="A54" s="6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>
      <c r="A55" s="6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>
      <c r="A56" s="6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>
      <c r="A57" s="6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>
      <c r="A58" s="6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>
      <c r="A59" s="6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>
      <c r="A60" s="6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>
      <c r="A61" s="6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>
      <c r="A62" s="6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>
      <c r="A63" s="6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>
      <c r="A64" s="6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>
      <c r="A65" s="6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>
      <c r="A66" s="6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>
      <c r="A67" s="6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>
      <c r="A68" s="6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>
      <c r="A69" s="6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>
      <c r="A70" s="6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>
      <c r="A71" s="6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>
      <c r="A72" s="6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>
      <c r="A73" s="6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>
      <c r="A74" s="6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>
      <c r="A75" s="6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>
      <c r="A76" s="6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>
      <c r="A77" s="6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>
      <c r="A78" s="6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>
      <c r="A79" s="6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>
      <c r="A80" s="6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>
      <c r="A81" s="6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>
      <c r="A82" s="6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>
      <c r="A83" s="6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>
      <c r="A84" s="6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>
      <c r="A85" s="6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>
      <c r="A86" s="6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>
      <c r="A87" s="6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>
      <c r="A88" s="6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>
      <c r="A89" s="6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>
      <c r="A90" s="6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>
      <c r="A91" s="6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>
      <c r="A92" s="6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>
      <c r="A93" s="6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>
      <c r="A94" s="6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>
      <c r="A95" s="6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>
      <c r="A96" s="6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>
      <c r="A97" s="6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>
      <c r="A98" s="6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>
      <c r="A99" s="6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>
      <c r="A100" s="6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>
      <c r="A101" s="6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>
      <c r="A102" s="6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>
      <c r="A103" s="6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>
      <c r="A104" s="6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>
      <c r="A105" s="6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>
      <c r="A106" s="6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>
      <c r="A107" s="6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>
      <c r="A108" s="6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>
      <c r="A109" s="6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>
      <c r="A110" s="6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>
      <c r="A111" s="6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>
      <c r="A112" s="6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>
      <c r="A113" s="6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>
      <c r="A114" s="6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>
      <c r="A115" s="6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>
      <c r="A116" s="6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>
      <c r="A117" s="6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>
      <c r="A118" s="6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>
      <c r="A119" s="6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>
      <c r="A120" s="6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>
      <c r="A121" s="6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>
      <c r="A122" s="6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>
      <c r="A123" s="6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>
      <c r="A124" s="6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>
      <c r="A125" s="6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>
      <c r="A126" s="6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>
      <c r="A127" s="6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>
      <c r="A128" s="6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>
      <c r="A129" s="6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>
      <c r="A130" s="6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>
      <c r="A131" s="6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>
      <c r="A132" s="6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>
      <c r="A133" s="6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>
      <c r="A134" s="6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>
      <c r="A135" s="6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>
      <c r="A136" s="6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>
      <c r="A137" s="6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>
      <c r="A138" s="6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>
      <c r="A139" s="6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>
      <c r="A140" s="6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>
      <c r="A141" s="6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>
      <c r="A142" s="6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>
      <c r="A143" s="6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>
      <c r="A144" s="6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>
      <c r="A145" s="6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>
      <c r="A146" s="6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>
      <c r="A147" s="6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>
      <c r="A148" s="6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>
      <c r="A149" s="6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>
      <c r="A150" s="6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>
      <c r="A151" s="6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>
      <c r="A152" s="6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>
      <c r="A153" s="6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>
      <c r="A154" s="6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>
      <c r="A155" s="6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>
      <c r="A156" s="6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>
      <c r="A157" s="6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>
      <c r="A158" s="6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>
      <c r="A159" s="6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>
      <c r="A160" s="6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>
      <c r="A161" s="6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>
      <c r="A162" s="6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>
      <c r="A163" s="6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>
      <c r="A164" s="6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>
      <c r="A165" s="6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>
      <c r="A166" s="6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>
      <c r="A167" s="6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>
      <c r="A168" s="6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>
      <c r="A169" s="6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>
      <c r="A170" s="6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>
      <c r="A171" s="6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>
      <c r="A172" s="6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>
      <c r="A173" s="6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>
      <c r="A174" s="6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>
      <c r="A175" s="6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>
      <c r="A176" s="6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>
      <c r="A177" s="6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>
      <c r="A178" s="6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>
      <c r="A179" s="6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>
      <c r="A180" s="6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>
      <c r="A181" s="6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>
      <c r="A182" s="6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>
      <c r="A183" s="6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>
      <c r="A184" s="6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>
      <c r="A185" s="6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>
      <c r="A186" s="6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>
      <c r="A187" s="6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>
      <c r="A188" s="6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>
      <c r="A189" s="6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>
      <c r="A190" s="6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>
      <c r="A191" s="6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>
      <c r="A192" s="6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>
      <c r="A193" s="6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>
      <c r="A194" s="6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>
      <c r="A195" s="6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>
      <c r="A196" s="6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>
      <c r="A197" s="6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>
      <c r="A198" s="6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>
      <c r="A199" s="6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>
      <c r="A200" s="6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>
      <c r="A201" s="6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>
      <c r="A202" s="6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>
      <c r="A203" s="6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>
      <c r="A204" s="6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>
      <c r="A205" s="6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>
      <c r="A206" s="6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>
      <c r="A207" s="6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>
      <c r="A208" s="6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>
      <c r="A209" s="6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>
      <c r="A210" s="6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>
      <c r="A211" s="6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>
      <c r="A212" s="6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>
      <c r="A213" s="6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>
      <c r="A214" s="6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>
      <c r="A215" s="6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>
      <c r="A216" s="6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>
      <c r="A217" s="6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>
      <c r="A218" s="6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>
      <c r="A219" s="6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>
      <c r="A220" s="6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>
      <c r="A221" s="6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>
      <c r="A222" s="6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>
      <c r="A223" s="6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>
      <c r="A224" s="6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>
      <c r="A225" s="6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>
      <c r="A226" s="6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>
      <c r="A227" s="6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>
      <c r="A228" s="6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>
      <c r="A229" s="6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>
      <c r="A230" s="6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>
      <c r="A231" s="6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>
      <c r="A232" s="6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>
      <c r="A233" s="6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>
      <c r="A234" s="6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>
      <c r="A235" s="6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>
      <c r="A236" s="6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>
      <c r="A237" s="6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>
      <c r="A238" s="6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>
      <c r="A239" s="6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>
      <c r="A240" s="6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>
      <c r="A241" s="6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>
      <c r="A242" s="6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>
      <c r="A243" s="6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>
      <c r="A244" s="6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>
      <c r="A245" s="6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>
      <c r="A246" s="6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>
      <c r="A247" s="6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>
      <c r="A248" s="6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>
      <c r="A249" s="6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>
      <c r="A250" s="6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>
      <c r="A251" s="6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>
      <c r="A252" s="6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>
      <c r="A253" s="6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>
      <c r="A254" s="6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>
      <c r="A255" s="6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>
      <c r="A256" s="6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>
      <c r="A257" s="6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>
      <c r="A258" s="6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>
      <c r="A259" s="6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>
      <c r="A260" s="6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>
      <c r="A261" s="6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>
      <c r="A262" s="6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>
      <c r="A263" s="6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>
      <c r="A264" s="6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>
      <c r="A265" s="6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>
      <c r="A266" s="6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>
      <c r="A267" s="6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>
      <c r="A268" s="6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>
      <c r="A269" s="6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>
      <c r="A270" s="6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>
      <c r="A271" s="6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>
      <c r="A272" s="6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>
      <c r="A273" s="6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>
      <c r="A274" s="6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>
      <c r="A275" s="6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>
      <c r="A276" s="6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>
      <c r="A277" s="6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>
      <c r="A278" s="6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>
      <c r="A279" s="6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>
      <c r="A280" s="6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>
      <c r="A281" s="6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>
      <c r="A282" s="6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>
      <c r="A283" s="6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>
      <c r="A284" s="6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>
      <c r="A285" s="6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>
      <c r="A286" s="6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>
      <c r="A287" s="6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>
      <c r="A288" s="6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>
      <c r="A289" s="6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>
      <c r="A290" s="6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>
      <c r="A291" s="6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>
      <c r="A292" s="6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>
      <c r="A293" s="6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>
      <c r="A294" s="6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>
      <c r="A295" s="6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>
      <c r="A296" s="6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>
      <c r="A297" s="6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>
      <c r="A298" s="6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>
      <c r="A299" s="6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>
      <c r="A300" s="6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>
      <c r="A301" s="6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>
      <c r="A302" s="6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>
      <c r="A303" s="6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>
      <c r="A304" s="6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>
      <c r="A305" s="6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>
      <c r="A306" s="6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>
      <c r="A307" s="6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>
      <c r="A308" s="6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>
      <c r="A309" s="6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>
      <c r="A310" s="6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>
      <c r="A311" s="6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>
      <c r="A312" s="6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>
      <c r="A313" s="6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>
      <c r="A314" s="6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>
      <c r="A315" s="6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>
      <c r="A316" s="6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>
      <c r="A317" s="6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>
      <c r="A318" s="6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>
      <c r="A319" s="6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>
      <c r="A320" s="6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>
      <c r="A321" s="6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>
      <c r="A322" s="6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>
      <c r="A323" s="6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>
      <c r="A324" s="6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>
      <c r="A325" s="6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>
      <c r="A326" s="6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>
      <c r="A327" s="6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>
      <c r="A328" s="6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>
      <c r="A329" s="6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>
      <c r="A330" s="6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>
      <c r="A331" s="6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>
      <c r="A332" s="6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>
      <c r="A333" s="6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>
      <c r="A334" s="6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>
      <c r="A335" s="6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>
      <c r="A336" s="6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>
      <c r="A337" s="6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>
      <c r="A338" s="6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>
      <c r="A339" s="6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>
      <c r="A340" s="6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>
      <c r="A341" s="6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>
      <c r="A342" s="6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>
      <c r="A343" s="6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>
      <c r="A344" s="6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>
      <c r="A345" s="6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>
      <c r="A346" s="6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>
      <c r="A347" s="6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>
      <c r="A348" s="6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>
      <c r="A349" s="6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>
      <c r="A350" s="6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>
      <c r="A351" s="6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>
      <c r="A352" s="6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>
      <c r="A353" s="6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>
      <c r="A354" s="6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>
      <c r="A355" s="6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>
      <c r="A356" s="6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>
      <c r="A357" s="6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>
      <c r="A358" s="6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>
      <c r="A359" s="6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>
      <c r="A360" s="6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>
      <c r="A361" s="6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>
      <c r="A362" s="6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>
      <c r="A363" s="6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>
      <c r="A364" s="6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>
      <c r="A365" s="6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>
      <c r="A366" s="6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>
      <c r="A367" s="6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>
      <c r="A368" s="6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>
      <c r="A369" s="6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>
      <c r="A370" s="6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>
      <c r="A371" s="6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>
      <c r="A372" s="6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>
      <c r="A373" s="6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>
      <c r="A374" s="6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>
      <c r="A375" s="6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>
      <c r="A376" s="6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>
      <c r="A377" s="6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>
      <c r="A378" s="6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>
      <c r="A379" s="6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>
      <c r="A380" s="6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>
      <c r="A381" s="6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>
      <c r="A382" s="6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>
      <c r="A383" s="6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>
      <c r="A384" s="6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>
      <c r="A385" s="6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>
      <c r="A386" s="6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>
      <c r="A387" s="6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>
      <c r="A388" s="6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>
      <c r="A389" s="6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>
      <c r="A390" s="6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>
      <c r="A391" s="6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>
      <c r="A392" s="6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>
      <c r="A393" s="6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>
      <c r="A394" s="6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>
      <c r="A395" s="6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>
      <c r="A396" s="6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>
      <c r="A397" s="6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>
      <c r="A398" s="6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>
      <c r="A399" s="6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>
      <c r="A400" s="6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>
      <c r="A401" s="6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>
      <c r="A402" s="6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>
      <c r="A403" s="6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>
      <c r="A404" s="6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>
      <c r="A405" s="6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>
      <c r="A406" s="6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>
      <c r="A407" s="6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>
      <c r="A408" s="6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>
      <c r="A409" s="6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>
      <c r="A410" s="6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>
      <c r="A411" s="6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>
      <c r="A412" s="6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>
      <c r="A413" s="6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>
      <c r="A414" s="6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>
      <c r="A415" s="6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>
      <c r="A416" s="6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>
      <c r="A417" s="6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>
      <c r="A418" s="6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>
      <c r="A419" s="6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>
      <c r="A420" s="6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>
      <c r="A421" s="6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>
      <c r="A422" s="6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>
      <c r="A423" s="6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>
      <c r="A424" s="6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>
      <c r="A425" s="6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>
      <c r="A426" s="6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>
      <c r="A427" s="6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>
      <c r="A428" s="6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>
      <c r="A429" s="6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>
      <c r="A430" s="6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>
      <c r="A431" s="6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>
      <c r="A432" s="6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>
      <c r="A433" s="6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>
      <c r="A434" s="6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>
      <c r="A435" s="6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>
      <c r="A436" s="6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>
      <c r="A437" s="6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>
      <c r="A438" s="6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>
      <c r="A439" s="6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>
      <c r="A440" s="6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>
      <c r="A441" s="6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>
      <c r="A442" s="6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>
      <c r="A443" s="6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>
      <c r="A444" s="6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>
      <c r="A445" s="6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>
      <c r="A446" s="6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>
      <c r="A447" s="6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>
      <c r="A448" s="6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>
      <c r="A449" s="6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>
      <c r="A450" s="6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>
      <c r="A451" s="6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>
      <c r="A452" s="6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>
      <c r="A453" s="6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>
      <c r="A454" s="6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>
      <c r="A455" s="6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>
      <c r="A456" s="6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>
      <c r="A457" s="6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>
      <c r="A458" s="6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>
      <c r="A459" s="6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>
      <c r="A460" s="6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>
      <c r="A461" s="6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>
      <c r="A462" s="6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>
      <c r="A463" s="6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>
      <c r="A464" s="6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>
      <c r="A465" s="6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>
      <c r="A466" s="6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>
      <c r="A467" s="6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>
      <c r="A468" s="6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>
      <c r="A469" s="6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>
      <c r="A470" s="6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>
      <c r="A471" s="6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>
      <c r="A472" s="6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>
      <c r="A473" s="6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>
      <c r="A474" s="6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>
      <c r="A475" s="6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>
      <c r="A476" s="6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>
      <c r="A477" s="6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>
      <c r="A478" s="6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>
      <c r="A479" s="6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>
      <c r="A480" s="6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>
      <c r="A481" s="6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>
      <c r="A482" s="6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>
      <c r="A483" s="6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>
      <c r="A484" s="6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>
      <c r="A485" s="6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>
      <c r="A486" s="6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>
      <c r="A487" s="6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>
      <c r="A488" s="6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>
      <c r="A489" s="6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>
      <c r="A490" s="6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>
      <c r="A491" s="6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>
      <c r="A492" s="6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>
      <c r="A493" s="6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>
      <c r="A494" s="6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>
      <c r="A495" s="6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>
      <c r="A496" s="6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>
      <c r="A497" s="6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>
      <c r="A498" s="6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>
      <c r="A499" s="6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>
      <c r="A500" s="6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>
      <c r="A501" s="6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>
      <c r="A502" s="6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>
      <c r="A503" s="6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>
      <c r="A504" s="6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>
      <c r="A505" s="6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>
      <c r="A506" s="6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>
      <c r="A507" s="6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>
      <c r="A508" s="6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>
      <c r="A509" s="6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>
      <c r="A510" s="6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>
      <c r="A511" s="6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>
      <c r="A512" s="6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>
      <c r="A513" s="6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>
      <c r="A514" s="6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>
      <c r="A515" s="6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>
      <c r="A516" s="6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>
      <c r="A517" s="6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>
      <c r="A518" s="6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>
      <c r="A519" s="6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>
      <c r="A520" s="6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>
      <c r="A521" s="6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>
      <c r="A522" s="6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>
      <c r="A523" s="6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>
      <c r="A524" s="6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>
      <c r="A525" s="6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>
      <c r="A526" s="6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>
      <c r="A527" s="6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>
      <c r="A528" s="6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>
      <c r="A529" s="6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>
      <c r="A530" s="6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>
      <c r="A531" s="6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>
      <c r="A532" s="6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>
      <c r="A533" s="6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>
      <c r="A534" s="6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>
      <c r="A535" s="6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>
      <c r="A536" s="6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>
      <c r="A537" s="6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>
      <c r="A538" s="6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>
      <c r="A539" s="6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>
      <c r="A540" s="6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>
      <c r="A541" s="6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>
      <c r="A542" s="6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>
      <c r="A543" s="6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>
      <c r="A544" s="6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>
      <c r="A545" s="6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>
      <c r="A546" s="6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>
      <c r="A547" s="6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>
      <c r="A548" s="6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>
      <c r="A549" s="6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>
      <c r="A550" s="6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>
      <c r="A551" s="6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>
      <c r="A552" s="6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>
      <c r="A553" s="6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>
      <c r="A554" s="6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>
      <c r="A555" s="6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>
      <c r="A556" s="6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>
      <c r="A557" s="6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>
      <c r="A558" s="6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>
      <c r="A559" s="6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>
      <c r="A560" s="6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>
      <c r="A561" s="6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>
      <c r="A562" s="6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>
      <c r="A563" s="6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>
      <c r="A564" s="6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>
      <c r="A565" s="6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>
      <c r="A566" s="6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>
      <c r="A567" s="6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>
      <c r="A568" s="6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>
      <c r="A569" s="6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>
      <c r="A570" s="6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>
      <c r="A571" s="6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>
      <c r="A572" s="6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>
      <c r="A573" s="6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>
      <c r="A574" s="6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>
      <c r="A575" s="6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>
      <c r="A576" s="6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>
      <c r="A577" s="6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>
      <c r="A578" s="6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>
      <c r="A579" s="6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>
      <c r="A580" s="6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>
      <c r="A581" s="6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>
      <c r="A582" s="6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>
      <c r="A583" s="6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>
      <c r="A584" s="6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>
      <c r="A585" s="6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>
      <c r="A586" s="6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>
      <c r="A587" s="6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>
      <c r="A588" s="6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>
      <c r="A589" s="6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>
      <c r="A590" s="6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>
      <c r="A591" s="6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>
      <c r="A592" s="6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>
      <c r="A593" s="6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>
      <c r="A594" s="6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>
      <c r="A595" s="6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>
      <c r="A596" s="6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>
      <c r="A597" s="6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>
      <c r="A598" s="6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>
      <c r="A599" s="6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>
      <c r="A600" s="6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>
      <c r="A601" s="6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>
      <c r="A602" s="6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>
      <c r="A603" s="6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>
      <c r="A604" s="6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>
      <c r="A605" s="6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>
      <c r="A606" s="6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>
      <c r="A607" s="6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>
      <c r="A608" s="6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>
      <c r="A609" s="6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>
      <c r="A610" s="6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>
      <c r="A611" s="6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>
      <c r="A612" s="6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>
      <c r="A613" s="6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>
      <c r="A614" s="6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>
      <c r="A615" s="6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>
      <c r="A616" s="6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>
      <c r="A617" s="6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>
      <c r="A618" s="6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>
      <c r="A619" s="6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>
      <c r="A620" s="6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>
      <c r="A621" s="6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>
      <c r="A622" s="6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>
      <c r="A623" s="6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>
      <c r="A624" s="6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>
      <c r="A625" s="6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>
      <c r="A626" s="6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>
      <c r="A627" s="6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>
      <c r="A628" s="6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>
      <c r="A629" s="6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>
      <c r="A630" s="6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>
      <c r="A631" s="6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>
      <c r="A632" s="6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>
      <c r="A633" s="6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>
      <c r="A634" s="6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>
      <c r="A635" s="6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>
      <c r="A636" s="6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>
      <c r="A637" s="6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>
      <c r="A638" s="6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>
      <c r="A639" s="6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>
      <c r="A640" s="6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>
      <c r="A641" s="6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>
      <c r="A642" s="6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>
      <c r="A643" s="6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>
      <c r="A644" s="6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>
      <c r="A645" s="6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>
      <c r="A646" s="6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>
      <c r="A647" s="6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>
      <c r="A648" s="6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>
      <c r="A649" s="6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>
      <c r="A650" s="6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>
      <c r="A651" s="6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>
      <c r="A652" s="6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>
      <c r="A653" s="6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>
      <c r="A654" s="6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>
      <c r="A655" s="6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>
      <c r="A656" s="6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>
      <c r="A657" s="6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>
      <c r="A658" s="6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>
      <c r="A659" s="6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>
      <c r="A660" s="6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>
      <c r="A661" s="6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>
      <c r="A662" s="6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>
      <c r="A663" s="6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>
      <c r="A664" s="6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>
      <c r="A665" s="6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>
      <c r="A666" s="6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>
      <c r="A667" s="6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>
      <c r="A668" s="6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>
      <c r="A669" s="6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>
      <c r="A670" s="6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>
      <c r="A671" s="6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>
      <c r="A672" s="6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>
      <c r="A673" s="6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>
      <c r="A674" s="6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>
      <c r="A675" s="6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>
      <c r="A676" s="6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>
      <c r="A677" s="6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>
      <c r="A678" s="6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>
      <c r="A679" s="6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>
      <c r="A680" s="6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>
      <c r="A681" s="6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>
      <c r="A682" s="6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>
      <c r="A683" s="6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>
      <c r="A684" s="6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>
      <c r="A685" s="6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>
      <c r="A686" s="6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>
      <c r="A687" s="6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>
      <c r="A688" s="6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>
      <c r="A689" s="6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>
      <c r="A690" s="6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>
      <c r="A691" s="6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>
      <c r="A692" s="6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>
      <c r="A693" s="6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>
      <c r="A694" s="6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>
      <c r="A695" s="6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>
      <c r="A696" s="6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>
      <c r="A697" s="6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>
      <c r="A698" s="6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>
      <c r="A699" s="6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>
      <c r="A700" s="6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>
      <c r="A701" s="6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>
      <c r="A702" s="6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>
      <c r="A703" s="6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>
      <c r="A704" s="6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>
      <c r="A705" s="6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>
      <c r="A706" s="6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>
      <c r="A707" s="6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>
      <c r="A708" s="6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>
      <c r="A709" s="6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>
      <c r="A710" s="6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>
      <c r="A711" s="6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>
      <c r="A712" s="6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>
      <c r="A713" s="6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>
      <c r="A714" s="6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>
      <c r="A715" s="6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>
      <c r="A716" s="6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>
      <c r="A717" s="6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>
      <c r="A718" s="6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>
      <c r="A719" s="6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>
      <c r="A720" s="6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>
      <c r="A721" s="6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>
      <c r="A722" s="6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>
      <c r="A723" s="6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>
      <c r="A724" s="6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>
      <c r="A725" s="6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>
      <c r="A726" s="6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>
      <c r="A727" s="6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>
      <c r="A728" s="6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>
      <c r="A729" s="6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>
      <c r="A730" s="6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>
      <c r="A731" s="6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>
      <c r="A732" s="6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>
      <c r="A733" s="6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>
      <c r="A734" s="6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>
      <c r="A735" s="6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>
      <c r="A736" s="6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>
      <c r="A737" s="6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>
      <c r="A738" s="6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>
      <c r="A739" s="6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>
      <c r="A740" s="6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>
      <c r="A741" s="6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>
      <c r="A742" s="6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>
      <c r="A743" s="6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>
      <c r="A744" s="6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>
      <c r="A745" s="6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>
      <c r="A746" s="6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>
      <c r="A747" s="6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>
      <c r="A748" s="6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>
      <c r="A749" s="6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>
      <c r="A750" s="6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>
      <c r="A751" s="6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>
      <c r="A752" s="6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>
      <c r="A753" s="6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>
      <c r="A754" s="6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>
      <c r="A755" s="6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>
      <c r="A756" s="6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>
      <c r="A757" s="6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>
      <c r="A758" s="6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>
      <c r="A759" s="6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>
      <c r="A760" s="6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>
      <c r="A761" s="6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>
      <c r="A762" s="6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>
      <c r="A763" s="6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>
      <c r="A764" s="6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>
      <c r="A765" s="6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>
      <c r="A766" s="6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>
      <c r="A767" s="6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>
      <c r="A768" s="6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>
      <c r="A769" s="6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>
      <c r="A770" s="6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>
      <c r="A771" s="6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>
      <c r="A772" s="6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>
      <c r="A773" s="6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>
      <c r="A774" s="6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>
      <c r="A775" s="6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>
      <c r="A776" s="6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>
      <c r="A777" s="6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>
      <c r="A778" s="6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>
      <c r="A779" s="6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>
      <c r="A780" s="6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>
      <c r="A781" s="6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>
      <c r="A782" s="6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>
      <c r="A783" s="6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>
      <c r="A784" s="6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>
      <c r="A785" s="6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>
      <c r="A786" s="6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>
      <c r="A787" s="6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>
      <c r="A788" s="6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>
      <c r="A789" s="6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>
      <c r="A790" s="6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>
      <c r="A791" s="6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>
      <c r="A792" s="6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>
      <c r="A793" s="6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>
      <c r="A794" s="6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>
      <c r="A795" s="6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>
      <c r="A796" s="6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>
      <c r="A797" s="6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>
      <c r="A798" s="6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>
      <c r="A799" s="6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>
      <c r="A800" s="6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>
      <c r="A801" s="6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>
      <c r="A802" s="6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>
      <c r="A803" s="6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>
      <c r="A804" s="6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>
      <c r="A805" s="6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>
      <c r="A806" s="6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>
      <c r="A807" s="6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>
      <c r="A808" s="6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>
      <c r="A809" s="6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>
      <c r="A810" s="6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>
      <c r="A811" s="6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>
      <c r="A812" s="6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>
      <c r="A813" s="6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>
      <c r="A814" s="6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>
      <c r="A815" s="6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>
      <c r="A816" s="6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>
      <c r="A817" s="6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>
      <c r="A818" s="6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>
      <c r="A819" s="6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>
      <c r="A820" s="6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>
      <c r="A821" s="6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>
      <c r="A822" s="6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>
      <c r="A823" s="6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>
      <c r="A824" s="6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>
      <c r="A825" s="6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>
      <c r="A826" s="6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>
      <c r="A827" s="6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>
      <c r="A828" s="6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>
      <c r="A829" s="6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>
      <c r="A830" s="6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>
      <c r="A831" s="6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>
      <c r="A832" s="6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>
      <c r="A833" s="6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>
      <c r="A834" s="6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>
      <c r="A835" s="6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>
      <c r="A836" s="6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>
      <c r="A837" s="6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>
      <c r="A838" s="6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>
      <c r="A839" s="6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>
      <c r="A840" s="6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>
      <c r="A841" s="6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>
      <c r="A842" s="6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>
      <c r="A843" s="6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>
      <c r="A844" s="6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>
      <c r="A845" s="6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>
      <c r="A846" s="6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>
      <c r="A847" s="6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>
      <c r="A848" s="6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>
      <c r="A849" s="6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>
      <c r="A850" s="6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>
      <c r="A851" s="6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>
      <c r="A852" s="6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>
      <c r="A853" s="6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>
      <c r="A854" s="6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>
      <c r="A855" s="6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>
      <c r="A856" s="6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>
      <c r="A857" s="6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>
      <c r="A858" s="6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>
      <c r="A859" s="6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>
      <c r="A860" s="6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>
      <c r="A861" s="6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>
      <c r="A862" s="6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>
      <c r="A863" s="6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>
      <c r="A864" s="6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>
      <c r="A865" s="6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>
      <c r="A866" s="6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>
      <c r="A867" s="6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>
      <c r="A868" s="6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>
      <c r="A869" s="6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>
      <c r="A870" s="6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>
      <c r="A871" s="6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>
      <c r="A872" s="6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>
      <c r="A873" s="6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>
      <c r="A874" s="6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>
      <c r="A875" s="6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>
      <c r="A876" s="6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>
      <c r="A877" s="6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>
      <c r="A878" s="6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>
      <c r="A879" s="6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>
      <c r="A880" s="6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>
      <c r="A881" s="6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>
      <c r="A882" s="6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>
      <c r="A883" s="6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>
      <c r="A884" s="6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>
      <c r="A885" s="6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>
      <c r="A886" s="6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>
      <c r="A887" s="6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>
      <c r="A888" s="6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>
      <c r="A889" s="6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>
      <c r="A890" s="6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>
      <c r="A891" s="6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>
      <c r="A892" s="6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>
      <c r="A893" s="6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>
      <c r="A894" s="6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>
      <c r="A895" s="6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>
      <c r="A896" s="6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>
      <c r="A897" s="6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>
      <c r="A898" s="6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>
      <c r="A899" s="6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>
      <c r="A900" s="6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>
      <c r="A901" s="6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>
      <c r="A902" s="6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>
      <c r="A903" s="6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>
      <c r="A904" s="6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>
      <c r="A905" s="6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>
      <c r="A906" s="6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>
      <c r="A907" s="6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>
      <c r="A908" s="6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>
      <c r="A909" s="6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>
      <c r="A910" s="6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>
      <c r="A911" s="6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>
      <c r="A912" s="6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>
      <c r="A913" s="6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>
      <c r="A914" s="6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>
      <c r="A915" s="6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>
      <c r="A916" s="6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>
      <c r="A917" s="6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>
      <c r="A918" s="6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>
      <c r="A919" s="6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>
      <c r="A920" s="6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>
      <c r="A921" s="6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>
      <c r="A922" s="6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>
      <c r="A923" s="6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>
      <c r="A924" s="6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>
      <c r="A925" s="6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>
      <c r="A926" s="6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>
      <c r="A927" s="6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>
      <c r="A928" s="6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>
      <c r="A929" s="6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>
      <c r="A930" s="6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>
      <c r="A931" s="6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>
      <c r="A932" s="6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>
      <c r="A933" s="6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>
      <c r="A934" s="6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>
      <c r="A935" s="6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>
      <c r="A936" s="6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>
      <c r="A937" s="6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>
      <c r="A938" s="6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>
      <c r="A939" s="6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>
      <c r="A940" s="6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>
      <c r="A941" s="6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>
      <c r="A942" s="6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>
      <c r="A943" s="6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>
      <c r="A944" s="6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>
      <c r="A945" s="6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>
      <c r="A946" s="6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>
      <c r="A947" s="6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>
      <c r="A948" s="6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>
      <c r="A949" s="6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>
      <c r="A950" s="6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>
      <c r="A951" s="6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>
      <c r="A952" s="6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>
      <c r="A953" s="6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>
      <c r="A954" s="6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>
      <c r="A955" s="6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>
      <c r="A956" s="6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>
      <c r="A957" s="6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>
      <c r="A958" s="6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>
      <c r="A959" s="6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>
      <c r="A960" s="6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>
      <c r="A961" s="6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>
      <c r="A962" s="6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>
      <c r="A963" s="6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>
      <c r="A964" s="6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>
      <c r="A965" s="6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>
      <c r="A966" s="6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>
      <c r="A967" s="6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>
      <c r="A968" s="6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>
      <c r="A969" s="6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>
      <c r="A970" s="6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>
      <c r="A971" s="6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>
      <c r="A972" s="6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>
      <c r="A973" s="6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>
      <c r="A974" s="6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>
      <c r="A975" s="6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>
      <c r="A976" s="6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>
      <c r="A977" s="6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>
      <c r="A978" s="6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>
      <c r="A979" s="6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>
      <c r="A980" s="6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>
      <c r="A981" s="6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>
      <c r="A982" s="6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>
      <c r="A983" s="6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>
      <c r="A984" s="6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>
      <c r="A985" s="6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>
      <c r="A986" s="6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>
      <c r="A987" s="6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>
      <c r="A988" s="6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>
      <c r="A989" s="6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>
      <c r="A990" s="6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>
      <c r="A991" s="6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>
      <c r="A992" s="6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>
      <c r="A993" s="6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>
      <c r="A994" s="6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>
      <c r="A995" s="6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38"/>
  </cols>
  <sheetData>
    <row r="1">
      <c r="A1" s="30" t="str">
        <f>Specs!E1</f>
        <v>Wireless</v>
      </c>
      <c r="B1" s="62" t="s">
        <v>137</v>
      </c>
      <c r="C1" s="62" t="s">
        <v>138</v>
      </c>
      <c r="D1" s="62" t="s">
        <v>139</v>
      </c>
      <c r="E1" s="62" t="s">
        <v>140</v>
      </c>
      <c r="F1" s="62" t="s">
        <v>141</v>
      </c>
      <c r="G1" s="62" t="s">
        <v>142</v>
      </c>
      <c r="H1" s="62" t="s">
        <v>143</v>
      </c>
      <c r="I1" s="62" t="s">
        <v>144</v>
      </c>
      <c r="J1" s="62" t="s">
        <v>145</v>
      </c>
      <c r="K1" s="62" t="s">
        <v>146</v>
      </c>
      <c r="L1" s="62" t="s">
        <v>147</v>
      </c>
      <c r="M1" s="62" t="s">
        <v>148</v>
      </c>
      <c r="N1" s="62" t="s">
        <v>149</v>
      </c>
      <c r="O1" s="62" t="s">
        <v>150</v>
      </c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</row>
    <row r="2">
      <c r="A2" s="37" t="str">
        <f>Specs!E2</f>
        <v>Loại Access Point (indoor/outdoor)</v>
      </c>
      <c r="B2" s="64" t="s">
        <v>151</v>
      </c>
      <c r="C2" s="64" t="s">
        <v>151</v>
      </c>
      <c r="D2" s="64" t="s">
        <v>151</v>
      </c>
      <c r="E2" s="64" t="s">
        <v>151</v>
      </c>
      <c r="F2" s="64" t="s">
        <v>151</v>
      </c>
      <c r="G2" s="64" t="s">
        <v>151</v>
      </c>
      <c r="H2" s="64" t="s">
        <v>151</v>
      </c>
      <c r="I2" s="64" t="s">
        <v>151</v>
      </c>
      <c r="J2" s="64" t="s">
        <v>151</v>
      </c>
      <c r="K2" s="64" t="s">
        <v>151</v>
      </c>
      <c r="L2" s="64" t="s">
        <v>152</v>
      </c>
      <c r="M2" s="64" t="s">
        <v>152</v>
      </c>
      <c r="N2" s="64" t="s">
        <v>152</v>
      </c>
      <c r="O2" s="64" t="s">
        <v>152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>
      <c r="A3" s="37" t="str">
        <f>Specs!E3</f>
        <v>Công nghệ WiFi (WiFi6/WiFi7)</v>
      </c>
      <c r="B3" s="64" t="s">
        <v>153</v>
      </c>
      <c r="C3" s="64" t="s">
        <v>153</v>
      </c>
      <c r="D3" s="64" t="s">
        <v>153</v>
      </c>
      <c r="E3" s="64" t="s">
        <v>153</v>
      </c>
      <c r="F3" s="64" t="s">
        <v>153</v>
      </c>
      <c r="G3" s="64" t="s">
        <v>154</v>
      </c>
      <c r="H3" s="64" t="s">
        <v>154</v>
      </c>
      <c r="I3" s="64" t="s">
        <v>154</v>
      </c>
      <c r="J3" s="64" t="s">
        <v>154</v>
      </c>
      <c r="K3" s="64" t="s">
        <v>154</v>
      </c>
      <c r="L3" s="64" t="s">
        <v>155</v>
      </c>
      <c r="M3" s="64" t="s">
        <v>155</v>
      </c>
      <c r="N3" s="64" t="s">
        <v>155</v>
      </c>
      <c r="O3" s="64" t="s">
        <v>153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>
      <c r="A4" s="37" t="str">
        <f>Specs!E4</f>
        <v>Số lượng người dùng trong phạm vi phủ sóng 1 AP</v>
      </c>
      <c r="B4" s="64">
        <v>400.0</v>
      </c>
      <c r="C4" s="64">
        <v>400.0</v>
      </c>
      <c r="D4" s="64">
        <v>400.0</v>
      </c>
      <c r="E4" s="64">
        <v>400.0</v>
      </c>
      <c r="F4" s="64">
        <v>400.0</v>
      </c>
      <c r="G4" s="64">
        <v>256.0</v>
      </c>
      <c r="H4" s="64">
        <v>256.0</v>
      </c>
      <c r="I4" s="64">
        <v>400.0</v>
      </c>
      <c r="J4" s="64">
        <v>400.0</v>
      </c>
      <c r="K4" s="64">
        <v>400.0</v>
      </c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>
      <c r="A5" s="37" t="str">
        <f>Specs!E5</f>
        <v>Bán kính phủ sóng (m)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>
      <c r="A6" s="37" t="s">
        <v>156</v>
      </c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>
      <c r="A7" s="37" t="s">
        <v>157</v>
      </c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>
      <c r="A8" s="37" t="s">
        <v>158</v>
      </c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>
      <c r="A9" s="37" t="str">
        <f>Specs!E9</f>
        <v/>
      </c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>
      <c r="A10" s="37" t="str">
        <f>Specs!E10</f>
        <v/>
      </c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>
      <c r="A11" s="36" t="s">
        <v>159</v>
      </c>
      <c r="B11" s="51" t="str">
        <f t="shared" ref="B11:P11" si="1">if(ISNUMBER(find("WiFi6",B3)),"Mid Range",if(ISNUMBER(find("WiFi7",B3)),"High End",""))</f>
        <v>Mid Range</v>
      </c>
      <c r="C11" s="51" t="str">
        <f t="shared" si="1"/>
        <v>Mid Range</v>
      </c>
      <c r="D11" s="51" t="str">
        <f t="shared" si="1"/>
        <v>Mid Range</v>
      </c>
      <c r="E11" s="51" t="str">
        <f t="shared" si="1"/>
        <v>Mid Range</v>
      </c>
      <c r="F11" s="51" t="str">
        <f t="shared" si="1"/>
        <v>Mid Range</v>
      </c>
      <c r="G11" s="51" t="str">
        <f t="shared" si="1"/>
        <v>High End</v>
      </c>
      <c r="H11" s="51" t="str">
        <f t="shared" si="1"/>
        <v>High End</v>
      </c>
      <c r="I11" s="51" t="str">
        <f t="shared" si="1"/>
        <v>High End</v>
      </c>
      <c r="J11" s="51" t="str">
        <f t="shared" si="1"/>
        <v>High End</v>
      </c>
      <c r="K11" s="51" t="str">
        <f t="shared" si="1"/>
        <v>High End</v>
      </c>
      <c r="L11" s="51" t="str">
        <f t="shared" si="1"/>
        <v>Mid Range</v>
      </c>
      <c r="M11" s="51" t="str">
        <f t="shared" si="1"/>
        <v>Mid Range</v>
      </c>
      <c r="N11" s="51" t="str">
        <f t="shared" si="1"/>
        <v>Mid Range</v>
      </c>
      <c r="O11" s="51" t="str">
        <f t="shared" si="1"/>
        <v>Mid Range</v>
      </c>
      <c r="P11" s="36" t="str">
        <f t="shared" si="1"/>
        <v/>
      </c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51" t="s">
        <v>25</v>
      </c>
      <c r="AR11" s="51" t="s">
        <v>25</v>
      </c>
      <c r="AS11" s="51" t="s">
        <v>25</v>
      </c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>
      <c r="A12" s="36" t="s">
        <v>27</v>
      </c>
      <c r="B12" s="53">
        <f>iferror(vlookup(B1,AllListPrice!$A$2:$D$1000,4,0),0)</f>
        <v>5585.79</v>
      </c>
      <c r="C12" s="53">
        <f>iferror(vlookup(C1,AllListPrice!$A$2:$D$1000,4,0),0)</f>
        <v>3076.63</v>
      </c>
      <c r="D12" s="53">
        <f>iferror(vlookup(D1,AllListPrice!$A$2:$D$1000,4,0),0)</f>
        <v>4438.98</v>
      </c>
      <c r="E12" s="53">
        <f>iferror(vlookup(E1,AllListPrice!$A$2:$D$1000,4,0),0)</f>
        <v>4870.07</v>
      </c>
      <c r="F12" s="53">
        <f>iferror(vlookup(F1,AllListPrice!$A$2:$D$1000,4,0),0)</f>
        <v>5301.15</v>
      </c>
      <c r="G12" s="53">
        <f>iferror(vlookup(G1,AllListPrice!$A$2:$D$1000,4,0),0)</f>
        <v>3173.83</v>
      </c>
      <c r="H12" s="53">
        <f>iferror(vlookup(H1,AllListPrice!$A$2:$D$1000,4,0),0)</f>
        <v>2870.81</v>
      </c>
      <c r="I12" s="53">
        <f>iferror(vlookup(I1,AllListPrice!$A$2:$D$1000,4,0),0)</f>
        <v>4982.71</v>
      </c>
      <c r="J12" s="53">
        <f>iferror(vlookup(J1,AllListPrice!$A$2:$D$1000,4,0),0)</f>
        <v>5437.05</v>
      </c>
      <c r="K12" s="53">
        <f>iferror(vlookup(K1,AllListPrice!$A$2:$D$1000,4,0),0)</f>
        <v>5737.19</v>
      </c>
      <c r="L12" s="53">
        <f>iferror(vlookup(L1,AllListPrice!$A$2:$D$1000,4,0),0)</f>
        <v>6120.74</v>
      </c>
      <c r="M12" s="53">
        <f>iferror(vlookup(M1,AllListPrice!$A$2:$D$1000,4,0),0)</f>
        <v>6448.47</v>
      </c>
      <c r="N12" s="53">
        <f>iferror(vlookup(N1,AllListPrice!$A$2:$D$1000,4,0),0)</f>
        <v>6448.47</v>
      </c>
      <c r="O12" s="53">
        <f>iferror(vlookup(O1,AllListPrice!$A$2:$D$1000,4,0),0)</f>
        <v>5659.86</v>
      </c>
      <c r="P12" s="53">
        <f>iferror(vlookup(P1,AllListPrice!$A$2:$D$1000,4,0),0)</f>
        <v>0</v>
      </c>
      <c r="Q12" s="53">
        <f>iferror(vlookup(Q1,AllListPrice!$A$2:$D$1000,4,0),0)</f>
        <v>0</v>
      </c>
      <c r="R12" s="53">
        <f>iferror(vlookup(R1,AllListPrice!$A$2:$D$1000,4,0),0)</f>
        <v>0</v>
      </c>
      <c r="S12" s="53">
        <f>iferror(vlookup(S1,AllListPrice!$A$2:$D$1000,4,0),0)</f>
        <v>0</v>
      </c>
      <c r="T12" s="53">
        <f>iferror(vlookup(T1,AllListPrice!$A$2:$D$1000,4,0),0)</f>
        <v>0</v>
      </c>
      <c r="U12" s="53">
        <f>iferror(vlookup(U1,AllListPrice!$A$2:$D$1000,4,0),0)</f>
        <v>0</v>
      </c>
      <c r="V12" s="53">
        <f>iferror(vlookup(V1,AllListPrice!$A$2:$D$1000,4,0),0)</f>
        <v>0</v>
      </c>
      <c r="W12" s="53">
        <f>iferror(vlookup(W1,AllListPrice!$A$2:$D$1000,4,0),0)</f>
        <v>0</v>
      </c>
      <c r="X12" s="53">
        <f>iferror(vlookup(X1,AllListPrice!$A$2:$D$1000,4,0),0)</f>
        <v>0</v>
      </c>
      <c r="Y12" s="53">
        <f>iferror(vlookup(Y1,AllListPrice!$A$2:$D$1000,4,0),0)</f>
        <v>0</v>
      </c>
      <c r="Z12" s="53">
        <f>iferror(vlookup(Z1,AllListPrice!$A$2:$D$1000,4,0),0)</f>
        <v>0</v>
      </c>
      <c r="AA12" s="53">
        <f>iferror(vlookup(AA1,AllListPrice!$A$2:$D$1000,4,0),0)</f>
        <v>0</v>
      </c>
      <c r="AB12" s="53">
        <f>iferror(vlookup(AB1,AllListPrice!$A$2:$D$1000,4,0),0)</f>
        <v>0</v>
      </c>
      <c r="AC12" s="53">
        <f>iferror(vlookup(AC1,AllListPrice!$A$2:$D$1000,4,0),0)</f>
        <v>0</v>
      </c>
      <c r="AD12" s="53">
        <f>iferror(vlookup(AD1,AllListPrice!$A$2:$D$1000,4,0),0)</f>
        <v>0</v>
      </c>
      <c r="AE12" s="53">
        <f>iferror(vlookup(AE1,AllListPrice!$A$2:$D$1000,4,0),0)</f>
        <v>0</v>
      </c>
      <c r="AF12" s="53">
        <f>iferror(vlookup(AF1,AllListPrice!$A$2:$D$1000,4,0),0)</f>
        <v>0</v>
      </c>
      <c r="AG12" s="53">
        <f>iferror(vlookup(AG1,AllListPrice!$A$2:$D$1000,4,0),0)</f>
        <v>0</v>
      </c>
      <c r="AH12" s="53">
        <f>iferror(vlookup(AH1,AllListPrice!$A$2:$D$1000,4,0),0)</f>
        <v>0</v>
      </c>
      <c r="AI12" s="53">
        <f>iferror(vlookup(AI1,AllListPrice!$A$2:$D$1000,4,0),0)</f>
        <v>0</v>
      </c>
      <c r="AJ12" s="53">
        <f>iferror(vlookup(AJ1,AllListPrice!$A$2:$D$1000,4,0),0)</f>
        <v>0</v>
      </c>
      <c r="AK12" s="53">
        <f>iferror(vlookup(AK1,AllListPrice!$A$2:$D$1000,4,0),0)</f>
        <v>0</v>
      </c>
      <c r="AL12" s="53">
        <f>iferror(vlookup(AL1,AllListPrice!$A$2:$D$1000,4,0),0)</f>
        <v>0</v>
      </c>
      <c r="AM12" s="53">
        <f>iferror(vlookup(AM1,AllListPrice!$A$2:$D$1000,4,0),0)</f>
        <v>0</v>
      </c>
      <c r="AN12" s="53">
        <f>iferror(vlookup(AN1,AllListPrice!$A$2:$D$1000,4,0),0)</f>
        <v>0</v>
      </c>
      <c r="AO12" s="53">
        <f>iferror(vlookup(AO1,AllListPrice!$A$2:$D$1000,4,0),0)</f>
        <v>0</v>
      </c>
      <c r="AP12" s="53">
        <f>iferror(vlookup(AP1,AllListPrice!$A$2:$D$1000,4,0),0)</f>
        <v>0</v>
      </c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>
      <c r="A16" s="36" t="str">
        <f t="shared" ref="A16:A17" si="2">A9</f>
        <v/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>
      <c r="A17" s="36" t="str">
        <f t="shared" si="2"/>
        <v/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  <c r="AO357" s="36"/>
      <c r="AP357" s="36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  <c r="AO359" s="36"/>
      <c r="AP359" s="36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  <c r="AO360" s="36"/>
      <c r="AP360" s="36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  <c r="AO361" s="36"/>
      <c r="AP361" s="36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36"/>
      <c r="AO362" s="36"/>
      <c r="AP362" s="36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  <c r="AO364" s="36"/>
      <c r="AP364" s="36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  <c r="AO368" s="36"/>
      <c r="AP368" s="36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  <c r="AO369" s="36"/>
      <c r="AP369" s="36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  <c r="AO370" s="36"/>
      <c r="AP370" s="36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  <c r="AO372" s="36"/>
      <c r="AP372" s="36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  <c r="AO374" s="36"/>
      <c r="AP374" s="36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  <c r="AO376" s="36"/>
      <c r="AP376" s="36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  <c r="AL377" s="36"/>
      <c r="AM377" s="36"/>
      <c r="AN377" s="36"/>
      <c r="AO377" s="36"/>
      <c r="AP377" s="36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  <c r="AO378" s="36"/>
      <c r="AP378" s="36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  <c r="AO379" s="36"/>
      <c r="AP379" s="36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  <c r="AO380" s="36"/>
      <c r="AP380" s="36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  <c r="AO381" s="36"/>
      <c r="AP381" s="36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  <c r="AO382" s="36"/>
      <c r="AP382" s="36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  <c r="AO383" s="36"/>
      <c r="AP383" s="36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  <c r="AO384" s="36"/>
      <c r="AP384" s="36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  <c r="AO385" s="36"/>
      <c r="AP385" s="36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  <c r="AO386" s="36"/>
      <c r="AP386" s="36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  <c r="AO387" s="36"/>
      <c r="AP387" s="36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  <c r="AO388" s="36"/>
      <c r="AP388" s="36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  <c r="AO389" s="36"/>
      <c r="AP389" s="36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  <c r="AO390" s="36"/>
      <c r="AP390" s="36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  <c r="AO391" s="36"/>
      <c r="AP391" s="36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36"/>
      <c r="AO392" s="36"/>
      <c r="AP392" s="36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  <c r="AO393" s="36"/>
      <c r="AP393" s="36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  <c r="AO394" s="36"/>
      <c r="AP394" s="36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  <c r="AO395" s="36"/>
      <c r="AP395" s="36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  <c r="AO396" s="36"/>
      <c r="AP396" s="36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  <c r="AO397" s="36"/>
      <c r="AP397" s="36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  <c r="AN398" s="36"/>
      <c r="AO398" s="36"/>
      <c r="AP398" s="36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  <c r="AN399" s="36"/>
      <c r="AO399" s="36"/>
      <c r="AP399" s="36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  <c r="AN400" s="36"/>
      <c r="AO400" s="36"/>
      <c r="AP400" s="36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  <c r="AL401" s="36"/>
      <c r="AM401" s="36"/>
      <c r="AN401" s="36"/>
      <c r="AO401" s="36"/>
      <c r="AP401" s="36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  <c r="AN402" s="36"/>
      <c r="AO402" s="36"/>
      <c r="AP402" s="36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  <c r="AO403" s="36"/>
      <c r="AP403" s="36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  <c r="AL404" s="36"/>
      <c r="AM404" s="36"/>
      <c r="AN404" s="36"/>
      <c r="AO404" s="36"/>
      <c r="AP404" s="36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  <c r="AL405" s="36"/>
      <c r="AM405" s="36"/>
      <c r="AN405" s="36"/>
      <c r="AO405" s="36"/>
      <c r="AP405" s="36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  <c r="AO406" s="36"/>
      <c r="AP406" s="36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36"/>
      <c r="AO407" s="36"/>
      <c r="AP407" s="36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  <c r="AO408" s="36"/>
      <c r="AP408" s="36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  <c r="AO409" s="36"/>
      <c r="AP409" s="36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  <c r="AO410" s="36"/>
      <c r="AP410" s="36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  <c r="AO411" s="36"/>
      <c r="AP411" s="36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  <c r="AN412" s="36"/>
      <c r="AO412" s="36"/>
      <c r="AP412" s="36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  <c r="AO413" s="36"/>
      <c r="AP413" s="36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  <c r="AO414" s="36"/>
      <c r="AP414" s="36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  <c r="AO415" s="36"/>
      <c r="AP415" s="36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  <c r="AO416" s="36"/>
      <c r="AP416" s="36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36"/>
      <c r="AO417" s="36"/>
      <c r="AP417" s="36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  <c r="AL418" s="36"/>
      <c r="AM418" s="36"/>
      <c r="AN418" s="36"/>
      <c r="AO418" s="36"/>
      <c r="AP418" s="36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36"/>
      <c r="AO419" s="36"/>
      <c r="AP419" s="36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36"/>
      <c r="AO420" s="36"/>
      <c r="AP420" s="36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  <c r="AO421" s="36"/>
      <c r="AP421" s="36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  <c r="AO422" s="36"/>
      <c r="AP422" s="36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  <c r="AL423" s="36"/>
      <c r="AM423" s="36"/>
      <c r="AN423" s="36"/>
      <c r="AO423" s="36"/>
      <c r="AP423" s="36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  <c r="AL424" s="36"/>
      <c r="AM424" s="36"/>
      <c r="AN424" s="36"/>
      <c r="AO424" s="36"/>
      <c r="AP424" s="36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  <c r="AL425" s="36"/>
      <c r="AM425" s="36"/>
      <c r="AN425" s="36"/>
      <c r="AO425" s="36"/>
      <c r="AP425" s="36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  <c r="AL426" s="36"/>
      <c r="AM426" s="36"/>
      <c r="AN426" s="36"/>
      <c r="AO426" s="36"/>
      <c r="AP426" s="36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  <c r="AL427" s="36"/>
      <c r="AM427" s="36"/>
      <c r="AN427" s="36"/>
      <c r="AO427" s="36"/>
      <c r="AP427" s="36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  <c r="AL428" s="36"/>
      <c r="AM428" s="36"/>
      <c r="AN428" s="36"/>
      <c r="AO428" s="36"/>
      <c r="AP428" s="36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  <c r="AL429" s="36"/>
      <c r="AM429" s="36"/>
      <c r="AN429" s="36"/>
      <c r="AO429" s="36"/>
      <c r="AP429" s="36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  <c r="AL430" s="36"/>
      <c r="AM430" s="36"/>
      <c r="AN430" s="36"/>
      <c r="AO430" s="36"/>
      <c r="AP430" s="36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  <c r="AL431" s="36"/>
      <c r="AM431" s="36"/>
      <c r="AN431" s="36"/>
      <c r="AO431" s="36"/>
      <c r="AP431" s="36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  <c r="AL432" s="36"/>
      <c r="AM432" s="36"/>
      <c r="AN432" s="36"/>
      <c r="AO432" s="36"/>
      <c r="AP432" s="36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  <c r="AL433" s="36"/>
      <c r="AM433" s="36"/>
      <c r="AN433" s="36"/>
      <c r="AO433" s="36"/>
      <c r="AP433" s="36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  <c r="AL434" s="36"/>
      <c r="AM434" s="36"/>
      <c r="AN434" s="36"/>
      <c r="AO434" s="36"/>
      <c r="AP434" s="36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  <c r="AL435" s="36"/>
      <c r="AM435" s="36"/>
      <c r="AN435" s="36"/>
      <c r="AO435" s="36"/>
      <c r="AP435" s="36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  <c r="AL436" s="36"/>
      <c r="AM436" s="36"/>
      <c r="AN436" s="36"/>
      <c r="AO436" s="36"/>
      <c r="AP436" s="36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  <c r="AL437" s="36"/>
      <c r="AM437" s="36"/>
      <c r="AN437" s="36"/>
      <c r="AO437" s="36"/>
      <c r="AP437" s="36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  <c r="AN438" s="36"/>
      <c r="AO438" s="36"/>
      <c r="AP438" s="36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  <c r="AN439" s="36"/>
      <c r="AO439" s="36"/>
      <c r="AP439" s="36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  <c r="AN440" s="36"/>
      <c r="AO440" s="36"/>
      <c r="AP440" s="36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  <c r="AN441" s="36"/>
      <c r="AO441" s="36"/>
      <c r="AP441" s="36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  <c r="AN442" s="36"/>
      <c r="AO442" s="36"/>
      <c r="AP442" s="36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  <c r="AN443" s="36"/>
      <c r="AO443" s="36"/>
      <c r="AP443" s="36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  <c r="AN444" s="36"/>
      <c r="AO444" s="36"/>
      <c r="AP444" s="36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  <c r="AN445" s="36"/>
      <c r="AO445" s="36"/>
      <c r="AP445" s="36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  <c r="AL446" s="36"/>
      <c r="AM446" s="36"/>
      <c r="AN446" s="36"/>
      <c r="AO446" s="36"/>
      <c r="AP446" s="36"/>
      <c r="AQ446" s="36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  <c r="AN447" s="36"/>
      <c r="AO447" s="36"/>
      <c r="AP447" s="36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  <c r="AL448" s="36"/>
      <c r="AM448" s="36"/>
      <c r="AN448" s="36"/>
      <c r="AO448" s="36"/>
      <c r="AP448" s="36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  <c r="AL449" s="36"/>
      <c r="AM449" s="36"/>
      <c r="AN449" s="36"/>
      <c r="AO449" s="36"/>
      <c r="AP449" s="36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  <c r="AL450" s="36"/>
      <c r="AM450" s="36"/>
      <c r="AN450" s="36"/>
      <c r="AO450" s="36"/>
      <c r="AP450" s="36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  <c r="AL451" s="36"/>
      <c r="AM451" s="36"/>
      <c r="AN451" s="36"/>
      <c r="AO451" s="36"/>
      <c r="AP451" s="36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  <c r="AL452" s="36"/>
      <c r="AM452" s="36"/>
      <c r="AN452" s="36"/>
      <c r="AO452" s="36"/>
      <c r="AP452" s="36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  <c r="AL453" s="36"/>
      <c r="AM453" s="36"/>
      <c r="AN453" s="36"/>
      <c r="AO453" s="36"/>
      <c r="AP453" s="36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  <c r="AL454" s="36"/>
      <c r="AM454" s="36"/>
      <c r="AN454" s="36"/>
      <c r="AO454" s="36"/>
      <c r="AP454" s="36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  <c r="AL455" s="36"/>
      <c r="AM455" s="36"/>
      <c r="AN455" s="36"/>
      <c r="AO455" s="36"/>
      <c r="AP455" s="36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  <c r="AL456" s="36"/>
      <c r="AM456" s="36"/>
      <c r="AN456" s="36"/>
      <c r="AO456" s="36"/>
      <c r="AP456" s="36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  <c r="AL457" s="36"/>
      <c r="AM457" s="36"/>
      <c r="AN457" s="36"/>
      <c r="AO457" s="36"/>
      <c r="AP457" s="36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  <c r="AL458" s="36"/>
      <c r="AM458" s="36"/>
      <c r="AN458" s="36"/>
      <c r="AO458" s="36"/>
      <c r="AP458" s="36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  <c r="AL459" s="36"/>
      <c r="AM459" s="36"/>
      <c r="AN459" s="36"/>
      <c r="AO459" s="36"/>
      <c r="AP459" s="36"/>
      <c r="AQ459" s="36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  <c r="AL460" s="36"/>
      <c r="AM460" s="36"/>
      <c r="AN460" s="36"/>
      <c r="AO460" s="36"/>
      <c r="AP460" s="36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  <c r="AL461" s="36"/>
      <c r="AM461" s="36"/>
      <c r="AN461" s="36"/>
      <c r="AO461" s="36"/>
      <c r="AP461" s="36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  <c r="AL462" s="36"/>
      <c r="AM462" s="36"/>
      <c r="AN462" s="36"/>
      <c r="AO462" s="36"/>
      <c r="AP462" s="36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  <c r="AL463" s="36"/>
      <c r="AM463" s="36"/>
      <c r="AN463" s="36"/>
      <c r="AO463" s="36"/>
      <c r="AP463" s="36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  <c r="AL464" s="36"/>
      <c r="AM464" s="36"/>
      <c r="AN464" s="36"/>
      <c r="AO464" s="36"/>
      <c r="AP464" s="36"/>
      <c r="AQ464" s="36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  <c r="AL465" s="36"/>
      <c r="AM465" s="36"/>
      <c r="AN465" s="36"/>
      <c r="AO465" s="36"/>
      <c r="AP465" s="36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  <c r="AL466" s="36"/>
      <c r="AM466" s="36"/>
      <c r="AN466" s="36"/>
      <c r="AO466" s="36"/>
      <c r="AP466" s="36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  <c r="AL467" s="36"/>
      <c r="AM467" s="36"/>
      <c r="AN467" s="36"/>
      <c r="AO467" s="36"/>
      <c r="AP467" s="36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  <c r="AL468" s="36"/>
      <c r="AM468" s="36"/>
      <c r="AN468" s="36"/>
      <c r="AO468" s="36"/>
      <c r="AP468" s="36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  <c r="AL469" s="36"/>
      <c r="AM469" s="36"/>
      <c r="AN469" s="36"/>
      <c r="AO469" s="36"/>
      <c r="AP469" s="36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  <c r="AL470" s="36"/>
      <c r="AM470" s="36"/>
      <c r="AN470" s="36"/>
      <c r="AO470" s="36"/>
      <c r="AP470" s="36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  <c r="AL471" s="36"/>
      <c r="AM471" s="36"/>
      <c r="AN471" s="36"/>
      <c r="AO471" s="36"/>
      <c r="AP471" s="36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  <c r="AL472" s="36"/>
      <c r="AM472" s="36"/>
      <c r="AN472" s="36"/>
      <c r="AO472" s="36"/>
      <c r="AP472" s="36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  <c r="AL473" s="36"/>
      <c r="AM473" s="36"/>
      <c r="AN473" s="36"/>
      <c r="AO473" s="36"/>
      <c r="AP473" s="36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  <c r="AL474" s="36"/>
      <c r="AM474" s="36"/>
      <c r="AN474" s="36"/>
      <c r="AO474" s="36"/>
      <c r="AP474" s="36"/>
      <c r="AQ474" s="36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  <c r="AL475" s="36"/>
      <c r="AM475" s="36"/>
      <c r="AN475" s="36"/>
      <c r="AO475" s="36"/>
      <c r="AP475" s="36"/>
      <c r="AQ475" s="36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  <c r="AL476" s="36"/>
      <c r="AM476" s="36"/>
      <c r="AN476" s="36"/>
      <c r="AO476" s="36"/>
      <c r="AP476" s="36"/>
      <c r="AQ476" s="36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  <c r="AL477" s="36"/>
      <c r="AM477" s="36"/>
      <c r="AN477" s="36"/>
      <c r="AO477" s="36"/>
      <c r="AP477" s="36"/>
      <c r="AQ477" s="36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  <c r="AL478" s="36"/>
      <c r="AM478" s="36"/>
      <c r="AN478" s="36"/>
      <c r="AO478" s="36"/>
      <c r="AP478" s="36"/>
      <c r="AQ478" s="36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  <c r="AK479" s="36"/>
      <c r="AL479" s="36"/>
      <c r="AM479" s="36"/>
      <c r="AN479" s="36"/>
      <c r="AO479" s="36"/>
      <c r="AP479" s="36"/>
      <c r="AQ479" s="36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  <c r="AL480" s="36"/>
      <c r="AM480" s="36"/>
      <c r="AN480" s="36"/>
      <c r="AO480" s="36"/>
      <c r="AP480" s="36"/>
      <c r="AQ480" s="36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  <c r="AL481" s="36"/>
      <c r="AM481" s="36"/>
      <c r="AN481" s="36"/>
      <c r="AO481" s="36"/>
      <c r="AP481" s="36"/>
      <c r="AQ481" s="36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  <c r="AL482" s="36"/>
      <c r="AM482" s="36"/>
      <c r="AN482" s="36"/>
      <c r="AO482" s="36"/>
      <c r="AP482" s="36"/>
      <c r="AQ482" s="36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  <c r="AK483" s="36"/>
      <c r="AL483" s="36"/>
      <c r="AM483" s="36"/>
      <c r="AN483" s="36"/>
      <c r="AO483" s="36"/>
      <c r="AP483" s="36"/>
      <c r="AQ483" s="36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  <c r="AK484" s="36"/>
      <c r="AL484" s="36"/>
      <c r="AM484" s="36"/>
      <c r="AN484" s="36"/>
      <c r="AO484" s="36"/>
      <c r="AP484" s="36"/>
      <c r="AQ484" s="36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  <c r="AK485" s="36"/>
      <c r="AL485" s="36"/>
      <c r="AM485" s="36"/>
      <c r="AN485" s="36"/>
      <c r="AO485" s="36"/>
      <c r="AP485" s="36"/>
      <c r="AQ485" s="36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  <c r="AK486" s="36"/>
      <c r="AL486" s="36"/>
      <c r="AM486" s="36"/>
      <c r="AN486" s="36"/>
      <c r="AO486" s="36"/>
      <c r="AP486" s="36"/>
      <c r="AQ486" s="36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  <c r="AK487" s="36"/>
      <c r="AL487" s="36"/>
      <c r="AM487" s="36"/>
      <c r="AN487" s="36"/>
      <c r="AO487" s="36"/>
      <c r="AP487" s="36"/>
      <c r="AQ487" s="36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  <c r="AK488" s="36"/>
      <c r="AL488" s="36"/>
      <c r="AM488" s="36"/>
      <c r="AN488" s="36"/>
      <c r="AO488" s="36"/>
      <c r="AP488" s="36"/>
      <c r="AQ488" s="36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  <c r="AL489" s="36"/>
      <c r="AM489" s="36"/>
      <c r="AN489" s="36"/>
      <c r="AO489" s="36"/>
      <c r="AP489" s="36"/>
      <c r="AQ489" s="36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  <c r="AL490" s="36"/>
      <c r="AM490" s="36"/>
      <c r="AN490" s="36"/>
      <c r="AO490" s="36"/>
      <c r="AP490" s="36"/>
      <c r="AQ490" s="36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  <c r="AL491" s="36"/>
      <c r="AM491" s="36"/>
      <c r="AN491" s="36"/>
      <c r="AO491" s="36"/>
      <c r="AP491" s="36"/>
      <c r="AQ491" s="36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  <c r="AL492" s="36"/>
      <c r="AM492" s="36"/>
      <c r="AN492" s="36"/>
      <c r="AO492" s="36"/>
      <c r="AP492" s="36"/>
      <c r="AQ492" s="36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  <c r="AL493" s="36"/>
      <c r="AM493" s="36"/>
      <c r="AN493" s="36"/>
      <c r="AO493" s="36"/>
      <c r="AP493" s="36"/>
      <c r="AQ493" s="36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  <c r="AL494" s="36"/>
      <c r="AM494" s="36"/>
      <c r="AN494" s="36"/>
      <c r="AO494" s="36"/>
      <c r="AP494" s="36"/>
      <c r="AQ494" s="36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  <c r="AL495" s="36"/>
      <c r="AM495" s="36"/>
      <c r="AN495" s="36"/>
      <c r="AO495" s="36"/>
      <c r="AP495" s="36"/>
      <c r="AQ495" s="36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  <c r="AL496" s="36"/>
      <c r="AM496" s="36"/>
      <c r="AN496" s="36"/>
      <c r="AO496" s="36"/>
      <c r="AP496" s="36"/>
      <c r="AQ496" s="36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  <c r="AL497" s="36"/>
      <c r="AM497" s="36"/>
      <c r="AN497" s="36"/>
      <c r="AO497" s="36"/>
      <c r="AP497" s="36"/>
      <c r="AQ497" s="36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  <c r="AL498" s="36"/>
      <c r="AM498" s="36"/>
      <c r="AN498" s="36"/>
      <c r="AO498" s="36"/>
      <c r="AP498" s="36"/>
      <c r="AQ498" s="36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  <c r="AL499" s="36"/>
      <c r="AM499" s="36"/>
      <c r="AN499" s="36"/>
      <c r="AO499" s="36"/>
      <c r="AP499" s="36"/>
      <c r="AQ499" s="36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  <c r="AL500" s="36"/>
      <c r="AM500" s="36"/>
      <c r="AN500" s="36"/>
      <c r="AO500" s="36"/>
      <c r="AP500" s="36"/>
      <c r="AQ500" s="36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  <c r="AL501" s="36"/>
      <c r="AM501" s="36"/>
      <c r="AN501" s="36"/>
      <c r="AO501" s="36"/>
      <c r="AP501" s="36"/>
      <c r="AQ501" s="36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  <c r="AL502" s="36"/>
      <c r="AM502" s="36"/>
      <c r="AN502" s="36"/>
      <c r="AO502" s="36"/>
      <c r="AP502" s="36"/>
      <c r="AQ502" s="36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  <c r="AL503" s="36"/>
      <c r="AM503" s="36"/>
      <c r="AN503" s="36"/>
      <c r="AO503" s="36"/>
      <c r="AP503" s="36"/>
      <c r="AQ503" s="36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  <c r="AL504" s="36"/>
      <c r="AM504" s="36"/>
      <c r="AN504" s="36"/>
      <c r="AO504" s="36"/>
      <c r="AP504" s="36"/>
      <c r="AQ504" s="36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  <c r="AL505" s="36"/>
      <c r="AM505" s="36"/>
      <c r="AN505" s="36"/>
      <c r="AO505" s="36"/>
      <c r="AP505" s="36"/>
      <c r="AQ505" s="36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  <c r="AL506" s="36"/>
      <c r="AM506" s="36"/>
      <c r="AN506" s="36"/>
      <c r="AO506" s="36"/>
      <c r="AP506" s="36"/>
      <c r="AQ506" s="36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  <c r="AL507" s="36"/>
      <c r="AM507" s="36"/>
      <c r="AN507" s="36"/>
      <c r="AO507" s="36"/>
      <c r="AP507" s="36"/>
      <c r="AQ507" s="36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  <c r="AL508" s="36"/>
      <c r="AM508" s="36"/>
      <c r="AN508" s="36"/>
      <c r="AO508" s="36"/>
      <c r="AP508" s="36"/>
      <c r="AQ508" s="36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  <c r="AL509" s="36"/>
      <c r="AM509" s="36"/>
      <c r="AN509" s="36"/>
      <c r="AO509" s="36"/>
      <c r="AP509" s="36"/>
      <c r="AQ509" s="36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  <c r="AL510" s="36"/>
      <c r="AM510" s="36"/>
      <c r="AN510" s="36"/>
      <c r="AO510" s="36"/>
      <c r="AP510" s="36"/>
      <c r="AQ510" s="36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  <c r="AL511" s="36"/>
      <c r="AM511" s="36"/>
      <c r="AN511" s="36"/>
      <c r="AO511" s="36"/>
      <c r="AP511" s="36"/>
      <c r="AQ511" s="36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  <c r="AL512" s="36"/>
      <c r="AM512" s="36"/>
      <c r="AN512" s="36"/>
      <c r="AO512" s="36"/>
      <c r="AP512" s="36"/>
      <c r="AQ512" s="36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  <c r="AL513" s="36"/>
      <c r="AM513" s="36"/>
      <c r="AN513" s="36"/>
      <c r="AO513" s="36"/>
      <c r="AP513" s="36"/>
      <c r="AQ513" s="36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  <c r="AL514" s="36"/>
      <c r="AM514" s="36"/>
      <c r="AN514" s="36"/>
      <c r="AO514" s="36"/>
      <c r="AP514" s="36"/>
      <c r="AQ514" s="36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  <c r="AL515" s="36"/>
      <c r="AM515" s="36"/>
      <c r="AN515" s="36"/>
      <c r="AO515" s="36"/>
      <c r="AP515" s="36"/>
      <c r="AQ515" s="36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  <c r="AL516" s="36"/>
      <c r="AM516" s="36"/>
      <c r="AN516" s="36"/>
      <c r="AO516" s="36"/>
      <c r="AP516" s="36"/>
      <c r="AQ516" s="36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  <c r="AL517" s="36"/>
      <c r="AM517" s="36"/>
      <c r="AN517" s="36"/>
      <c r="AO517" s="36"/>
      <c r="AP517" s="36"/>
      <c r="AQ517" s="36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  <c r="AL518" s="36"/>
      <c r="AM518" s="36"/>
      <c r="AN518" s="36"/>
      <c r="AO518" s="36"/>
      <c r="AP518" s="36"/>
      <c r="AQ518" s="36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  <c r="AL519" s="36"/>
      <c r="AM519" s="36"/>
      <c r="AN519" s="36"/>
      <c r="AO519" s="36"/>
      <c r="AP519" s="36"/>
      <c r="AQ519" s="36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  <c r="AL520" s="36"/>
      <c r="AM520" s="36"/>
      <c r="AN520" s="36"/>
      <c r="AO520" s="36"/>
      <c r="AP520" s="36"/>
      <c r="AQ520" s="36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  <c r="AL521" s="36"/>
      <c r="AM521" s="36"/>
      <c r="AN521" s="36"/>
      <c r="AO521" s="36"/>
      <c r="AP521" s="36"/>
      <c r="AQ521" s="36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  <c r="AL522" s="36"/>
      <c r="AM522" s="36"/>
      <c r="AN522" s="36"/>
      <c r="AO522" s="36"/>
      <c r="AP522" s="36"/>
      <c r="AQ522" s="36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  <c r="AL523" s="36"/>
      <c r="AM523" s="36"/>
      <c r="AN523" s="36"/>
      <c r="AO523" s="36"/>
      <c r="AP523" s="36"/>
      <c r="AQ523" s="36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  <c r="AL524" s="36"/>
      <c r="AM524" s="36"/>
      <c r="AN524" s="36"/>
      <c r="AO524" s="36"/>
      <c r="AP524" s="36"/>
      <c r="AQ524" s="36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  <c r="AL525" s="36"/>
      <c r="AM525" s="36"/>
      <c r="AN525" s="36"/>
      <c r="AO525" s="36"/>
      <c r="AP525" s="36"/>
      <c r="AQ525" s="36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  <c r="AL526" s="36"/>
      <c r="AM526" s="36"/>
      <c r="AN526" s="36"/>
      <c r="AO526" s="36"/>
      <c r="AP526" s="36"/>
      <c r="AQ526" s="36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  <c r="AL527" s="36"/>
      <c r="AM527" s="36"/>
      <c r="AN527" s="36"/>
      <c r="AO527" s="36"/>
      <c r="AP527" s="36"/>
      <c r="AQ527" s="36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  <c r="AL528" s="36"/>
      <c r="AM528" s="36"/>
      <c r="AN528" s="36"/>
      <c r="AO528" s="36"/>
      <c r="AP528" s="36"/>
      <c r="AQ528" s="36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  <c r="AL529" s="36"/>
      <c r="AM529" s="36"/>
      <c r="AN529" s="36"/>
      <c r="AO529" s="36"/>
      <c r="AP529" s="36"/>
      <c r="AQ529" s="36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  <c r="AL530" s="36"/>
      <c r="AM530" s="36"/>
      <c r="AN530" s="36"/>
      <c r="AO530" s="36"/>
      <c r="AP530" s="36"/>
      <c r="AQ530" s="36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  <c r="AL531" s="36"/>
      <c r="AM531" s="36"/>
      <c r="AN531" s="36"/>
      <c r="AO531" s="36"/>
      <c r="AP531" s="36"/>
      <c r="AQ531" s="36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  <c r="AL532" s="36"/>
      <c r="AM532" s="36"/>
      <c r="AN532" s="36"/>
      <c r="AO532" s="36"/>
      <c r="AP532" s="36"/>
      <c r="AQ532" s="36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  <c r="AL533" s="36"/>
      <c r="AM533" s="36"/>
      <c r="AN533" s="36"/>
      <c r="AO533" s="36"/>
      <c r="AP533" s="36"/>
      <c r="AQ533" s="36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  <c r="AL534" s="36"/>
      <c r="AM534" s="36"/>
      <c r="AN534" s="36"/>
      <c r="AO534" s="36"/>
      <c r="AP534" s="36"/>
      <c r="AQ534" s="36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  <c r="AL535" s="36"/>
      <c r="AM535" s="36"/>
      <c r="AN535" s="36"/>
      <c r="AO535" s="36"/>
      <c r="AP535" s="36"/>
      <c r="AQ535" s="36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  <c r="AL536" s="36"/>
      <c r="AM536" s="36"/>
      <c r="AN536" s="36"/>
      <c r="AO536" s="36"/>
      <c r="AP536" s="36"/>
      <c r="AQ536" s="36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  <c r="AL537" s="36"/>
      <c r="AM537" s="36"/>
      <c r="AN537" s="36"/>
      <c r="AO537" s="36"/>
      <c r="AP537" s="36"/>
      <c r="AQ537" s="36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  <c r="AL538" s="36"/>
      <c r="AM538" s="36"/>
      <c r="AN538" s="36"/>
      <c r="AO538" s="36"/>
      <c r="AP538" s="36"/>
      <c r="AQ538" s="36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  <c r="AL539" s="36"/>
      <c r="AM539" s="36"/>
      <c r="AN539" s="36"/>
      <c r="AO539" s="36"/>
      <c r="AP539" s="36"/>
      <c r="AQ539" s="36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  <c r="AL540" s="36"/>
      <c r="AM540" s="36"/>
      <c r="AN540" s="36"/>
      <c r="AO540" s="36"/>
      <c r="AP540" s="36"/>
      <c r="AQ540" s="36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  <c r="AL541" s="36"/>
      <c r="AM541" s="36"/>
      <c r="AN541" s="36"/>
      <c r="AO541" s="36"/>
      <c r="AP541" s="36"/>
      <c r="AQ541" s="36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  <c r="AL542" s="36"/>
      <c r="AM542" s="36"/>
      <c r="AN542" s="36"/>
      <c r="AO542" s="36"/>
      <c r="AP542" s="36"/>
      <c r="AQ542" s="36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  <c r="AL543" s="36"/>
      <c r="AM543" s="36"/>
      <c r="AN543" s="36"/>
      <c r="AO543" s="36"/>
      <c r="AP543" s="36"/>
      <c r="AQ543" s="36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  <c r="AL544" s="36"/>
      <c r="AM544" s="36"/>
      <c r="AN544" s="36"/>
      <c r="AO544" s="36"/>
      <c r="AP544" s="36"/>
      <c r="AQ544" s="36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  <c r="AL545" s="36"/>
      <c r="AM545" s="36"/>
      <c r="AN545" s="36"/>
      <c r="AO545" s="36"/>
      <c r="AP545" s="36"/>
      <c r="AQ545" s="36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  <c r="AL546" s="36"/>
      <c r="AM546" s="36"/>
      <c r="AN546" s="36"/>
      <c r="AO546" s="36"/>
      <c r="AP546" s="36"/>
      <c r="AQ546" s="36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  <c r="AL547" s="36"/>
      <c r="AM547" s="36"/>
      <c r="AN547" s="36"/>
      <c r="AO547" s="36"/>
      <c r="AP547" s="36"/>
      <c r="AQ547" s="36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  <c r="AL548" s="36"/>
      <c r="AM548" s="36"/>
      <c r="AN548" s="36"/>
      <c r="AO548" s="36"/>
      <c r="AP548" s="36"/>
      <c r="AQ548" s="36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  <c r="AL549" s="36"/>
      <c r="AM549" s="36"/>
      <c r="AN549" s="36"/>
      <c r="AO549" s="36"/>
      <c r="AP549" s="36"/>
      <c r="AQ549" s="36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  <c r="AL550" s="36"/>
      <c r="AM550" s="36"/>
      <c r="AN550" s="36"/>
      <c r="AO550" s="36"/>
      <c r="AP550" s="36"/>
      <c r="AQ550" s="36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  <c r="AL551" s="36"/>
      <c r="AM551" s="36"/>
      <c r="AN551" s="36"/>
      <c r="AO551" s="36"/>
      <c r="AP551" s="36"/>
      <c r="AQ551" s="36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  <c r="AL552" s="36"/>
      <c r="AM552" s="36"/>
      <c r="AN552" s="36"/>
      <c r="AO552" s="36"/>
      <c r="AP552" s="36"/>
      <c r="AQ552" s="36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  <c r="AL553" s="36"/>
      <c r="AM553" s="36"/>
      <c r="AN553" s="36"/>
      <c r="AO553" s="36"/>
      <c r="AP553" s="36"/>
      <c r="AQ553" s="36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  <c r="AL554" s="36"/>
      <c r="AM554" s="36"/>
      <c r="AN554" s="36"/>
      <c r="AO554" s="36"/>
      <c r="AP554" s="36"/>
      <c r="AQ554" s="36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  <c r="AL555" s="36"/>
      <c r="AM555" s="36"/>
      <c r="AN555" s="36"/>
      <c r="AO555" s="36"/>
      <c r="AP555" s="36"/>
      <c r="AQ555" s="36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  <c r="AL556" s="36"/>
      <c r="AM556" s="36"/>
      <c r="AN556" s="36"/>
      <c r="AO556" s="36"/>
      <c r="AP556" s="36"/>
      <c r="AQ556" s="36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  <c r="AL557" s="36"/>
      <c r="AM557" s="36"/>
      <c r="AN557" s="36"/>
      <c r="AO557" s="36"/>
      <c r="AP557" s="36"/>
      <c r="AQ557" s="36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  <c r="AL558" s="36"/>
      <c r="AM558" s="36"/>
      <c r="AN558" s="36"/>
      <c r="AO558" s="36"/>
      <c r="AP558" s="36"/>
      <c r="AQ558" s="36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  <c r="AL559" s="36"/>
      <c r="AM559" s="36"/>
      <c r="AN559" s="36"/>
      <c r="AO559" s="36"/>
      <c r="AP559" s="36"/>
      <c r="AQ559" s="36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  <c r="AL560" s="36"/>
      <c r="AM560" s="36"/>
      <c r="AN560" s="36"/>
      <c r="AO560" s="36"/>
      <c r="AP560" s="36"/>
      <c r="AQ560" s="36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  <c r="AL561" s="36"/>
      <c r="AM561" s="36"/>
      <c r="AN561" s="36"/>
      <c r="AO561" s="36"/>
      <c r="AP561" s="36"/>
      <c r="AQ561" s="36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  <c r="AL562" s="36"/>
      <c r="AM562" s="36"/>
      <c r="AN562" s="36"/>
      <c r="AO562" s="36"/>
      <c r="AP562" s="36"/>
      <c r="AQ562" s="36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  <c r="AL563" s="36"/>
      <c r="AM563" s="36"/>
      <c r="AN563" s="36"/>
      <c r="AO563" s="36"/>
      <c r="AP563" s="36"/>
      <c r="AQ563" s="36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36"/>
      <c r="AM564" s="36"/>
      <c r="AN564" s="36"/>
      <c r="AO564" s="36"/>
      <c r="AP564" s="36"/>
      <c r="AQ564" s="36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36"/>
      <c r="AM565" s="36"/>
      <c r="AN565" s="36"/>
      <c r="AO565" s="36"/>
      <c r="AP565" s="36"/>
      <c r="AQ565" s="36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  <c r="AL566" s="36"/>
      <c r="AM566" s="36"/>
      <c r="AN566" s="36"/>
      <c r="AO566" s="36"/>
      <c r="AP566" s="36"/>
      <c r="AQ566" s="36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  <c r="AL567" s="36"/>
      <c r="AM567" s="36"/>
      <c r="AN567" s="36"/>
      <c r="AO567" s="36"/>
      <c r="AP567" s="36"/>
      <c r="AQ567" s="36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  <c r="AL568" s="36"/>
      <c r="AM568" s="36"/>
      <c r="AN568" s="36"/>
      <c r="AO568" s="36"/>
      <c r="AP568" s="36"/>
      <c r="AQ568" s="36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  <c r="AL569" s="36"/>
      <c r="AM569" s="36"/>
      <c r="AN569" s="36"/>
      <c r="AO569" s="36"/>
      <c r="AP569" s="36"/>
      <c r="AQ569" s="36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  <c r="AL570" s="36"/>
      <c r="AM570" s="36"/>
      <c r="AN570" s="36"/>
      <c r="AO570" s="36"/>
      <c r="AP570" s="36"/>
      <c r="AQ570" s="36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  <c r="AL571" s="36"/>
      <c r="AM571" s="36"/>
      <c r="AN571" s="36"/>
      <c r="AO571" s="36"/>
      <c r="AP571" s="36"/>
      <c r="AQ571" s="36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  <c r="AL572" s="36"/>
      <c r="AM572" s="36"/>
      <c r="AN572" s="36"/>
      <c r="AO572" s="36"/>
      <c r="AP572" s="36"/>
      <c r="AQ572" s="36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  <c r="AL573" s="36"/>
      <c r="AM573" s="36"/>
      <c r="AN573" s="36"/>
      <c r="AO573" s="36"/>
      <c r="AP573" s="36"/>
      <c r="AQ573" s="36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  <c r="AL574" s="36"/>
      <c r="AM574" s="36"/>
      <c r="AN574" s="36"/>
      <c r="AO574" s="36"/>
      <c r="AP574" s="36"/>
      <c r="AQ574" s="36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  <c r="AL575" s="36"/>
      <c r="AM575" s="36"/>
      <c r="AN575" s="36"/>
      <c r="AO575" s="36"/>
      <c r="AP575" s="36"/>
      <c r="AQ575" s="36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  <c r="AL576" s="36"/>
      <c r="AM576" s="36"/>
      <c r="AN576" s="36"/>
      <c r="AO576" s="36"/>
      <c r="AP576" s="36"/>
      <c r="AQ576" s="36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  <c r="AL577" s="36"/>
      <c r="AM577" s="36"/>
      <c r="AN577" s="36"/>
      <c r="AO577" s="36"/>
      <c r="AP577" s="36"/>
      <c r="AQ577" s="36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  <c r="AL578" s="36"/>
      <c r="AM578" s="36"/>
      <c r="AN578" s="36"/>
      <c r="AO578" s="36"/>
      <c r="AP578" s="36"/>
      <c r="AQ578" s="36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  <c r="AL579" s="36"/>
      <c r="AM579" s="36"/>
      <c r="AN579" s="36"/>
      <c r="AO579" s="36"/>
      <c r="AP579" s="36"/>
      <c r="AQ579" s="36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  <c r="AL580" s="36"/>
      <c r="AM580" s="36"/>
      <c r="AN580" s="36"/>
      <c r="AO580" s="36"/>
      <c r="AP580" s="36"/>
      <c r="AQ580" s="36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  <c r="AL581" s="36"/>
      <c r="AM581" s="36"/>
      <c r="AN581" s="36"/>
      <c r="AO581" s="36"/>
      <c r="AP581" s="36"/>
      <c r="AQ581" s="36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  <c r="AL582" s="36"/>
      <c r="AM582" s="36"/>
      <c r="AN582" s="36"/>
      <c r="AO582" s="36"/>
      <c r="AP582" s="36"/>
      <c r="AQ582" s="36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  <c r="AL583" s="36"/>
      <c r="AM583" s="36"/>
      <c r="AN583" s="36"/>
      <c r="AO583" s="36"/>
      <c r="AP583" s="36"/>
      <c r="AQ583" s="36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  <c r="AL584" s="36"/>
      <c r="AM584" s="36"/>
      <c r="AN584" s="36"/>
      <c r="AO584" s="36"/>
      <c r="AP584" s="36"/>
      <c r="AQ584" s="36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  <c r="AL585" s="36"/>
      <c r="AM585" s="36"/>
      <c r="AN585" s="36"/>
      <c r="AO585" s="36"/>
      <c r="AP585" s="36"/>
      <c r="AQ585" s="36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  <c r="AL586" s="36"/>
      <c r="AM586" s="36"/>
      <c r="AN586" s="36"/>
      <c r="AO586" s="36"/>
      <c r="AP586" s="36"/>
      <c r="AQ586" s="36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  <c r="AL587" s="36"/>
      <c r="AM587" s="36"/>
      <c r="AN587" s="36"/>
      <c r="AO587" s="36"/>
      <c r="AP587" s="36"/>
      <c r="AQ587" s="36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  <c r="AL588" s="36"/>
      <c r="AM588" s="36"/>
      <c r="AN588" s="36"/>
      <c r="AO588" s="36"/>
      <c r="AP588" s="36"/>
      <c r="AQ588" s="36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  <c r="AL589" s="36"/>
      <c r="AM589" s="36"/>
      <c r="AN589" s="36"/>
      <c r="AO589" s="36"/>
      <c r="AP589" s="36"/>
      <c r="AQ589" s="36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  <c r="AL590" s="36"/>
      <c r="AM590" s="36"/>
      <c r="AN590" s="36"/>
      <c r="AO590" s="36"/>
      <c r="AP590" s="36"/>
      <c r="AQ590" s="36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  <c r="AL591" s="36"/>
      <c r="AM591" s="36"/>
      <c r="AN591" s="36"/>
      <c r="AO591" s="36"/>
      <c r="AP591" s="36"/>
      <c r="AQ591" s="36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  <c r="AL592" s="36"/>
      <c r="AM592" s="36"/>
      <c r="AN592" s="36"/>
      <c r="AO592" s="36"/>
      <c r="AP592" s="36"/>
      <c r="AQ592" s="36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  <c r="AL593" s="36"/>
      <c r="AM593" s="36"/>
      <c r="AN593" s="36"/>
      <c r="AO593" s="36"/>
      <c r="AP593" s="36"/>
      <c r="AQ593" s="36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  <c r="AL594" s="36"/>
      <c r="AM594" s="36"/>
      <c r="AN594" s="36"/>
      <c r="AO594" s="36"/>
      <c r="AP594" s="36"/>
      <c r="AQ594" s="36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  <c r="AL595" s="36"/>
      <c r="AM595" s="36"/>
      <c r="AN595" s="36"/>
      <c r="AO595" s="36"/>
      <c r="AP595" s="36"/>
      <c r="AQ595" s="36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  <c r="AL596" s="36"/>
      <c r="AM596" s="36"/>
      <c r="AN596" s="36"/>
      <c r="AO596" s="36"/>
      <c r="AP596" s="36"/>
      <c r="AQ596" s="36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  <c r="BB770" s="36"/>
      <c r="BC770" s="36"/>
      <c r="BD770" s="36"/>
      <c r="BE770" s="36"/>
      <c r="BF770" s="36"/>
      <c r="BG770" s="36"/>
      <c r="BH770" s="36"/>
      <c r="BI770" s="36"/>
      <c r="BJ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  <c r="BB771" s="36"/>
      <c r="BC771" s="36"/>
      <c r="BD771" s="36"/>
      <c r="BE771" s="36"/>
      <c r="BF771" s="36"/>
      <c r="BG771" s="36"/>
      <c r="BH771" s="36"/>
      <c r="BI771" s="36"/>
      <c r="BJ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  <c r="BB772" s="36"/>
      <c r="BC772" s="36"/>
      <c r="BD772" s="36"/>
      <c r="BE772" s="36"/>
      <c r="BF772" s="36"/>
      <c r="BG772" s="36"/>
      <c r="BH772" s="36"/>
      <c r="BI772" s="36"/>
      <c r="BJ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  <c r="BB773" s="36"/>
      <c r="BC773" s="36"/>
      <c r="BD773" s="36"/>
      <c r="BE773" s="36"/>
      <c r="BF773" s="36"/>
      <c r="BG773" s="36"/>
      <c r="BH773" s="36"/>
      <c r="BI773" s="36"/>
      <c r="BJ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  <c r="BB774" s="36"/>
      <c r="BC774" s="36"/>
      <c r="BD774" s="36"/>
      <c r="BE774" s="36"/>
      <c r="BF774" s="36"/>
      <c r="BG774" s="36"/>
      <c r="BH774" s="36"/>
      <c r="BI774" s="36"/>
      <c r="BJ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6"/>
      <c r="BH775" s="36"/>
      <c r="BI775" s="36"/>
      <c r="BJ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  <c r="BB776" s="36"/>
      <c r="BC776" s="36"/>
      <c r="BD776" s="36"/>
      <c r="BE776" s="36"/>
      <c r="BF776" s="36"/>
      <c r="BG776" s="36"/>
      <c r="BH776" s="36"/>
      <c r="BI776" s="36"/>
      <c r="BJ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6"/>
      <c r="BH777" s="36"/>
      <c r="BI777" s="36"/>
      <c r="BJ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6"/>
      <c r="BH778" s="36"/>
      <c r="BI778" s="36"/>
      <c r="BJ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6"/>
      <c r="BH779" s="36"/>
      <c r="BI779" s="36"/>
      <c r="BJ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6"/>
      <c r="BH780" s="36"/>
      <c r="BI780" s="36"/>
      <c r="BJ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36"/>
      <c r="AP781" s="36"/>
      <c r="AQ781" s="36"/>
      <c r="AR781" s="36"/>
      <c r="AS781" s="36"/>
      <c r="AT781" s="36"/>
      <c r="AU781" s="36"/>
      <c r="AV781" s="36"/>
      <c r="AW781" s="36"/>
      <c r="AX781" s="36"/>
      <c r="AY781" s="36"/>
      <c r="AZ781" s="36"/>
      <c r="BA781" s="36"/>
      <c r="BB781" s="36"/>
      <c r="BC781" s="36"/>
      <c r="BD781" s="36"/>
      <c r="BE781" s="36"/>
      <c r="BF781" s="36"/>
      <c r="BG781" s="36"/>
      <c r="BH781" s="36"/>
      <c r="BI781" s="36"/>
      <c r="BJ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36"/>
      <c r="AP782" s="36"/>
      <c r="AQ782" s="36"/>
      <c r="AR782" s="36"/>
      <c r="AS782" s="36"/>
      <c r="AT782" s="36"/>
      <c r="AU782" s="36"/>
      <c r="AV782" s="36"/>
      <c r="AW782" s="36"/>
      <c r="AX782" s="36"/>
      <c r="AY782" s="36"/>
      <c r="AZ782" s="36"/>
      <c r="BA782" s="36"/>
      <c r="BB782" s="36"/>
      <c r="BC782" s="36"/>
      <c r="BD782" s="36"/>
      <c r="BE782" s="36"/>
      <c r="BF782" s="36"/>
      <c r="BG782" s="36"/>
      <c r="BH782" s="36"/>
      <c r="BI782" s="36"/>
      <c r="BJ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36"/>
      <c r="AP783" s="36"/>
      <c r="AQ783" s="36"/>
      <c r="AR783" s="36"/>
      <c r="AS783" s="36"/>
      <c r="AT783" s="36"/>
      <c r="AU783" s="36"/>
      <c r="AV783" s="36"/>
      <c r="AW783" s="36"/>
      <c r="AX783" s="36"/>
      <c r="AY783" s="36"/>
      <c r="AZ783" s="36"/>
      <c r="BA783" s="36"/>
      <c r="BB783" s="36"/>
      <c r="BC783" s="36"/>
      <c r="BD783" s="36"/>
      <c r="BE783" s="36"/>
      <c r="BF783" s="36"/>
      <c r="BG783" s="36"/>
      <c r="BH783" s="36"/>
      <c r="BI783" s="36"/>
      <c r="BJ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36"/>
      <c r="AP784" s="36"/>
      <c r="AQ784" s="36"/>
      <c r="AR784" s="36"/>
      <c r="AS784" s="36"/>
      <c r="AT784" s="36"/>
      <c r="AU784" s="36"/>
      <c r="AV784" s="36"/>
      <c r="AW784" s="36"/>
      <c r="AX784" s="36"/>
      <c r="AY784" s="36"/>
      <c r="AZ784" s="36"/>
      <c r="BA784" s="36"/>
      <c r="BB784" s="36"/>
      <c r="BC784" s="36"/>
      <c r="BD784" s="36"/>
      <c r="BE784" s="36"/>
      <c r="BF784" s="36"/>
      <c r="BG784" s="36"/>
      <c r="BH784" s="36"/>
      <c r="BI784" s="36"/>
      <c r="BJ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36"/>
      <c r="AP785" s="36"/>
      <c r="AQ785" s="36"/>
      <c r="AR785" s="36"/>
      <c r="AS785" s="36"/>
      <c r="AT785" s="36"/>
      <c r="AU785" s="36"/>
      <c r="AV785" s="36"/>
      <c r="AW785" s="36"/>
      <c r="AX785" s="36"/>
      <c r="AY785" s="36"/>
      <c r="AZ785" s="36"/>
      <c r="BA785" s="36"/>
      <c r="BB785" s="36"/>
      <c r="BC785" s="36"/>
      <c r="BD785" s="36"/>
      <c r="BE785" s="36"/>
      <c r="BF785" s="36"/>
      <c r="BG785" s="36"/>
      <c r="BH785" s="36"/>
      <c r="BI785" s="36"/>
      <c r="BJ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36"/>
      <c r="AP786" s="36"/>
      <c r="AQ786" s="36"/>
      <c r="AR786" s="36"/>
      <c r="AS786" s="36"/>
      <c r="AT786" s="36"/>
      <c r="AU786" s="36"/>
      <c r="AV786" s="36"/>
      <c r="AW786" s="36"/>
      <c r="AX786" s="36"/>
      <c r="AY786" s="36"/>
      <c r="AZ786" s="36"/>
      <c r="BA786" s="36"/>
      <c r="BB786" s="36"/>
      <c r="BC786" s="36"/>
      <c r="BD786" s="36"/>
      <c r="BE786" s="36"/>
      <c r="BF786" s="36"/>
      <c r="BG786" s="36"/>
      <c r="BH786" s="36"/>
      <c r="BI786" s="36"/>
      <c r="BJ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36"/>
      <c r="AP787" s="36"/>
      <c r="AQ787" s="36"/>
      <c r="AR787" s="36"/>
      <c r="AS787" s="36"/>
      <c r="AT787" s="36"/>
      <c r="AU787" s="36"/>
      <c r="AV787" s="36"/>
      <c r="AW787" s="36"/>
      <c r="AX787" s="36"/>
      <c r="AY787" s="36"/>
      <c r="AZ787" s="36"/>
      <c r="BA787" s="36"/>
      <c r="BB787" s="36"/>
      <c r="BC787" s="36"/>
      <c r="BD787" s="36"/>
      <c r="BE787" s="36"/>
      <c r="BF787" s="36"/>
      <c r="BG787" s="36"/>
      <c r="BH787" s="36"/>
      <c r="BI787" s="36"/>
      <c r="BJ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36"/>
      <c r="AP788" s="36"/>
      <c r="AQ788" s="36"/>
      <c r="AR788" s="36"/>
      <c r="AS788" s="36"/>
      <c r="AT788" s="36"/>
      <c r="AU788" s="36"/>
      <c r="AV788" s="36"/>
      <c r="AW788" s="36"/>
      <c r="AX788" s="36"/>
      <c r="AY788" s="36"/>
      <c r="AZ788" s="36"/>
      <c r="BA788" s="36"/>
      <c r="BB788" s="36"/>
      <c r="BC788" s="36"/>
      <c r="BD788" s="36"/>
      <c r="BE788" s="36"/>
      <c r="BF788" s="36"/>
      <c r="BG788" s="36"/>
      <c r="BH788" s="36"/>
      <c r="BI788" s="36"/>
      <c r="BJ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36"/>
      <c r="AP789" s="36"/>
      <c r="AQ789" s="36"/>
      <c r="AR789" s="36"/>
      <c r="AS789" s="36"/>
      <c r="AT789" s="36"/>
      <c r="AU789" s="36"/>
      <c r="AV789" s="36"/>
      <c r="AW789" s="36"/>
      <c r="AX789" s="36"/>
      <c r="AY789" s="36"/>
      <c r="AZ789" s="36"/>
      <c r="BA789" s="36"/>
      <c r="BB789" s="36"/>
      <c r="BC789" s="36"/>
      <c r="BD789" s="36"/>
      <c r="BE789" s="36"/>
      <c r="BF789" s="36"/>
      <c r="BG789" s="36"/>
      <c r="BH789" s="36"/>
      <c r="BI789" s="36"/>
      <c r="BJ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36"/>
      <c r="AP790" s="36"/>
      <c r="AQ790" s="36"/>
      <c r="AR790" s="36"/>
      <c r="AS790" s="36"/>
      <c r="AT790" s="36"/>
      <c r="AU790" s="36"/>
      <c r="AV790" s="36"/>
      <c r="AW790" s="36"/>
      <c r="AX790" s="36"/>
      <c r="AY790" s="36"/>
      <c r="AZ790" s="36"/>
      <c r="BA790" s="36"/>
      <c r="BB790" s="36"/>
      <c r="BC790" s="36"/>
      <c r="BD790" s="36"/>
      <c r="BE790" s="36"/>
      <c r="BF790" s="36"/>
      <c r="BG790" s="36"/>
      <c r="BH790" s="36"/>
      <c r="BI790" s="36"/>
      <c r="BJ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36"/>
      <c r="AP791" s="36"/>
      <c r="AQ791" s="36"/>
      <c r="AR791" s="36"/>
      <c r="AS791" s="36"/>
      <c r="AT791" s="36"/>
      <c r="AU791" s="36"/>
      <c r="AV791" s="36"/>
      <c r="AW791" s="36"/>
      <c r="AX791" s="36"/>
      <c r="AY791" s="36"/>
      <c r="AZ791" s="36"/>
      <c r="BA791" s="36"/>
      <c r="BB791" s="36"/>
      <c r="BC791" s="36"/>
      <c r="BD791" s="36"/>
      <c r="BE791" s="36"/>
      <c r="BF791" s="36"/>
      <c r="BG791" s="36"/>
      <c r="BH791" s="36"/>
      <c r="BI791" s="36"/>
      <c r="BJ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36"/>
      <c r="AP792" s="36"/>
      <c r="AQ792" s="36"/>
      <c r="AR792" s="36"/>
      <c r="AS792" s="36"/>
      <c r="AT792" s="36"/>
      <c r="AU792" s="36"/>
      <c r="AV792" s="36"/>
      <c r="AW792" s="36"/>
      <c r="AX792" s="36"/>
      <c r="AY792" s="36"/>
      <c r="AZ792" s="36"/>
      <c r="BA792" s="36"/>
      <c r="BB792" s="36"/>
      <c r="BC792" s="36"/>
      <c r="BD792" s="36"/>
      <c r="BE792" s="36"/>
      <c r="BF792" s="36"/>
      <c r="BG792" s="36"/>
      <c r="BH792" s="36"/>
      <c r="BI792" s="36"/>
      <c r="BJ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36"/>
      <c r="AP793" s="36"/>
      <c r="AQ793" s="36"/>
      <c r="AR793" s="36"/>
      <c r="AS793" s="36"/>
      <c r="AT793" s="36"/>
      <c r="AU793" s="36"/>
      <c r="AV793" s="36"/>
      <c r="AW793" s="36"/>
      <c r="AX793" s="36"/>
      <c r="AY793" s="36"/>
      <c r="AZ793" s="36"/>
      <c r="BA793" s="36"/>
      <c r="BB793" s="36"/>
      <c r="BC793" s="36"/>
      <c r="BD793" s="36"/>
      <c r="BE793" s="36"/>
      <c r="BF793" s="36"/>
      <c r="BG793" s="36"/>
      <c r="BH793" s="36"/>
      <c r="BI793" s="36"/>
      <c r="BJ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36"/>
      <c r="AP794" s="36"/>
      <c r="AQ794" s="36"/>
      <c r="AR794" s="36"/>
      <c r="AS794" s="36"/>
      <c r="AT794" s="36"/>
      <c r="AU794" s="36"/>
      <c r="AV794" s="36"/>
      <c r="AW794" s="36"/>
      <c r="AX794" s="36"/>
      <c r="AY794" s="36"/>
      <c r="AZ794" s="36"/>
      <c r="BA794" s="36"/>
      <c r="BB794" s="36"/>
      <c r="BC794" s="36"/>
      <c r="BD794" s="36"/>
      <c r="BE794" s="36"/>
      <c r="BF794" s="36"/>
      <c r="BG794" s="36"/>
      <c r="BH794" s="36"/>
      <c r="BI794" s="36"/>
      <c r="BJ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36"/>
      <c r="AP795" s="36"/>
      <c r="AQ795" s="36"/>
      <c r="AR795" s="36"/>
      <c r="AS795" s="36"/>
      <c r="AT795" s="36"/>
      <c r="AU795" s="36"/>
      <c r="AV795" s="36"/>
      <c r="AW795" s="36"/>
      <c r="AX795" s="36"/>
      <c r="AY795" s="36"/>
      <c r="AZ795" s="36"/>
      <c r="BA795" s="36"/>
      <c r="BB795" s="36"/>
      <c r="BC795" s="36"/>
      <c r="BD795" s="36"/>
      <c r="BE795" s="36"/>
      <c r="BF795" s="36"/>
      <c r="BG795" s="36"/>
      <c r="BH795" s="36"/>
      <c r="BI795" s="36"/>
      <c r="BJ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36"/>
      <c r="AP796" s="36"/>
      <c r="AQ796" s="36"/>
      <c r="AR796" s="36"/>
      <c r="AS796" s="36"/>
      <c r="AT796" s="36"/>
      <c r="AU796" s="36"/>
      <c r="AV796" s="36"/>
      <c r="AW796" s="36"/>
      <c r="AX796" s="36"/>
      <c r="AY796" s="36"/>
      <c r="AZ796" s="36"/>
      <c r="BA796" s="36"/>
      <c r="BB796" s="36"/>
      <c r="BC796" s="36"/>
      <c r="BD796" s="36"/>
      <c r="BE796" s="36"/>
      <c r="BF796" s="36"/>
      <c r="BG796" s="36"/>
      <c r="BH796" s="36"/>
      <c r="BI796" s="36"/>
      <c r="BJ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36"/>
      <c r="AP797" s="36"/>
      <c r="AQ797" s="36"/>
      <c r="AR797" s="36"/>
      <c r="AS797" s="36"/>
      <c r="AT797" s="36"/>
      <c r="AU797" s="36"/>
      <c r="AV797" s="36"/>
      <c r="AW797" s="36"/>
      <c r="AX797" s="36"/>
      <c r="AY797" s="36"/>
      <c r="AZ797" s="36"/>
      <c r="BA797" s="36"/>
      <c r="BB797" s="36"/>
      <c r="BC797" s="36"/>
      <c r="BD797" s="36"/>
      <c r="BE797" s="36"/>
      <c r="BF797" s="36"/>
      <c r="BG797" s="36"/>
      <c r="BH797" s="36"/>
      <c r="BI797" s="36"/>
      <c r="BJ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36"/>
      <c r="AP798" s="36"/>
      <c r="AQ798" s="36"/>
      <c r="AR798" s="36"/>
      <c r="AS798" s="36"/>
      <c r="AT798" s="36"/>
      <c r="AU798" s="36"/>
      <c r="AV798" s="36"/>
      <c r="AW798" s="36"/>
      <c r="AX798" s="36"/>
      <c r="AY798" s="36"/>
      <c r="AZ798" s="36"/>
      <c r="BA798" s="36"/>
      <c r="BB798" s="36"/>
      <c r="BC798" s="36"/>
      <c r="BD798" s="36"/>
      <c r="BE798" s="36"/>
      <c r="BF798" s="36"/>
      <c r="BG798" s="36"/>
      <c r="BH798" s="36"/>
      <c r="BI798" s="36"/>
      <c r="BJ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36"/>
      <c r="AP799" s="36"/>
      <c r="AQ799" s="36"/>
      <c r="AR799" s="36"/>
      <c r="AS799" s="36"/>
      <c r="AT799" s="36"/>
      <c r="AU799" s="36"/>
      <c r="AV799" s="36"/>
      <c r="AW799" s="36"/>
      <c r="AX799" s="36"/>
      <c r="AY799" s="36"/>
      <c r="AZ799" s="36"/>
      <c r="BA799" s="36"/>
      <c r="BB799" s="36"/>
      <c r="BC799" s="36"/>
      <c r="BD799" s="36"/>
      <c r="BE799" s="36"/>
      <c r="BF799" s="36"/>
      <c r="BG799" s="36"/>
      <c r="BH799" s="36"/>
      <c r="BI799" s="36"/>
      <c r="BJ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36"/>
      <c r="AP800" s="36"/>
      <c r="AQ800" s="36"/>
      <c r="AR800" s="36"/>
      <c r="AS800" s="36"/>
      <c r="AT800" s="36"/>
      <c r="AU800" s="36"/>
      <c r="AV800" s="36"/>
      <c r="AW800" s="36"/>
      <c r="AX800" s="36"/>
      <c r="AY800" s="36"/>
      <c r="AZ800" s="36"/>
      <c r="BA800" s="36"/>
      <c r="BB800" s="36"/>
      <c r="BC800" s="36"/>
      <c r="BD800" s="36"/>
      <c r="BE800" s="36"/>
      <c r="BF800" s="36"/>
      <c r="BG800" s="36"/>
      <c r="BH800" s="36"/>
      <c r="BI800" s="36"/>
      <c r="BJ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36"/>
      <c r="AP801" s="36"/>
      <c r="AQ801" s="36"/>
      <c r="AR801" s="36"/>
      <c r="AS801" s="36"/>
      <c r="AT801" s="36"/>
      <c r="AU801" s="36"/>
      <c r="AV801" s="36"/>
      <c r="AW801" s="36"/>
      <c r="AX801" s="36"/>
      <c r="AY801" s="36"/>
      <c r="AZ801" s="36"/>
      <c r="BA801" s="36"/>
      <c r="BB801" s="36"/>
      <c r="BC801" s="36"/>
      <c r="BD801" s="36"/>
      <c r="BE801" s="36"/>
      <c r="BF801" s="36"/>
      <c r="BG801" s="36"/>
      <c r="BH801" s="36"/>
      <c r="BI801" s="36"/>
      <c r="BJ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36"/>
      <c r="AP802" s="36"/>
      <c r="AQ802" s="36"/>
      <c r="AR802" s="36"/>
      <c r="AS802" s="36"/>
      <c r="AT802" s="36"/>
      <c r="AU802" s="36"/>
      <c r="AV802" s="36"/>
      <c r="AW802" s="36"/>
      <c r="AX802" s="36"/>
      <c r="AY802" s="36"/>
      <c r="AZ802" s="36"/>
      <c r="BA802" s="36"/>
      <c r="BB802" s="36"/>
      <c r="BC802" s="36"/>
      <c r="BD802" s="36"/>
      <c r="BE802" s="36"/>
      <c r="BF802" s="36"/>
      <c r="BG802" s="36"/>
      <c r="BH802" s="36"/>
      <c r="BI802" s="36"/>
      <c r="BJ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36"/>
      <c r="AP803" s="36"/>
      <c r="AQ803" s="36"/>
      <c r="AR803" s="36"/>
      <c r="AS803" s="36"/>
      <c r="AT803" s="36"/>
      <c r="AU803" s="36"/>
      <c r="AV803" s="36"/>
      <c r="AW803" s="36"/>
      <c r="AX803" s="36"/>
      <c r="AY803" s="36"/>
      <c r="AZ803" s="36"/>
      <c r="BA803" s="36"/>
      <c r="BB803" s="36"/>
      <c r="BC803" s="36"/>
      <c r="BD803" s="36"/>
      <c r="BE803" s="36"/>
      <c r="BF803" s="36"/>
      <c r="BG803" s="36"/>
      <c r="BH803" s="36"/>
      <c r="BI803" s="36"/>
      <c r="BJ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36"/>
      <c r="AP804" s="36"/>
      <c r="AQ804" s="36"/>
      <c r="AR804" s="36"/>
      <c r="AS804" s="36"/>
      <c r="AT804" s="36"/>
      <c r="AU804" s="36"/>
      <c r="AV804" s="36"/>
      <c r="AW804" s="36"/>
      <c r="AX804" s="36"/>
      <c r="AY804" s="36"/>
      <c r="AZ804" s="36"/>
      <c r="BA804" s="36"/>
      <c r="BB804" s="36"/>
      <c r="BC804" s="36"/>
      <c r="BD804" s="36"/>
      <c r="BE804" s="36"/>
      <c r="BF804" s="36"/>
      <c r="BG804" s="36"/>
      <c r="BH804" s="36"/>
      <c r="BI804" s="36"/>
      <c r="BJ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36"/>
      <c r="AP805" s="36"/>
      <c r="AQ805" s="36"/>
      <c r="AR805" s="36"/>
      <c r="AS805" s="36"/>
      <c r="AT805" s="36"/>
      <c r="AU805" s="36"/>
      <c r="AV805" s="36"/>
      <c r="AW805" s="36"/>
      <c r="AX805" s="36"/>
      <c r="AY805" s="36"/>
      <c r="AZ805" s="36"/>
      <c r="BA805" s="36"/>
      <c r="BB805" s="36"/>
      <c r="BC805" s="36"/>
      <c r="BD805" s="36"/>
      <c r="BE805" s="36"/>
      <c r="BF805" s="36"/>
      <c r="BG805" s="36"/>
      <c r="BH805" s="36"/>
      <c r="BI805" s="36"/>
      <c r="BJ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36"/>
      <c r="AP806" s="36"/>
      <c r="AQ806" s="36"/>
      <c r="AR806" s="36"/>
      <c r="AS806" s="36"/>
      <c r="AT806" s="36"/>
      <c r="AU806" s="36"/>
      <c r="AV806" s="36"/>
      <c r="AW806" s="36"/>
      <c r="AX806" s="36"/>
      <c r="AY806" s="36"/>
      <c r="AZ806" s="36"/>
      <c r="BA806" s="36"/>
      <c r="BB806" s="36"/>
      <c r="BC806" s="36"/>
      <c r="BD806" s="36"/>
      <c r="BE806" s="36"/>
      <c r="BF806" s="36"/>
      <c r="BG806" s="36"/>
      <c r="BH806" s="36"/>
      <c r="BI806" s="36"/>
      <c r="BJ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36"/>
      <c r="AP807" s="36"/>
      <c r="AQ807" s="36"/>
      <c r="AR807" s="36"/>
      <c r="AS807" s="36"/>
      <c r="AT807" s="36"/>
      <c r="AU807" s="36"/>
      <c r="AV807" s="36"/>
      <c r="AW807" s="36"/>
      <c r="AX807" s="36"/>
      <c r="AY807" s="36"/>
      <c r="AZ807" s="36"/>
      <c r="BA807" s="36"/>
      <c r="BB807" s="36"/>
      <c r="BC807" s="36"/>
      <c r="BD807" s="36"/>
      <c r="BE807" s="36"/>
      <c r="BF807" s="36"/>
      <c r="BG807" s="36"/>
      <c r="BH807" s="36"/>
      <c r="BI807" s="36"/>
      <c r="BJ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36"/>
      <c r="AP808" s="36"/>
      <c r="AQ808" s="36"/>
      <c r="AR808" s="36"/>
      <c r="AS808" s="36"/>
      <c r="AT808" s="36"/>
      <c r="AU808" s="36"/>
      <c r="AV808" s="36"/>
      <c r="AW808" s="36"/>
      <c r="AX808" s="36"/>
      <c r="AY808" s="36"/>
      <c r="AZ808" s="36"/>
      <c r="BA808" s="36"/>
      <c r="BB808" s="36"/>
      <c r="BC808" s="36"/>
      <c r="BD808" s="36"/>
      <c r="BE808" s="36"/>
      <c r="BF808" s="36"/>
      <c r="BG808" s="36"/>
      <c r="BH808" s="36"/>
      <c r="BI808" s="36"/>
      <c r="BJ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36"/>
      <c r="AP809" s="36"/>
      <c r="AQ809" s="36"/>
      <c r="AR809" s="36"/>
      <c r="AS809" s="36"/>
      <c r="AT809" s="36"/>
      <c r="AU809" s="36"/>
      <c r="AV809" s="36"/>
      <c r="AW809" s="36"/>
      <c r="AX809" s="36"/>
      <c r="AY809" s="36"/>
      <c r="AZ809" s="36"/>
      <c r="BA809" s="36"/>
      <c r="BB809" s="36"/>
      <c r="BC809" s="36"/>
      <c r="BD809" s="36"/>
      <c r="BE809" s="36"/>
      <c r="BF809" s="36"/>
      <c r="BG809" s="36"/>
      <c r="BH809" s="36"/>
      <c r="BI809" s="36"/>
      <c r="BJ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36"/>
      <c r="AP810" s="36"/>
      <c r="AQ810" s="36"/>
      <c r="AR810" s="36"/>
      <c r="AS810" s="36"/>
      <c r="AT810" s="36"/>
      <c r="AU810" s="36"/>
      <c r="AV810" s="36"/>
      <c r="AW810" s="36"/>
      <c r="AX810" s="36"/>
      <c r="AY810" s="36"/>
      <c r="AZ810" s="36"/>
      <c r="BA810" s="36"/>
      <c r="BB810" s="36"/>
      <c r="BC810" s="36"/>
      <c r="BD810" s="36"/>
      <c r="BE810" s="36"/>
      <c r="BF810" s="36"/>
      <c r="BG810" s="36"/>
      <c r="BH810" s="36"/>
      <c r="BI810" s="36"/>
      <c r="BJ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36"/>
      <c r="AP811" s="36"/>
      <c r="AQ811" s="36"/>
      <c r="AR811" s="36"/>
      <c r="AS811" s="36"/>
      <c r="AT811" s="36"/>
      <c r="AU811" s="36"/>
      <c r="AV811" s="36"/>
      <c r="AW811" s="36"/>
      <c r="AX811" s="36"/>
      <c r="AY811" s="36"/>
      <c r="AZ811" s="36"/>
      <c r="BA811" s="36"/>
      <c r="BB811" s="36"/>
      <c r="BC811" s="36"/>
      <c r="BD811" s="36"/>
      <c r="BE811" s="36"/>
      <c r="BF811" s="36"/>
      <c r="BG811" s="36"/>
      <c r="BH811" s="36"/>
      <c r="BI811" s="36"/>
      <c r="BJ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36"/>
      <c r="AP812" s="36"/>
      <c r="AQ812" s="36"/>
      <c r="AR812" s="36"/>
      <c r="AS812" s="36"/>
      <c r="AT812" s="36"/>
      <c r="AU812" s="36"/>
      <c r="AV812" s="36"/>
      <c r="AW812" s="36"/>
      <c r="AX812" s="36"/>
      <c r="AY812" s="36"/>
      <c r="AZ812" s="36"/>
      <c r="BA812" s="36"/>
      <c r="BB812" s="36"/>
      <c r="BC812" s="36"/>
      <c r="BD812" s="36"/>
      <c r="BE812" s="36"/>
      <c r="BF812" s="36"/>
      <c r="BG812" s="36"/>
      <c r="BH812" s="36"/>
      <c r="BI812" s="36"/>
      <c r="BJ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36"/>
      <c r="AP813" s="36"/>
      <c r="AQ813" s="36"/>
      <c r="AR813" s="36"/>
      <c r="AS813" s="36"/>
      <c r="AT813" s="36"/>
      <c r="AU813" s="36"/>
      <c r="AV813" s="36"/>
      <c r="AW813" s="36"/>
      <c r="AX813" s="36"/>
      <c r="AY813" s="36"/>
      <c r="AZ813" s="36"/>
      <c r="BA813" s="36"/>
      <c r="BB813" s="36"/>
      <c r="BC813" s="36"/>
      <c r="BD813" s="36"/>
      <c r="BE813" s="36"/>
      <c r="BF813" s="36"/>
      <c r="BG813" s="36"/>
      <c r="BH813" s="36"/>
      <c r="BI813" s="36"/>
      <c r="BJ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36"/>
      <c r="AP814" s="36"/>
      <c r="AQ814" s="36"/>
      <c r="AR814" s="36"/>
      <c r="AS814" s="36"/>
      <c r="AT814" s="36"/>
      <c r="AU814" s="36"/>
      <c r="AV814" s="36"/>
      <c r="AW814" s="36"/>
      <c r="AX814" s="36"/>
      <c r="AY814" s="36"/>
      <c r="AZ814" s="36"/>
      <c r="BA814" s="36"/>
      <c r="BB814" s="36"/>
      <c r="BC814" s="36"/>
      <c r="BD814" s="36"/>
      <c r="BE814" s="36"/>
      <c r="BF814" s="36"/>
      <c r="BG814" s="36"/>
      <c r="BH814" s="36"/>
      <c r="BI814" s="36"/>
      <c r="BJ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36"/>
      <c r="AP815" s="36"/>
      <c r="AQ815" s="36"/>
      <c r="AR815" s="36"/>
      <c r="AS815" s="36"/>
      <c r="AT815" s="36"/>
      <c r="AU815" s="36"/>
      <c r="AV815" s="36"/>
      <c r="AW815" s="36"/>
      <c r="AX815" s="36"/>
      <c r="AY815" s="36"/>
      <c r="AZ815" s="36"/>
      <c r="BA815" s="36"/>
      <c r="BB815" s="36"/>
      <c r="BC815" s="36"/>
      <c r="BD815" s="36"/>
      <c r="BE815" s="36"/>
      <c r="BF815" s="36"/>
      <c r="BG815" s="36"/>
      <c r="BH815" s="36"/>
      <c r="BI815" s="36"/>
      <c r="BJ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36"/>
      <c r="AP816" s="36"/>
      <c r="AQ816" s="36"/>
      <c r="AR816" s="36"/>
      <c r="AS816" s="36"/>
      <c r="AT816" s="36"/>
      <c r="AU816" s="36"/>
      <c r="AV816" s="36"/>
      <c r="AW816" s="36"/>
      <c r="AX816" s="36"/>
      <c r="AY816" s="36"/>
      <c r="AZ816" s="36"/>
      <c r="BA816" s="36"/>
      <c r="BB816" s="36"/>
      <c r="BC816" s="36"/>
      <c r="BD816" s="36"/>
      <c r="BE816" s="36"/>
      <c r="BF816" s="36"/>
      <c r="BG816" s="36"/>
      <c r="BH816" s="36"/>
      <c r="BI816" s="36"/>
      <c r="BJ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36"/>
      <c r="AP817" s="36"/>
      <c r="AQ817" s="36"/>
      <c r="AR817" s="36"/>
      <c r="AS817" s="36"/>
      <c r="AT817" s="36"/>
      <c r="AU817" s="36"/>
      <c r="AV817" s="36"/>
      <c r="AW817" s="36"/>
      <c r="AX817" s="36"/>
      <c r="AY817" s="36"/>
      <c r="AZ817" s="36"/>
      <c r="BA817" s="36"/>
      <c r="BB817" s="36"/>
      <c r="BC817" s="36"/>
      <c r="BD817" s="36"/>
      <c r="BE817" s="36"/>
      <c r="BF817" s="36"/>
      <c r="BG817" s="36"/>
      <c r="BH817" s="36"/>
      <c r="BI817" s="36"/>
      <c r="BJ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36"/>
      <c r="AP818" s="36"/>
      <c r="AQ818" s="36"/>
      <c r="AR818" s="36"/>
      <c r="AS818" s="36"/>
      <c r="AT818" s="36"/>
      <c r="AU818" s="36"/>
      <c r="AV818" s="36"/>
      <c r="AW818" s="36"/>
      <c r="AX818" s="36"/>
      <c r="AY818" s="36"/>
      <c r="AZ818" s="36"/>
      <c r="BA818" s="36"/>
      <c r="BB818" s="36"/>
      <c r="BC818" s="36"/>
      <c r="BD818" s="36"/>
      <c r="BE818" s="36"/>
      <c r="BF818" s="36"/>
      <c r="BG818" s="36"/>
      <c r="BH818" s="36"/>
      <c r="BI818" s="36"/>
      <c r="BJ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36"/>
      <c r="AP819" s="36"/>
      <c r="AQ819" s="36"/>
      <c r="AR819" s="36"/>
      <c r="AS819" s="36"/>
      <c r="AT819" s="36"/>
      <c r="AU819" s="36"/>
      <c r="AV819" s="36"/>
      <c r="AW819" s="36"/>
      <c r="AX819" s="36"/>
      <c r="AY819" s="36"/>
      <c r="AZ819" s="36"/>
      <c r="BA819" s="36"/>
      <c r="BB819" s="36"/>
      <c r="BC819" s="36"/>
      <c r="BD819" s="36"/>
      <c r="BE819" s="36"/>
      <c r="BF819" s="36"/>
      <c r="BG819" s="36"/>
      <c r="BH819" s="36"/>
      <c r="BI819" s="36"/>
      <c r="BJ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36"/>
      <c r="AP820" s="36"/>
      <c r="AQ820" s="36"/>
      <c r="AR820" s="36"/>
      <c r="AS820" s="36"/>
      <c r="AT820" s="36"/>
      <c r="AU820" s="36"/>
      <c r="AV820" s="36"/>
      <c r="AW820" s="36"/>
      <c r="AX820" s="36"/>
      <c r="AY820" s="36"/>
      <c r="AZ820" s="36"/>
      <c r="BA820" s="36"/>
      <c r="BB820" s="36"/>
      <c r="BC820" s="36"/>
      <c r="BD820" s="36"/>
      <c r="BE820" s="36"/>
      <c r="BF820" s="36"/>
      <c r="BG820" s="36"/>
      <c r="BH820" s="36"/>
      <c r="BI820" s="36"/>
      <c r="BJ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36"/>
      <c r="AP821" s="36"/>
      <c r="AQ821" s="36"/>
      <c r="AR821" s="36"/>
      <c r="AS821" s="36"/>
      <c r="AT821" s="36"/>
      <c r="AU821" s="36"/>
      <c r="AV821" s="36"/>
      <c r="AW821" s="36"/>
      <c r="AX821" s="36"/>
      <c r="AY821" s="36"/>
      <c r="AZ821" s="36"/>
      <c r="BA821" s="36"/>
      <c r="BB821" s="36"/>
      <c r="BC821" s="36"/>
      <c r="BD821" s="36"/>
      <c r="BE821" s="36"/>
      <c r="BF821" s="36"/>
      <c r="BG821" s="36"/>
      <c r="BH821" s="36"/>
      <c r="BI821" s="36"/>
      <c r="BJ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36"/>
      <c r="AP822" s="36"/>
      <c r="AQ822" s="36"/>
      <c r="AR822" s="36"/>
      <c r="AS822" s="36"/>
      <c r="AT822" s="36"/>
      <c r="AU822" s="36"/>
      <c r="AV822" s="36"/>
      <c r="AW822" s="36"/>
      <c r="AX822" s="36"/>
      <c r="AY822" s="36"/>
      <c r="AZ822" s="36"/>
      <c r="BA822" s="36"/>
      <c r="BB822" s="36"/>
      <c r="BC822" s="36"/>
      <c r="BD822" s="36"/>
      <c r="BE822" s="36"/>
      <c r="BF822" s="36"/>
      <c r="BG822" s="36"/>
      <c r="BH822" s="36"/>
      <c r="BI822" s="36"/>
      <c r="BJ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36"/>
      <c r="AP823" s="36"/>
      <c r="AQ823" s="36"/>
      <c r="AR823" s="36"/>
      <c r="AS823" s="36"/>
      <c r="AT823" s="36"/>
      <c r="AU823" s="36"/>
      <c r="AV823" s="36"/>
      <c r="AW823" s="36"/>
      <c r="AX823" s="36"/>
      <c r="AY823" s="36"/>
      <c r="AZ823" s="36"/>
      <c r="BA823" s="36"/>
      <c r="BB823" s="36"/>
      <c r="BC823" s="36"/>
      <c r="BD823" s="36"/>
      <c r="BE823" s="36"/>
      <c r="BF823" s="36"/>
      <c r="BG823" s="36"/>
      <c r="BH823" s="36"/>
      <c r="BI823" s="36"/>
      <c r="BJ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36"/>
      <c r="AP824" s="36"/>
      <c r="AQ824" s="36"/>
      <c r="AR824" s="36"/>
      <c r="AS824" s="36"/>
      <c r="AT824" s="36"/>
      <c r="AU824" s="36"/>
      <c r="AV824" s="36"/>
      <c r="AW824" s="36"/>
      <c r="AX824" s="36"/>
      <c r="AY824" s="36"/>
      <c r="AZ824" s="36"/>
      <c r="BA824" s="36"/>
      <c r="BB824" s="36"/>
      <c r="BC824" s="36"/>
      <c r="BD824" s="36"/>
      <c r="BE824" s="36"/>
      <c r="BF824" s="36"/>
      <c r="BG824" s="36"/>
      <c r="BH824" s="36"/>
      <c r="BI824" s="36"/>
      <c r="BJ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36"/>
      <c r="AP825" s="36"/>
      <c r="AQ825" s="36"/>
      <c r="AR825" s="36"/>
      <c r="AS825" s="36"/>
      <c r="AT825" s="36"/>
      <c r="AU825" s="36"/>
      <c r="AV825" s="36"/>
      <c r="AW825" s="36"/>
      <c r="AX825" s="36"/>
      <c r="AY825" s="36"/>
      <c r="AZ825" s="36"/>
      <c r="BA825" s="36"/>
      <c r="BB825" s="36"/>
      <c r="BC825" s="36"/>
      <c r="BD825" s="36"/>
      <c r="BE825" s="36"/>
      <c r="BF825" s="36"/>
      <c r="BG825" s="36"/>
      <c r="BH825" s="36"/>
      <c r="BI825" s="36"/>
      <c r="BJ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36"/>
      <c r="AP826" s="36"/>
      <c r="AQ826" s="36"/>
      <c r="AR826" s="36"/>
      <c r="AS826" s="36"/>
      <c r="AT826" s="36"/>
      <c r="AU826" s="36"/>
      <c r="AV826" s="36"/>
      <c r="AW826" s="36"/>
      <c r="AX826" s="36"/>
      <c r="AY826" s="36"/>
      <c r="AZ826" s="36"/>
      <c r="BA826" s="36"/>
      <c r="BB826" s="36"/>
      <c r="BC826" s="36"/>
      <c r="BD826" s="36"/>
      <c r="BE826" s="36"/>
      <c r="BF826" s="36"/>
      <c r="BG826" s="36"/>
      <c r="BH826" s="36"/>
      <c r="BI826" s="36"/>
      <c r="BJ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36"/>
      <c r="AP827" s="36"/>
      <c r="AQ827" s="36"/>
      <c r="AR827" s="36"/>
      <c r="AS827" s="36"/>
      <c r="AT827" s="36"/>
      <c r="AU827" s="36"/>
      <c r="AV827" s="36"/>
      <c r="AW827" s="36"/>
      <c r="AX827" s="36"/>
      <c r="AY827" s="36"/>
      <c r="AZ827" s="36"/>
      <c r="BA827" s="36"/>
      <c r="BB827" s="36"/>
      <c r="BC827" s="36"/>
      <c r="BD827" s="36"/>
      <c r="BE827" s="36"/>
      <c r="BF827" s="36"/>
      <c r="BG827" s="36"/>
      <c r="BH827" s="36"/>
      <c r="BI827" s="36"/>
      <c r="BJ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36"/>
      <c r="AP828" s="36"/>
      <c r="AQ828" s="36"/>
      <c r="AR828" s="36"/>
      <c r="AS828" s="36"/>
      <c r="AT828" s="36"/>
      <c r="AU828" s="36"/>
      <c r="AV828" s="36"/>
      <c r="AW828" s="36"/>
      <c r="AX828" s="36"/>
      <c r="AY828" s="36"/>
      <c r="AZ828" s="36"/>
      <c r="BA828" s="36"/>
      <c r="BB828" s="36"/>
      <c r="BC828" s="36"/>
      <c r="BD828" s="36"/>
      <c r="BE828" s="36"/>
      <c r="BF828" s="36"/>
      <c r="BG828" s="36"/>
      <c r="BH828" s="36"/>
      <c r="BI828" s="36"/>
      <c r="BJ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36"/>
      <c r="AP829" s="36"/>
      <c r="AQ829" s="36"/>
      <c r="AR829" s="36"/>
      <c r="AS829" s="36"/>
      <c r="AT829" s="36"/>
      <c r="AU829" s="36"/>
      <c r="AV829" s="36"/>
      <c r="AW829" s="36"/>
      <c r="AX829" s="36"/>
      <c r="AY829" s="36"/>
      <c r="AZ829" s="36"/>
      <c r="BA829" s="36"/>
      <c r="BB829" s="36"/>
      <c r="BC829" s="36"/>
      <c r="BD829" s="36"/>
      <c r="BE829" s="36"/>
      <c r="BF829" s="36"/>
      <c r="BG829" s="36"/>
      <c r="BH829" s="36"/>
      <c r="BI829" s="36"/>
      <c r="BJ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36"/>
      <c r="AP830" s="36"/>
      <c r="AQ830" s="36"/>
      <c r="AR830" s="36"/>
      <c r="AS830" s="36"/>
      <c r="AT830" s="36"/>
      <c r="AU830" s="36"/>
      <c r="AV830" s="36"/>
      <c r="AW830" s="36"/>
      <c r="AX830" s="36"/>
      <c r="AY830" s="36"/>
      <c r="AZ830" s="36"/>
      <c r="BA830" s="36"/>
      <c r="BB830" s="36"/>
      <c r="BC830" s="36"/>
      <c r="BD830" s="36"/>
      <c r="BE830" s="36"/>
      <c r="BF830" s="36"/>
      <c r="BG830" s="36"/>
      <c r="BH830" s="36"/>
      <c r="BI830" s="36"/>
      <c r="BJ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36"/>
      <c r="AP831" s="36"/>
      <c r="AQ831" s="36"/>
      <c r="AR831" s="36"/>
      <c r="AS831" s="36"/>
      <c r="AT831" s="36"/>
      <c r="AU831" s="36"/>
      <c r="AV831" s="36"/>
      <c r="AW831" s="36"/>
      <c r="AX831" s="36"/>
      <c r="AY831" s="36"/>
      <c r="AZ831" s="36"/>
      <c r="BA831" s="36"/>
      <c r="BB831" s="36"/>
      <c r="BC831" s="36"/>
      <c r="BD831" s="36"/>
      <c r="BE831" s="36"/>
      <c r="BF831" s="36"/>
      <c r="BG831" s="36"/>
      <c r="BH831" s="36"/>
      <c r="BI831" s="36"/>
      <c r="BJ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36"/>
      <c r="AP832" s="36"/>
      <c r="AQ832" s="36"/>
      <c r="AR832" s="36"/>
      <c r="AS832" s="36"/>
      <c r="AT832" s="36"/>
      <c r="AU832" s="36"/>
      <c r="AV832" s="36"/>
      <c r="AW832" s="36"/>
      <c r="AX832" s="36"/>
      <c r="AY832" s="36"/>
      <c r="AZ832" s="36"/>
      <c r="BA832" s="36"/>
      <c r="BB832" s="36"/>
      <c r="BC832" s="36"/>
      <c r="BD832" s="36"/>
      <c r="BE832" s="36"/>
      <c r="BF832" s="36"/>
      <c r="BG832" s="36"/>
      <c r="BH832" s="36"/>
      <c r="BI832" s="36"/>
      <c r="BJ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36"/>
      <c r="AP833" s="36"/>
      <c r="AQ833" s="36"/>
      <c r="AR833" s="36"/>
      <c r="AS833" s="36"/>
      <c r="AT833" s="36"/>
      <c r="AU833" s="36"/>
      <c r="AV833" s="36"/>
      <c r="AW833" s="36"/>
      <c r="AX833" s="36"/>
      <c r="AY833" s="36"/>
      <c r="AZ833" s="36"/>
      <c r="BA833" s="36"/>
      <c r="BB833" s="36"/>
      <c r="BC833" s="36"/>
      <c r="BD833" s="36"/>
      <c r="BE833" s="36"/>
      <c r="BF833" s="36"/>
      <c r="BG833" s="36"/>
      <c r="BH833" s="36"/>
      <c r="BI833" s="36"/>
      <c r="BJ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36"/>
      <c r="AP834" s="36"/>
      <c r="AQ834" s="36"/>
      <c r="AR834" s="36"/>
      <c r="AS834" s="36"/>
      <c r="AT834" s="36"/>
      <c r="AU834" s="36"/>
      <c r="AV834" s="36"/>
      <c r="AW834" s="36"/>
      <c r="AX834" s="36"/>
      <c r="AY834" s="36"/>
      <c r="AZ834" s="36"/>
      <c r="BA834" s="36"/>
      <c r="BB834" s="36"/>
      <c r="BC834" s="36"/>
      <c r="BD834" s="36"/>
      <c r="BE834" s="36"/>
      <c r="BF834" s="36"/>
      <c r="BG834" s="36"/>
      <c r="BH834" s="36"/>
      <c r="BI834" s="36"/>
      <c r="BJ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  <c r="AO835" s="36"/>
      <c r="AP835" s="36"/>
      <c r="AQ835" s="36"/>
      <c r="AR835" s="36"/>
      <c r="AS835" s="36"/>
      <c r="AT835" s="36"/>
      <c r="AU835" s="36"/>
      <c r="AV835" s="36"/>
      <c r="AW835" s="36"/>
      <c r="AX835" s="36"/>
      <c r="AY835" s="36"/>
      <c r="AZ835" s="36"/>
      <c r="BA835" s="36"/>
      <c r="BB835" s="36"/>
      <c r="BC835" s="36"/>
      <c r="BD835" s="36"/>
      <c r="BE835" s="36"/>
      <c r="BF835" s="36"/>
      <c r="BG835" s="36"/>
      <c r="BH835" s="36"/>
      <c r="BI835" s="36"/>
      <c r="BJ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  <c r="AO836" s="36"/>
      <c r="AP836" s="36"/>
      <c r="AQ836" s="36"/>
      <c r="AR836" s="36"/>
      <c r="AS836" s="36"/>
      <c r="AT836" s="36"/>
      <c r="AU836" s="36"/>
      <c r="AV836" s="36"/>
      <c r="AW836" s="36"/>
      <c r="AX836" s="36"/>
      <c r="AY836" s="36"/>
      <c r="AZ836" s="36"/>
      <c r="BA836" s="36"/>
      <c r="BB836" s="36"/>
      <c r="BC836" s="36"/>
      <c r="BD836" s="36"/>
      <c r="BE836" s="36"/>
      <c r="BF836" s="36"/>
      <c r="BG836" s="36"/>
      <c r="BH836" s="36"/>
      <c r="BI836" s="36"/>
      <c r="BJ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  <c r="AO837" s="36"/>
      <c r="AP837" s="36"/>
      <c r="AQ837" s="36"/>
      <c r="AR837" s="36"/>
      <c r="AS837" s="36"/>
      <c r="AT837" s="36"/>
      <c r="AU837" s="36"/>
      <c r="AV837" s="36"/>
      <c r="AW837" s="36"/>
      <c r="AX837" s="36"/>
      <c r="AY837" s="36"/>
      <c r="AZ837" s="36"/>
      <c r="BA837" s="36"/>
      <c r="BB837" s="36"/>
      <c r="BC837" s="36"/>
      <c r="BD837" s="36"/>
      <c r="BE837" s="36"/>
      <c r="BF837" s="36"/>
      <c r="BG837" s="36"/>
      <c r="BH837" s="36"/>
      <c r="BI837" s="36"/>
      <c r="BJ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  <c r="AO838" s="36"/>
      <c r="AP838" s="36"/>
      <c r="AQ838" s="36"/>
      <c r="AR838" s="36"/>
      <c r="AS838" s="36"/>
      <c r="AT838" s="36"/>
      <c r="AU838" s="36"/>
      <c r="AV838" s="36"/>
      <c r="AW838" s="36"/>
      <c r="AX838" s="36"/>
      <c r="AY838" s="36"/>
      <c r="AZ838" s="36"/>
      <c r="BA838" s="36"/>
      <c r="BB838" s="36"/>
      <c r="BC838" s="36"/>
      <c r="BD838" s="36"/>
      <c r="BE838" s="36"/>
      <c r="BF838" s="36"/>
      <c r="BG838" s="36"/>
      <c r="BH838" s="36"/>
      <c r="BI838" s="36"/>
      <c r="BJ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  <c r="AO839" s="36"/>
      <c r="AP839" s="36"/>
      <c r="AQ839" s="36"/>
      <c r="AR839" s="36"/>
      <c r="AS839" s="36"/>
      <c r="AT839" s="36"/>
      <c r="AU839" s="36"/>
      <c r="AV839" s="36"/>
      <c r="AW839" s="36"/>
      <c r="AX839" s="36"/>
      <c r="AY839" s="36"/>
      <c r="AZ839" s="36"/>
      <c r="BA839" s="36"/>
      <c r="BB839" s="36"/>
      <c r="BC839" s="36"/>
      <c r="BD839" s="36"/>
      <c r="BE839" s="36"/>
      <c r="BF839" s="36"/>
      <c r="BG839" s="36"/>
      <c r="BH839" s="36"/>
      <c r="BI839" s="36"/>
      <c r="BJ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  <c r="AN840" s="36"/>
      <c r="AO840" s="36"/>
      <c r="AP840" s="36"/>
      <c r="AQ840" s="36"/>
      <c r="AR840" s="36"/>
      <c r="AS840" s="36"/>
      <c r="AT840" s="36"/>
      <c r="AU840" s="36"/>
      <c r="AV840" s="36"/>
      <c r="AW840" s="36"/>
      <c r="AX840" s="36"/>
      <c r="AY840" s="36"/>
      <c r="AZ840" s="36"/>
      <c r="BA840" s="36"/>
      <c r="BB840" s="36"/>
      <c r="BC840" s="36"/>
      <c r="BD840" s="36"/>
      <c r="BE840" s="36"/>
      <c r="BF840" s="36"/>
      <c r="BG840" s="36"/>
      <c r="BH840" s="36"/>
      <c r="BI840" s="36"/>
      <c r="BJ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  <c r="AN841" s="36"/>
      <c r="AO841" s="36"/>
      <c r="AP841" s="36"/>
      <c r="AQ841" s="36"/>
      <c r="AR841" s="36"/>
      <c r="AS841" s="36"/>
      <c r="AT841" s="36"/>
      <c r="AU841" s="36"/>
      <c r="AV841" s="36"/>
      <c r="AW841" s="36"/>
      <c r="AX841" s="36"/>
      <c r="AY841" s="36"/>
      <c r="AZ841" s="36"/>
      <c r="BA841" s="36"/>
      <c r="BB841" s="36"/>
      <c r="BC841" s="36"/>
      <c r="BD841" s="36"/>
      <c r="BE841" s="36"/>
      <c r="BF841" s="36"/>
      <c r="BG841" s="36"/>
      <c r="BH841" s="36"/>
      <c r="BI841" s="36"/>
      <c r="BJ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  <c r="AN842" s="36"/>
      <c r="AO842" s="36"/>
      <c r="AP842" s="36"/>
      <c r="AQ842" s="36"/>
      <c r="AR842" s="36"/>
      <c r="AS842" s="36"/>
      <c r="AT842" s="36"/>
      <c r="AU842" s="36"/>
      <c r="AV842" s="36"/>
      <c r="AW842" s="36"/>
      <c r="AX842" s="36"/>
      <c r="AY842" s="36"/>
      <c r="AZ842" s="36"/>
      <c r="BA842" s="36"/>
      <c r="BB842" s="36"/>
      <c r="BC842" s="36"/>
      <c r="BD842" s="36"/>
      <c r="BE842" s="36"/>
      <c r="BF842" s="36"/>
      <c r="BG842" s="36"/>
      <c r="BH842" s="36"/>
      <c r="BI842" s="36"/>
      <c r="BJ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  <c r="AN843" s="36"/>
      <c r="AO843" s="36"/>
      <c r="AP843" s="36"/>
      <c r="AQ843" s="36"/>
      <c r="AR843" s="36"/>
      <c r="AS843" s="36"/>
      <c r="AT843" s="36"/>
      <c r="AU843" s="36"/>
      <c r="AV843" s="36"/>
      <c r="AW843" s="36"/>
      <c r="AX843" s="36"/>
      <c r="AY843" s="36"/>
      <c r="AZ843" s="36"/>
      <c r="BA843" s="36"/>
      <c r="BB843" s="36"/>
      <c r="BC843" s="36"/>
      <c r="BD843" s="36"/>
      <c r="BE843" s="36"/>
      <c r="BF843" s="36"/>
      <c r="BG843" s="36"/>
      <c r="BH843" s="36"/>
      <c r="BI843" s="36"/>
      <c r="BJ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  <c r="AN844" s="36"/>
      <c r="AO844" s="36"/>
      <c r="AP844" s="36"/>
      <c r="AQ844" s="36"/>
      <c r="AR844" s="36"/>
      <c r="AS844" s="36"/>
      <c r="AT844" s="36"/>
      <c r="AU844" s="36"/>
      <c r="AV844" s="36"/>
      <c r="AW844" s="36"/>
      <c r="AX844" s="36"/>
      <c r="AY844" s="36"/>
      <c r="AZ844" s="36"/>
      <c r="BA844" s="36"/>
      <c r="BB844" s="36"/>
      <c r="BC844" s="36"/>
      <c r="BD844" s="36"/>
      <c r="BE844" s="36"/>
      <c r="BF844" s="36"/>
      <c r="BG844" s="36"/>
      <c r="BH844" s="36"/>
      <c r="BI844" s="36"/>
      <c r="BJ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  <c r="AN845" s="36"/>
      <c r="AO845" s="36"/>
      <c r="AP845" s="36"/>
      <c r="AQ845" s="36"/>
      <c r="AR845" s="36"/>
      <c r="AS845" s="36"/>
      <c r="AT845" s="36"/>
      <c r="AU845" s="36"/>
      <c r="AV845" s="36"/>
      <c r="AW845" s="36"/>
      <c r="AX845" s="36"/>
      <c r="AY845" s="36"/>
      <c r="AZ845" s="36"/>
      <c r="BA845" s="36"/>
      <c r="BB845" s="36"/>
      <c r="BC845" s="36"/>
      <c r="BD845" s="36"/>
      <c r="BE845" s="36"/>
      <c r="BF845" s="36"/>
      <c r="BG845" s="36"/>
      <c r="BH845" s="36"/>
      <c r="BI845" s="36"/>
      <c r="BJ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  <c r="AN846" s="36"/>
      <c r="AO846" s="36"/>
      <c r="AP846" s="36"/>
      <c r="AQ846" s="36"/>
      <c r="AR846" s="36"/>
      <c r="AS846" s="36"/>
      <c r="AT846" s="36"/>
      <c r="AU846" s="36"/>
      <c r="AV846" s="36"/>
      <c r="AW846" s="36"/>
      <c r="AX846" s="36"/>
      <c r="AY846" s="36"/>
      <c r="AZ846" s="36"/>
      <c r="BA846" s="36"/>
      <c r="BB846" s="36"/>
      <c r="BC846" s="36"/>
      <c r="BD846" s="36"/>
      <c r="BE846" s="36"/>
      <c r="BF846" s="36"/>
      <c r="BG846" s="36"/>
      <c r="BH846" s="36"/>
      <c r="BI846" s="36"/>
      <c r="BJ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  <c r="AL847" s="36"/>
      <c r="AM847" s="36"/>
      <c r="AN847" s="36"/>
      <c r="AO847" s="36"/>
      <c r="AP847" s="36"/>
      <c r="AQ847" s="36"/>
      <c r="AR847" s="36"/>
      <c r="AS847" s="36"/>
      <c r="AT847" s="36"/>
      <c r="AU847" s="36"/>
      <c r="AV847" s="36"/>
      <c r="AW847" s="36"/>
      <c r="AX847" s="36"/>
      <c r="AY847" s="36"/>
      <c r="AZ847" s="36"/>
      <c r="BA847" s="36"/>
      <c r="BB847" s="36"/>
      <c r="BC847" s="36"/>
      <c r="BD847" s="36"/>
      <c r="BE847" s="36"/>
      <c r="BF847" s="36"/>
      <c r="BG847" s="36"/>
      <c r="BH847" s="36"/>
      <c r="BI847" s="36"/>
      <c r="BJ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  <c r="AL848" s="36"/>
      <c r="AM848" s="36"/>
      <c r="AN848" s="36"/>
      <c r="AO848" s="36"/>
      <c r="AP848" s="36"/>
      <c r="AQ848" s="36"/>
      <c r="AR848" s="36"/>
      <c r="AS848" s="36"/>
      <c r="AT848" s="36"/>
      <c r="AU848" s="36"/>
      <c r="AV848" s="36"/>
      <c r="AW848" s="36"/>
      <c r="AX848" s="36"/>
      <c r="AY848" s="36"/>
      <c r="AZ848" s="36"/>
      <c r="BA848" s="36"/>
      <c r="BB848" s="36"/>
      <c r="BC848" s="36"/>
      <c r="BD848" s="36"/>
      <c r="BE848" s="36"/>
      <c r="BF848" s="36"/>
      <c r="BG848" s="36"/>
      <c r="BH848" s="36"/>
      <c r="BI848" s="36"/>
      <c r="BJ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  <c r="AL849" s="36"/>
      <c r="AM849" s="36"/>
      <c r="AN849" s="36"/>
      <c r="AO849" s="36"/>
      <c r="AP849" s="36"/>
      <c r="AQ849" s="36"/>
      <c r="AR849" s="36"/>
      <c r="AS849" s="36"/>
      <c r="AT849" s="36"/>
      <c r="AU849" s="36"/>
      <c r="AV849" s="36"/>
      <c r="AW849" s="36"/>
      <c r="AX849" s="36"/>
      <c r="AY849" s="36"/>
      <c r="AZ849" s="36"/>
      <c r="BA849" s="36"/>
      <c r="BB849" s="36"/>
      <c r="BC849" s="36"/>
      <c r="BD849" s="36"/>
      <c r="BE849" s="36"/>
      <c r="BF849" s="36"/>
      <c r="BG849" s="36"/>
      <c r="BH849" s="36"/>
      <c r="BI849" s="36"/>
      <c r="BJ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  <c r="AL850" s="36"/>
      <c r="AM850" s="36"/>
      <c r="AN850" s="36"/>
      <c r="AO850" s="36"/>
      <c r="AP850" s="36"/>
      <c r="AQ850" s="36"/>
      <c r="AR850" s="36"/>
      <c r="AS850" s="36"/>
      <c r="AT850" s="36"/>
      <c r="AU850" s="36"/>
      <c r="AV850" s="36"/>
      <c r="AW850" s="36"/>
      <c r="AX850" s="36"/>
      <c r="AY850" s="36"/>
      <c r="AZ850" s="36"/>
      <c r="BA850" s="36"/>
      <c r="BB850" s="36"/>
      <c r="BC850" s="36"/>
      <c r="BD850" s="36"/>
      <c r="BE850" s="36"/>
      <c r="BF850" s="36"/>
      <c r="BG850" s="36"/>
      <c r="BH850" s="36"/>
      <c r="BI850" s="36"/>
      <c r="BJ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  <c r="AL851" s="36"/>
      <c r="AM851" s="36"/>
      <c r="AN851" s="36"/>
      <c r="AO851" s="36"/>
      <c r="AP851" s="36"/>
      <c r="AQ851" s="36"/>
      <c r="AR851" s="36"/>
      <c r="AS851" s="36"/>
      <c r="AT851" s="36"/>
      <c r="AU851" s="36"/>
      <c r="AV851" s="36"/>
      <c r="AW851" s="36"/>
      <c r="AX851" s="36"/>
      <c r="AY851" s="36"/>
      <c r="AZ851" s="36"/>
      <c r="BA851" s="36"/>
      <c r="BB851" s="36"/>
      <c r="BC851" s="36"/>
      <c r="BD851" s="36"/>
      <c r="BE851" s="36"/>
      <c r="BF851" s="36"/>
      <c r="BG851" s="36"/>
      <c r="BH851" s="36"/>
      <c r="BI851" s="36"/>
      <c r="BJ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  <c r="AL852" s="36"/>
      <c r="AM852" s="36"/>
      <c r="AN852" s="36"/>
      <c r="AO852" s="36"/>
      <c r="AP852" s="36"/>
      <c r="AQ852" s="36"/>
      <c r="AR852" s="36"/>
      <c r="AS852" s="36"/>
      <c r="AT852" s="36"/>
      <c r="AU852" s="36"/>
      <c r="AV852" s="36"/>
      <c r="AW852" s="36"/>
      <c r="AX852" s="36"/>
      <c r="AY852" s="36"/>
      <c r="AZ852" s="36"/>
      <c r="BA852" s="36"/>
      <c r="BB852" s="36"/>
      <c r="BC852" s="36"/>
      <c r="BD852" s="36"/>
      <c r="BE852" s="36"/>
      <c r="BF852" s="36"/>
      <c r="BG852" s="36"/>
      <c r="BH852" s="36"/>
      <c r="BI852" s="36"/>
      <c r="BJ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  <c r="AL853" s="36"/>
      <c r="AM853" s="36"/>
      <c r="AN853" s="36"/>
      <c r="AO853" s="36"/>
      <c r="AP853" s="36"/>
      <c r="AQ853" s="36"/>
      <c r="AR853" s="36"/>
      <c r="AS853" s="36"/>
      <c r="AT853" s="36"/>
      <c r="AU853" s="36"/>
      <c r="AV853" s="36"/>
      <c r="AW853" s="36"/>
      <c r="AX853" s="36"/>
      <c r="AY853" s="36"/>
      <c r="AZ853" s="36"/>
      <c r="BA853" s="36"/>
      <c r="BB853" s="36"/>
      <c r="BC853" s="36"/>
      <c r="BD853" s="36"/>
      <c r="BE853" s="36"/>
      <c r="BF853" s="36"/>
      <c r="BG853" s="36"/>
      <c r="BH853" s="36"/>
      <c r="BI853" s="36"/>
      <c r="BJ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  <c r="AL854" s="36"/>
      <c r="AM854" s="36"/>
      <c r="AN854" s="36"/>
      <c r="AO854" s="36"/>
      <c r="AP854" s="36"/>
      <c r="AQ854" s="36"/>
      <c r="AR854" s="36"/>
      <c r="AS854" s="36"/>
      <c r="AT854" s="36"/>
      <c r="AU854" s="36"/>
      <c r="AV854" s="36"/>
      <c r="AW854" s="36"/>
      <c r="AX854" s="36"/>
      <c r="AY854" s="36"/>
      <c r="AZ854" s="36"/>
      <c r="BA854" s="36"/>
      <c r="BB854" s="36"/>
      <c r="BC854" s="36"/>
      <c r="BD854" s="36"/>
      <c r="BE854" s="36"/>
      <c r="BF854" s="36"/>
      <c r="BG854" s="36"/>
      <c r="BH854" s="36"/>
      <c r="BI854" s="36"/>
      <c r="BJ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  <c r="AL855" s="36"/>
      <c r="AM855" s="36"/>
      <c r="AN855" s="36"/>
      <c r="AO855" s="36"/>
      <c r="AP855" s="36"/>
      <c r="AQ855" s="36"/>
      <c r="AR855" s="36"/>
      <c r="AS855" s="36"/>
      <c r="AT855" s="36"/>
      <c r="AU855" s="36"/>
      <c r="AV855" s="36"/>
      <c r="AW855" s="36"/>
      <c r="AX855" s="36"/>
      <c r="AY855" s="36"/>
      <c r="AZ855" s="36"/>
      <c r="BA855" s="36"/>
      <c r="BB855" s="36"/>
      <c r="BC855" s="36"/>
      <c r="BD855" s="36"/>
      <c r="BE855" s="36"/>
      <c r="BF855" s="36"/>
      <c r="BG855" s="36"/>
      <c r="BH855" s="36"/>
      <c r="BI855" s="36"/>
      <c r="BJ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  <c r="AL856" s="36"/>
      <c r="AM856" s="36"/>
      <c r="AN856" s="36"/>
      <c r="AO856" s="36"/>
      <c r="AP856" s="36"/>
      <c r="AQ856" s="36"/>
      <c r="AR856" s="36"/>
      <c r="AS856" s="36"/>
      <c r="AT856" s="36"/>
      <c r="AU856" s="36"/>
      <c r="AV856" s="36"/>
      <c r="AW856" s="36"/>
      <c r="AX856" s="36"/>
      <c r="AY856" s="36"/>
      <c r="AZ856" s="36"/>
      <c r="BA856" s="36"/>
      <c r="BB856" s="36"/>
      <c r="BC856" s="36"/>
      <c r="BD856" s="36"/>
      <c r="BE856" s="36"/>
      <c r="BF856" s="36"/>
      <c r="BG856" s="36"/>
      <c r="BH856" s="36"/>
      <c r="BI856" s="36"/>
      <c r="BJ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  <c r="AL857" s="36"/>
      <c r="AM857" s="36"/>
      <c r="AN857" s="36"/>
      <c r="AO857" s="36"/>
      <c r="AP857" s="36"/>
      <c r="AQ857" s="36"/>
      <c r="AR857" s="36"/>
      <c r="AS857" s="36"/>
      <c r="AT857" s="36"/>
      <c r="AU857" s="36"/>
      <c r="AV857" s="36"/>
      <c r="AW857" s="36"/>
      <c r="AX857" s="36"/>
      <c r="AY857" s="36"/>
      <c r="AZ857" s="36"/>
      <c r="BA857" s="36"/>
      <c r="BB857" s="36"/>
      <c r="BC857" s="36"/>
      <c r="BD857" s="36"/>
      <c r="BE857" s="36"/>
      <c r="BF857" s="36"/>
      <c r="BG857" s="36"/>
      <c r="BH857" s="36"/>
      <c r="BI857" s="36"/>
      <c r="BJ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  <c r="AL858" s="36"/>
      <c r="AM858" s="36"/>
      <c r="AN858" s="36"/>
      <c r="AO858" s="36"/>
      <c r="AP858" s="36"/>
      <c r="AQ858" s="36"/>
      <c r="AR858" s="36"/>
      <c r="AS858" s="36"/>
      <c r="AT858" s="36"/>
      <c r="AU858" s="36"/>
      <c r="AV858" s="36"/>
      <c r="AW858" s="36"/>
      <c r="AX858" s="36"/>
      <c r="AY858" s="36"/>
      <c r="AZ858" s="36"/>
      <c r="BA858" s="36"/>
      <c r="BB858" s="36"/>
      <c r="BC858" s="36"/>
      <c r="BD858" s="36"/>
      <c r="BE858" s="36"/>
      <c r="BF858" s="36"/>
      <c r="BG858" s="36"/>
      <c r="BH858" s="36"/>
      <c r="BI858" s="36"/>
      <c r="BJ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  <c r="AL859" s="36"/>
      <c r="AM859" s="36"/>
      <c r="AN859" s="36"/>
      <c r="AO859" s="36"/>
      <c r="AP859" s="36"/>
      <c r="AQ859" s="36"/>
      <c r="AR859" s="36"/>
      <c r="AS859" s="36"/>
      <c r="AT859" s="36"/>
      <c r="AU859" s="36"/>
      <c r="AV859" s="36"/>
      <c r="AW859" s="36"/>
      <c r="AX859" s="36"/>
      <c r="AY859" s="36"/>
      <c r="AZ859" s="36"/>
      <c r="BA859" s="36"/>
      <c r="BB859" s="36"/>
      <c r="BC859" s="36"/>
      <c r="BD859" s="36"/>
      <c r="BE859" s="36"/>
      <c r="BF859" s="36"/>
      <c r="BG859" s="36"/>
      <c r="BH859" s="36"/>
      <c r="BI859" s="36"/>
      <c r="BJ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  <c r="AL860" s="36"/>
      <c r="AM860" s="36"/>
      <c r="AN860" s="36"/>
      <c r="AO860" s="36"/>
      <c r="AP860" s="36"/>
      <c r="AQ860" s="36"/>
      <c r="AR860" s="36"/>
      <c r="AS860" s="36"/>
      <c r="AT860" s="36"/>
      <c r="AU860" s="36"/>
      <c r="AV860" s="36"/>
      <c r="AW860" s="36"/>
      <c r="AX860" s="36"/>
      <c r="AY860" s="36"/>
      <c r="AZ860" s="36"/>
      <c r="BA860" s="36"/>
      <c r="BB860" s="36"/>
      <c r="BC860" s="36"/>
      <c r="BD860" s="36"/>
      <c r="BE860" s="36"/>
      <c r="BF860" s="36"/>
      <c r="BG860" s="36"/>
      <c r="BH860" s="36"/>
      <c r="BI860" s="36"/>
      <c r="BJ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  <c r="AL861" s="36"/>
      <c r="AM861" s="36"/>
      <c r="AN861" s="36"/>
      <c r="AO861" s="36"/>
      <c r="AP861" s="36"/>
      <c r="AQ861" s="36"/>
      <c r="AR861" s="36"/>
      <c r="AS861" s="36"/>
      <c r="AT861" s="36"/>
      <c r="AU861" s="36"/>
      <c r="AV861" s="36"/>
      <c r="AW861" s="36"/>
      <c r="AX861" s="36"/>
      <c r="AY861" s="36"/>
      <c r="AZ861" s="36"/>
      <c r="BA861" s="36"/>
      <c r="BB861" s="36"/>
      <c r="BC861" s="36"/>
      <c r="BD861" s="36"/>
      <c r="BE861" s="36"/>
      <c r="BF861" s="36"/>
      <c r="BG861" s="36"/>
      <c r="BH861" s="36"/>
      <c r="BI861" s="36"/>
      <c r="BJ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  <c r="AL862" s="36"/>
      <c r="AM862" s="36"/>
      <c r="AN862" s="36"/>
      <c r="AO862" s="36"/>
      <c r="AP862" s="36"/>
      <c r="AQ862" s="36"/>
      <c r="AR862" s="36"/>
      <c r="AS862" s="36"/>
      <c r="AT862" s="36"/>
      <c r="AU862" s="36"/>
      <c r="AV862" s="36"/>
      <c r="AW862" s="36"/>
      <c r="AX862" s="36"/>
      <c r="AY862" s="36"/>
      <c r="AZ862" s="36"/>
      <c r="BA862" s="36"/>
      <c r="BB862" s="36"/>
      <c r="BC862" s="36"/>
      <c r="BD862" s="36"/>
      <c r="BE862" s="36"/>
      <c r="BF862" s="36"/>
      <c r="BG862" s="36"/>
      <c r="BH862" s="36"/>
      <c r="BI862" s="36"/>
      <c r="BJ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  <c r="AL863" s="36"/>
      <c r="AM863" s="36"/>
      <c r="AN863" s="36"/>
      <c r="AO863" s="36"/>
      <c r="AP863" s="36"/>
      <c r="AQ863" s="36"/>
      <c r="AR863" s="36"/>
      <c r="AS863" s="36"/>
      <c r="AT863" s="36"/>
      <c r="AU863" s="36"/>
      <c r="AV863" s="36"/>
      <c r="AW863" s="36"/>
      <c r="AX863" s="36"/>
      <c r="AY863" s="36"/>
      <c r="AZ863" s="36"/>
      <c r="BA863" s="36"/>
      <c r="BB863" s="36"/>
      <c r="BC863" s="36"/>
      <c r="BD863" s="36"/>
      <c r="BE863" s="36"/>
      <c r="BF863" s="36"/>
      <c r="BG863" s="36"/>
      <c r="BH863" s="36"/>
      <c r="BI863" s="36"/>
      <c r="BJ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  <c r="AL864" s="36"/>
      <c r="AM864" s="36"/>
      <c r="AN864" s="36"/>
      <c r="AO864" s="36"/>
      <c r="AP864" s="36"/>
      <c r="AQ864" s="36"/>
      <c r="AR864" s="36"/>
      <c r="AS864" s="36"/>
      <c r="AT864" s="36"/>
      <c r="AU864" s="36"/>
      <c r="AV864" s="36"/>
      <c r="AW864" s="36"/>
      <c r="AX864" s="36"/>
      <c r="AY864" s="36"/>
      <c r="AZ864" s="36"/>
      <c r="BA864" s="36"/>
      <c r="BB864" s="36"/>
      <c r="BC864" s="36"/>
      <c r="BD864" s="36"/>
      <c r="BE864" s="36"/>
      <c r="BF864" s="36"/>
      <c r="BG864" s="36"/>
      <c r="BH864" s="36"/>
      <c r="BI864" s="36"/>
      <c r="BJ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  <c r="AL865" s="36"/>
      <c r="AM865" s="36"/>
      <c r="AN865" s="36"/>
      <c r="AO865" s="36"/>
      <c r="AP865" s="36"/>
      <c r="AQ865" s="36"/>
      <c r="AR865" s="36"/>
      <c r="AS865" s="36"/>
      <c r="AT865" s="36"/>
      <c r="AU865" s="36"/>
      <c r="AV865" s="36"/>
      <c r="AW865" s="36"/>
      <c r="AX865" s="36"/>
      <c r="AY865" s="36"/>
      <c r="AZ865" s="36"/>
      <c r="BA865" s="36"/>
      <c r="BB865" s="36"/>
      <c r="BC865" s="36"/>
      <c r="BD865" s="36"/>
      <c r="BE865" s="36"/>
      <c r="BF865" s="36"/>
      <c r="BG865" s="36"/>
      <c r="BH865" s="36"/>
      <c r="BI865" s="36"/>
      <c r="BJ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  <c r="AL866" s="36"/>
      <c r="AM866" s="36"/>
      <c r="AN866" s="36"/>
      <c r="AO866" s="36"/>
      <c r="AP866" s="36"/>
      <c r="AQ866" s="36"/>
      <c r="AR866" s="36"/>
      <c r="AS866" s="36"/>
      <c r="AT866" s="36"/>
      <c r="AU866" s="36"/>
      <c r="AV866" s="36"/>
      <c r="AW866" s="36"/>
      <c r="AX866" s="36"/>
      <c r="AY866" s="36"/>
      <c r="AZ866" s="36"/>
      <c r="BA866" s="36"/>
      <c r="BB866" s="36"/>
      <c r="BC866" s="36"/>
      <c r="BD866" s="36"/>
      <c r="BE866" s="36"/>
      <c r="BF866" s="36"/>
      <c r="BG866" s="36"/>
      <c r="BH866" s="36"/>
      <c r="BI866" s="36"/>
      <c r="BJ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  <c r="AL867" s="36"/>
      <c r="AM867" s="36"/>
      <c r="AN867" s="36"/>
      <c r="AO867" s="36"/>
      <c r="AP867" s="36"/>
      <c r="AQ867" s="36"/>
      <c r="AR867" s="36"/>
      <c r="AS867" s="36"/>
      <c r="AT867" s="36"/>
      <c r="AU867" s="36"/>
      <c r="AV867" s="36"/>
      <c r="AW867" s="36"/>
      <c r="AX867" s="36"/>
      <c r="AY867" s="36"/>
      <c r="AZ867" s="36"/>
      <c r="BA867" s="36"/>
      <c r="BB867" s="36"/>
      <c r="BC867" s="36"/>
      <c r="BD867" s="36"/>
      <c r="BE867" s="36"/>
      <c r="BF867" s="36"/>
      <c r="BG867" s="36"/>
      <c r="BH867" s="36"/>
      <c r="BI867" s="36"/>
      <c r="BJ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  <c r="AL868" s="36"/>
      <c r="AM868" s="36"/>
      <c r="AN868" s="36"/>
      <c r="AO868" s="36"/>
      <c r="AP868" s="36"/>
      <c r="AQ868" s="36"/>
      <c r="AR868" s="36"/>
      <c r="AS868" s="36"/>
      <c r="AT868" s="36"/>
      <c r="AU868" s="36"/>
      <c r="AV868" s="36"/>
      <c r="AW868" s="36"/>
      <c r="AX868" s="36"/>
      <c r="AY868" s="36"/>
      <c r="AZ868" s="36"/>
      <c r="BA868" s="36"/>
      <c r="BB868" s="36"/>
      <c r="BC868" s="36"/>
      <c r="BD868" s="36"/>
      <c r="BE868" s="36"/>
      <c r="BF868" s="36"/>
      <c r="BG868" s="36"/>
      <c r="BH868" s="36"/>
      <c r="BI868" s="36"/>
      <c r="BJ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  <c r="AL869" s="36"/>
      <c r="AM869" s="36"/>
      <c r="AN869" s="36"/>
      <c r="AO869" s="36"/>
      <c r="AP869" s="36"/>
      <c r="AQ869" s="36"/>
      <c r="AR869" s="36"/>
      <c r="AS869" s="36"/>
      <c r="AT869" s="36"/>
      <c r="AU869" s="36"/>
      <c r="AV869" s="36"/>
      <c r="AW869" s="36"/>
      <c r="AX869" s="36"/>
      <c r="AY869" s="36"/>
      <c r="AZ869" s="36"/>
      <c r="BA869" s="36"/>
      <c r="BB869" s="36"/>
      <c r="BC869" s="36"/>
      <c r="BD869" s="36"/>
      <c r="BE869" s="36"/>
      <c r="BF869" s="36"/>
      <c r="BG869" s="36"/>
      <c r="BH869" s="36"/>
      <c r="BI869" s="36"/>
      <c r="BJ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  <c r="AL870" s="36"/>
      <c r="AM870" s="36"/>
      <c r="AN870" s="36"/>
      <c r="AO870" s="36"/>
      <c r="AP870" s="36"/>
      <c r="AQ870" s="36"/>
      <c r="AR870" s="36"/>
      <c r="AS870" s="36"/>
      <c r="AT870" s="36"/>
      <c r="AU870" s="36"/>
      <c r="AV870" s="36"/>
      <c r="AW870" s="36"/>
      <c r="AX870" s="36"/>
      <c r="AY870" s="36"/>
      <c r="AZ870" s="36"/>
      <c r="BA870" s="36"/>
      <c r="BB870" s="36"/>
      <c r="BC870" s="36"/>
      <c r="BD870" s="36"/>
      <c r="BE870" s="36"/>
      <c r="BF870" s="36"/>
      <c r="BG870" s="36"/>
      <c r="BH870" s="36"/>
      <c r="BI870" s="36"/>
      <c r="BJ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  <c r="AL871" s="36"/>
      <c r="AM871" s="36"/>
      <c r="AN871" s="36"/>
      <c r="AO871" s="36"/>
      <c r="AP871" s="36"/>
      <c r="AQ871" s="36"/>
      <c r="AR871" s="36"/>
      <c r="AS871" s="36"/>
      <c r="AT871" s="36"/>
      <c r="AU871" s="36"/>
      <c r="AV871" s="36"/>
      <c r="AW871" s="36"/>
      <c r="AX871" s="36"/>
      <c r="AY871" s="36"/>
      <c r="AZ871" s="36"/>
      <c r="BA871" s="36"/>
      <c r="BB871" s="36"/>
      <c r="BC871" s="36"/>
      <c r="BD871" s="36"/>
      <c r="BE871" s="36"/>
      <c r="BF871" s="36"/>
      <c r="BG871" s="36"/>
      <c r="BH871" s="36"/>
      <c r="BI871" s="36"/>
      <c r="BJ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  <c r="AL872" s="36"/>
      <c r="AM872" s="36"/>
      <c r="AN872" s="36"/>
      <c r="AO872" s="36"/>
      <c r="AP872" s="36"/>
      <c r="AQ872" s="36"/>
      <c r="AR872" s="36"/>
      <c r="AS872" s="36"/>
      <c r="AT872" s="36"/>
      <c r="AU872" s="36"/>
      <c r="AV872" s="36"/>
      <c r="AW872" s="36"/>
      <c r="AX872" s="36"/>
      <c r="AY872" s="36"/>
      <c r="AZ872" s="36"/>
      <c r="BA872" s="36"/>
      <c r="BB872" s="36"/>
      <c r="BC872" s="36"/>
      <c r="BD872" s="36"/>
      <c r="BE872" s="36"/>
      <c r="BF872" s="36"/>
      <c r="BG872" s="36"/>
      <c r="BH872" s="36"/>
      <c r="BI872" s="36"/>
      <c r="BJ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  <c r="AL873" s="36"/>
      <c r="AM873" s="36"/>
      <c r="AN873" s="36"/>
      <c r="AO873" s="36"/>
      <c r="AP873" s="36"/>
      <c r="AQ873" s="36"/>
      <c r="AR873" s="36"/>
      <c r="AS873" s="36"/>
      <c r="AT873" s="36"/>
      <c r="AU873" s="36"/>
      <c r="AV873" s="36"/>
      <c r="AW873" s="36"/>
      <c r="AX873" s="36"/>
      <c r="AY873" s="36"/>
      <c r="AZ873" s="36"/>
      <c r="BA873" s="36"/>
      <c r="BB873" s="36"/>
      <c r="BC873" s="36"/>
      <c r="BD873" s="36"/>
      <c r="BE873" s="36"/>
      <c r="BF873" s="36"/>
      <c r="BG873" s="36"/>
      <c r="BH873" s="36"/>
      <c r="BI873" s="36"/>
      <c r="BJ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  <c r="AL874" s="36"/>
      <c r="AM874" s="36"/>
      <c r="AN874" s="36"/>
      <c r="AO874" s="36"/>
      <c r="AP874" s="36"/>
      <c r="AQ874" s="36"/>
      <c r="AR874" s="36"/>
      <c r="AS874" s="36"/>
      <c r="AT874" s="36"/>
      <c r="AU874" s="36"/>
      <c r="AV874" s="36"/>
      <c r="AW874" s="36"/>
      <c r="AX874" s="36"/>
      <c r="AY874" s="36"/>
      <c r="AZ874" s="36"/>
      <c r="BA874" s="36"/>
      <c r="BB874" s="36"/>
      <c r="BC874" s="36"/>
      <c r="BD874" s="36"/>
      <c r="BE874" s="36"/>
      <c r="BF874" s="36"/>
      <c r="BG874" s="36"/>
      <c r="BH874" s="36"/>
      <c r="BI874" s="36"/>
      <c r="BJ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  <c r="AL875" s="36"/>
      <c r="AM875" s="36"/>
      <c r="AN875" s="36"/>
      <c r="AO875" s="36"/>
      <c r="AP875" s="36"/>
      <c r="AQ875" s="36"/>
      <c r="AR875" s="36"/>
      <c r="AS875" s="36"/>
      <c r="AT875" s="36"/>
      <c r="AU875" s="36"/>
      <c r="AV875" s="36"/>
      <c r="AW875" s="36"/>
      <c r="AX875" s="36"/>
      <c r="AY875" s="36"/>
      <c r="AZ875" s="36"/>
      <c r="BA875" s="36"/>
      <c r="BB875" s="36"/>
      <c r="BC875" s="36"/>
      <c r="BD875" s="36"/>
      <c r="BE875" s="36"/>
      <c r="BF875" s="36"/>
      <c r="BG875" s="36"/>
      <c r="BH875" s="36"/>
      <c r="BI875" s="36"/>
      <c r="BJ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  <c r="AL876" s="36"/>
      <c r="AM876" s="36"/>
      <c r="AN876" s="36"/>
      <c r="AO876" s="36"/>
      <c r="AP876" s="36"/>
      <c r="AQ876" s="36"/>
      <c r="AR876" s="36"/>
      <c r="AS876" s="36"/>
      <c r="AT876" s="36"/>
      <c r="AU876" s="36"/>
      <c r="AV876" s="36"/>
      <c r="AW876" s="36"/>
      <c r="AX876" s="36"/>
      <c r="AY876" s="36"/>
      <c r="AZ876" s="36"/>
      <c r="BA876" s="36"/>
      <c r="BB876" s="36"/>
      <c r="BC876" s="36"/>
      <c r="BD876" s="36"/>
      <c r="BE876" s="36"/>
      <c r="BF876" s="36"/>
      <c r="BG876" s="36"/>
      <c r="BH876" s="36"/>
      <c r="BI876" s="36"/>
      <c r="BJ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  <c r="AL877" s="36"/>
      <c r="AM877" s="36"/>
      <c r="AN877" s="36"/>
      <c r="AO877" s="36"/>
      <c r="AP877" s="36"/>
      <c r="AQ877" s="36"/>
      <c r="AR877" s="36"/>
      <c r="AS877" s="36"/>
      <c r="AT877" s="36"/>
      <c r="AU877" s="36"/>
      <c r="AV877" s="36"/>
      <c r="AW877" s="36"/>
      <c r="AX877" s="36"/>
      <c r="AY877" s="36"/>
      <c r="AZ877" s="36"/>
      <c r="BA877" s="36"/>
      <c r="BB877" s="36"/>
      <c r="BC877" s="36"/>
      <c r="BD877" s="36"/>
      <c r="BE877" s="36"/>
      <c r="BF877" s="36"/>
      <c r="BG877" s="36"/>
      <c r="BH877" s="36"/>
      <c r="BI877" s="36"/>
      <c r="BJ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  <c r="AL878" s="36"/>
      <c r="AM878" s="36"/>
      <c r="AN878" s="36"/>
      <c r="AO878" s="36"/>
      <c r="AP878" s="36"/>
      <c r="AQ878" s="36"/>
      <c r="AR878" s="36"/>
      <c r="AS878" s="36"/>
      <c r="AT878" s="36"/>
      <c r="AU878" s="36"/>
      <c r="AV878" s="36"/>
      <c r="AW878" s="36"/>
      <c r="AX878" s="36"/>
      <c r="AY878" s="36"/>
      <c r="AZ878" s="36"/>
      <c r="BA878" s="36"/>
      <c r="BB878" s="36"/>
      <c r="BC878" s="36"/>
      <c r="BD878" s="36"/>
      <c r="BE878" s="36"/>
      <c r="BF878" s="36"/>
      <c r="BG878" s="36"/>
      <c r="BH878" s="36"/>
      <c r="BI878" s="36"/>
      <c r="BJ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  <c r="AL879" s="36"/>
      <c r="AM879" s="36"/>
      <c r="AN879" s="36"/>
      <c r="AO879" s="36"/>
      <c r="AP879" s="36"/>
      <c r="AQ879" s="36"/>
      <c r="AR879" s="36"/>
      <c r="AS879" s="36"/>
      <c r="AT879" s="36"/>
      <c r="AU879" s="36"/>
      <c r="AV879" s="36"/>
      <c r="AW879" s="36"/>
      <c r="AX879" s="36"/>
      <c r="AY879" s="36"/>
      <c r="AZ879" s="36"/>
      <c r="BA879" s="36"/>
      <c r="BB879" s="36"/>
      <c r="BC879" s="36"/>
      <c r="BD879" s="36"/>
      <c r="BE879" s="36"/>
      <c r="BF879" s="36"/>
      <c r="BG879" s="36"/>
      <c r="BH879" s="36"/>
      <c r="BI879" s="36"/>
      <c r="BJ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  <c r="AL880" s="36"/>
      <c r="AM880" s="36"/>
      <c r="AN880" s="36"/>
      <c r="AO880" s="36"/>
      <c r="AP880" s="36"/>
      <c r="AQ880" s="36"/>
      <c r="AR880" s="36"/>
      <c r="AS880" s="36"/>
      <c r="AT880" s="36"/>
      <c r="AU880" s="36"/>
      <c r="AV880" s="36"/>
      <c r="AW880" s="36"/>
      <c r="AX880" s="36"/>
      <c r="AY880" s="36"/>
      <c r="AZ880" s="36"/>
      <c r="BA880" s="36"/>
      <c r="BB880" s="36"/>
      <c r="BC880" s="36"/>
      <c r="BD880" s="36"/>
      <c r="BE880" s="36"/>
      <c r="BF880" s="36"/>
      <c r="BG880" s="36"/>
      <c r="BH880" s="36"/>
      <c r="BI880" s="36"/>
      <c r="BJ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  <c r="AL881" s="36"/>
      <c r="AM881" s="36"/>
      <c r="AN881" s="36"/>
      <c r="AO881" s="36"/>
      <c r="AP881" s="36"/>
      <c r="AQ881" s="36"/>
      <c r="AR881" s="36"/>
      <c r="AS881" s="36"/>
      <c r="AT881" s="36"/>
      <c r="AU881" s="36"/>
      <c r="AV881" s="36"/>
      <c r="AW881" s="36"/>
      <c r="AX881" s="36"/>
      <c r="AY881" s="36"/>
      <c r="AZ881" s="36"/>
      <c r="BA881" s="36"/>
      <c r="BB881" s="36"/>
      <c r="BC881" s="36"/>
      <c r="BD881" s="36"/>
      <c r="BE881" s="36"/>
      <c r="BF881" s="36"/>
      <c r="BG881" s="36"/>
      <c r="BH881" s="36"/>
      <c r="BI881" s="36"/>
      <c r="BJ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  <c r="AL882" s="36"/>
      <c r="AM882" s="36"/>
      <c r="AN882" s="36"/>
      <c r="AO882" s="36"/>
      <c r="AP882" s="36"/>
      <c r="AQ882" s="36"/>
      <c r="AR882" s="36"/>
      <c r="AS882" s="36"/>
      <c r="AT882" s="36"/>
      <c r="AU882" s="36"/>
      <c r="AV882" s="36"/>
      <c r="AW882" s="36"/>
      <c r="AX882" s="36"/>
      <c r="AY882" s="36"/>
      <c r="AZ882" s="36"/>
      <c r="BA882" s="36"/>
      <c r="BB882" s="36"/>
      <c r="BC882" s="36"/>
      <c r="BD882" s="36"/>
      <c r="BE882" s="36"/>
      <c r="BF882" s="36"/>
      <c r="BG882" s="36"/>
      <c r="BH882" s="36"/>
      <c r="BI882" s="36"/>
      <c r="BJ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  <c r="AL883" s="36"/>
      <c r="AM883" s="36"/>
      <c r="AN883" s="36"/>
      <c r="AO883" s="36"/>
      <c r="AP883" s="36"/>
      <c r="AQ883" s="36"/>
      <c r="AR883" s="36"/>
      <c r="AS883" s="36"/>
      <c r="AT883" s="36"/>
      <c r="AU883" s="36"/>
      <c r="AV883" s="36"/>
      <c r="AW883" s="36"/>
      <c r="AX883" s="36"/>
      <c r="AY883" s="36"/>
      <c r="AZ883" s="36"/>
      <c r="BA883" s="36"/>
      <c r="BB883" s="36"/>
      <c r="BC883" s="36"/>
      <c r="BD883" s="36"/>
      <c r="BE883" s="36"/>
      <c r="BF883" s="36"/>
      <c r="BG883" s="36"/>
      <c r="BH883" s="36"/>
      <c r="BI883" s="36"/>
      <c r="BJ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  <c r="AL884" s="36"/>
      <c r="AM884" s="36"/>
      <c r="AN884" s="36"/>
      <c r="AO884" s="36"/>
      <c r="AP884" s="36"/>
      <c r="AQ884" s="36"/>
      <c r="AR884" s="36"/>
      <c r="AS884" s="36"/>
      <c r="AT884" s="36"/>
      <c r="AU884" s="36"/>
      <c r="AV884" s="36"/>
      <c r="AW884" s="36"/>
      <c r="AX884" s="36"/>
      <c r="AY884" s="36"/>
      <c r="AZ884" s="36"/>
      <c r="BA884" s="36"/>
      <c r="BB884" s="36"/>
      <c r="BC884" s="36"/>
      <c r="BD884" s="36"/>
      <c r="BE884" s="36"/>
      <c r="BF884" s="36"/>
      <c r="BG884" s="36"/>
      <c r="BH884" s="36"/>
      <c r="BI884" s="36"/>
      <c r="BJ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  <c r="AL885" s="36"/>
      <c r="AM885" s="36"/>
      <c r="AN885" s="36"/>
      <c r="AO885" s="36"/>
      <c r="AP885" s="36"/>
      <c r="AQ885" s="36"/>
      <c r="AR885" s="36"/>
      <c r="AS885" s="36"/>
      <c r="AT885" s="36"/>
      <c r="AU885" s="36"/>
      <c r="AV885" s="36"/>
      <c r="AW885" s="36"/>
      <c r="AX885" s="36"/>
      <c r="AY885" s="36"/>
      <c r="AZ885" s="36"/>
      <c r="BA885" s="36"/>
      <c r="BB885" s="36"/>
      <c r="BC885" s="36"/>
      <c r="BD885" s="36"/>
      <c r="BE885" s="36"/>
      <c r="BF885" s="36"/>
      <c r="BG885" s="36"/>
      <c r="BH885" s="36"/>
      <c r="BI885" s="36"/>
      <c r="BJ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  <c r="AL886" s="36"/>
      <c r="AM886" s="36"/>
      <c r="AN886" s="36"/>
      <c r="AO886" s="36"/>
      <c r="AP886" s="36"/>
      <c r="AQ886" s="36"/>
      <c r="AR886" s="36"/>
      <c r="AS886" s="36"/>
      <c r="AT886" s="36"/>
      <c r="AU886" s="36"/>
      <c r="AV886" s="36"/>
      <c r="AW886" s="36"/>
      <c r="AX886" s="36"/>
      <c r="AY886" s="36"/>
      <c r="AZ886" s="36"/>
      <c r="BA886" s="36"/>
      <c r="BB886" s="36"/>
      <c r="BC886" s="36"/>
      <c r="BD886" s="36"/>
      <c r="BE886" s="36"/>
      <c r="BF886" s="36"/>
      <c r="BG886" s="36"/>
      <c r="BH886" s="36"/>
      <c r="BI886" s="36"/>
      <c r="BJ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  <c r="AL887" s="36"/>
      <c r="AM887" s="36"/>
      <c r="AN887" s="36"/>
      <c r="AO887" s="36"/>
      <c r="AP887" s="36"/>
      <c r="AQ887" s="36"/>
      <c r="AR887" s="36"/>
      <c r="AS887" s="36"/>
      <c r="AT887" s="36"/>
      <c r="AU887" s="36"/>
      <c r="AV887" s="36"/>
      <c r="AW887" s="36"/>
      <c r="AX887" s="36"/>
      <c r="AY887" s="36"/>
      <c r="AZ887" s="36"/>
      <c r="BA887" s="36"/>
      <c r="BB887" s="36"/>
      <c r="BC887" s="36"/>
      <c r="BD887" s="36"/>
      <c r="BE887" s="36"/>
      <c r="BF887" s="36"/>
      <c r="BG887" s="36"/>
      <c r="BH887" s="36"/>
      <c r="BI887" s="36"/>
      <c r="BJ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  <c r="AL888" s="36"/>
      <c r="AM888" s="36"/>
      <c r="AN888" s="36"/>
      <c r="AO888" s="36"/>
      <c r="AP888" s="36"/>
      <c r="AQ888" s="36"/>
      <c r="AR888" s="36"/>
      <c r="AS888" s="36"/>
      <c r="AT888" s="36"/>
      <c r="AU888" s="36"/>
      <c r="AV888" s="36"/>
      <c r="AW888" s="36"/>
      <c r="AX888" s="36"/>
      <c r="AY888" s="36"/>
      <c r="AZ888" s="36"/>
      <c r="BA888" s="36"/>
      <c r="BB888" s="36"/>
      <c r="BC888" s="36"/>
      <c r="BD888" s="36"/>
      <c r="BE888" s="36"/>
      <c r="BF888" s="36"/>
      <c r="BG888" s="36"/>
      <c r="BH888" s="36"/>
      <c r="BI888" s="36"/>
      <c r="BJ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  <c r="AL889" s="36"/>
      <c r="AM889" s="36"/>
      <c r="AN889" s="36"/>
      <c r="AO889" s="36"/>
      <c r="AP889" s="36"/>
      <c r="AQ889" s="36"/>
      <c r="AR889" s="36"/>
      <c r="AS889" s="36"/>
      <c r="AT889" s="36"/>
      <c r="AU889" s="36"/>
      <c r="AV889" s="36"/>
      <c r="AW889" s="36"/>
      <c r="AX889" s="36"/>
      <c r="AY889" s="36"/>
      <c r="AZ889" s="36"/>
      <c r="BA889" s="36"/>
      <c r="BB889" s="36"/>
      <c r="BC889" s="36"/>
      <c r="BD889" s="36"/>
      <c r="BE889" s="36"/>
      <c r="BF889" s="36"/>
      <c r="BG889" s="36"/>
      <c r="BH889" s="36"/>
      <c r="BI889" s="36"/>
      <c r="BJ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  <c r="AL890" s="36"/>
      <c r="AM890" s="36"/>
      <c r="AN890" s="36"/>
      <c r="AO890" s="36"/>
      <c r="AP890" s="36"/>
      <c r="AQ890" s="36"/>
      <c r="AR890" s="36"/>
      <c r="AS890" s="36"/>
      <c r="AT890" s="36"/>
      <c r="AU890" s="36"/>
      <c r="AV890" s="36"/>
      <c r="AW890" s="36"/>
      <c r="AX890" s="36"/>
      <c r="AY890" s="36"/>
      <c r="AZ890" s="36"/>
      <c r="BA890" s="36"/>
      <c r="BB890" s="36"/>
      <c r="BC890" s="36"/>
      <c r="BD890" s="36"/>
      <c r="BE890" s="36"/>
      <c r="BF890" s="36"/>
      <c r="BG890" s="36"/>
      <c r="BH890" s="36"/>
      <c r="BI890" s="36"/>
      <c r="BJ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  <c r="AL891" s="36"/>
      <c r="AM891" s="36"/>
      <c r="AN891" s="36"/>
      <c r="AO891" s="36"/>
      <c r="AP891" s="36"/>
      <c r="AQ891" s="36"/>
      <c r="AR891" s="36"/>
      <c r="AS891" s="36"/>
      <c r="AT891" s="36"/>
      <c r="AU891" s="36"/>
      <c r="AV891" s="36"/>
      <c r="AW891" s="36"/>
      <c r="AX891" s="36"/>
      <c r="AY891" s="36"/>
      <c r="AZ891" s="36"/>
      <c r="BA891" s="36"/>
      <c r="BB891" s="36"/>
      <c r="BC891" s="36"/>
      <c r="BD891" s="36"/>
      <c r="BE891" s="36"/>
      <c r="BF891" s="36"/>
      <c r="BG891" s="36"/>
      <c r="BH891" s="36"/>
      <c r="BI891" s="36"/>
      <c r="BJ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  <c r="AL892" s="36"/>
      <c r="AM892" s="36"/>
      <c r="AN892" s="36"/>
      <c r="AO892" s="36"/>
      <c r="AP892" s="36"/>
      <c r="AQ892" s="36"/>
      <c r="AR892" s="36"/>
      <c r="AS892" s="36"/>
      <c r="AT892" s="36"/>
      <c r="AU892" s="36"/>
      <c r="AV892" s="36"/>
      <c r="AW892" s="36"/>
      <c r="AX892" s="36"/>
      <c r="AY892" s="36"/>
      <c r="AZ892" s="36"/>
      <c r="BA892" s="36"/>
      <c r="BB892" s="36"/>
      <c r="BC892" s="36"/>
      <c r="BD892" s="36"/>
      <c r="BE892" s="36"/>
      <c r="BF892" s="36"/>
      <c r="BG892" s="36"/>
      <c r="BH892" s="36"/>
      <c r="BI892" s="36"/>
      <c r="BJ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  <c r="AL893" s="36"/>
      <c r="AM893" s="36"/>
      <c r="AN893" s="36"/>
      <c r="AO893" s="36"/>
      <c r="AP893" s="36"/>
      <c r="AQ893" s="36"/>
      <c r="AR893" s="36"/>
      <c r="AS893" s="36"/>
      <c r="AT893" s="36"/>
      <c r="AU893" s="36"/>
      <c r="AV893" s="36"/>
      <c r="AW893" s="36"/>
      <c r="AX893" s="36"/>
      <c r="AY893" s="36"/>
      <c r="AZ893" s="36"/>
      <c r="BA893" s="36"/>
      <c r="BB893" s="36"/>
      <c r="BC893" s="36"/>
      <c r="BD893" s="36"/>
      <c r="BE893" s="36"/>
      <c r="BF893" s="36"/>
      <c r="BG893" s="36"/>
      <c r="BH893" s="36"/>
      <c r="BI893" s="36"/>
      <c r="BJ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  <c r="AL894" s="36"/>
      <c r="AM894" s="36"/>
      <c r="AN894" s="36"/>
      <c r="AO894" s="36"/>
      <c r="AP894" s="36"/>
      <c r="AQ894" s="36"/>
      <c r="AR894" s="36"/>
      <c r="AS894" s="36"/>
      <c r="AT894" s="36"/>
      <c r="AU894" s="36"/>
      <c r="AV894" s="36"/>
      <c r="AW894" s="36"/>
      <c r="AX894" s="36"/>
      <c r="AY894" s="36"/>
      <c r="AZ894" s="36"/>
      <c r="BA894" s="36"/>
      <c r="BB894" s="36"/>
      <c r="BC894" s="36"/>
      <c r="BD894" s="36"/>
      <c r="BE894" s="36"/>
      <c r="BF894" s="36"/>
      <c r="BG894" s="36"/>
      <c r="BH894" s="36"/>
      <c r="BI894" s="36"/>
      <c r="BJ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  <c r="AL895" s="36"/>
      <c r="AM895" s="36"/>
      <c r="AN895" s="36"/>
      <c r="AO895" s="36"/>
      <c r="AP895" s="36"/>
      <c r="AQ895" s="36"/>
      <c r="AR895" s="36"/>
      <c r="AS895" s="36"/>
      <c r="AT895" s="36"/>
      <c r="AU895" s="36"/>
      <c r="AV895" s="36"/>
      <c r="AW895" s="36"/>
      <c r="AX895" s="36"/>
      <c r="AY895" s="36"/>
      <c r="AZ895" s="36"/>
      <c r="BA895" s="36"/>
      <c r="BB895" s="36"/>
      <c r="BC895" s="36"/>
      <c r="BD895" s="36"/>
      <c r="BE895" s="36"/>
      <c r="BF895" s="36"/>
      <c r="BG895" s="36"/>
      <c r="BH895" s="36"/>
      <c r="BI895" s="36"/>
      <c r="BJ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  <c r="AL896" s="36"/>
      <c r="AM896" s="36"/>
      <c r="AN896" s="36"/>
      <c r="AO896" s="36"/>
      <c r="AP896" s="36"/>
      <c r="AQ896" s="36"/>
      <c r="AR896" s="36"/>
      <c r="AS896" s="36"/>
      <c r="AT896" s="36"/>
      <c r="AU896" s="36"/>
      <c r="AV896" s="36"/>
      <c r="AW896" s="36"/>
      <c r="AX896" s="36"/>
      <c r="AY896" s="36"/>
      <c r="AZ896" s="36"/>
      <c r="BA896" s="36"/>
      <c r="BB896" s="36"/>
      <c r="BC896" s="36"/>
      <c r="BD896" s="36"/>
      <c r="BE896" s="36"/>
      <c r="BF896" s="36"/>
      <c r="BG896" s="36"/>
      <c r="BH896" s="36"/>
      <c r="BI896" s="36"/>
      <c r="BJ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  <c r="AL897" s="36"/>
      <c r="AM897" s="36"/>
      <c r="AN897" s="36"/>
      <c r="AO897" s="36"/>
      <c r="AP897" s="36"/>
      <c r="AQ897" s="36"/>
      <c r="AR897" s="36"/>
      <c r="AS897" s="36"/>
      <c r="AT897" s="36"/>
      <c r="AU897" s="36"/>
      <c r="AV897" s="36"/>
      <c r="AW897" s="36"/>
      <c r="AX897" s="36"/>
      <c r="AY897" s="36"/>
      <c r="AZ897" s="36"/>
      <c r="BA897" s="36"/>
      <c r="BB897" s="36"/>
      <c r="BC897" s="36"/>
      <c r="BD897" s="36"/>
      <c r="BE897" s="36"/>
      <c r="BF897" s="36"/>
      <c r="BG897" s="36"/>
      <c r="BH897" s="36"/>
      <c r="BI897" s="36"/>
      <c r="BJ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  <c r="AL898" s="36"/>
      <c r="AM898" s="36"/>
      <c r="AN898" s="36"/>
      <c r="AO898" s="36"/>
      <c r="AP898" s="36"/>
      <c r="AQ898" s="36"/>
      <c r="AR898" s="36"/>
      <c r="AS898" s="36"/>
      <c r="AT898" s="36"/>
      <c r="AU898" s="36"/>
      <c r="AV898" s="36"/>
      <c r="AW898" s="36"/>
      <c r="AX898" s="36"/>
      <c r="AY898" s="36"/>
      <c r="AZ898" s="36"/>
      <c r="BA898" s="36"/>
      <c r="BB898" s="36"/>
      <c r="BC898" s="36"/>
      <c r="BD898" s="36"/>
      <c r="BE898" s="36"/>
      <c r="BF898" s="36"/>
      <c r="BG898" s="36"/>
      <c r="BH898" s="36"/>
      <c r="BI898" s="36"/>
      <c r="BJ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  <c r="AL899" s="36"/>
      <c r="AM899" s="36"/>
      <c r="AN899" s="36"/>
      <c r="AO899" s="36"/>
      <c r="AP899" s="36"/>
      <c r="AQ899" s="36"/>
      <c r="AR899" s="36"/>
      <c r="AS899" s="36"/>
      <c r="AT899" s="36"/>
      <c r="AU899" s="36"/>
      <c r="AV899" s="36"/>
      <c r="AW899" s="36"/>
      <c r="AX899" s="36"/>
      <c r="AY899" s="36"/>
      <c r="AZ899" s="36"/>
      <c r="BA899" s="36"/>
      <c r="BB899" s="36"/>
      <c r="BC899" s="36"/>
      <c r="BD899" s="36"/>
      <c r="BE899" s="36"/>
      <c r="BF899" s="36"/>
      <c r="BG899" s="36"/>
      <c r="BH899" s="36"/>
      <c r="BI899" s="36"/>
      <c r="BJ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  <c r="AL900" s="36"/>
      <c r="AM900" s="36"/>
      <c r="AN900" s="36"/>
      <c r="AO900" s="36"/>
      <c r="AP900" s="36"/>
      <c r="AQ900" s="36"/>
      <c r="AR900" s="36"/>
      <c r="AS900" s="36"/>
      <c r="AT900" s="36"/>
      <c r="AU900" s="36"/>
      <c r="AV900" s="36"/>
      <c r="AW900" s="36"/>
      <c r="AX900" s="36"/>
      <c r="AY900" s="36"/>
      <c r="AZ900" s="36"/>
      <c r="BA900" s="36"/>
      <c r="BB900" s="36"/>
      <c r="BC900" s="36"/>
      <c r="BD900" s="36"/>
      <c r="BE900" s="36"/>
      <c r="BF900" s="36"/>
      <c r="BG900" s="36"/>
      <c r="BH900" s="36"/>
      <c r="BI900" s="36"/>
      <c r="BJ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  <c r="AL901" s="36"/>
      <c r="AM901" s="36"/>
      <c r="AN901" s="36"/>
      <c r="AO901" s="36"/>
      <c r="AP901" s="36"/>
      <c r="AQ901" s="36"/>
      <c r="AR901" s="36"/>
      <c r="AS901" s="36"/>
      <c r="AT901" s="36"/>
      <c r="AU901" s="36"/>
      <c r="AV901" s="36"/>
      <c r="AW901" s="36"/>
      <c r="AX901" s="36"/>
      <c r="AY901" s="36"/>
      <c r="AZ901" s="36"/>
      <c r="BA901" s="36"/>
      <c r="BB901" s="36"/>
      <c r="BC901" s="36"/>
      <c r="BD901" s="36"/>
      <c r="BE901" s="36"/>
      <c r="BF901" s="36"/>
      <c r="BG901" s="36"/>
      <c r="BH901" s="36"/>
      <c r="BI901" s="36"/>
      <c r="BJ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  <c r="AL902" s="36"/>
      <c r="AM902" s="36"/>
      <c r="AN902" s="36"/>
      <c r="AO902" s="36"/>
      <c r="AP902" s="36"/>
      <c r="AQ902" s="36"/>
      <c r="AR902" s="36"/>
      <c r="AS902" s="36"/>
      <c r="AT902" s="36"/>
      <c r="AU902" s="36"/>
      <c r="AV902" s="36"/>
      <c r="AW902" s="36"/>
      <c r="AX902" s="36"/>
      <c r="AY902" s="36"/>
      <c r="AZ902" s="36"/>
      <c r="BA902" s="36"/>
      <c r="BB902" s="36"/>
      <c r="BC902" s="36"/>
      <c r="BD902" s="36"/>
      <c r="BE902" s="36"/>
      <c r="BF902" s="36"/>
      <c r="BG902" s="36"/>
      <c r="BH902" s="36"/>
      <c r="BI902" s="36"/>
      <c r="BJ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  <c r="AL903" s="36"/>
      <c r="AM903" s="36"/>
      <c r="AN903" s="36"/>
      <c r="AO903" s="36"/>
      <c r="AP903" s="36"/>
      <c r="AQ903" s="36"/>
      <c r="AR903" s="36"/>
      <c r="AS903" s="36"/>
      <c r="AT903" s="36"/>
      <c r="AU903" s="36"/>
      <c r="AV903" s="36"/>
      <c r="AW903" s="36"/>
      <c r="AX903" s="36"/>
      <c r="AY903" s="36"/>
      <c r="AZ903" s="36"/>
      <c r="BA903" s="36"/>
      <c r="BB903" s="36"/>
      <c r="BC903" s="36"/>
      <c r="BD903" s="36"/>
      <c r="BE903" s="36"/>
      <c r="BF903" s="36"/>
      <c r="BG903" s="36"/>
      <c r="BH903" s="36"/>
      <c r="BI903" s="36"/>
      <c r="BJ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  <c r="AL904" s="36"/>
      <c r="AM904" s="36"/>
      <c r="AN904" s="36"/>
      <c r="AO904" s="36"/>
      <c r="AP904" s="36"/>
      <c r="AQ904" s="36"/>
      <c r="AR904" s="36"/>
      <c r="AS904" s="36"/>
      <c r="AT904" s="36"/>
      <c r="AU904" s="36"/>
      <c r="AV904" s="36"/>
      <c r="AW904" s="36"/>
      <c r="AX904" s="36"/>
      <c r="AY904" s="36"/>
      <c r="AZ904" s="36"/>
      <c r="BA904" s="36"/>
      <c r="BB904" s="36"/>
      <c r="BC904" s="36"/>
      <c r="BD904" s="36"/>
      <c r="BE904" s="36"/>
      <c r="BF904" s="36"/>
      <c r="BG904" s="36"/>
      <c r="BH904" s="36"/>
      <c r="BI904" s="36"/>
      <c r="BJ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  <c r="AL905" s="36"/>
      <c r="AM905" s="36"/>
      <c r="AN905" s="36"/>
      <c r="AO905" s="36"/>
      <c r="AP905" s="36"/>
      <c r="AQ905" s="36"/>
      <c r="AR905" s="36"/>
      <c r="AS905" s="36"/>
      <c r="AT905" s="36"/>
      <c r="AU905" s="36"/>
      <c r="AV905" s="36"/>
      <c r="AW905" s="36"/>
      <c r="AX905" s="36"/>
      <c r="AY905" s="36"/>
      <c r="AZ905" s="36"/>
      <c r="BA905" s="36"/>
      <c r="BB905" s="36"/>
      <c r="BC905" s="36"/>
      <c r="BD905" s="36"/>
      <c r="BE905" s="36"/>
      <c r="BF905" s="36"/>
      <c r="BG905" s="36"/>
      <c r="BH905" s="36"/>
      <c r="BI905" s="36"/>
      <c r="BJ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  <c r="AL906" s="36"/>
      <c r="AM906" s="36"/>
      <c r="AN906" s="36"/>
      <c r="AO906" s="36"/>
      <c r="AP906" s="36"/>
      <c r="AQ906" s="36"/>
      <c r="AR906" s="36"/>
      <c r="AS906" s="36"/>
      <c r="AT906" s="36"/>
      <c r="AU906" s="36"/>
      <c r="AV906" s="36"/>
      <c r="AW906" s="36"/>
      <c r="AX906" s="36"/>
      <c r="AY906" s="36"/>
      <c r="AZ906" s="36"/>
      <c r="BA906" s="36"/>
      <c r="BB906" s="36"/>
      <c r="BC906" s="36"/>
      <c r="BD906" s="36"/>
      <c r="BE906" s="36"/>
      <c r="BF906" s="36"/>
      <c r="BG906" s="36"/>
      <c r="BH906" s="36"/>
      <c r="BI906" s="36"/>
      <c r="BJ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  <c r="AL907" s="36"/>
      <c r="AM907" s="36"/>
      <c r="AN907" s="36"/>
      <c r="AO907" s="36"/>
      <c r="AP907" s="36"/>
      <c r="AQ907" s="36"/>
      <c r="AR907" s="36"/>
      <c r="AS907" s="36"/>
      <c r="AT907" s="36"/>
      <c r="AU907" s="36"/>
      <c r="AV907" s="36"/>
      <c r="AW907" s="36"/>
      <c r="AX907" s="36"/>
      <c r="AY907" s="36"/>
      <c r="AZ907" s="36"/>
      <c r="BA907" s="36"/>
      <c r="BB907" s="36"/>
      <c r="BC907" s="36"/>
      <c r="BD907" s="36"/>
      <c r="BE907" s="36"/>
      <c r="BF907" s="36"/>
      <c r="BG907" s="36"/>
      <c r="BH907" s="36"/>
      <c r="BI907" s="36"/>
      <c r="BJ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  <c r="AL908" s="36"/>
      <c r="AM908" s="36"/>
      <c r="AN908" s="36"/>
      <c r="AO908" s="36"/>
      <c r="AP908" s="36"/>
      <c r="AQ908" s="36"/>
      <c r="AR908" s="36"/>
      <c r="AS908" s="36"/>
      <c r="AT908" s="36"/>
      <c r="AU908" s="36"/>
      <c r="AV908" s="36"/>
      <c r="AW908" s="36"/>
      <c r="AX908" s="36"/>
      <c r="AY908" s="36"/>
      <c r="AZ908" s="36"/>
      <c r="BA908" s="36"/>
      <c r="BB908" s="36"/>
      <c r="BC908" s="36"/>
      <c r="BD908" s="36"/>
      <c r="BE908" s="36"/>
      <c r="BF908" s="36"/>
      <c r="BG908" s="36"/>
      <c r="BH908" s="36"/>
      <c r="BI908" s="36"/>
      <c r="BJ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  <c r="AL909" s="36"/>
      <c r="AM909" s="36"/>
      <c r="AN909" s="36"/>
      <c r="AO909" s="36"/>
      <c r="AP909" s="36"/>
      <c r="AQ909" s="36"/>
      <c r="AR909" s="36"/>
      <c r="AS909" s="36"/>
      <c r="AT909" s="36"/>
      <c r="AU909" s="36"/>
      <c r="AV909" s="36"/>
      <c r="AW909" s="36"/>
      <c r="AX909" s="36"/>
      <c r="AY909" s="36"/>
      <c r="AZ909" s="36"/>
      <c r="BA909" s="36"/>
      <c r="BB909" s="36"/>
      <c r="BC909" s="36"/>
      <c r="BD909" s="36"/>
      <c r="BE909" s="36"/>
      <c r="BF909" s="36"/>
      <c r="BG909" s="36"/>
      <c r="BH909" s="36"/>
      <c r="BI909" s="36"/>
      <c r="BJ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  <c r="AL910" s="36"/>
      <c r="AM910" s="36"/>
      <c r="AN910" s="36"/>
      <c r="AO910" s="36"/>
      <c r="AP910" s="36"/>
      <c r="AQ910" s="36"/>
      <c r="AR910" s="36"/>
      <c r="AS910" s="36"/>
      <c r="AT910" s="36"/>
      <c r="AU910" s="36"/>
      <c r="AV910" s="36"/>
      <c r="AW910" s="36"/>
      <c r="AX910" s="36"/>
      <c r="AY910" s="36"/>
      <c r="AZ910" s="36"/>
      <c r="BA910" s="36"/>
      <c r="BB910" s="36"/>
      <c r="BC910" s="36"/>
      <c r="BD910" s="36"/>
      <c r="BE910" s="36"/>
      <c r="BF910" s="36"/>
      <c r="BG910" s="36"/>
      <c r="BH910" s="36"/>
      <c r="BI910" s="36"/>
      <c r="BJ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  <c r="AL911" s="36"/>
      <c r="AM911" s="36"/>
      <c r="AN911" s="36"/>
      <c r="AO911" s="36"/>
      <c r="AP911" s="36"/>
      <c r="AQ911" s="36"/>
      <c r="AR911" s="36"/>
      <c r="AS911" s="36"/>
      <c r="AT911" s="36"/>
      <c r="AU911" s="36"/>
      <c r="AV911" s="36"/>
      <c r="AW911" s="36"/>
      <c r="AX911" s="36"/>
      <c r="AY911" s="36"/>
      <c r="AZ911" s="36"/>
      <c r="BA911" s="36"/>
      <c r="BB911" s="36"/>
      <c r="BC911" s="36"/>
      <c r="BD911" s="36"/>
      <c r="BE911" s="36"/>
      <c r="BF911" s="36"/>
      <c r="BG911" s="36"/>
      <c r="BH911" s="36"/>
      <c r="BI911" s="36"/>
      <c r="BJ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  <c r="AL912" s="36"/>
      <c r="AM912" s="36"/>
      <c r="AN912" s="36"/>
      <c r="AO912" s="36"/>
      <c r="AP912" s="36"/>
      <c r="AQ912" s="36"/>
      <c r="AR912" s="36"/>
      <c r="AS912" s="36"/>
      <c r="AT912" s="36"/>
      <c r="AU912" s="36"/>
      <c r="AV912" s="36"/>
      <c r="AW912" s="36"/>
      <c r="AX912" s="36"/>
      <c r="AY912" s="36"/>
      <c r="AZ912" s="36"/>
      <c r="BA912" s="36"/>
      <c r="BB912" s="36"/>
      <c r="BC912" s="36"/>
      <c r="BD912" s="36"/>
      <c r="BE912" s="36"/>
      <c r="BF912" s="36"/>
      <c r="BG912" s="36"/>
      <c r="BH912" s="36"/>
      <c r="BI912" s="36"/>
      <c r="BJ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  <c r="AL913" s="36"/>
      <c r="AM913" s="36"/>
      <c r="AN913" s="36"/>
      <c r="AO913" s="36"/>
      <c r="AP913" s="36"/>
      <c r="AQ913" s="36"/>
      <c r="AR913" s="36"/>
      <c r="AS913" s="36"/>
      <c r="AT913" s="36"/>
      <c r="AU913" s="36"/>
      <c r="AV913" s="36"/>
      <c r="AW913" s="36"/>
      <c r="AX913" s="36"/>
      <c r="AY913" s="36"/>
      <c r="AZ913" s="36"/>
      <c r="BA913" s="36"/>
      <c r="BB913" s="36"/>
      <c r="BC913" s="36"/>
      <c r="BD913" s="36"/>
      <c r="BE913" s="36"/>
      <c r="BF913" s="36"/>
      <c r="BG913" s="36"/>
      <c r="BH913" s="36"/>
      <c r="BI913" s="36"/>
      <c r="BJ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  <c r="AL914" s="36"/>
      <c r="AM914" s="36"/>
      <c r="AN914" s="36"/>
      <c r="AO914" s="36"/>
      <c r="AP914" s="36"/>
      <c r="AQ914" s="36"/>
      <c r="AR914" s="36"/>
      <c r="AS914" s="36"/>
      <c r="AT914" s="36"/>
      <c r="AU914" s="36"/>
      <c r="AV914" s="36"/>
      <c r="AW914" s="36"/>
      <c r="AX914" s="36"/>
      <c r="AY914" s="36"/>
      <c r="AZ914" s="36"/>
      <c r="BA914" s="36"/>
      <c r="BB914" s="36"/>
      <c r="BC914" s="36"/>
      <c r="BD914" s="36"/>
      <c r="BE914" s="36"/>
      <c r="BF914" s="36"/>
      <c r="BG914" s="36"/>
      <c r="BH914" s="36"/>
      <c r="BI914" s="36"/>
      <c r="BJ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  <c r="AL915" s="36"/>
      <c r="AM915" s="36"/>
      <c r="AN915" s="36"/>
      <c r="AO915" s="36"/>
      <c r="AP915" s="36"/>
      <c r="AQ915" s="36"/>
      <c r="AR915" s="36"/>
      <c r="AS915" s="36"/>
      <c r="AT915" s="36"/>
      <c r="AU915" s="36"/>
      <c r="AV915" s="36"/>
      <c r="AW915" s="36"/>
      <c r="AX915" s="36"/>
      <c r="AY915" s="36"/>
      <c r="AZ915" s="36"/>
      <c r="BA915" s="36"/>
      <c r="BB915" s="36"/>
      <c r="BC915" s="36"/>
      <c r="BD915" s="36"/>
      <c r="BE915" s="36"/>
      <c r="BF915" s="36"/>
      <c r="BG915" s="36"/>
      <c r="BH915" s="36"/>
      <c r="BI915" s="36"/>
      <c r="BJ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  <c r="AL916" s="36"/>
      <c r="AM916" s="36"/>
      <c r="AN916" s="36"/>
      <c r="AO916" s="36"/>
      <c r="AP916" s="36"/>
      <c r="AQ916" s="36"/>
      <c r="AR916" s="36"/>
      <c r="AS916" s="36"/>
      <c r="AT916" s="36"/>
      <c r="AU916" s="36"/>
      <c r="AV916" s="36"/>
      <c r="AW916" s="36"/>
      <c r="AX916" s="36"/>
      <c r="AY916" s="36"/>
      <c r="AZ916" s="36"/>
      <c r="BA916" s="36"/>
      <c r="BB916" s="36"/>
      <c r="BC916" s="36"/>
      <c r="BD916" s="36"/>
      <c r="BE916" s="36"/>
      <c r="BF916" s="36"/>
      <c r="BG916" s="36"/>
      <c r="BH916" s="36"/>
      <c r="BI916" s="36"/>
      <c r="BJ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  <c r="AL917" s="36"/>
      <c r="AM917" s="36"/>
      <c r="AN917" s="36"/>
      <c r="AO917" s="36"/>
      <c r="AP917" s="36"/>
      <c r="AQ917" s="36"/>
      <c r="AR917" s="36"/>
      <c r="AS917" s="36"/>
      <c r="AT917" s="36"/>
      <c r="AU917" s="36"/>
      <c r="AV917" s="36"/>
      <c r="AW917" s="36"/>
      <c r="AX917" s="36"/>
      <c r="AY917" s="36"/>
      <c r="AZ917" s="36"/>
      <c r="BA917" s="36"/>
      <c r="BB917" s="36"/>
      <c r="BC917" s="36"/>
      <c r="BD917" s="36"/>
      <c r="BE917" s="36"/>
      <c r="BF917" s="36"/>
      <c r="BG917" s="36"/>
      <c r="BH917" s="36"/>
      <c r="BI917" s="36"/>
      <c r="BJ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  <c r="AL918" s="36"/>
      <c r="AM918" s="36"/>
      <c r="AN918" s="36"/>
      <c r="AO918" s="36"/>
      <c r="AP918" s="36"/>
      <c r="AQ918" s="36"/>
      <c r="AR918" s="36"/>
      <c r="AS918" s="36"/>
      <c r="AT918" s="36"/>
      <c r="AU918" s="36"/>
      <c r="AV918" s="36"/>
      <c r="AW918" s="36"/>
      <c r="AX918" s="36"/>
      <c r="AY918" s="36"/>
      <c r="AZ918" s="36"/>
      <c r="BA918" s="36"/>
      <c r="BB918" s="36"/>
      <c r="BC918" s="36"/>
      <c r="BD918" s="36"/>
      <c r="BE918" s="36"/>
      <c r="BF918" s="36"/>
      <c r="BG918" s="36"/>
      <c r="BH918" s="36"/>
      <c r="BI918" s="36"/>
      <c r="BJ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  <c r="AL919" s="36"/>
      <c r="AM919" s="36"/>
      <c r="AN919" s="36"/>
      <c r="AO919" s="36"/>
      <c r="AP919" s="36"/>
      <c r="AQ919" s="36"/>
      <c r="AR919" s="36"/>
      <c r="AS919" s="36"/>
      <c r="AT919" s="36"/>
      <c r="AU919" s="36"/>
      <c r="AV919" s="36"/>
      <c r="AW919" s="36"/>
      <c r="AX919" s="36"/>
      <c r="AY919" s="36"/>
      <c r="AZ919" s="36"/>
      <c r="BA919" s="36"/>
      <c r="BB919" s="36"/>
      <c r="BC919" s="36"/>
      <c r="BD919" s="36"/>
      <c r="BE919" s="36"/>
      <c r="BF919" s="36"/>
      <c r="BG919" s="36"/>
      <c r="BH919" s="36"/>
      <c r="BI919" s="36"/>
      <c r="BJ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  <c r="AL920" s="36"/>
      <c r="AM920" s="36"/>
      <c r="AN920" s="36"/>
      <c r="AO920" s="36"/>
      <c r="AP920" s="36"/>
      <c r="AQ920" s="36"/>
      <c r="AR920" s="36"/>
      <c r="AS920" s="36"/>
      <c r="AT920" s="36"/>
      <c r="AU920" s="36"/>
      <c r="AV920" s="36"/>
      <c r="AW920" s="36"/>
      <c r="AX920" s="36"/>
      <c r="AY920" s="36"/>
      <c r="AZ920" s="36"/>
      <c r="BA920" s="36"/>
      <c r="BB920" s="36"/>
      <c r="BC920" s="36"/>
      <c r="BD920" s="36"/>
      <c r="BE920" s="36"/>
      <c r="BF920" s="36"/>
      <c r="BG920" s="36"/>
      <c r="BH920" s="36"/>
      <c r="BI920" s="36"/>
      <c r="BJ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  <c r="AL921" s="36"/>
      <c r="AM921" s="36"/>
      <c r="AN921" s="36"/>
      <c r="AO921" s="36"/>
      <c r="AP921" s="36"/>
      <c r="AQ921" s="36"/>
      <c r="AR921" s="36"/>
      <c r="AS921" s="36"/>
      <c r="AT921" s="36"/>
      <c r="AU921" s="36"/>
      <c r="AV921" s="36"/>
      <c r="AW921" s="36"/>
      <c r="AX921" s="36"/>
      <c r="AY921" s="36"/>
      <c r="AZ921" s="36"/>
      <c r="BA921" s="36"/>
      <c r="BB921" s="36"/>
      <c r="BC921" s="36"/>
      <c r="BD921" s="36"/>
      <c r="BE921" s="36"/>
      <c r="BF921" s="36"/>
      <c r="BG921" s="36"/>
      <c r="BH921" s="36"/>
      <c r="BI921" s="36"/>
      <c r="BJ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  <c r="AL922" s="36"/>
      <c r="AM922" s="36"/>
      <c r="AN922" s="36"/>
      <c r="AO922" s="36"/>
      <c r="AP922" s="36"/>
      <c r="AQ922" s="36"/>
      <c r="AR922" s="36"/>
      <c r="AS922" s="36"/>
      <c r="AT922" s="36"/>
      <c r="AU922" s="36"/>
      <c r="AV922" s="36"/>
      <c r="AW922" s="36"/>
      <c r="AX922" s="36"/>
      <c r="AY922" s="36"/>
      <c r="AZ922" s="36"/>
      <c r="BA922" s="36"/>
      <c r="BB922" s="36"/>
      <c r="BC922" s="36"/>
      <c r="BD922" s="36"/>
      <c r="BE922" s="36"/>
      <c r="BF922" s="36"/>
      <c r="BG922" s="36"/>
      <c r="BH922" s="36"/>
      <c r="BI922" s="36"/>
      <c r="BJ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  <c r="AL923" s="36"/>
      <c r="AM923" s="36"/>
      <c r="AN923" s="36"/>
      <c r="AO923" s="36"/>
      <c r="AP923" s="36"/>
      <c r="AQ923" s="36"/>
      <c r="AR923" s="36"/>
      <c r="AS923" s="36"/>
      <c r="AT923" s="36"/>
      <c r="AU923" s="36"/>
      <c r="AV923" s="36"/>
      <c r="AW923" s="36"/>
      <c r="AX923" s="36"/>
      <c r="AY923" s="36"/>
      <c r="AZ923" s="36"/>
      <c r="BA923" s="36"/>
      <c r="BB923" s="36"/>
      <c r="BC923" s="36"/>
      <c r="BD923" s="36"/>
      <c r="BE923" s="36"/>
      <c r="BF923" s="36"/>
      <c r="BG923" s="36"/>
      <c r="BH923" s="36"/>
      <c r="BI923" s="36"/>
      <c r="BJ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  <c r="AL924" s="36"/>
      <c r="AM924" s="36"/>
      <c r="AN924" s="36"/>
      <c r="AO924" s="36"/>
      <c r="AP924" s="36"/>
      <c r="AQ924" s="36"/>
      <c r="AR924" s="36"/>
      <c r="AS924" s="36"/>
      <c r="AT924" s="36"/>
      <c r="AU924" s="36"/>
      <c r="AV924" s="36"/>
      <c r="AW924" s="36"/>
      <c r="AX924" s="36"/>
      <c r="AY924" s="36"/>
      <c r="AZ924" s="36"/>
      <c r="BA924" s="36"/>
      <c r="BB924" s="36"/>
      <c r="BC924" s="36"/>
      <c r="BD924" s="36"/>
      <c r="BE924" s="36"/>
      <c r="BF924" s="36"/>
      <c r="BG924" s="36"/>
      <c r="BH924" s="36"/>
      <c r="BI924" s="36"/>
      <c r="BJ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  <c r="AL925" s="36"/>
      <c r="AM925" s="36"/>
      <c r="AN925" s="36"/>
      <c r="AO925" s="36"/>
      <c r="AP925" s="36"/>
      <c r="AQ925" s="36"/>
      <c r="AR925" s="36"/>
      <c r="AS925" s="36"/>
      <c r="AT925" s="36"/>
      <c r="AU925" s="36"/>
      <c r="AV925" s="36"/>
      <c r="AW925" s="36"/>
      <c r="AX925" s="36"/>
      <c r="AY925" s="36"/>
      <c r="AZ925" s="36"/>
      <c r="BA925" s="36"/>
      <c r="BB925" s="36"/>
      <c r="BC925" s="36"/>
      <c r="BD925" s="36"/>
      <c r="BE925" s="36"/>
      <c r="BF925" s="36"/>
      <c r="BG925" s="36"/>
      <c r="BH925" s="36"/>
      <c r="BI925" s="36"/>
      <c r="BJ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  <c r="AL926" s="36"/>
      <c r="AM926" s="36"/>
      <c r="AN926" s="36"/>
      <c r="AO926" s="36"/>
      <c r="AP926" s="36"/>
      <c r="AQ926" s="36"/>
      <c r="AR926" s="36"/>
      <c r="AS926" s="36"/>
      <c r="AT926" s="36"/>
      <c r="AU926" s="36"/>
      <c r="AV926" s="36"/>
      <c r="AW926" s="36"/>
      <c r="AX926" s="36"/>
      <c r="AY926" s="36"/>
      <c r="AZ926" s="36"/>
      <c r="BA926" s="36"/>
      <c r="BB926" s="36"/>
      <c r="BC926" s="36"/>
      <c r="BD926" s="36"/>
      <c r="BE926" s="36"/>
      <c r="BF926" s="36"/>
      <c r="BG926" s="36"/>
      <c r="BH926" s="36"/>
      <c r="BI926" s="36"/>
      <c r="BJ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  <c r="AL927" s="36"/>
      <c r="AM927" s="36"/>
      <c r="AN927" s="36"/>
      <c r="AO927" s="36"/>
      <c r="AP927" s="36"/>
      <c r="AQ927" s="36"/>
      <c r="AR927" s="36"/>
      <c r="AS927" s="36"/>
      <c r="AT927" s="36"/>
      <c r="AU927" s="36"/>
      <c r="AV927" s="36"/>
      <c r="AW927" s="36"/>
      <c r="AX927" s="36"/>
      <c r="AY927" s="36"/>
      <c r="AZ927" s="36"/>
      <c r="BA927" s="36"/>
      <c r="BB927" s="36"/>
      <c r="BC927" s="36"/>
      <c r="BD927" s="36"/>
      <c r="BE927" s="36"/>
      <c r="BF927" s="36"/>
      <c r="BG927" s="36"/>
      <c r="BH927" s="36"/>
      <c r="BI927" s="36"/>
      <c r="BJ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  <c r="AL928" s="36"/>
      <c r="AM928" s="36"/>
      <c r="AN928" s="36"/>
      <c r="AO928" s="36"/>
      <c r="AP928" s="36"/>
      <c r="AQ928" s="36"/>
      <c r="AR928" s="36"/>
      <c r="AS928" s="36"/>
      <c r="AT928" s="36"/>
      <c r="AU928" s="36"/>
      <c r="AV928" s="36"/>
      <c r="AW928" s="36"/>
      <c r="AX928" s="36"/>
      <c r="AY928" s="36"/>
      <c r="AZ928" s="36"/>
      <c r="BA928" s="36"/>
      <c r="BB928" s="36"/>
      <c r="BC928" s="36"/>
      <c r="BD928" s="36"/>
      <c r="BE928" s="36"/>
      <c r="BF928" s="36"/>
      <c r="BG928" s="36"/>
      <c r="BH928" s="36"/>
      <c r="BI928" s="36"/>
      <c r="BJ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  <c r="AL929" s="36"/>
      <c r="AM929" s="36"/>
      <c r="AN929" s="36"/>
      <c r="AO929" s="36"/>
      <c r="AP929" s="36"/>
      <c r="AQ929" s="36"/>
      <c r="AR929" s="36"/>
      <c r="AS929" s="36"/>
      <c r="AT929" s="36"/>
      <c r="AU929" s="36"/>
      <c r="AV929" s="36"/>
      <c r="AW929" s="36"/>
      <c r="AX929" s="36"/>
      <c r="AY929" s="36"/>
      <c r="AZ929" s="36"/>
      <c r="BA929" s="36"/>
      <c r="BB929" s="36"/>
      <c r="BC929" s="36"/>
      <c r="BD929" s="36"/>
      <c r="BE929" s="36"/>
      <c r="BF929" s="36"/>
      <c r="BG929" s="36"/>
      <c r="BH929" s="36"/>
      <c r="BI929" s="36"/>
      <c r="BJ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  <c r="AL930" s="36"/>
      <c r="AM930" s="36"/>
      <c r="AN930" s="36"/>
      <c r="AO930" s="36"/>
      <c r="AP930" s="36"/>
      <c r="AQ930" s="36"/>
      <c r="AR930" s="36"/>
      <c r="AS930" s="36"/>
      <c r="AT930" s="36"/>
      <c r="AU930" s="36"/>
      <c r="AV930" s="36"/>
      <c r="AW930" s="36"/>
      <c r="AX930" s="36"/>
      <c r="AY930" s="36"/>
      <c r="AZ930" s="36"/>
      <c r="BA930" s="36"/>
      <c r="BB930" s="36"/>
      <c r="BC930" s="36"/>
      <c r="BD930" s="36"/>
      <c r="BE930" s="36"/>
      <c r="BF930" s="36"/>
      <c r="BG930" s="36"/>
      <c r="BH930" s="36"/>
      <c r="BI930" s="36"/>
      <c r="BJ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  <c r="AL931" s="36"/>
      <c r="AM931" s="36"/>
      <c r="AN931" s="36"/>
      <c r="AO931" s="36"/>
      <c r="AP931" s="36"/>
      <c r="AQ931" s="36"/>
      <c r="AR931" s="36"/>
      <c r="AS931" s="36"/>
      <c r="AT931" s="36"/>
      <c r="AU931" s="36"/>
      <c r="AV931" s="36"/>
      <c r="AW931" s="36"/>
      <c r="AX931" s="36"/>
      <c r="AY931" s="36"/>
      <c r="AZ931" s="36"/>
      <c r="BA931" s="36"/>
      <c r="BB931" s="36"/>
      <c r="BC931" s="36"/>
      <c r="BD931" s="36"/>
      <c r="BE931" s="36"/>
      <c r="BF931" s="36"/>
      <c r="BG931" s="36"/>
      <c r="BH931" s="36"/>
      <c r="BI931" s="36"/>
      <c r="BJ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  <c r="AL932" s="36"/>
      <c r="AM932" s="36"/>
      <c r="AN932" s="36"/>
      <c r="AO932" s="36"/>
      <c r="AP932" s="36"/>
      <c r="AQ932" s="36"/>
      <c r="AR932" s="36"/>
      <c r="AS932" s="36"/>
      <c r="AT932" s="36"/>
      <c r="AU932" s="36"/>
      <c r="AV932" s="36"/>
      <c r="AW932" s="36"/>
      <c r="AX932" s="36"/>
      <c r="AY932" s="36"/>
      <c r="AZ932" s="36"/>
      <c r="BA932" s="36"/>
      <c r="BB932" s="36"/>
      <c r="BC932" s="36"/>
      <c r="BD932" s="36"/>
      <c r="BE932" s="36"/>
      <c r="BF932" s="36"/>
      <c r="BG932" s="36"/>
      <c r="BH932" s="36"/>
      <c r="BI932" s="36"/>
      <c r="BJ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  <c r="AL933" s="36"/>
      <c r="AM933" s="36"/>
      <c r="AN933" s="36"/>
      <c r="AO933" s="36"/>
      <c r="AP933" s="36"/>
      <c r="AQ933" s="36"/>
      <c r="AR933" s="36"/>
      <c r="AS933" s="36"/>
      <c r="AT933" s="36"/>
      <c r="AU933" s="36"/>
      <c r="AV933" s="36"/>
      <c r="AW933" s="36"/>
      <c r="AX933" s="36"/>
      <c r="AY933" s="36"/>
      <c r="AZ933" s="36"/>
      <c r="BA933" s="36"/>
      <c r="BB933" s="36"/>
      <c r="BC933" s="36"/>
      <c r="BD933" s="36"/>
      <c r="BE933" s="36"/>
      <c r="BF933" s="36"/>
      <c r="BG933" s="36"/>
      <c r="BH933" s="36"/>
      <c r="BI933" s="36"/>
      <c r="BJ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  <c r="AL934" s="36"/>
      <c r="AM934" s="36"/>
      <c r="AN934" s="36"/>
      <c r="AO934" s="36"/>
      <c r="AP934" s="36"/>
      <c r="AQ934" s="36"/>
      <c r="AR934" s="36"/>
      <c r="AS934" s="36"/>
      <c r="AT934" s="36"/>
      <c r="AU934" s="36"/>
      <c r="AV934" s="36"/>
      <c r="AW934" s="36"/>
      <c r="AX934" s="36"/>
      <c r="AY934" s="36"/>
      <c r="AZ934" s="36"/>
      <c r="BA934" s="36"/>
      <c r="BB934" s="36"/>
      <c r="BC934" s="36"/>
      <c r="BD934" s="36"/>
      <c r="BE934" s="36"/>
      <c r="BF934" s="36"/>
      <c r="BG934" s="36"/>
      <c r="BH934" s="36"/>
      <c r="BI934" s="36"/>
      <c r="BJ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  <c r="AL935" s="36"/>
      <c r="AM935" s="36"/>
      <c r="AN935" s="36"/>
      <c r="AO935" s="36"/>
      <c r="AP935" s="36"/>
      <c r="AQ935" s="36"/>
      <c r="AR935" s="36"/>
      <c r="AS935" s="36"/>
      <c r="AT935" s="36"/>
      <c r="AU935" s="36"/>
      <c r="AV935" s="36"/>
      <c r="AW935" s="36"/>
      <c r="AX935" s="36"/>
      <c r="AY935" s="36"/>
      <c r="AZ935" s="36"/>
      <c r="BA935" s="36"/>
      <c r="BB935" s="36"/>
      <c r="BC935" s="36"/>
      <c r="BD935" s="36"/>
      <c r="BE935" s="36"/>
      <c r="BF935" s="36"/>
      <c r="BG935" s="36"/>
      <c r="BH935" s="36"/>
      <c r="BI935" s="36"/>
      <c r="BJ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  <c r="AL936" s="36"/>
      <c r="AM936" s="36"/>
      <c r="AN936" s="36"/>
      <c r="AO936" s="36"/>
      <c r="AP936" s="36"/>
      <c r="AQ936" s="36"/>
      <c r="AR936" s="36"/>
      <c r="AS936" s="36"/>
      <c r="AT936" s="36"/>
      <c r="AU936" s="36"/>
      <c r="AV936" s="36"/>
      <c r="AW936" s="36"/>
      <c r="AX936" s="36"/>
      <c r="AY936" s="36"/>
      <c r="AZ936" s="36"/>
      <c r="BA936" s="36"/>
      <c r="BB936" s="36"/>
      <c r="BC936" s="36"/>
      <c r="BD936" s="36"/>
      <c r="BE936" s="36"/>
      <c r="BF936" s="36"/>
      <c r="BG936" s="36"/>
      <c r="BH936" s="36"/>
      <c r="BI936" s="36"/>
      <c r="BJ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  <c r="AL937" s="36"/>
      <c r="AM937" s="36"/>
      <c r="AN937" s="36"/>
      <c r="AO937" s="36"/>
      <c r="AP937" s="36"/>
      <c r="AQ937" s="36"/>
      <c r="AR937" s="36"/>
      <c r="AS937" s="36"/>
      <c r="AT937" s="36"/>
      <c r="AU937" s="36"/>
      <c r="AV937" s="36"/>
      <c r="AW937" s="36"/>
      <c r="AX937" s="36"/>
      <c r="AY937" s="36"/>
      <c r="AZ937" s="36"/>
      <c r="BA937" s="36"/>
      <c r="BB937" s="36"/>
      <c r="BC937" s="36"/>
      <c r="BD937" s="36"/>
      <c r="BE937" s="36"/>
      <c r="BF937" s="36"/>
      <c r="BG937" s="36"/>
      <c r="BH937" s="36"/>
      <c r="BI937" s="36"/>
      <c r="BJ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  <c r="AL938" s="36"/>
      <c r="AM938" s="36"/>
      <c r="AN938" s="36"/>
      <c r="AO938" s="36"/>
      <c r="AP938" s="36"/>
      <c r="AQ938" s="36"/>
      <c r="AR938" s="36"/>
      <c r="AS938" s="36"/>
      <c r="AT938" s="36"/>
      <c r="AU938" s="36"/>
      <c r="AV938" s="36"/>
      <c r="AW938" s="36"/>
      <c r="AX938" s="36"/>
      <c r="AY938" s="36"/>
      <c r="AZ938" s="36"/>
      <c r="BA938" s="36"/>
      <c r="BB938" s="36"/>
      <c r="BC938" s="36"/>
      <c r="BD938" s="36"/>
      <c r="BE938" s="36"/>
      <c r="BF938" s="36"/>
      <c r="BG938" s="36"/>
      <c r="BH938" s="36"/>
      <c r="BI938" s="36"/>
      <c r="BJ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  <c r="AL939" s="36"/>
      <c r="AM939" s="36"/>
      <c r="AN939" s="36"/>
      <c r="AO939" s="36"/>
      <c r="AP939" s="36"/>
      <c r="AQ939" s="36"/>
      <c r="AR939" s="36"/>
      <c r="AS939" s="36"/>
      <c r="AT939" s="36"/>
      <c r="AU939" s="36"/>
      <c r="AV939" s="36"/>
      <c r="AW939" s="36"/>
      <c r="AX939" s="36"/>
      <c r="AY939" s="36"/>
      <c r="AZ939" s="36"/>
      <c r="BA939" s="36"/>
      <c r="BB939" s="36"/>
      <c r="BC939" s="36"/>
      <c r="BD939" s="36"/>
      <c r="BE939" s="36"/>
      <c r="BF939" s="36"/>
      <c r="BG939" s="36"/>
      <c r="BH939" s="36"/>
      <c r="BI939" s="36"/>
      <c r="BJ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  <c r="AL940" s="36"/>
      <c r="AM940" s="36"/>
      <c r="AN940" s="36"/>
      <c r="AO940" s="36"/>
      <c r="AP940" s="36"/>
      <c r="AQ940" s="36"/>
      <c r="AR940" s="36"/>
      <c r="AS940" s="36"/>
      <c r="AT940" s="36"/>
      <c r="AU940" s="36"/>
      <c r="AV940" s="36"/>
      <c r="AW940" s="36"/>
      <c r="AX940" s="36"/>
      <c r="AY940" s="36"/>
      <c r="AZ940" s="36"/>
      <c r="BA940" s="36"/>
      <c r="BB940" s="36"/>
      <c r="BC940" s="36"/>
      <c r="BD940" s="36"/>
      <c r="BE940" s="36"/>
      <c r="BF940" s="36"/>
      <c r="BG940" s="36"/>
      <c r="BH940" s="36"/>
      <c r="BI940" s="36"/>
      <c r="BJ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  <c r="AL941" s="36"/>
      <c r="AM941" s="36"/>
      <c r="AN941" s="36"/>
      <c r="AO941" s="36"/>
      <c r="AP941" s="36"/>
      <c r="AQ941" s="36"/>
      <c r="AR941" s="36"/>
      <c r="AS941" s="36"/>
      <c r="AT941" s="36"/>
      <c r="AU941" s="36"/>
      <c r="AV941" s="36"/>
      <c r="AW941" s="36"/>
      <c r="AX941" s="36"/>
      <c r="AY941" s="36"/>
      <c r="AZ941" s="36"/>
      <c r="BA941" s="36"/>
      <c r="BB941" s="36"/>
      <c r="BC941" s="36"/>
      <c r="BD941" s="36"/>
      <c r="BE941" s="36"/>
      <c r="BF941" s="36"/>
      <c r="BG941" s="36"/>
      <c r="BH941" s="36"/>
      <c r="BI941" s="36"/>
      <c r="BJ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  <c r="AL942" s="36"/>
      <c r="AM942" s="36"/>
      <c r="AN942" s="36"/>
      <c r="AO942" s="36"/>
      <c r="AP942" s="36"/>
      <c r="AQ942" s="36"/>
      <c r="AR942" s="36"/>
      <c r="AS942" s="36"/>
      <c r="AT942" s="36"/>
      <c r="AU942" s="36"/>
      <c r="AV942" s="36"/>
      <c r="AW942" s="36"/>
      <c r="AX942" s="36"/>
      <c r="AY942" s="36"/>
      <c r="AZ942" s="36"/>
      <c r="BA942" s="36"/>
      <c r="BB942" s="36"/>
      <c r="BC942" s="36"/>
      <c r="BD942" s="36"/>
      <c r="BE942" s="36"/>
      <c r="BF942" s="36"/>
      <c r="BG942" s="36"/>
      <c r="BH942" s="36"/>
      <c r="BI942" s="36"/>
      <c r="BJ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  <c r="AL943" s="36"/>
      <c r="AM943" s="36"/>
      <c r="AN943" s="36"/>
      <c r="AO943" s="36"/>
      <c r="AP943" s="36"/>
      <c r="AQ943" s="36"/>
      <c r="AR943" s="36"/>
      <c r="AS943" s="36"/>
      <c r="AT943" s="36"/>
      <c r="AU943" s="36"/>
      <c r="AV943" s="36"/>
      <c r="AW943" s="36"/>
      <c r="AX943" s="36"/>
      <c r="AY943" s="36"/>
      <c r="AZ943" s="36"/>
      <c r="BA943" s="36"/>
      <c r="BB943" s="36"/>
      <c r="BC943" s="36"/>
      <c r="BD943" s="36"/>
      <c r="BE943" s="36"/>
      <c r="BF943" s="36"/>
      <c r="BG943" s="36"/>
      <c r="BH943" s="36"/>
      <c r="BI943" s="36"/>
      <c r="BJ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  <c r="AL944" s="36"/>
      <c r="AM944" s="36"/>
      <c r="AN944" s="36"/>
      <c r="AO944" s="36"/>
      <c r="AP944" s="36"/>
      <c r="AQ944" s="36"/>
      <c r="AR944" s="36"/>
      <c r="AS944" s="36"/>
      <c r="AT944" s="36"/>
      <c r="AU944" s="36"/>
      <c r="AV944" s="36"/>
      <c r="AW944" s="36"/>
      <c r="AX944" s="36"/>
      <c r="AY944" s="36"/>
      <c r="AZ944" s="36"/>
      <c r="BA944" s="36"/>
      <c r="BB944" s="36"/>
      <c r="BC944" s="36"/>
      <c r="BD944" s="36"/>
      <c r="BE944" s="36"/>
      <c r="BF944" s="36"/>
      <c r="BG944" s="36"/>
      <c r="BH944" s="36"/>
      <c r="BI944" s="36"/>
      <c r="BJ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  <c r="AL945" s="36"/>
      <c r="AM945" s="36"/>
      <c r="AN945" s="36"/>
      <c r="AO945" s="36"/>
      <c r="AP945" s="36"/>
      <c r="AQ945" s="36"/>
      <c r="AR945" s="36"/>
      <c r="AS945" s="36"/>
      <c r="AT945" s="36"/>
      <c r="AU945" s="36"/>
      <c r="AV945" s="36"/>
      <c r="AW945" s="36"/>
      <c r="AX945" s="36"/>
      <c r="AY945" s="36"/>
      <c r="AZ945" s="36"/>
      <c r="BA945" s="36"/>
      <c r="BB945" s="36"/>
      <c r="BC945" s="36"/>
      <c r="BD945" s="36"/>
      <c r="BE945" s="36"/>
      <c r="BF945" s="36"/>
      <c r="BG945" s="36"/>
      <c r="BH945" s="36"/>
      <c r="BI945" s="36"/>
      <c r="BJ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  <c r="AL946" s="36"/>
      <c r="AM946" s="36"/>
      <c r="AN946" s="36"/>
      <c r="AO946" s="36"/>
      <c r="AP946" s="36"/>
      <c r="AQ946" s="36"/>
      <c r="AR946" s="36"/>
      <c r="AS946" s="36"/>
      <c r="AT946" s="36"/>
      <c r="AU946" s="36"/>
      <c r="AV946" s="36"/>
      <c r="AW946" s="36"/>
      <c r="AX946" s="36"/>
      <c r="AY946" s="36"/>
      <c r="AZ946" s="36"/>
      <c r="BA946" s="36"/>
      <c r="BB946" s="36"/>
      <c r="BC946" s="36"/>
      <c r="BD946" s="36"/>
      <c r="BE946" s="36"/>
      <c r="BF946" s="36"/>
      <c r="BG946" s="36"/>
      <c r="BH946" s="36"/>
      <c r="BI946" s="36"/>
      <c r="BJ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  <c r="AL947" s="36"/>
      <c r="AM947" s="36"/>
      <c r="AN947" s="36"/>
      <c r="AO947" s="36"/>
      <c r="AP947" s="36"/>
      <c r="AQ947" s="36"/>
      <c r="AR947" s="36"/>
      <c r="AS947" s="36"/>
      <c r="AT947" s="36"/>
      <c r="AU947" s="36"/>
      <c r="AV947" s="36"/>
      <c r="AW947" s="36"/>
      <c r="AX947" s="36"/>
      <c r="AY947" s="36"/>
      <c r="AZ947" s="36"/>
      <c r="BA947" s="36"/>
      <c r="BB947" s="36"/>
      <c r="BC947" s="36"/>
      <c r="BD947" s="36"/>
      <c r="BE947" s="36"/>
      <c r="BF947" s="36"/>
      <c r="BG947" s="36"/>
      <c r="BH947" s="36"/>
      <c r="BI947" s="36"/>
      <c r="BJ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  <c r="AL948" s="36"/>
      <c r="AM948" s="36"/>
      <c r="AN948" s="36"/>
      <c r="AO948" s="36"/>
      <c r="AP948" s="36"/>
      <c r="AQ948" s="36"/>
      <c r="AR948" s="36"/>
      <c r="AS948" s="36"/>
      <c r="AT948" s="36"/>
      <c r="AU948" s="36"/>
      <c r="AV948" s="36"/>
      <c r="AW948" s="36"/>
      <c r="AX948" s="36"/>
      <c r="AY948" s="36"/>
      <c r="AZ948" s="36"/>
      <c r="BA948" s="36"/>
      <c r="BB948" s="36"/>
      <c r="BC948" s="36"/>
      <c r="BD948" s="36"/>
      <c r="BE948" s="36"/>
      <c r="BF948" s="36"/>
      <c r="BG948" s="36"/>
      <c r="BH948" s="36"/>
      <c r="BI948" s="36"/>
      <c r="BJ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  <c r="AL949" s="36"/>
      <c r="AM949" s="36"/>
      <c r="AN949" s="36"/>
      <c r="AO949" s="36"/>
      <c r="AP949" s="36"/>
      <c r="AQ949" s="36"/>
      <c r="AR949" s="36"/>
      <c r="AS949" s="36"/>
      <c r="AT949" s="36"/>
      <c r="AU949" s="36"/>
      <c r="AV949" s="36"/>
      <c r="AW949" s="36"/>
      <c r="AX949" s="36"/>
      <c r="AY949" s="36"/>
      <c r="AZ949" s="36"/>
      <c r="BA949" s="36"/>
      <c r="BB949" s="36"/>
      <c r="BC949" s="36"/>
      <c r="BD949" s="36"/>
      <c r="BE949" s="36"/>
      <c r="BF949" s="36"/>
      <c r="BG949" s="36"/>
      <c r="BH949" s="36"/>
      <c r="BI949" s="36"/>
      <c r="BJ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  <c r="AL950" s="36"/>
      <c r="AM950" s="36"/>
      <c r="AN950" s="36"/>
      <c r="AO950" s="36"/>
      <c r="AP950" s="36"/>
      <c r="AQ950" s="36"/>
      <c r="AR950" s="36"/>
      <c r="AS950" s="36"/>
      <c r="AT950" s="36"/>
      <c r="AU950" s="36"/>
      <c r="AV950" s="36"/>
      <c r="AW950" s="36"/>
      <c r="AX950" s="36"/>
      <c r="AY950" s="36"/>
      <c r="AZ950" s="36"/>
      <c r="BA950" s="36"/>
      <c r="BB950" s="36"/>
      <c r="BC950" s="36"/>
      <c r="BD950" s="36"/>
      <c r="BE950" s="36"/>
      <c r="BF950" s="36"/>
      <c r="BG950" s="36"/>
      <c r="BH950" s="36"/>
      <c r="BI950" s="36"/>
      <c r="BJ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  <c r="AL951" s="36"/>
      <c r="AM951" s="36"/>
      <c r="AN951" s="36"/>
      <c r="AO951" s="36"/>
      <c r="AP951" s="36"/>
      <c r="AQ951" s="36"/>
      <c r="AR951" s="36"/>
      <c r="AS951" s="36"/>
      <c r="AT951" s="36"/>
      <c r="AU951" s="36"/>
      <c r="AV951" s="36"/>
      <c r="AW951" s="36"/>
      <c r="AX951" s="36"/>
      <c r="AY951" s="36"/>
      <c r="AZ951" s="36"/>
      <c r="BA951" s="36"/>
      <c r="BB951" s="36"/>
      <c r="BC951" s="36"/>
      <c r="BD951" s="36"/>
      <c r="BE951" s="36"/>
      <c r="BF951" s="36"/>
      <c r="BG951" s="36"/>
      <c r="BH951" s="36"/>
      <c r="BI951" s="36"/>
      <c r="BJ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  <c r="AL952" s="36"/>
      <c r="AM952" s="36"/>
      <c r="AN952" s="36"/>
      <c r="AO952" s="36"/>
      <c r="AP952" s="36"/>
      <c r="AQ952" s="36"/>
      <c r="AR952" s="36"/>
      <c r="AS952" s="36"/>
      <c r="AT952" s="36"/>
      <c r="AU952" s="36"/>
      <c r="AV952" s="36"/>
      <c r="AW952" s="36"/>
      <c r="AX952" s="36"/>
      <c r="AY952" s="36"/>
      <c r="AZ952" s="36"/>
      <c r="BA952" s="36"/>
      <c r="BB952" s="36"/>
      <c r="BC952" s="36"/>
      <c r="BD952" s="36"/>
      <c r="BE952" s="36"/>
      <c r="BF952" s="36"/>
      <c r="BG952" s="36"/>
      <c r="BH952" s="36"/>
      <c r="BI952" s="36"/>
      <c r="BJ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  <c r="AL953" s="36"/>
      <c r="AM953" s="36"/>
      <c r="AN953" s="36"/>
      <c r="AO953" s="36"/>
      <c r="AP953" s="36"/>
      <c r="AQ953" s="36"/>
      <c r="AR953" s="36"/>
      <c r="AS953" s="36"/>
      <c r="AT953" s="36"/>
      <c r="AU953" s="36"/>
      <c r="AV953" s="36"/>
      <c r="AW953" s="36"/>
      <c r="AX953" s="36"/>
      <c r="AY953" s="36"/>
      <c r="AZ953" s="36"/>
      <c r="BA953" s="36"/>
      <c r="BB953" s="36"/>
      <c r="BC953" s="36"/>
      <c r="BD953" s="36"/>
      <c r="BE953" s="36"/>
      <c r="BF953" s="36"/>
      <c r="BG953" s="36"/>
      <c r="BH953" s="36"/>
      <c r="BI953" s="36"/>
      <c r="BJ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  <c r="AL954" s="36"/>
      <c r="AM954" s="36"/>
      <c r="AN954" s="36"/>
      <c r="AO954" s="36"/>
      <c r="AP954" s="36"/>
      <c r="AQ954" s="36"/>
      <c r="AR954" s="36"/>
      <c r="AS954" s="36"/>
      <c r="AT954" s="36"/>
      <c r="AU954" s="36"/>
      <c r="AV954" s="36"/>
      <c r="AW954" s="36"/>
      <c r="AX954" s="36"/>
      <c r="AY954" s="36"/>
      <c r="AZ954" s="36"/>
      <c r="BA954" s="36"/>
      <c r="BB954" s="36"/>
      <c r="BC954" s="36"/>
      <c r="BD954" s="36"/>
      <c r="BE954" s="36"/>
      <c r="BF954" s="36"/>
      <c r="BG954" s="36"/>
      <c r="BH954" s="36"/>
      <c r="BI954" s="36"/>
      <c r="BJ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  <c r="AL955" s="36"/>
      <c r="AM955" s="36"/>
      <c r="AN955" s="36"/>
      <c r="AO955" s="36"/>
      <c r="AP955" s="36"/>
      <c r="AQ955" s="36"/>
      <c r="AR955" s="36"/>
      <c r="AS955" s="36"/>
      <c r="AT955" s="36"/>
      <c r="AU955" s="36"/>
      <c r="AV955" s="36"/>
      <c r="AW955" s="36"/>
      <c r="AX955" s="36"/>
      <c r="AY955" s="36"/>
      <c r="AZ955" s="36"/>
      <c r="BA955" s="36"/>
      <c r="BB955" s="36"/>
      <c r="BC955" s="36"/>
      <c r="BD955" s="36"/>
      <c r="BE955" s="36"/>
      <c r="BF955" s="36"/>
      <c r="BG955" s="36"/>
      <c r="BH955" s="36"/>
      <c r="BI955" s="36"/>
      <c r="BJ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  <c r="AL956" s="36"/>
      <c r="AM956" s="36"/>
      <c r="AN956" s="36"/>
      <c r="AO956" s="36"/>
      <c r="AP956" s="36"/>
      <c r="AQ956" s="36"/>
      <c r="AR956" s="36"/>
      <c r="AS956" s="36"/>
      <c r="AT956" s="36"/>
      <c r="AU956" s="36"/>
      <c r="AV956" s="36"/>
      <c r="AW956" s="36"/>
      <c r="AX956" s="36"/>
      <c r="AY956" s="36"/>
      <c r="AZ956" s="36"/>
      <c r="BA956" s="36"/>
      <c r="BB956" s="36"/>
      <c r="BC956" s="36"/>
      <c r="BD956" s="36"/>
      <c r="BE956" s="36"/>
      <c r="BF956" s="36"/>
      <c r="BG956" s="36"/>
      <c r="BH956" s="36"/>
      <c r="BI956" s="36"/>
      <c r="BJ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  <c r="AL957" s="36"/>
      <c r="AM957" s="36"/>
      <c r="AN957" s="36"/>
      <c r="AO957" s="36"/>
      <c r="AP957" s="36"/>
      <c r="AQ957" s="36"/>
      <c r="AR957" s="36"/>
      <c r="AS957" s="36"/>
      <c r="AT957" s="36"/>
      <c r="AU957" s="36"/>
      <c r="AV957" s="36"/>
      <c r="AW957" s="36"/>
      <c r="AX957" s="36"/>
      <c r="AY957" s="36"/>
      <c r="AZ957" s="36"/>
      <c r="BA957" s="36"/>
      <c r="BB957" s="36"/>
      <c r="BC957" s="36"/>
      <c r="BD957" s="36"/>
      <c r="BE957" s="36"/>
      <c r="BF957" s="36"/>
      <c r="BG957" s="36"/>
      <c r="BH957" s="36"/>
      <c r="BI957" s="36"/>
      <c r="BJ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  <c r="AL958" s="36"/>
      <c r="AM958" s="36"/>
      <c r="AN958" s="36"/>
      <c r="AO958" s="36"/>
      <c r="AP958" s="36"/>
      <c r="AQ958" s="36"/>
      <c r="AR958" s="36"/>
      <c r="AS958" s="36"/>
      <c r="AT958" s="36"/>
      <c r="AU958" s="36"/>
      <c r="AV958" s="36"/>
      <c r="AW958" s="36"/>
      <c r="AX958" s="36"/>
      <c r="AY958" s="36"/>
      <c r="AZ958" s="36"/>
      <c r="BA958" s="36"/>
      <c r="BB958" s="36"/>
      <c r="BC958" s="36"/>
      <c r="BD958" s="36"/>
      <c r="BE958" s="36"/>
      <c r="BF958" s="36"/>
      <c r="BG958" s="36"/>
      <c r="BH958" s="36"/>
      <c r="BI958" s="36"/>
      <c r="BJ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  <c r="AL959" s="36"/>
      <c r="AM959" s="36"/>
      <c r="AN959" s="36"/>
      <c r="AO959" s="36"/>
      <c r="AP959" s="36"/>
      <c r="AQ959" s="36"/>
      <c r="AR959" s="36"/>
      <c r="AS959" s="36"/>
      <c r="AT959" s="36"/>
      <c r="AU959" s="36"/>
      <c r="AV959" s="36"/>
      <c r="AW959" s="36"/>
      <c r="AX959" s="36"/>
      <c r="AY959" s="36"/>
      <c r="AZ959" s="36"/>
      <c r="BA959" s="36"/>
      <c r="BB959" s="36"/>
      <c r="BC959" s="36"/>
      <c r="BD959" s="36"/>
      <c r="BE959" s="36"/>
      <c r="BF959" s="36"/>
      <c r="BG959" s="36"/>
      <c r="BH959" s="36"/>
      <c r="BI959" s="36"/>
      <c r="BJ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  <c r="AL960" s="36"/>
      <c r="AM960" s="36"/>
      <c r="AN960" s="36"/>
      <c r="AO960" s="36"/>
      <c r="AP960" s="36"/>
      <c r="AQ960" s="36"/>
      <c r="AR960" s="36"/>
      <c r="AS960" s="36"/>
      <c r="AT960" s="36"/>
      <c r="AU960" s="36"/>
      <c r="AV960" s="36"/>
      <c r="AW960" s="36"/>
      <c r="AX960" s="36"/>
      <c r="AY960" s="36"/>
      <c r="AZ960" s="36"/>
      <c r="BA960" s="36"/>
      <c r="BB960" s="36"/>
      <c r="BC960" s="36"/>
      <c r="BD960" s="36"/>
      <c r="BE960" s="36"/>
      <c r="BF960" s="36"/>
      <c r="BG960" s="36"/>
      <c r="BH960" s="36"/>
      <c r="BI960" s="36"/>
      <c r="BJ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  <c r="AL961" s="36"/>
      <c r="AM961" s="36"/>
      <c r="AN961" s="36"/>
      <c r="AO961" s="36"/>
      <c r="AP961" s="36"/>
      <c r="AQ961" s="36"/>
      <c r="AR961" s="36"/>
      <c r="AS961" s="36"/>
      <c r="AT961" s="36"/>
      <c r="AU961" s="36"/>
      <c r="AV961" s="36"/>
      <c r="AW961" s="36"/>
      <c r="AX961" s="36"/>
      <c r="AY961" s="36"/>
      <c r="AZ961" s="36"/>
      <c r="BA961" s="36"/>
      <c r="BB961" s="36"/>
      <c r="BC961" s="36"/>
      <c r="BD961" s="36"/>
      <c r="BE961" s="36"/>
      <c r="BF961" s="36"/>
      <c r="BG961" s="36"/>
      <c r="BH961" s="36"/>
      <c r="BI961" s="36"/>
      <c r="BJ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  <c r="AL962" s="36"/>
      <c r="AM962" s="36"/>
      <c r="AN962" s="36"/>
      <c r="AO962" s="36"/>
      <c r="AP962" s="36"/>
      <c r="AQ962" s="36"/>
      <c r="AR962" s="36"/>
      <c r="AS962" s="36"/>
      <c r="AT962" s="36"/>
      <c r="AU962" s="36"/>
      <c r="AV962" s="36"/>
      <c r="AW962" s="36"/>
      <c r="AX962" s="36"/>
      <c r="AY962" s="36"/>
      <c r="AZ962" s="36"/>
      <c r="BA962" s="36"/>
      <c r="BB962" s="36"/>
      <c r="BC962" s="36"/>
      <c r="BD962" s="36"/>
      <c r="BE962" s="36"/>
      <c r="BF962" s="36"/>
      <c r="BG962" s="36"/>
      <c r="BH962" s="36"/>
      <c r="BI962" s="36"/>
      <c r="BJ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  <c r="AL963" s="36"/>
      <c r="AM963" s="36"/>
      <c r="AN963" s="36"/>
      <c r="AO963" s="36"/>
      <c r="AP963" s="36"/>
      <c r="AQ963" s="36"/>
      <c r="AR963" s="36"/>
      <c r="AS963" s="36"/>
      <c r="AT963" s="36"/>
      <c r="AU963" s="36"/>
      <c r="AV963" s="36"/>
      <c r="AW963" s="36"/>
      <c r="AX963" s="36"/>
      <c r="AY963" s="36"/>
      <c r="AZ963" s="36"/>
      <c r="BA963" s="36"/>
      <c r="BB963" s="36"/>
      <c r="BC963" s="36"/>
      <c r="BD963" s="36"/>
      <c r="BE963" s="36"/>
      <c r="BF963" s="36"/>
      <c r="BG963" s="36"/>
      <c r="BH963" s="36"/>
      <c r="BI963" s="36"/>
      <c r="BJ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  <c r="AL964" s="36"/>
      <c r="AM964" s="36"/>
      <c r="AN964" s="36"/>
      <c r="AO964" s="36"/>
      <c r="AP964" s="36"/>
      <c r="AQ964" s="36"/>
      <c r="AR964" s="36"/>
      <c r="AS964" s="36"/>
      <c r="AT964" s="36"/>
      <c r="AU964" s="36"/>
      <c r="AV964" s="36"/>
      <c r="AW964" s="36"/>
      <c r="AX964" s="36"/>
      <c r="AY964" s="36"/>
      <c r="AZ964" s="36"/>
      <c r="BA964" s="36"/>
      <c r="BB964" s="36"/>
      <c r="BC964" s="36"/>
      <c r="BD964" s="36"/>
      <c r="BE964" s="36"/>
      <c r="BF964" s="36"/>
      <c r="BG964" s="36"/>
      <c r="BH964" s="36"/>
      <c r="BI964" s="36"/>
      <c r="BJ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  <c r="AL965" s="36"/>
      <c r="AM965" s="36"/>
      <c r="AN965" s="36"/>
      <c r="AO965" s="36"/>
      <c r="AP965" s="36"/>
      <c r="AQ965" s="36"/>
      <c r="AR965" s="36"/>
      <c r="AS965" s="36"/>
      <c r="AT965" s="36"/>
      <c r="AU965" s="36"/>
      <c r="AV965" s="36"/>
      <c r="AW965" s="36"/>
      <c r="AX965" s="36"/>
      <c r="AY965" s="36"/>
      <c r="AZ965" s="36"/>
      <c r="BA965" s="36"/>
      <c r="BB965" s="36"/>
      <c r="BC965" s="36"/>
      <c r="BD965" s="36"/>
      <c r="BE965" s="36"/>
      <c r="BF965" s="36"/>
      <c r="BG965" s="36"/>
      <c r="BH965" s="36"/>
      <c r="BI965" s="36"/>
      <c r="BJ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  <c r="AL966" s="36"/>
      <c r="AM966" s="36"/>
      <c r="AN966" s="36"/>
      <c r="AO966" s="36"/>
      <c r="AP966" s="36"/>
      <c r="AQ966" s="36"/>
      <c r="AR966" s="36"/>
      <c r="AS966" s="36"/>
      <c r="AT966" s="36"/>
      <c r="AU966" s="36"/>
      <c r="AV966" s="36"/>
      <c r="AW966" s="36"/>
      <c r="AX966" s="36"/>
      <c r="AY966" s="36"/>
      <c r="AZ966" s="36"/>
      <c r="BA966" s="36"/>
      <c r="BB966" s="36"/>
      <c r="BC966" s="36"/>
      <c r="BD966" s="36"/>
      <c r="BE966" s="36"/>
      <c r="BF966" s="36"/>
      <c r="BG966" s="36"/>
      <c r="BH966" s="36"/>
      <c r="BI966" s="36"/>
      <c r="BJ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  <c r="AL967" s="36"/>
      <c r="AM967" s="36"/>
      <c r="AN967" s="36"/>
      <c r="AO967" s="36"/>
      <c r="AP967" s="36"/>
      <c r="AQ967" s="36"/>
      <c r="AR967" s="36"/>
      <c r="AS967" s="36"/>
      <c r="AT967" s="36"/>
      <c r="AU967" s="36"/>
      <c r="AV967" s="36"/>
      <c r="AW967" s="36"/>
      <c r="AX967" s="36"/>
      <c r="AY967" s="36"/>
      <c r="AZ967" s="36"/>
      <c r="BA967" s="36"/>
      <c r="BB967" s="36"/>
      <c r="BC967" s="36"/>
      <c r="BD967" s="36"/>
      <c r="BE967" s="36"/>
      <c r="BF967" s="36"/>
      <c r="BG967" s="36"/>
      <c r="BH967" s="36"/>
      <c r="BI967" s="36"/>
      <c r="BJ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  <c r="AL968" s="36"/>
      <c r="AM968" s="36"/>
      <c r="AN968" s="36"/>
      <c r="AO968" s="36"/>
      <c r="AP968" s="36"/>
      <c r="AQ968" s="36"/>
      <c r="AR968" s="36"/>
      <c r="AS968" s="36"/>
      <c r="AT968" s="36"/>
      <c r="AU968" s="36"/>
      <c r="AV968" s="36"/>
      <c r="AW968" s="36"/>
      <c r="AX968" s="36"/>
      <c r="AY968" s="36"/>
      <c r="AZ968" s="36"/>
      <c r="BA968" s="36"/>
      <c r="BB968" s="36"/>
      <c r="BC968" s="36"/>
      <c r="BD968" s="36"/>
      <c r="BE968" s="36"/>
      <c r="BF968" s="36"/>
      <c r="BG968" s="36"/>
      <c r="BH968" s="36"/>
      <c r="BI968" s="36"/>
      <c r="BJ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  <c r="AL969" s="36"/>
      <c r="AM969" s="36"/>
      <c r="AN969" s="36"/>
      <c r="AO969" s="36"/>
      <c r="AP969" s="36"/>
      <c r="AQ969" s="36"/>
      <c r="AR969" s="36"/>
      <c r="AS969" s="36"/>
      <c r="AT969" s="36"/>
      <c r="AU969" s="36"/>
      <c r="AV969" s="36"/>
      <c r="AW969" s="36"/>
      <c r="AX969" s="36"/>
      <c r="AY969" s="36"/>
      <c r="AZ969" s="36"/>
      <c r="BA969" s="36"/>
      <c r="BB969" s="36"/>
      <c r="BC969" s="36"/>
      <c r="BD969" s="36"/>
      <c r="BE969" s="36"/>
      <c r="BF969" s="36"/>
      <c r="BG969" s="36"/>
      <c r="BH969" s="36"/>
      <c r="BI969" s="36"/>
      <c r="BJ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  <c r="AL970" s="36"/>
      <c r="AM970" s="36"/>
      <c r="AN970" s="36"/>
      <c r="AO970" s="36"/>
      <c r="AP970" s="36"/>
      <c r="AQ970" s="36"/>
      <c r="AR970" s="36"/>
      <c r="AS970" s="36"/>
      <c r="AT970" s="36"/>
      <c r="AU970" s="36"/>
      <c r="AV970" s="36"/>
      <c r="AW970" s="36"/>
      <c r="AX970" s="36"/>
      <c r="AY970" s="36"/>
      <c r="AZ970" s="36"/>
      <c r="BA970" s="36"/>
      <c r="BB970" s="36"/>
      <c r="BC970" s="36"/>
      <c r="BD970" s="36"/>
      <c r="BE970" s="36"/>
      <c r="BF970" s="36"/>
      <c r="BG970" s="36"/>
      <c r="BH970" s="36"/>
      <c r="BI970" s="36"/>
      <c r="BJ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  <c r="AL971" s="36"/>
      <c r="AM971" s="36"/>
      <c r="AN971" s="36"/>
      <c r="AO971" s="36"/>
      <c r="AP971" s="36"/>
      <c r="AQ971" s="36"/>
      <c r="AR971" s="36"/>
      <c r="AS971" s="36"/>
      <c r="AT971" s="36"/>
      <c r="AU971" s="36"/>
      <c r="AV971" s="36"/>
      <c r="AW971" s="36"/>
      <c r="AX971" s="36"/>
      <c r="AY971" s="36"/>
      <c r="AZ971" s="36"/>
      <c r="BA971" s="36"/>
      <c r="BB971" s="36"/>
      <c r="BC971" s="36"/>
      <c r="BD971" s="36"/>
      <c r="BE971" s="36"/>
      <c r="BF971" s="36"/>
      <c r="BG971" s="36"/>
      <c r="BH971" s="36"/>
      <c r="BI971" s="36"/>
      <c r="BJ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  <c r="AL972" s="36"/>
      <c r="AM972" s="36"/>
      <c r="AN972" s="36"/>
      <c r="AO972" s="36"/>
      <c r="AP972" s="36"/>
      <c r="AQ972" s="36"/>
      <c r="AR972" s="36"/>
      <c r="AS972" s="36"/>
      <c r="AT972" s="36"/>
      <c r="AU972" s="36"/>
      <c r="AV972" s="36"/>
      <c r="AW972" s="36"/>
      <c r="AX972" s="36"/>
      <c r="AY972" s="36"/>
      <c r="AZ972" s="36"/>
      <c r="BA972" s="36"/>
      <c r="BB972" s="36"/>
      <c r="BC972" s="36"/>
      <c r="BD972" s="36"/>
      <c r="BE972" s="36"/>
      <c r="BF972" s="36"/>
      <c r="BG972" s="36"/>
      <c r="BH972" s="36"/>
      <c r="BI972" s="36"/>
      <c r="BJ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  <c r="AL973" s="36"/>
      <c r="AM973" s="36"/>
      <c r="AN973" s="36"/>
      <c r="AO973" s="36"/>
      <c r="AP973" s="36"/>
      <c r="AQ973" s="36"/>
      <c r="AR973" s="36"/>
      <c r="AS973" s="36"/>
      <c r="AT973" s="36"/>
      <c r="AU973" s="36"/>
      <c r="AV973" s="36"/>
      <c r="AW973" s="36"/>
      <c r="AX973" s="36"/>
      <c r="AY973" s="36"/>
      <c r="AZ973" s="36"/>
      <c r="BA973" s="36"/>
      <c r="BB973" s="36"/>
      <c r="BC973" s="36"/>
      <c r="BD973" s="36"/>
      <c r="BE973" s="36"/>
      <c r="BF973" s="36"/>
      <c r="BG973" s="36"/>
      <c r="BH973" s="36"/>
      <c r="BI973" s="36"/>
      <c r="BJ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  <c r="AL974" s="36"/>
      <c r="AM974" s="36"/>
      <c r="AN974" s="36"/>
      <c r="AO974" s="36"/>
      <c r="AP974" s="36"/>
      <c r="AQ974" s="36"/>
      <c r="AR974" s="36"/>
      <c r="AS974" s="36"/>
      <c r="AT974" s="36"/>
      <c r="AU974" s="36"/>
      <c r="AV974" s="36"/>
      <c r="AW974" s="36"/>
      <c r="AX974" s="36"/>
      <c r="AY974" s="36"/>
      <c r="AZ974" s="36"/>
      <c r="BA974" s="36"/>
      <c r="BB974" s="36"/>
      <c r="BC974" s="36"/>
      <c r="BD974" s="36"/>
      <c r="BE974" s="36"/>
      <c r="BF974" s="36"/>
      <c r="BG974" s="36"/>
      <c r="BH974" s="36"/>
      <c r="BI974" s="36"/>
      <c r="BJ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  <c r="AL975" s="36"/>
      <c r="AM975" s="36"/>
      <c r="AN975" s="36"/>
      <c r="AO975" s="36"/>
      <c r="AP975" s="36"/>
      <c r="AQ975" s="36"/>
      <c r="AR975" s="36"/>
      <c r="AS975" s="36"/>
      <c r="AT975" s="36"/>
      <c r="AU975" s="36"/>
      <c r="AV975" s="36"/>
      <c r="AW975" s="36"/>
      <c r="AX975" s="36"/>
      <c r="AY975" s="36"/>
      <c r="AZ975" s="36"/>
      <c r="BA975" s="36"/>
      <c r="BB975" s="36"/>
      <c r="BC975" s="36"/>
      <c r="BD975" s="36"/>
      <c r="BE975" s="36"/>
      <c r="BF975" s="36"/>
      <c r="BG975" s="36"/>
      <c r="BH975" s="36"/>
      <c r="BI975" s="36"/>
      <c r="BJ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  <c r="AL976" s="36"/>
      <c r="AM976" s="36"/>
      <c r="AN976" s="36"/>
      <c r="AO976" s="36"/>
      <c r="AP976" s="36"/>
      <c r="AQ976" s="36"/>
      <c r="AR976" s="36"/>
      <c r="AS976" s="36"/>
      <c r="AT976" s="36"/>
      <c r="AU976" s="36"/>
      <c r="AV976" s="36"/>
      <c r="AW976" s="36"/>
      <c r="AX976" s="36"/>
      <c r="AY976" s="36"/>
      <c r="AZ976" s="36"/>
      <c r="BA976" s="36"/>
      <c r="BB976" s="36"/>
      <c r="BC976" s="36"/>
      <c r="BD976" s="36"/>
      <c r="BE976" s="36"/>
      <c r="BF976" s="36"/>
      <c r="BG976" s="36"/>
      <c r="BH976" s="36"/>
      <c r="BI976" s="36"/>
      <c r="BJ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  <c r="AL977" s="36"/>
      <c r="AM977" s="36"/>
      <c r="AN977" s="36"/>
      <c r="AO977" s="36"/>
      <c r="AP977" s="36"/>
      <c r="AQ977" s="36"/>
      <c r="AR977" s="36"/>
      <c r="AS977" s="36"/>
      <c r="AT977" s="36"/>
      <c r="AU977" s="36"/>
      <c r="AV977" s="36"/>
      <c r="AW977" s="36"/>
      <c r="AX977" s="36"/>
      <c r="AY977" s="36"/>
      <c r="AZ977" s="36"/>
      <c r="BA977" s="36"/>
      <c r="BB977" s="36"/>
      <c r="BC977" s="36"/>
      <c r="BD977" s="36"/>
      <c r="BE977" s="36"/>
      <c r="BF977" s="36"/>
      <c r="BG977" s="36"/>
      <c r="BH977" s="36"/>
      <c r="BI977" s="36"/>
      <c r="BJ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  <c r="AL978" s="36"/>
      <c r="AM978" s="36"/>
      <c r="AN978" s="36"/>
      <c r="AO978" s="36"/>
      <c r="AP978" s="36"/>
      <c r="AQ978" s="36"/>
      <c r="AR978" s="36"/>
      <c r="AS978" s="36"/>
      <c r="AT978" s="36"/>
      <c r="AU978" s="36"/>
      <c r="AV978" s="36"/>
      <c r="AW978" s="36"/>
      <c r="AX978" s="36"/>
      <c r="AY978" s="36"/>
      <c r="AZ978" s="36"/>
      <c r="BA978" s="36"/>
      <c r="BB978" s="36"/>
      <c r="BC978" s="36"/>
      <c r="BD978" s="36"/>
      <c r="BE978" s="36"/>
      <c r="BF978" s="36"/>
      <c r="BG978" s="36"/>
      <c r="BH978" s="36"/>
      <c r="BI978" s="36"/>
      <c r="BJ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  <c r="AL979" s="36"/>
      <c r="AM979" s="36"/>
      <c r="AN979" s="36"/>
      <c r="AO979" s="36"/>
      <c r="AP979" s="36"/>
      <c r="AQ979" s="36"/>
      <c r="AR979" s="36"/>
      <c r="AS979" s="36"/>
      <c r="AT979" s="36"/>
      <c r="AU979" s="36"/>
      <c r="AV979" s="36"/>
      <c r="AW979" s="36"/>
      <c r="AX979" s="36"/>
      <c r="AY979" s="36"/>
      <c r="AZ979" s="36"/>
      <c r="BA979" s="36"/>
      <c r="BB979" s="36"/>
      <c r="BC979" s="36"/>
      <c r="BD979" s="36"/>
      <c r="BE979" s="36"/>
      <c r="BF979" s="36"/>
      <c r="BG979" s="36"/>
      <c r="BH979" s="36"/>
      <c r="BI979" s="36"/>
      <c r="BJ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  <c r="AL980" s="36"/>
      <c r="AM980" s="36"/>
      <c r="AN980" s="36"/>
      <c r="AO980" s="36"/>
      <c r="AP980" s="36"/>
      <c r="AQ980" s="36"/>
      <c r="AR980" s="36"/>
      <c r="AS980" s="36"/>
      <c r="AT980" s="36"/>
      <c r="AU980" s="36"/>
      <c r="AV980" s="36"/>
      <c r="AW980" s="36"/>
      <c r="AX980" s="36"/>
      <c r="AY980" s="36"/>
      <c r="AZ980" s="36"/>
      <c r="BA980" s="36"/>
      <c r="BB980" s="36"/>
      <c r="BC980" s="36"/>
      <c r="BD980" s="36"/>
      <c r="BE980" s="36"/>
      <c r="BF980" s="36"/>
      <c r="BG980" s="36"/>
      <c r="BH980" s="36"/>
      <c r="BI980" s="36"/>
      <c r="BJ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  <c r="AL981" s="36"/>
      <c r="AM981" s="36"/>
      <c r="AN981" s="36"/>
      <c r="AO981" s="36"/>
      <c r="AP981" s="36"/>
      <c r="AQ981" s="36"/>
      <c r="AR981" s="36"/>
      <c r="AS981" s="36"/>
      <c r="AT981" s="36"/>
      <c r="AU981" s="36"/>
      <c r="AV981" s="36"/>
      <c r="AW981" s="36"/>
      <c r="AX981" s="36"/>
      <c r="AY981" s="36"/>
      <c r="AZ981" s="36"/>
      <c r="BA981" s="36"/>
      <c r="BB981" s="36"/>
      <c r="BC981" s="36"/>
      <c r="BD981" s="36"/>
      <c r="BE981" s="36"/>
      <c r="BF981" s="36"/>
      <c r="BG981" s="36"/>
      <c r="BH981" s="36"/>
      <c r="BI981" s="36"/>
      <c r="BJ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  <c r="AL982" s="36"/>
      <c r="AM982" s="36"/>
      <c r="AN982" s="36"/>
      <c r="AO982" s="36"/>
      <c r="AP982" s="36"/>
      <c r="AQ982" s="36"/>
      <c r="AR982" s="36"/>
      <c r="AS982" s="36"/>
      <c r="AT982" s="36"/>
      <c r="AU982" s="36"/>
      <c r="AV982" s="36"/>
      <c r="AW982" s="36"/>
      <c r="AX982" s="36"/>
      <c r="AY982" s="36"/>
      <c r="AZ982" s="36"/>
      <c r="BA982" s="36"/>
      <c r="BB982" s="36"/>
      <c r="BC982" s="36"/>
      <c r="BD982" s="36"/>
      <c r="BE982" s="36"/>
      <c r="BF982" s="36"/>
      <c r="BG982" s="36"/>
      <c r="BH982" s="36"/>
      <c r="BI982" s="36"/>
      <c r="BJ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  <c r="AL983" s="36"/>
      <c r="AM983" s="36"/>
      <c r="AN983" s="36"/>
      <c r="AO983" s="36"/>
      <c r="AP983" s="36"/>
      <c r="AQ983" s="36"/>
      <c r="AR983" s="36"/>
      <c r="AS983" s="36"/>
      <c r="AT983" s="36"/>
      <c r="AU983" s="36"/>
      <c r="AV983" s="36"/>
      <c r="AW983" s="36"/>
      <c r="AX983" s="36"/>
      <c r="AY983" s="36"/>
      <c r="AZ983" s="36"/>
      <c r="BA983" s="36"/>
      <c r="BB983" s="36"/>
      <c r="BC983" s="36"/>
      <c r="BD983" s="36"/>
      <c r="BE983" s="36"/>
      <c r="BF983" s="36"/>
      <c r="BG983" s="36"/>
      <c r="BH983" s="36"/>
      <c r="BI983" s="36"/>
      <c r="BJ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  <c r="AL984" s="36"/>
      <c r="AM984" s="36"/>
      <c r="AN984" s="36"/>
      <c r="AO984" s="36"/>
      <c r="AP984" s="36"/>
      <c r="AQ984" s="36"/>
      <c r="AR984" s="36"/>
      <c r="AS984" s="36"/>
      <c r="AT984" s="36"/>
      <c r="AU984" s="36"/>
      <c r="AV984" s="36"/>
      <c r="AW984" s="36"/>
      <c r="AX984" s="36"/>
      <c r="AY984" s="36"/>
      <c r="AZ984" s="36"/>
      <c r="BA984" s="36"/>
      <c r="BB984" s="36"/>
      <c r="BC984" s="36"/>
      <c r="BD984" s="36"/>
      <c r="BE984" s="36"/>
      <c r="BF984" s="36"/>
      <c r="BG984" s="36"/>
      <c r="BH984" s="36"/>
      <c r="BI984" s="36"/>
      <c r="BJ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  <c r="AL985" s="36"/>
      <c r="AM985" s="36"/>
      <c r="AN985" s="36"/>
      <c r="AO985" s="36"/>
      <c r="AP985" s="36"/>
      <c r="AQ985" s="36"/>
      <c r="AR985" s="36"/>
      <c r="AS985" s="36"/>
      <c r="AT985" s="36"/>
      <c r="AU985" s="36"/>
      <c r="AV985" s="36"/>
      <c r="AW985" s="36"/>
      <c r="AX985" s="36"/>
      <c r="AY985" s="36"/>
      <c r="AZ985" s="36"/>
      <c r="BA985" s="36"/>
      <c r="BB985" s="36"/>
      <c r="BC985" s="36"/>
      <c r="BD985" s="36"/>
      <c r="BE985" s="36"/>
      <c r="BF985" s="36"/>
      <c r="BG985" s="36"/>
      <c r="BH985" s="36"/>
      <c r="BI985" s="36"/>
      <c r="BJ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  <c r="AL986" s="36"/>
      <c r="AM986" s="36"/>
      <c r="AN986" s="36"/>
      <c r="AO986" s="36"/>
      <c r="AP986" s="36"/>
      <c r="AQ986" s="36"/>
      <c r="AR986" s="36"/>
      <c r="AS986" s="36"/>
      <c r="AT986" s="36"/>
      <c r="AU986" s="36"/>
      <c r="AV986" s="36"/>
      <c r="AW986" s="36"/>
      <c r="AX986" s="36"/>
      <c r="AY986" s="36"/>
      <c r="AZ986" s="36"/>
      <c r="BA986" s="36"/>
      <c r="BB986" s="36"/>
      <c r="BC986" s="36"/>
      <c r="BD986" s="36"/>
      <c r="BE986" s="36"/>
      <c r="BF986" s="36"/>
      <c r="BG986" s="36"/>
      <c r="BH986" s="36"/>
      <c r="BI986" s="36"/>
      <c r="BJ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  <c r="AL987" s="36"/>
      <c r="AM987" s="36"/>
      <c r="AN987" s="36"/>
      <c r="AO987" s="36"/>
      <c r="AP987" s="36"/>
      <c r="AQ987" s="36"/>
      <c r="AR987" s="36"/>
      <c r="AS987" s="36"/>
      <c r="AT987" s="36"/>
      <c r="AU987" s="36"/>
      <c r="AV987" s="36"/>
      <c r="AW987" s="36"/>
      <c r="AX987" s="36"/>
      <c r="AY987" s="36"/>
      <c r="AZ987" s="36"/>
      <c r="BA987" s="36"/>
      <c r="BB987" s="36"/>
      <c r="BC987" s="36"/>
      <c r="BD987" s="36"/>
      <c r="BE987" s="36"/>
      <c r="BF987" s="36"/>
      <c r="BG987" s="36"/>
      <c r="BH987" s="36"/>
      <c r="BI987" s="36"/>
      <c r="BJ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  <c r="AL988" s="36"/>
      <c r="AM988" s="36"/>
      <c r="AN988" s="36"/>
      <c r="AO988" s="36"/>
      <c r="AP988" s="36"/>
      <c r="AQ988" s="36"/>
      <c r="AR988" s="36"/>
      <c r="AS988" s="36"/>
      <c r="AT988" s="36"/>
      <c r="AU988" s="36"/>
      <c r="AV988" s="36"/>
      <c r="AW988" s="36"/>
      <c r="AX988" s="36"/>
      <c r="AY988" s="36"/>
      <c r="AZ988" s="36"/>
      <c r="BA988" s="36"/>
      <c r="BB988" s="36"/>
      <c r="BC988" s="36"/>
      <c r="BD988" s="36"/>
      <c r="BE988" s="36"/>
      <c r="BF988" s="36"/>
      <c r="BG988" s="36"/>
      <c r="BH988" s="36"/>
      <c r="BI988" s="36"/>
      <c r="BJ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  <c r="AL989" s="36"/>
      <c r="AM989" s="36"/>
      <c r="AN989" s="36"/>
      <c r="AO989" s="36"/>
      <c r="AP989" s="36"/>
      <c r="AQ989" s="36"/>
      <c r="AR989" s="36"/>
      <c r="AS989" s="36"/>
      <c r="AT989" s="36"/>
      <c r="AU989" s="36"/>
      <c r="AV989" s="36"/>
      <c r="AW989" s="36"/>
      <c r="AX989" s="36"/>
      <c r="AY989" s="36"/>
      <c r="AZ989" s="36"/>
      <c r="BA989" s="36"/>
      <c r="BB989" s="36"/>
      <c r="BC989" s="36"/>
      <c r="BD989" s="36"/>
      <c r="BE989" s="36"/>
      <c r="BF989" s="36"/>
      <c r="BG989" s="36"/>
      <c r="BH989" s="36"/>
      <c r="BI989" s="36"/>
      <c r="BJ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  <c r="AL990" s="36"/>
      <c r="AM990" s="36"/>
      <c r="AN990" s="36"/>
      <c r="AO990" s="36"/>
      <c r="AP990" s="36"/>
      <c r="AQ990" s="36"/>
      <c r="AR990" s="36"/>
      <c r="AS990" s="36"/>
      <c r="AT990" s="36"/>
      <c r="AU990" s="36"/>
      <c r="AV990" s="36"/>
      <c r="AW990" s="36"/>
      <c r="AX990" s="36"/>
      <c r="AY990" s="36"/>
      <c r="AZ990" s="36"/>
      <c r="BA990" s="36"/>
      <c r="BB990" s="36"/>
      <c r="BC990" s="36"/>
      <c r="BD990" s="36"/>
      <c r="BE990" s="36"/>
      <c r="BF990" s="36"/>
      <c r="BG990" s="36"/>
      <c r="BH990" s="36"/>
      <c r="BI990" s="36"/>
      <c r="BJ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  <c r="AL991" s="36"/>
      <c r="AM991" s="36"/>
      <c r="AN991" s="36"/>
      <c r="AO991" s="36"/>
      <c r="AP991" s="36"/>
      <c r="AQ991" s="36"/>
      <c r="AR991" s="36"/>
      <c r="AS991" s="36"/>
      <c r="AT991" s="36"/>
      <c r="AU991" s="36"/>
      <c r="AV991" s="36"/>
      <c r="AW991" s="36"/>
      <c r="AX991" s="36"/>
      <c r="AY991" s="36"/>
      <c r="AZ991" s="36"/>
      <c r="BA991" s="36"/>
      <c r="BB991" s="36"/>
      <c r="BC991" s="36"/>
      <c r="BD991" s="36"/>
      <c r="BE991" s="36"/>
      <c r="BF991" s="36"/>
      <c r="BG991" s="36"/>
      <c r="BH991" s="36"/>
      <c r="BI991" s="36"/>
      <c r="BJ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  <c r="AL992" s="36"/>
      <c r="AM992" s="36"/>
      <c r="AN992" s="36"/>
      <c r="AO992" s="36"/>
      <c r="AP992" s="36"/>
      <c r="AQ992" s="36"/>
      <c r="AR992" s="36"/>
      <c r="AS992" s="36"/>
      <c r="AT992" s="36"/>
      <c r="AU992" s="36"/>
      <c r="AV992" s="36"/>
      <c r="AW992" s="36"/>
      <c r="AX992" s="36"/>
      <c r="AY992" s="36"/>
      <c r="AZ992" s="36"/>
      <c r="BA992" s="36"/>
      <c r="BB992" s="36"/>
      <c r="BC992" s="36"/>
      <c r="BD992" s="36"/>
      <c r="BE992" s="36"/>
      <c r="BF992" s="36"/>
      <c r="BG992" s="36"/>
      <c r="BH992" s="36"/>
      <c r="BI992" s="36"/>
      <c r="BJ992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2" max="2" width="22.13"/>
  </cols>
  <sheetData>
    <row r="1">
      <c r="A1" s="65" t="s">
        <v>160</v>
      </c>
      <c r="B1" s="65" t="s">
        <v>161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29" t="str">
        <f>IFERROR(__xludf.DUMMYFUNCTION("transpose(
HSTACK(
FILTER(Router!D1:EA1, Router!D1:EA1&lt;&gt;""""),
FILTER(SwitchCampus!D1:CO1, SwitchCampus!D1:CO1&lt;&gt;""""),
FILTER(ModularSwitch!D1:EA1, ModularSwitch!D1:EA1&lt;&gt;""""),
))"),"C1161-8P")</f>
        <v>C1161-8P</v>
      </c>
      <c r="B2" s="21">
        <f>countif(AllListPrice!A:A,A2)</f>
        <v>1</v>
      </c>
    </row>
    <row r="3">
      <c r="A3" s="29" t="str">
        <f>IFERROR(__xludf.DUMMYFUNCTION("""COMPUTED_VALUE"""),"C1161X-8P")</f>
        <v>C1161X-8P</v>
      </c>
      <c r="B3" s="21">
        <f>countif(AllListPrice!A:A,A3)</f>
        <v>1</v>
      </c>
    </row>
    <row r="4">
      <c r="A4" s="29" t="str">
        <f>IFERROR(__xludf.DUMMYFUNCTION("""COMPUTED_VALUE"""),"C1131-8PWS")</f>
        <v>C1131-8PWS</v>
      </c>
      <c r="B4" s="21">
        <f>countif(AllListPrice!A:A,A4)</f>
        <v>1</v>
      </c>
    </row>
    <row r="5">
      <c r="A5" s="29" t="str">
        <f>IFERROR(__xludf.DUMMYFUNCTION("""COMPUTED_VALUE"""),"C1131X-8PWS")</f>
        <v>C1131X-8PWS</v>
      </c>
      <c r="B5" s="21">
        <f>countif(AllListPrice!A:A,A5)</f>
        <v>1</v>
      </c>
    </row>
    <row r="6">
      <c r="A6" s="29" t="str">
        <f>IFERROR(__xludf.DUMMYFUNCTION("""COMPUTED_VALUE"""),"C1121-4P")</f>
        <v>C1121-4P</v>
      </c>
      <c r="B6" s="21">
        <f>countif(AllListPrice!A:A,A6)</f>
        <v>1</v>
      </c>
    </row>
    <row r="7">
      <c r="A7" s="29" t="str">
        <f>IFERROR(__xludf.DUMMYFUNCTION("""COMPUTED_VALUE"""),"C1121-8P")</f>
        <v>C1121-8P</v>
      </c>
      <c r="B7" s="21">
        <f>countif(AllListPrice!A:A,A7)</f>
        <v>1</v>
      </c>
    </row>
    <row r="8">
      <c r="A8" s="29" t="str">
        <f>IFERROR(__xludf.DUMMYFUNCTION("""COMPUTED_VALUE"""),"C1127-8PLTEP")</f>
        <v>C1127-8PLTEP</v>
      </c>
      <c r="B8" s="21">
        <f>countif(AllListPrice!A:A,A8)</f>
        <v>1</v>
      </c>
    </row>
    <row r="9">
      <c r="A9" s="29" t="str">
        <f>IFERROR(__xludf.DUMMYFUNCTION("""COMPUTED_VALUE"""),"C1116-4P")</f>
        <v>C1116-4P</v>
      </c>
      <c r="B9" s="21">
        <f>countif(AllListPrice!A:A,A9)</f>
        <v>1</v>
      </c>
    </row>
    <row r="10">
      <c r="A10" s="29" t="str">
        <f>IFERROR(__xludf.DUMMYFUNCTION("""COMPUTED_VALUE"""),"C1117-4P")</f>
        <v>C1117-4P</v>
      </c>
      <c r="B10" s="21">
        <f>countif(AllListPrice!A:A,A10)</f>
        <v>1</v>
      </c>
    </row>
    <row r="11">
      <c r="A11" s="29" t="str">
        <f>IFERROR(__xludf.DUMMYFUNCTION("""COMPUTED_VALUE"""),"C1112-8P")</f>
        <v>C1112-8P</v>
      </c>
      <c r="B11" s="21">
        <f>countif(AllListPrice!A:A,A11)</f>
        <v>1</v>
      </c>
    </row>
    <row r="12">
      <c r="A12" s="29" t="str">
        <f>IFERROR(__xludf.DUMMYFUNCTION("""COMPUTED_VALUE"""),"C1109-4PLTE2P")</f>
        <v>C1109-4PLTE2P</v>
      </c>
      <c r="B12" s="21">
        <f>countif(AllListPrice!A:A,A12)</f>
        <v>1</v>
      </c>
    </row>
    <row r="13">
      <c r="A13" s="29" t="str">
        <f>IFERROR(__xludf.DUMMYFUNCTION("""COMPUTED_VALUE"""),"C8200L-1N-4T")</f>
        <v>C8200L-1N-4T</v>
      </c>
      <c r="B13" s="21">
        <f>countif(AllListPrice!A:A,A13)</f>
        <v>1</v>
      </c>
    </row>
    <row r="14">
      <c r="A14" s="29" t="str">
        <f>IFERROR(__xludf.DUMMYFUNCTION("""COMPUTED_VALUE"""),"C8200-1N-4T")</f>
        <v>C8200-1N-4T</v>
      </c>
      <c r="B14" s="21">
        <f>countif(AllListPrice!A:A,A14)</f>
        <v>1</v>
      </c>
    </row>
    <row r="15">
      <c r="A15" s="29" t="str">
        <f>IFERROR(__xludf.DUMMYFUNCTION("""COMPUTED_VALUE"""),"C8300-1N1S-6T")</f>
        <v>C8300-1N1S-6T</v>
      </c>
      <c r="B15" s="21">
        <f>countif(AllListPrice!A:A,A15)</f>
        <v>1</v>
      </c>
    </row>
    <row r="16">
      <c r="A16" s="29" t="str">
        <f>IFERROR(__xludf.DUMMYFUNCTION("""COMPUTED_VALUE"""),"C8300-2N2S-6T")</f>
        <v>C8300-2N2S-6T</v>
      </c>
      <c r="B16" s="21">
        <f>countif(AllListPrice!A:A,A16)</f>
        <v>1</v>
      </c>
    </row>
    <row r="17">
      <c r="A17" s="29" t="str">
        <f>IFERROR(__xludf.DUMMYFUNCTION("""COMPUTED_VALUE"""),"C8300-1N1S-4T2X")</f>
        <v>C8300-1N1S-4T2X</v>
      </c>
      <c r="B17" s="21">
        <f>countif(AllListPrice!A:A,A17)</f>
        <v>1</v>
      </c>
    </row>
    <row r="18">
      <c r="A18" s="29" t="str">
        <f>IFERROR(__xludf.DUMMYFUNCTION("""COMPUTED_VALUE"""),"C8300-2N2S-4T2X")</f>
        <v>C8300-2N2S-4T2X</v>
      </c>
      <c r="B18" s="21">
        <f>countif(AllListPrice!A:A,A18)</f>
        <v>1</v>
      </c>
    </row>
    <row r="19">
      <c r="A19" s="29" t="str">
        <f>IFERROR(__xludf.DUMMYFUNCTION("""COMPUTED_VALUE"""),"C8500L-8S4X")</f>
        <v>C8500L-8S4X</v>
      </c>
      <c r="B19" s="21">
        <f>countif(AllListPrice!A:A,A19)</f>
        <v>1</v>
      </c>
    </row>
    <row r="20">
      <c r="A20" s="29" t="str">
        <f>IFERROR(__xludf.DUMMYFUNCTION("""COMPUTED_VALUE"""),"C8500-12X")</f>
        <v>C8500-12X</v>
      </c>
      <c r="B20" s="21">
        <f>countif(AllListPrice!A:A,A20)</f>
        <v>1</v>
      </c>
    </row>
    <row r="21">
      <c r="A21" s="29" t="str">
        <f>IFERROR(__xludf.DUMMYFUNCTION("""COMPUTED_VALUE"""),"C8500-12X4QC")</f>
        <v>C8500-12X4QC</v>
      </c>
      <c r="B21" s="21">
        <f>countif(AllListPrice!A:A,A21)</f>
        <v>1</v>
      </c>
    </row>
    <row r="22">
      <c r="A22" s="29" t="str">
        <f>IFERROR(__xludf.DUMMYFUNCTION("""COMPUTED_VALUE"""),"C8500-20X6C")</f>
        <v>C8500-20X6C</v>
      </c>
      <c r="B22" s="21">
        <f>countif(AllListPrice!A:A,A22)</f>
        <v>1</v>
      </c>
    </row>
    <row r="23">
      <c r="A23" s="29" t="str">
        <f>IFERROR(__xludf.DUMMYFUNCTION("""COMPUTED_VALUE"""),"C1300-8T-E-2G")</f>
        <v>C1300-8T-E-2G</v>
      </c>
      <c r="B23" s="21">
        <f>countif(AllListPrice!A:A,A23)</f>
        <v>1</v>
      </c>
    </row>
    <row r="24">
      <c r="A24" s="29" t="str">
        <f>IFERROR(__xludf.DUMMYFUNCTION("""COMPUTED_VALUE"""),"C1300-8P-E-2G")</f>
        <v>C1300-8P-E-2G</v>
      </c>
      <c r="B24" s="21">
        <f>countif(AllListPrice!A:A,A24)</f>
        <v>1</v>
      </c>
    </row>
    <row r="25">
      <c r="A25" s="29" t="str">
        <f>IFERROR(__xludf.DUMMYFUNCTION("""COMPUTED_VALUE"""),"C1300-8FP-2G")</f>
        <v>C1300-8FP-2G</v>
      </c>
      <c r="B25" s="21">
        <f>countif(AllListPrice!A:A,A25)</f>
        <v>1</v>
      </c>
    </row>
    <row r="26">
      <c r="A26" s="29" t="str">
        <f>IFERROR(__xludf.DUMMYFUNCTION("""COMPUTED_VALUE"""),"C1300-16T-2G")</f>
        <v>C1300-16T-2G</v>
      </c>
      <c r="B26" s="21">
        <f>countif(AllListPrice!A:A,A26)</f>
        <v>1</v>
      </c>
    </row>
    <row r="27">
      <c r="A27" s="29" t="str">
        <f>IFERROR(__xludf.DUMMYFUNCTION("""COMPUTED_VALUE"""),"C1300-16P-2G")</f>
        <v>C1300-16P-2G</v>
      </c>
      <c r="B27" s="21">
        <f>countif(AllListPrice!A:A,A27)</f>
        <v>1</v>
      </c>
    </row>
    <row r="28">
      <c r="A28" s="29" t="str">
        <f>IFERROR(__xludf.DUMMYFUNCTION("""COMPUTED_VALUE"""),"C1300-16FP-2G")</f>
        <v>C1300-16FP-2G</v>
      </c>
      <c r="B28" s="21">
        <f>countif(AllListPrice!A:A,A28)</f>
        <v>1</v>
      </c>
    </row>
    <row r="29">
      <c r="A29" s="29" t="str">
        <f>IFERROR(__xludf.DUMMYFUNCTION("""COMPUTED_VALUE"""),"C1300-24T-4G")</f>
        <v>C1300-24T-4G</v>
      </c>
      <c r="B29" s="21">
        <f>countif(AllListPrice!A:A,A29)</f>
        <v>1</v>
      </c>
    </row>
    <row r="30">
      <c r="A30" s="29" t="str">
        <f>IFERROR(__xludf.DUMMYFUNCTION("""COMPUTED_VALUE"""),"C1300-24P-4G")</f>
        <v>C1300-24P-4G</v>
      </c>
      <c r="B30" s="21">
        <f>countif(AllListPrice!A:A,A30)</f>
        <v>1</v>
      </c>
    </row>
    <row r="31">
      <c r="A31" s="29" t="str">
        <f>IFERROR(__xludf.DUMMYFUNCTION("""COMPUTED_VALUE"""),"C1300-24FP-4G")</f>
        <v>C1300-24FP-4G</v>
      </c>
      <c r="B31" s="21">
        <f>countif(AllListPrice!A:A,A31)</f>
        <v>1</v>
      </c>
    </row>
    <row r="32">
      <c r="A32" s="29" t="str">
        <f>IFERROR(__xludf.DUMMYFUNCTION("""COMPUTED_VALUE"""),"C1300-48T-4G")</f>
        <v>C1300-48T-4G</v>
      </c>
      <c r="B32" s="21">
        <f>countif(AllListPrice!A:A,A32)</f>
        <v>1</v>
      </c>
    </row>
    <row r="33">
      <c r="A33" s="29" t="str">
        <f>IFERROR(__xludf.DUMMYFUNCTION("""COMPUTED_VALUE"""),"C1300-48P-4G")</f>
        <v>C1300-48P-4G</v>
      </c>
      <c r="B33" s="21">
        <f>countif(AllListPrice!A:A,A33)</f>
        <v>1</v>
      </c>
    </row>
    <row r="34">
      <c r="A34" s="29" t="str">
        <f>IFERROR(__xludf.DUMMYFUNCTION("""COMPUTED_VALUE"""),"C1300-48FP-4G")</f>
        <v>C1300-48FP-4G</v>
      </c>
      <c r="B34" s="21">
        <f>countif(AllListPrice!A:A,A34)</f>
        <v>1</v>
      </c>
    </row>
    <row r="35">
      <c r="A35" s="29" t="str">
        <f>IFERROR(__xludf.DUMMYFUNCTION("""COMPUTED_VALUE"""),"C1300-16P-4X")</f>
        <v>C1300-16P-4X</v>
      </c>
      <c r="B35" s="21">
        <f>countif(AllListPrice!A:A,A35)</f>
        <v>1</v>
      </c>
    </row>
    <row r="36">
      <c r="A36" s="29" t="str">
        <f>IFERROR(__xludf.DUMMYFUNCTION("""COMPUTED_VALUE"""),"C1300-24T-4X")</f>
        <v>C1300-24T-4X</v>
      </c>
      <c r="B36" s="21">
        <f>countif(AllListPrice!A:A,A36)</f>
        <v>1</v>
      </c>
    </row>
    <row r="37">
      <c r="A37" s="29" t="str">
        <f>IFERROR(__xludf.DUMMYFUNCTION("""COMPUTED_VALUE"""),"C1300-24P-4X")</f>
        <v>C1300-24P-4X</v>
      </c>
      <c r="B37" s="21">
        <f>countif(AllListPrice!A:A,A37)</f>
        <v>1</v>
      </c>
    </row>
    <row r="38">
      <c r="A38" s="29" t="str">
        <f>IFERROR(__xludf.DUMMYFUNCTION("""COMPUTED_VALUE"""),"C1300-24FP-4X")</f>
        <v>C1300-24FP-4X</v>
      </c>
      <c r="B38" s="21">
        <f>countif(AllListPrice!A:A,A38)</f>
        <v>1</v>
      </c>
    </row>
    <row r="39">
      <c r="A39" s="29" t="str">
        <f>IFERROR(__xludf.DUMMYFUNCTION("""COMPUTED_VALUE"""),"C1300-48T-4X")</f>
        <v>C1300-48T-4X</v>
      </c>
      <c r="B39" s="21">
        <f>countif(AllListPrice!A:A,A39)</f>
        <v>1</v>
      </c>
    </row>
    <row r="40">
      <c r="A40" s="29" t="str">
        <f>IFERROR(__xludf.DUMMYFUNCTION("""COMPUTED_VALUE"""),"C1300-48P-4X")</f>
        <v>C1300-48P-4X</v>
      </c>
      <c r="B40" s="21">
        <f>countif(AllListPrice!A:A,A40)</f>
        <v>1</v>
      </c>
    </row>
    <row r="41">
      <c r="A41" s="29" t="str">
        <f>IFERROR(__xludf.DUMMYFUNCTION("""COMPUTED_VALUE"""),"C1300-48FP-4X")</f>
        <v>C1300-48FP-4X</v>
      </c>
      <c r="B41" s="21">
        <f>countif(AllListPrice!A:A,A41)</f>
        <v>1</v>
      </c>
    </row>
    <row r="42">
      <c r="A42" s="29" t="str">
        <f>IFERROR(__xludf.DUMMYFUNCTION("""COMPUTED_VALUE"""),"C1300-12XT-2X")</f>
        <v>C1300-12XT-2X</v>
      </c>
      <c r="B42" s="21">
        <f>countif(AllListPrice!A:A,A42)</f>
        <v>1</v>
      </c>
    </row>
    <row r="43">
      <c r="A43" s="29" t="str">
        <f>IFERROR(__xludf.DUMMYFUNCTION("""COMPUTED_VALUE"""),"C1300-12XS")</f>
        <v>C1300-12XS</v>
      </c>
      <c r="B43" s="21">
        <f>countif(AllListPrice!A:A,A43)</f>
        <v>1</v>
      </c>
    </row>
    <row r="44">
      <c r="A44" s="29" t="str">
        <f>IFERROR(__xludf.DUMMYFUNCTION("""COMPUTED_VALUE"""),"C1300-16XTS")</f>
        <v>C1300-16XTS</v>
      </c>
      <c r="B44" s="21">
        <f>countif(AllListPrice!A:A,A44)</f>
        <v>1</v>
      </c>
    </row>
    <row r="45">
      <c r="A45" s="29" t="str">
        <f>IFERROR(__xludf.DUMMYFUNCTION("""COMPUTED_VALUE"""),"C1300-24XS")</f>
        <v>C1300-24XS</v>
      </c>
      <c r="B45" s="21">
        <f>countif(AllListPrice!A:A,A45)</f>
        <v>1</v>
      </c>
    </row>
    <row r="46">
      <c r="A46" s="29" t="str">
        <f>IFERROR(__xludf.DUMMYFUNCTION("""COMPUTED_VALUE"""),"C1300-24XT")</f>
        <v>C1300-24XT</v>
      </c>
      <c r="B46" s="21">
        <f>countif(AllListPrice!A:A,A46)</f>
        <v>1</v>
      </c>
    </row>
    <row r="47">
      <c r="A47" s="29" t="str">
        <f>IFERROR(__xludf.DUMMYFUNCTION("""COMPUTED_VALUE"""),"C1300-24XTS")</f>
        <v>C1300-24XTS</v>
      </c>
      <c r="B47" s="21">
        <f>countif(AllListPrice!A:A,A47)</f>
        <v>1</v>
      </c>
    </row>
    <row r="48">
      <c r="A48" s="29" t="str">
        <f>IFERROR(__xludf.DUMMYFUNCTION("""COMPUTED_VALUE"""),"C1300X-24T-4X")</f>
        <v>C1300X-24T-4X</v>
      </c>
      <c r="B48" s="21">
        <f>countif(AllListPrice!A:A,A48)</f>
        <v>1</v>
      </c>
    </row>
    <row r="49">
      <c r="A49" s="29" t="str">
        <f>IFERROR(__xludf.DUMMYFUNCTION("""COMPUTED_VALUE"""),"C1300X-48T-4X")</f>
        <v>C1300X-48T-4X</v>
      </c>
      <c r="B49" s="21">
        <f>countif(AllListPrice!A:A,A49)</f>
        <v>1</v>
      </c>
    </row>
    <row r="50">
      <c r="A50" s="29" t="str">
        <f>IFERROR(__xludf.DUMMYFUNCTION("""COMPUTED_VALUE"""),"C1300X-24P-4X")</f>
        <v>C1300X-24P-4X</v>
      </c>
      <c r="B50" s="21">
        <f>countif(AllListPrice!A:A,A50)</f>
        <v>1</v>
      </c>
    </row>
    <row r="51">
      <c r="A51" s="29" t="str">
        <f>IFERROR(__xludf.DUMMYFUNCTION("""COMPUTED_VALUE"""),"C1300X-48P-4X")</f>
        <v>C1300X-48P-4X</v>
      </c>
      <c r="B51" s="21">
        <f>countif(AllListPrice!A:A,A51)</f>
        <v>1</v>
      </c>
    </row>
    <row r="52">
      <c r="A52" s="29" t="str">
        <f>IFERROR(__xludf.DUMMYFUNCTION("""COMPUTED_VALUE"""),"C9200-24T")</f>
        <v>C9200-24T</v>
      </c>
      <c r="B52" s="21">
        <f>countif(AllListPrice!A:A,A52)</f>
        <v>1</v>
      </c>
    </row>
    <row r="53">
      <c r="A53" s="29" t="str">
        <f>IFERROR(__xludf.DUMMYFUNCTION("""COMPUTED_VALUE"""),"C9200-24P")</f>
        <v>C9200-24P</v>
      </c>
      <c r="B53" s="21">
        <f>countif(AllListPrice!A:A,A53)</f>
        <v>1</v>
      </c>
    </row>
    <row r="54">
      <c r="A54" s="29" t="str">
        <f>IFERROR(__xludf.DUMMYFUNCTION("""COMPUTED_VALUE"""),"C9200-48T")</f>
        <v>C9200-48T</v>
      </c>
      <c r="B54" s="21">
        <f>countif(AllListPrice!A:A,A54)</f>
        <v>1</v>
      </c>
    </row>
    <row r="55">
      <c r="A55" s="29" t="str">
        <f>IFERROR(__xludf.DUMMYFUNCTION("""COMPUTED_VALUE"""),"C9200-48P")</f>
        <v>C9200-48P</v>
      </c>
      <c r="B55" s="21">
        <f>countif(AllListPrice!A:A,A55)</f>
        <v>1</v>
      </c>
    </row>
    <row r="56">
      <c r="A56" s="29" t="str">
        <f>IFERROR(__xludf.DUMMYFUNCTION("""COMPUTED_VALUE"""),"C9200L-24T-4G")</f>
        <v>C9200L-24T-4G</v>
      </c>
      <c r="B56" s="21">
        <f>countif(AllListPrice!A:A,A56)</f>
        <v>1</v>
      </c>
    </row>
    <row r="57">
      <c r="A57" s="29" t="str">
        <f>IFERROR(__xludf.DUMMYFUNCTION("""COMPUTED_VALUE"""),"C9200L-24P-4G")</f>
        <v>C9200L-24P-4G</v>
      </c>
      <c r="B57" s="21">
        <f>countif(AllListPrice!A:A,A57)</f>
        <v>1</v>
      </c>
    </row>
    <row r="58">
      <c r="A58" s="29" t="str">
        <f>IFERROR(__xludf.DUMMYFUNCTION("""COMPUTED_VALUE"""),"C9200L-48T-4G")</f>
        <v>C9200L-48T-4G</v>
      </c>
      <c r="B58" s="21">
        <f>countif(AllListPrice!A:A,A58)</f>
        <v>1</v>
      </c>
    </row>
    <row r="59">
      <c r="A59" s="29" t="str">
        <f>IFERROR(__xludf.DUMMYFUNCTION("""COMPUTED_VALUE"""),"C9200L-48P-4G")</f>
        <v>C9200L-48P-4G</v>
      </c>
      <c r="B59" s="21">
        <f>countif(AllListPrice!A:A,A59)</f>
        <v>1</v>
      </c>
    </row>
    <row r="60">
      <c r="A60" s="29" t="str">
        <f>IFERROR(__xludf.DUMMYFUNCTION("""COMPUTED_VALUE"""),"C9200L-24T-4X")</f>
        <v>C9200L-24T-4X</v>
      </c>
      <c r="B60" s="21">
        <f>countif(AllListPrice!A:A,A60)</f>
        <v>1</v>
      </c>
    </row>
    <row r="61">
      <c r="A61" s="29" t="str">
        <f>IFERROR(__xludf.DUMMYFUNCTION("""COMPUTED_VALUE"""),"C9200L-24P-4X")</f>
        <v>C9200L-24P-4X</v>
      </c>
      <c r="B61" s="21">
        <f>countif(AllListPrice!A:A,A61)</f>
        <v>1</v>
      </c>
    </row>
    <row r="62">
      <c r="A62" s="29" t="str">
        <f>IFERROR(__xludf.DUMMYFUNCTION("""COMPUTED_VALUE"""),"C9200L-48T-4X")</f>
        <v>C9200L-48T-4X</v>
      </c>
      <c r="B62" s="21">
        <f>countif(AllListPrice!A:A,A62)</f>
        <v>1</v>
      </c>
    </row>
    <row r="63">
      <c r="A63" s="29" t="str">
        <f>IFERROR(__xludf.DUMMYFUNCTION("""COMPUTED_VALUE"""),"C9200L-48P-4X")</f>
        <v>C9200L-48P-4X</v>
      </c>
      <c r="B63" s="21">
        <f>countif(AllListPrice!A:A,A63)</f>
        <v>1</v>
      </c>
    </row>
    <row r="64">
      <c r="A64" s="29" t="str">
        <f>IFERROR(__xludf.DUMMYFUNCTION("""COMPUTED_VALUE"""),"C9200CX-8P-2X2G")</f>
        <v>C9200CX-8P-2X2G</v>
      </c>
      <c r="B64" s="21">
        <f>countif(AllListPrice!A:A,A64)</f>
        <v>1</v>
      </c>
    </row>
    <row r="65">
      <c r="A65" s="29" t="str">
        <f>IFERROR(__xludf.DUMMYFUNCTION("""COMPUTED_VALUE"""),"C9200CX-12T-2X2G")</f>
        <v>C9200CX-12T-2X2G</v>
      </c>
      <c r="B65" s="21">
        <f>countif(AllListPrice!A:A,A65)</f>
        <v>1</v>
      </c>
    </row>
    <row r="66">
      <c r="A66" s="29" t="str">
        <f>IFERROR(__xludf.DUMMYFUNCTION("""COMPUTED_VALUE"""),"C9200CX-12P-2X2G")</f>
        <v>C9200CX-12P-2X2G</v>
      </c>
      <c r="B66" s="21">
        <f>countif(AllListPrice!A:A,A66)</f>
        <v>1</v>
      </c>
    </row>
    <row r="67">
      <c r="A67" s="29" t="str">
        <f>IFERROR(__xludf.DUMMYFUNCTION("""COMPUTED_VALUE"""),"C9300L-24T-4G")</f>
        <v>C9300L-24T-4G</v>
      </c>
      <c r="B67" s="21">
        <f>countif(AllListPrice!A:A,A67)</f>
        <v>1</v>
      </c>
    </row>
    <row r="68">
      <c r="A68" s="29" t="str">
        <f>IFERROR(__xludf.DUMMYFUNCTION("""COMPUTED_VALUE"""),"C9300L-24P-4G")</f>
        <v>C9300L-24P-4G</v>
      </c>
      <c r="B68" s="21">
        <f>countif(AllListPrice!A:A,A68)</f>
        <v>1</v>
      </c>
    </row>
    <row r="69">
      <c r="A69" s="29" t="str">
        <f>IFERROR(__xludf.DUMMYFUNCTION("""COMPUTED_VALUE"""),"C9300L-24T-4X")</f>
        <v>C9300L-24T-4X</v>
      </c>
      <c r="B69" s="21">
        <f>countif(AllListPrice!A:A,A69)</f>
        <v>1</v>
      </c>
    </row>
    <row r="70">
      <c r="A70" s="29" t="str">
        <f>IFERROR(__xludf.DUMMYFUNCTION("""COMPUTED_VALUE"""),"C9300L-24P-4X")</f>
        <v>C9300L-24P-4X</v>
      </c>
      <c r="B70" s="21">
        <f>countif(AllListPrice!A:A,A70)</f>
        <v>1</v>
      </c>
    </row>
    <row r="71">
      <c r="A71" s="29" t="str">
        <f>IFERROR(__xludf.DUMMYFUNCTION("""COMPUTED_VALUE"""),"C9300L-48T-4G")</f>
        <v>C9300L-48T-4G</v>
      </c>
      <c r="B71" s="21">
        <f>countif(AllListPrice!A:A,A71)</f>
        <v>1</v>
      </c>
    </row>
    <row r="72">
      <c r="A72" s="29" t="str">
        <f>IFERROR(__xludf.DUMMYFUNCTION("""COMPUTED_VALUE"""),"C9300L-48P-4G")</f>
        <v>C9300L-48P-4G</v>
      </c>
      <c r="B72" s="21">
        <f>countif(AllListPrice!A:A,A72)</f>
        <v>1</v>
      </c>
    </row>
    <row r="73">
      <c r="A73" s="29" t="str">
        <f>IFERROR(__xludf.DUMMYFUNCTION("""COMPUTED_VALUE"""),"C9300L-48T-4X")</f>
        <v>C9300L-48T-4X</v>
      </c>
      <c r="B73" s="21">
        <f>countif(AllListPrice!A:A,A73)</f>
        <v>1</v>
      </c>
    </row>
    <row r="74">
      <c r="A74" s="29" t="str">
        <f>IFERROR(__xludf.DUMMYFUNCTION("""COMPUTED_VALUE"""),"C9300L-48P-4X")</f>
        <v>C9300L-48P-4X</v>
      </c>
      <c r="B74" s="21">
        <f>countif(AllListPrice!A:A,A74)</f>
        <v>1</v>
      </c>
    </row>
    <row r="75">
      <c r="A75" s="29" t="str">
        <f>IFERROR(__xludf.DUMMYFUNCTION("""COMPUTED_VALUE"""),"C9300-24T")</f>
        <v>C9300-24T</v>
      </c>
      <c r="B75" s="21">
        <f>countif(AllListPrice!A:A,A75)</f>
        <v>1</v>
      </c>
    </row>
    <row r="76">
      <c r="A76" s="29" t="str">
        <f>IFERROR(__xludf.DUMMYFUNCTION("""COMPUTED_VALUE"""),"C9300-24P")</f>
        <v>C9300-24P</v>
      </c>
      <c r="B76" s="21">
        <f>countif(AllListPrice!A:A,A76)</f>
        <v>1</v>
      </c>
    </row>
    <row r="77">
      <c r="A77" s="29" t="str">
        <f>IFERROR(__xludf.DUMMYFUNCTION("""COMPUTED_VALUE"""),"C9300-24U")</f>
        <v>C9300-24U</v>
      </c>
      <c r="B77" s="21">
        <f>countif(AllListPrice!A:A,A77)</f>
        <v>1</v>
      </c>
    </row>
    <row r="78">
      <c r="A78" s="29" t="str">
        <f>IFERROR(__xludf.DUMMYFUNCTION("""COMPUTED_VALUE"""),"C9300-24H")</f>
        <v>C9300-24H</v>
      </c>
      <c r="B78" s="21">
        <f>countif(AllListPrice!A:A,A78)</f>
        <v>1</v>
      </c>
    </row>
    <row r="79">
      <c r="A79" s="29" t="str">
        <f>IFERROR(__xludf.DUMMYFUNCTION("""COMPUTED_VALUE"""),"C9300-24S")</f>
        <v>C9300-24S</v>
      </c>
      <c r="B79" s="21">
        <f>countif(AllListPrice!A:A,A79)</f>
        <v>1</v>
      </c>
    </row>
    <row r="80">
      <c r="A80" s="29" t="str">
        <f>IFERROR(__xludf.DUMMYFUNCTION("""COMPUTED_VALUE"""),"C9300-24UB")</f>
        <v>C9300-24UB</v>
      </c>
      <c r="B80" s="21">
        <f>countif(AllListPrice!A:A,A80)</f>
        <v>1</v>
      </c>
    </row>
    <row r="81">
      <c r="A81" s="29" t="str">
        <f>IFERROR(__xludf.DUMMYFUNCTION("""COMPUTED_VALUE"""),"C9300-48T")</f>
        <v>C9300-48T</v>
      </c>
      <c r="B81" s="21">
        <f>countif(AllListPrice!A:A,A81)</f>
        <v>1</v>
      </c>
    </row>
    <row r="82">
      <c r="A82" s="29" t="str">
        <f>IFERROR(__xludf.DUMMYFUNCTION("""COMPUTED_VALUE"""),"C9300-48P")</f>
        <v>C9300-48P</v>
      </c>
      <c r="B82" s="21">
        <f>countif(AllListPrice!A:A,A82)</f>
        <v>1</v>
      </c>
    </row>
    <row r="83">
      <c r="A83" s="29" t="str">
        <f>IFERROR(__xludf.DUMMYFUNCTION("""COMPUTED_VALUE"""),"C9300-48U")</f>
        <v>C9300-48U</v>
      </c>
      <c r="B83" s="21">
        <f>countif(AllListPrice!A:A,A83)</f>
        <v>1</v>
      </c>
    </row>
    <row r="84">
      <c r="A84" s="29" t="str">
        <f>IFERROR(__xludf.DUMMYFUNCTION("""COMPUTED_VALUE"""),"C9300-48H")</f>
        <v>C9300-48H</v>
      </c>
      <c r="B84" s="21">
        <f>countif(AllListPrice!A:A,A84)</f>
        <v>1</v>
      </c>
    </row>
    <row r="85">
      <c r="A85" s="29" t="str">
        <f>IFERROR(__xludf.DUMMYFUNCTION("""COMPUTED_VALUE"""),"C9300-48S")</f>
        <v>C9300-48S</v>
      </c>
      <c r="B85" s="21">
        <f>countif(AllListPrice!A:A,A85)</f>
        <v>1</v>
      </c>
    </row>
    <row r="86">
      <c r="A86" s="29" t="str">
        <f>IFERROR(__xludf.DUMMYFUNCTION("""COMPUTED_VALUE"""),"C9300-48UB")</f>
        <v>C9300-48UB</v>
      </c>
      <c r="B86" s="21">
        <f>countif(AllListPrice!A:A,A86)</f>
        <v>1</v>
      </c>
    </row>
    <row r="87">
      <c r="A87" s="29" t="str">
        <f>IFERROR(__xludf.DUMMYFUNCTION("""COMPUTED_VALUE"""),"C9500-32C")</f>
        <v>C9500-32C</v>
      </c>
      <c r="B87" s="21">
        <f>countif(AllListPrice!A:A,A87)</f>
        <v>1</v>
      </c>
    </row>
    <row r="88">
      <c r="A88" s="29" t="str">
        <f>IFERROR(__xludf.DUMMYFUNCTION("""COMPUTED_VALUE"""),"C9500-32QC")</f>
        <v>C9500-32QC</v>
      </c>
      <c r="B88" s="21">
        <f>countif(AllListPrice!A:A,A88)</f>
        <v>1</v>
      </c>
    </row>
    <row r="89">
      <c r="A89" s="29" t="str">
        <f>IFERROR(__xludf.DUMMYFUNCTION("""COMPUTED_VALUE"""),"C9500-48Y4C")</f>
        <v>C9500-48Y4C</v>
      </c>
      <c r="B89" s="21">
        <f>countif(AllListPrice!A:A,A89)</f>
        <v>1</v>
      </c>
    </row>
    <row r="90">
      <c r="A90" s="29" t="str">
        <f>IFERROR(__xludf.DUMMYFUNCTION("""COMPUTED_VALUE"""),"C9500-24Y4C")</f>
        <v>C9500-24Y4C</v>
      </c>
      <c r="B90" s="21">
        <f>countif(AllListPrice!A:A,A90)</f>
        <v>1</v>
      </c>
    </row>
    <row r="91">
      <c r="A91" s="29" t="str">
        <f>IFERROR(__xludf.DUMMYFUNCTION("""COMPUTED_VALUE"""),"C9500X-28C8D")</f>
        <v>C9500X-28C8D</v>
      </c>
      <c r="B91" s="21">
        <f>countif(AllListPrice!A:A,A91)</f>
        <v>1</v>
      </c>
    </row>
    <row r="92">
      <c r="A92" s="29" t="str">
        <f>IFERROR(__xludf.DUMMYFUNCTION("""COMPUTED_VALUE"""),"C9500X-60L4D")</f>
        <v>C9500X-60L4D</v>
      </c>
      <c r="B92" s="21">
        <f>countif(AllListPrice!A:A,A92)</f>
        <v>1</v>
      </c>
    </row>
    <row r="93">
      <c r="A93" s="29" t="str">
        <f>IFERROR(__xludf.DUMMYFUNCTION("""COMPUTED_VALUE"""),"EX4200-24T")</f>
        <v>EX4200-24T</v>
      </c>
      <c r="B93" s="21">
        <f>countif(AllListPrice!A:A,A93)</f>
        <v>1</v>
      </c>
    </row>
    <row r="94">
      <c r="A94" s="29" t="str">
        <f>IFERROR(__xludf.DUMMYFUNCTION("""COMPUTED_VALUE"""),"EX4300-48S")</f>
        <v>EX4300-48S</v>
      </c>
      <c r="B94" s="21">
        <f>countif(AllListPrice!A:A,A94)</f>
        <v>1</v>
      </c>
    </row>
    <row r="95">
      <c r="A95" s="29" t="str">
        <f>IFERROR(__xludf.DUMMYFUNCTION("""COMPUTED_VALUE"""),"EX4600")</f>
        <v>EX4600</v>
      </c>
      <c r="B95" s="21">
        <f>countif(AllListPrice!A:A,A95)</f>
        <v>1</v>
      </c>
    </row>
    <row r="96">
      <c r="A96" s="29" t="str">
        <f>IFERROR(__xludf.DUMMYFUNCTION("""COMPUTED_VALUE"""),"C9404R ")</f>
        <v>C9404R </v>
      </c>
      <c r="B96" s="21">
        <f>countif(AllListPrice!A:A,A96)</f>
        <v>0</v>
      </c>
    </row>
    <row r="97">
      <c r="A97" s="29" t="str">
        <f>IFERROR(__xludf.DUMMYFUNCTION("""COMPUTED_VALUE"""),"C9407R")</f>
        <v>C9407R</v>
      </c>
      <c r="B97" s="21">
        <f>countif(AllListPrice!A:A,A97)</f>
        <v>0</v>
      </c>
    </row>
    <row r="98">
      <c r="A98" s="29" t="str">
        <f>IFERROR(__xludf.DUMMYFUNCTION("""COMPUTED_VALUE"""),"C9410R")</f>
        <v>C9410R</v>
      </c>
      <c r="B98" s="21">
        <f>countif(AllListPrice!A:A,A98)</f>
        <v>0</v>
      </c>
    </row>
    <row r="99">
      <c r="A99" s="29" t="str">
        <f>IFERROR(__xludf.DUMMYFUNCTION("""COMPUTED_VALUE"""),"9606R")</f>
        <v>9606R</v>
      </c>
      <c r="B99" s="21">
        <f>countif(AllListPrice!A:A,A99)</f>
        <v>0</v>
      </c>
    </row>
    <row r="100">
      <c r="A100" s="29"/>
      <c r="B100" s="21">
        <f>countif(AllListPrice!A:A,A100)</f>
        <v>0</v>
      </c>
    </row>
    <row r="101">
      <c r="B101" s="21">
        <f>countif(AllListPrice!A:A,A101)</f>
        <v>0</v>
      </c>
    </row>
    <row r="102">
      <c r="B102" s="21">
        <f>countif(AllListPrice!A:A,A102)</f>
        <v>0</v>
      </c>
    </row>
    <row r="103">
      <c r="B103" s="21">
        <f>countif(AllListPrice!A:A,A103)</f>
        <v>0</v>
      </c>
    </row>
    <row r="104">
      <c r="B104" s="21">
        <f>countif(AllListPrice!A:A,A104)</f>
        <v>0</v>
      </c>
    </row>
    <row r="105">
      <c r="B105" s="21">
        <f>countif(AllListPrice!A:A,A105)</f>
        <v>0</v>
      </c>
    </row>
    <row r="106">
      <c r="B106" s="21">
        <f>countif(AllListPrice!A:A,A106)</f>
        <v>0</v>
      </c>
    </row>
    <row r="107">
      <c r="B107" s="21">
        <f>countif(AllListPrice!A:A,A107)</f>
        <v>0</v>
      </c>
    </row>
    <row r="108">
      <c r="B108" s="21">
        <f>countif(AllListPrice!A:A,A108)</f>
        <v>0</v>
      </c>
    </row>
    <row r="109">
      <c r="B109" s="21">
        <f>countif(AllListPrice!A:A,A109)</f>
        <v>0</v>
      </c>
    </row>
    <row r="110">
      <c r="B110" s="21">
        <f>countif(AllListPrice!A:A,A110)</f>
        <v>0</v>
      </c>
    </row>
    <row r="111">
      <c r="B111" s="21">
        <f>countif(AllListPrice!A:A,A111)</f>
        <v>0</v>
      </c>
    </row>
    <row r="112">
      <c r="B112" s="21">
        <f>countif(AllListPrice!A:A,A112)</f>
        <v>0</v>
      </c>
    </row>
    <row r="113">
      <c r="B113" s="21">
        <f>countif(AllListPrice!A:A,A113)</f>
        <v>0</v>
      </c>
    </row>
    <row r="114">
      <c r="B114" s="21">
        <f>countif(AllListPrice!A:A,A114)</f>
        <v>0</v>
      </c>
    </row>
    <row r="115">
      <c r="B115" s="21">
        <f>countif(AllListPrice!A:A,A115)</f>
        <v>0</v>
      </c>
    </row>
    <row r="116">
      <c r="B116" s="21">
        <f>countif(AllListPrice!A:A,A116)</f>
        <v>0</v>
      </c>
    </row>
    <row r="117">
      <c r="B117" s="21">
        <f>countif(AllListPrice!A:A,A117)</f>
        <v>0</v>
      </c>
    </row>
    <row r="118">
      <c r="B118" s="21">
        <f>countif(AllListPrice!A:A,A118)</f>
        <v>0</v>
      </c>
    </row>
    <row r="119">
      <c r="B119" s="21">
        <f>countif(AllListPrice!A:A,A119)</f>
        <v>0</v>
      </c>
    </row>
    <row r="120">
      <c r="B120" s="21">
        <f>countif(AllListPrice!A:A,A120)</f>
        <v>0</v>
      </c>
    </row>
    <row r="121">
      <c r="B121" s="21">
        <f>countif(AllListPrice!A:A,A121)</f>
        <v>0</v>
      </c>
    </row>
    <row r="122">
      <c r="B122" s="21">
        <f>countif(AllListPrice!A:A,A122)</f>
        <v>0</v>
      </c>
    </row>
    <row r="123">
      <c r="B123" s="21">
        <f>countif(AllListPrice!A:A,A123)</f>
        <v>0</v>
      </c>
    </row>
    <row r="124">
      <c r="B124" s="21">
        <f>countif(AllListPrice!A:A,A124)</f>
        <v>0</v>
      </c>
    </row>
    <row r="125">
      <c r="B125" s="21">
        <f>countif(AllListPrice!A:A,A125)</f>
        <v>0</v>
      </c>
    </row>
    <row r="126">
      <c r="B126" s="21">
        <f>countif(AllListPrice!A:A,A126)</f>
        <v>0</v>
      </c>
    </row>
    <row r="127">
      <c r="B127" s="21">
        <f>countif(AllListPrice!A:A,A127)</f>
        <v>0</v>
      </c>
    </row>
    <row r="128">
      <c r="B128" s="21"/>
    </row>
    <row r="129">
      <c r="B129" s="21"/>
    </row>
    <row r="130">
      <c r="B130" s="21"/>
    </row>
    <row r="131">
      <c r="B131" s="21"/>
    </row>
    <row r="132">
      <c r="B132" s="21"/>
    </row>
    <row r="133">
      <c r="B133" s="21"/>
    </row>
    <row r="134">
      <c r="B134" s="21"/>
    </row>
    <row r="135">
      <c r="B135" s="21"/>
    </row>
    <row r="136">
      <c r="B136" s="21"/>
    </row>
    <row r="137">
      <c r="B137" s="21"/>
    </row>
    <row r="138">
      <c r="B138" s="21"/>
    </row>
    <row r="139">
      <c r="B139" s="21"/>
    </row>
    <row r="140">
      <c r="B140" s="21"/>
    </row>
    <row r="141">
      <c r="B141" s="21"/>
    </row>
    <row r="142">
      <c r="B142" s="21"/>
    </row>
    <row r="143">
      <c r="B143" s="21"/>
    </row>
    <row r="144">
      <c r="B144" s="21"/>
    </row>
    <row r="145">
      <c r="B145" s="21"/>
    </row>
    <row r="146">
      <c r="B146" s="21"/>
    </row>
    <row r="147">
      <c r="B147" s="21"/>
    </row>
    <row r="148">
      <c r="B148" s="21"/>
    </row>
    <row r="149">
      <c r="B149" s="21"/>
    </row>
    <row r="150">
      <c r="B150" s="21"/>
    </row>
    <row r="151">
      <c r="B151" s="21"/>
    </row>
    <row r="152">
      <c r="B152" s="21"/>
    </row>
    <row r="153">
      <c r="B153" s="21"/>
    </row>
    <row r="154">
      <c r="B154" s="21"/>
    </row>
    <row r="155">
      <c r="B155" s="21"/>
    </row>
    <row r="156">
      <c r="B156" s="21"/>
    </row>
    <row r="157">
      <c r="B157" s="21"/>
    </row>
    <row r="158">
      <c r="B158" s="21"/>
    </row>
    <row r="159">
      <c r="B159" s="21"/>
    </row>
    <row r="160">
      <c r="B160" s="21"/>
    </row>
    <row r="161">
      <c r="B161" s="21"/>
    </row>
    <row r="162">
      <c r="B162" s="21"/>
    </row>
    <row r="163">
      <c r="B163" s="21"/>
    </row>
    <row r="164">
      <c r="B164" s="21"/>
    </row>
    <row r="165">
      <c r="B165" s="21"/>
    </row>
    <row r="166">
      <c r="B166" s="21"/>
    </row>
    <row r="167">
      <c r="B167" s="21"/>
    </row>
    <row r="168">
      <c r="B168" s="21"/>
    </row>
    <row r="169">
      <c r="B169" s="21"/>
    </row>
    <row r="170">
      <c r="B170" s="21"/>
    </row>
    <row r="171">
      <c r="B171" s="21"/>
    </row>
    <row r="172">
      <c r="B172" s="21"/>
    </row>
    <row r="173">
      <c r="B173" s="21"/>
    </row>
    <row r="174">
      <c r="B174" s="21"/>
    </row>
    <row r="175">
      <c r="B175" s="21"/>
    </row>
    <row r="176">
      <c r="B176" s="21"/>
    </row>
    <row r="177">
      <c r="B177" s="21"/>
    </row>
    <row r="178">
      <c r="B178" s="21"/>
    </row>
    <row r="179">
      <c r="B179" s="21"/>
    </row>
    <row r="180">
      <c r="B180" s="21"/>
    </row>
    <row r="181">
      <c r="B181" s="21"/>
    </row>
    <row r="182">
      <c r="B182" s="21"/>
    </row>
    <row r="183">
      <c r="B183" s="21"/>
    </row>
    <row r="184">
      <c r="B184" s="21"/>
    </row>
    <row r="185">
      <c r="B185" s="21"/>
    </row>
    <row r="186">
      <c r="B186" s="21"/>
    </row>
    <row r="187">
      <c r="B187" s="21"/>
    </row>
    <row r="188">
      <c r="B188" s="21"/>
    </row>
    <row r="189">
      <c r="B189" s="21"/>
    </row>
    <row r="190">
      <c r="B190" s="21"/>
    </row>
    <row r="191">
      <c r="B191" s="21"/>
    </row>
    <row r="192">
      <c r="B192" s="21"/>
    </row>
    <row r="193">
      <c r="B193" s="21"/>
    </row>
    <row r="194">
      <c r="B194" s="21"/>
    </row>
    <row r="195">
      <c r="B195" s="21"/>
    </row>
    <row r="196">
      <c r="B196" s="21"/>
    </row>
    <row r="197">
      <c r="B197" s="21"/>
    </row>
    <row r="198">
      <c r="B198" s="21"/>
    </row>
    <row r="199">
      <c r="B199" s="21"/>
    </row>
    <row r="200">
      <c r="B200" s="21"/>
    </row>
    <row r="201">
      <c r="B201" s="21"/>
    </row>
    <row r="202">
      <c r="B202" s="21"/>
    </row>
    <row r="203">
      <c r="B203" s="21"/>
    </row>
    <row r="204">
      <c r="B204" s="21"/>
    </row>
    <row r="205">
      <c r="B205" s="21"/>
    </row>
    <row r="206">
      <c r="B206" s="21"/>
    </row>
    <row r="207">
      <c r="B207" s="21"/>
    </row>
    <row r="208">
      <c r="B208" s="21"/>
    </row>
    <row r="209">
      <c r="B209" s="21"/>
    </row>
    <row r="210">
      <c r="B210" s="21"/>
    </row>
    <row r="211">
      <c r="B211" s="21"/>
    </row>
    <row r="212">
      <c r="B212" s="21"/>
    </row>
    <row r="213">
      <c r="B213" s="21"/>
    </row>
    <row r="214">
      <c r="B214" s="21"/>
    </row>
    <row r="215">
      <c r="B215" s="21"/>
    </row>
    <row r="216">
      <c r="B216" s="21"/>
    </row>
    <row r="217">
      <c r="B217" s="21"/>
    </row>
    <row r="218">
      <c r="B218" s="21"/>
    </row>
    <row r="219">
      <c r="B219" s="21"/>
    </row>
    <row r="220">
      <c r="B220" s="21"/>
    </row>
    <row r="221">
      <c r="B221" s="21"/>
    </row>
    <row r="222">
      <c r="B222" s="21"/>
    </row>
    <row r="223">
      <c r="B223" s="21"/>
    </row>
    <row r="224">
      <c r="B224" s="21"/>
    </row>
    <row r="225">
      <c r="B225" s="21"/>
    </row>
    <row r="226">
      <c r="B226" s="21"/>
    </row>
    <row r="227">
      <c r="B227" s="21"/>
    </row>
    <row r="228">
      <c r="B228" s="21"/>
    </row>
    <row r="229">
      <c r="B229" s="21"/>
    </row>
    <row r="230">
      <c r="B230" s="21"/>
    </row>
    <row r="231">
      <c r="B231" s="21"/>
    </row>
    <row r="232">
      <c r="B232" s="21"/>
    </row>
    <row r="233">
      <c r="B233" s="21"/>
    </row>
    <row r="234">
      <c r="B234" s="21"/>
    </row>
    <row r="235">
      <c r="B235" s="21"/>
    </row>
    <row r="236">
      <c r="B236" s="21"/>
    </row>
    <row r="237">
      <c r="B237" s="21"/>
    </row>
    <row r="238">
      <c r="B238" s="21"/>
    </row>
    <row r="239">
      <c r="B239" s="21"/>
    </row>
    <row r="240">
      <c r="B240" s="21"/>
    </row>
    <row r="241">
      <c r="B241" s="21"/>
    </row>
    <row r="242">
      <c r="B242" s="21"/>
    </row>
    <row r="243">
      <c r="B243" s="21"/>
    </row>
    <row r="244">
      <c r="B244" s="21"/>
    </row>
    <row r="245">
      <c r="B245" s="21"/>
    </row>
    <row r="246">
      <c r="B246" s="21"/>
    </row>
    <row r="247">
      <c r="B247" s="21"/>
    </row>
    <row r="248">
      <c r="B248" s="21"/>
    </row>
    <row r="249">
      <c r="B249" s="21"/>
    </row>
    <row r="250">
      <c r="B250" s="21"/>
    </row>
    <row r="251">
      <c r="B251" s="21"/>
    </row>
    <row r="252">
      <c r="B252" s="21"/>
    </row>
    <row r="253">
      <c r="B253" s="21"/>
    </row>
    <row r="254">
      <c r="B254" s="21"/>
    </row>
    <row r="255">
      <c r="B255" s="21"/>
    </row>
    <row r="256">
      <c r="B256" s="21"/>
    </row>
    <row r="257">
      <c r="B257" s="21"/>
    </row>
    <row r="258">
      <c r="B258" s="21"/>
    </row>
    <row r="259">
      <c r="B259" s="21"/>
    </row>
    <row r="260">
      <c r="B260" s="21"/>
    </row>
    <row r="261">
      <c r="B261" s="21"/>
    </row>
    <row r="262">
      <c r="B262" s="21"/>
    </row>
    <row r="263">
      <c r="B263" s="21"/>
    </row>
    <row r="264">
      <c r="B264" s="21"/>
    </row>
    <row r="265">
      <c r="B265" s="21"/>
    </row>
    <row r="266">
      <c r="B266" s="21"/>
    </row>
    <row r="267">
      <c r="B267" s="21"/>
    </row>
    <row r="268">
      <c r="B268" s="21"/>
    </row>
    <row r="269">
      <c r="B269" s="21"/>
    </row>
    <row r="270">
      <c r="B270" s="21"/>
    </row>
    <row r="271">
      <c r="B271" s="21"/>
    </row>
    <row r="272">
      <c r="B272" s="21"/>
    </row>
    <row r="273">
      <c r="B273" s="21"/>
    </row>
    <row r="274">
      <c r="B274" s="21"/>
    </row>
    <row r="275">
      <c r="B275" s="21"/>
    </row>
    <row r="276">
      <c r="B276" s="21"/>
    </row>
    <row r="277">
      <c r="B277" s="21"/>
    </row>
    <row r="278">
      <c r="B278" s="21"/>
    </row>
    <row r="279">
      <c r="B279" s="21"/>
    </row>
    <row r="280">
      <c r="B280" s="21"/>
    </row>
    <row r="281">
      <c r="B281" s="21"/>
    </row>
    <row r="282">
      <c r="B282" s="21"/>
    </row>
    <row r="283">
      <c r="B283" s="21"/>
    </row>
    <row r="284">
      <c r="B284" s="21"/>
    </row>
    <row r="285">
      <c r="B285" s="21"/>
    </row>
    <row r="286">
      <c r="B286" s="21"/>
    </row>
    <row r="287">
      <c r="B287" s="21"/>
    </row>
    <row r="288">
      <c r="B288" s="21"/>
    </row>
    <row r="289">
      <c r="B289" s="21"/>
    </row>
    <row r="290">
      <c r="B290" s="21"/>
    </row>
    <row r="291">
      <c r="B291" s="21"/>
    </row>
    <row r="292">
      <c r="B292" s="21"/>
    </row>
    <row r="293">
      <c r="B293" s="21"/>
    </row>
    <row r="294">
      <c r="B294" s="21"/>
    </row>
    <row r="295">
      <c r="B295" s="21"/>
    </row>
    <row r="296">
      <c r="B296" s="21"/>
    </row>
    <row r="297">
      <c r="B297" s="21"/>
    </row>
    <row r="298">
      <c r="B298" s="21"/>
    </row>
    <row r="299">
      <c r="B299" s="21"/>
    </row>
    <row r="300">
      <c r="B300" s="21"/>
    </row>
    <row r="301">
      <c r="B301" s="21"/>
    </row>
    <row r="302">
      <c r="B302" s="21"/>
    </row>
    <row r="303">
      <c r="B303" s="21"/>
    </row>
    <row r="304">
      <c r="B304" s="21"/>
    </row>
    <row r="305">
      <c r="B305" s="21"/>
    </row>
    <row r="306">
      <c r="B306" s="21"/>
    </row>
    <row r="307">
      <c r="B307" s="21"/>
    </row>
    <row r="308">
      <c r="B308" s="21"/>
    </row>
    <row r="309">
      <c r="B309" s="21"/>
    </row>
    <row r="310">
      <c r="B310" s="21"/>
    </row>
    <row r="311">
      <c r="B311" s="21"/>
    </row>
    <row r="312">
      <c r="B312" s="21"/>
    </row>
    <row r="313">
      <c r="B313" s="21"/>
    </row>
    <row r="314">
      <c r="B314" s="21"/>
    </row>
    <row r="315">
      <c r="B315" s="21"/>
    </row>
    <row r="316">
      <c r="B316" s="21"/>
    </row>
    <row r="317">
      <c r="B317" s="21"/>
    </row>
    <row r="318">
      <c r="B318" s="21"/>
    </row>
    <row r="319">
      <c r="B319" s="21"/>
    </row>
    <row r="320">
      <c r="B320" s="21"/>
    </row>
    <row r="321">
      <c r="B321" s="21"/>
    </row>
    <row r="322">
      <c r="B322" s="21"/>
    </row>
    <row r="323">
      <c r="B323" s="21"/>
    </row>
    <row r="324">
      <c r="B324" s="21"/>
    </row>
    <row r="325">
      <c r="B325" s="21"/>
    </row>
    <row r="326">
      <c r="B326" s="21"/>
    </row>
    <row r="327">
      <c r="B327" s="21"/>
    </row>
    <row r="328">
      <c r="B328" s="21"/>
    </row>
    <row r="329">
      <c r="B329" s="21"/>
    </row>
    <row r="330">
      <c r="B330" s="21"/>
    </row>
    <row r="331">
      <c r="B331" s="21"/>
    </row>
    <row r="332">
      <c r="B332" s="21"/>
    </row>
    <row r="333">
      <c r="B333" s="21"/>
    </row>
    <row r="334">
      <c r="B334" s="21"/>
    </row>
    <row r="335">
      <c r="B335" s="21"/>
    </row>
    <row r="336">
      <c r="B336" s="21"/>
    </row>
    <row r="337">
      <c r="B337" s="21"/>
    </row>
    <row r="338">
      <c r="B338" s="21"/>
    </row>
    <row r="339">
      <c r="B339" s="21"/>
    </row>
    <row r="340">
      <c r="B340" s="21"/>
    </row>
    <row r="341">
      <c r="B341" s="21"/>
    </row>
    <row r="342">
      <c r="B342" s="21"/>
    </row>
    <row r="343">
      <c r="B343" s="21"/>
    </row>
    <row r="344">
      <c r="B344" s="21"/>
    </row>
    <row r="345">
      <c r="B345" s="21"/>
    </row>
    <row r="346">
      <c r="B346" s="21"/>
    </row>
    <row r="347">
      <c r="B347" s="21"/>
    </row>
    <row r="348">
      <c r="B348" s="21"/>
    </row>
    <row r="349">
      <c r="B349" s="21"/>
    </row>
    <row r="350">
      <c r="B350" s="21"/>
    </row>
    <row r="351">
      <c r="B351" s="21"/>
    </row>
    <row r="352">
      <c r="B352" s="21"/>
    </row>
    <row r="353">
      <c r="B353" s="21"/>
    </row>
    <row r="354">
      <c r="B354" s="21"/>
    </row>
    <row r="355">
      <c r="B355" s="21"/>
    </row>
    <row r="356">
      <c r="B356" s="21"/>
    </row>
    <row r="357">
      <c r="B357" s="21"/>
    </row>
    <row r="358">
      <c r="B358" s="21"/>
    </row>
    <row r="359">
      <c r="B359" s="21"/>
    </row>
    <row r="360">
      <c r="B360" s="21"/>
    </row>
    <row r="361">
      <c r="B361" s="21"/>
    </row>
    <row r="362">
      <c r="B362" s="21"/>
    </row>
    <row r="363">
      <c r="B363" s="21"/>
    </row>
    <row r="364">
      <c r="B364" s="21"/>
    </row>
    <row r="365">
      <c r="B365" s="21"/>
    </row>
    <row r="366">
      <c r="B366" s="21"/>
    </row>
    <row r="367">
      <c r="B367" s="21"/>
    </row>
    <row r="368">
      <c r="B368" s="21"/>
    </row>
    <row r="369">
      <c r="B369" s="21"/>
    </row>
    <row r="370">
      <c r="B370" s="21"/>
    </row>
    <row r="371">
      <c r="B371" s="21"/>
    </row>
    <row r="372">
      <c r="B372" s="21"/>
    </row>
    <row r="373">
      <c r="B373" s="21"/>
    </row>
    <row r="374">
      <c r="B374" s="21"/>
    </row>
    <row r="375">
      <c r="B375" s="21"/>
    </row>
    <row r="376">
      <c r="B376" s="21"/>
    </row>
    <row r="377">
      <c r="B377" s="21"/>
    </row>
    <row r="378">
      <c r="B378" s="21"/>
    </row>
    <row r="379">
      <c r="B379" s="21"/>
    </row>
    <row r="380">
      <c r="B380" s="21"/>
    </row>
    <row r="381">
      <c r="B381" s="21"/>
    </row>
    <row r="382">
      <c r="B382" s="21"/>
    </row>
    <row r="383">
      <c r="B383" s="21"/>
    </row>
    <row r="384">
      <c r="B384" s="21"/>
    </row>
    <row r="385">
      <c r="B385" s="21"/>
    </row>
    <row r="386">
      <c r="B386" s="21"/>
    </row>
    <row r="387">
      <c r="B387" s="21"/>
    </row>
    <row r="388">
      <c r="B388" s="21"/>
    </row>
    <row r="389">
      <c r="B389" s="21"/>
    </row>
    <row r="390">
      <c r="B390" s="21"/>
    </row>
    <row r="391">
      <c r="B391" s="21"/>
    </row>
    <row r="392">
      <c r="B392" s="21"/>
    </row>
    <row r="393">
      <c r="B393" s="21"/>
    </row>
    <row r="394">
      <c r="B394" s="21"/>
    </row>
    <row r="395">
      <c r="B395" s="21"/>
    </row>
    <row r="396">
      <c r="B396" s="21"/>
    </row>
    <row r="397">
      <c r="B397" s="21"/>
    </row>
    <row r="398">
      <c r="B398" s="21"/>
    </row>
    <row r="399">
      <c r="B399" s="21"/>
    </row>
    <row r="400">
      <c r="B400" s="21"/>
    </row>
    <row r="401">
      <c r="B401" s="21"/>
    </row>
    <row r="402">
      <c r="B402" s="21"/>
    </row>
    <row r="403">
      <c r="B403" s="21"/>
    </row>
    <row r="404">
      <c r="B404" s="21"/>
    </row>
    <row r="405">
      <c r="B405" s="21"/>
    </row>
    <row r="406">
      <c r="B406" s="21"/>
    </row>
    <row r="407">
      <c r="B407" s="21"/>
    </row>
    <row r="408">
      <c r="B408" s="21"/>
    </row>
    <row r="409">
      <c r="B409" s="21"/>
    </row>
    <row r="410">
      <c r="B410" s="21"/>
    </row>
    <row r="411">
      <c r="B411" s="21"/>
    </row>
    <row r="412">
      <c r="B412" s="21"/>
    </row>
    <row r="413">
      <c r="B413" s="21"/>
    </row>
    <row r="414">
      <c r="B414" s="21"/>
    </row>
    <row r="415">
      <c r="B415" s="21"/>
    </row>
    <row r="416">
      <c r="B416" s="21"/>
    </row>
    <row r="417">
      <c r="B417" s="21"/>
    </row>
    <row r="418">
      <c r="B418" s="21"/>
    </row>
    <row r="419">
      <c r="B419" s="21"/>
    </row>
    <row r="420">
      <c r="B420" s="21"/>
    </row>
    <row r="421">
      <c r="B421" s="21"/>
    </row>
    <row r="422">
      <c r="B422" s="21"/>
    </row>
    <row r="423">
      <c r="B423" s="21"/>
    </row>
    <row r="424">
      <c r="B424" s="21"/>
    </row>
    <row r="425">
      <c r="B425" s="21"/>
    </row>
    <row r="426">
      <c r="B426" s="21"/>
    </row>
    <row r="427">
      <c r="B427" s="21"/>
    </row>
    <row r="428">
      <c r="B428" s="21"/>
    </row>
    <row r="429">
      <c r="B429" s="21"/>
    </row>
    <row r="430">
      <c r="B430" s="21"/>
    </row>
    <row r="431">
      <c r="B431" s="21"/>
    </row>
    <row r="432">
      <c r="B432" s="21"/>
    </row>
    <row r="433">
      <c r="B433" s="21"/>
    </row>
    <row r="434">
      <c r="B434" s="21"/>
    </row>
    <row r="435">
      <c r="B435" s="21"/>
    </row>
    <row r="436">
      <c r="B436" s="21"/>
    </row>
    <row r="437">
      <c r="B437" s="21"/>
    </row>
    <row r="438">
      <c r="B438" s="21"/>
    </row>
    <row r="439">
      <c r="B439" s="21"/>
    </row>
    <row r="440">
      <c r="B440" s="21"/>
    </row>
    <row r="441">
      <c r="B441" s="21"/>
    </row>
    <row r="442">
      <c r="B442" s="21"/>
    </row>
    <row r="443">
      <c r="B443" s="21"/>
    </row>
    <row r="444">
      <c r="B444" s="21"/>
    </row>
    <row r="445">
      <c r="B445" s="21"/>
    </row>
    <row r="446">
      <c r="B446" s="21"/>
    </row>
    <row r="447">
      <c r="B447" s="21"/>
    </row>
    <row r="448">
      <c r="B448" s="21"/>
    </row>
    <row r="449">
      <c r="B449" s="21"/>
    </row>
    <row r="450">
      <c r="B450" s="21"/>
    </row>
    <row r="451">
      <c r="B451" s="21"/>
    </row>
    <row r="452">
      <c r="B452" s="21"/>
    </row>
    <row r="453">
      <c r="B453" s="21"/>
    </row>
    <row r="454">
      <c r="B454" s="21"/>
    </row>
    <row r="455">
      <c r="B455" s="21"/>
    </row>
    <row r="456">
      <c r="B456" s="21"/>
    </row>
    <row r="457">
      <c r="B457" s="21"/>
    </row>
    <row r="458">
      <c r="B458" s="21"/>
    </row>
    <row r="459">
      <c r="B459" s="21"/>
    </row>
    <row r="460">
      <c r="B460" s="21"/>
    </row>
    <row r="461">
      <c r="B461" s="21"/>
    </row>
    <row r="462">
      <c r="B462" s="21"/>
    </row>
    <row r="463">
      <c r="B463" s="21"/>
    </row>
    <row r="464">
      <c r="B464" s="21"/>
    </row>
    <row r="465">
      <c r="B465" s="21"/>
    </row>
    <row r="466">
      <c r="B466" s="21"/>
    </row>
    <row r="467">
      <c r="B467" s="21"/>
    </row>
    <row r="468">
      <c r="B468" s="21"/>
    </row>
    <row r="469">
      <c r="B469" s="21"/>
    </row>
    <row r="470">
      <c r="B470" s="21"/>
    </row>
    <row r="471">
      <c r="B471" s="21"/>
    </row>
    <row r="472">
      <c r="B472" s="21"/>
    </row>
    <row r="473">
      <c r="B473" s="21"/>
    </row>
    <row r="474">
      <c r="B474" s="21"/>
    </row>
    <row r="475">
      <c r="B475" s="21"/>
    </row>
    <row r="476">
      <c r="B476" s="21"/>
    </row>
    <row r="477">
      <c r="B477" s="21"/>
    </row>
    <row r="478">
      <c r="B478" s="21"/>
    </row>
    <row r="479">
      <c r="B479" s="21"/>
    </row>
    <row r="480">
      <c r="B480" s="21"/>
    </row>
    <row r="481">
      <c r="B481" s="21"/>
    </row>
    <row r="482">
      <c r="B482" s="21"/>
    </row>
    <row r="483">
      <c r="B483" s="21"/>
    </row>
    <row r="484">
      <c r="B484" s="21"/>
    </row>
    <row r="485">
      <c r="B485" s="21"/>
    </row>
    <row r="486">
      <c r="B486" s="21"/>
    </row>
    <row r="487">
      <c r="B487" s="21"/>
    </row>
    <row r="488">
      <c r="B488" s="21"/>
    </row>
    <row r="489">
      <c r="B489" s="21"/>
    </row>
    <row r="490">
      <c r="B490" s="21"/>
    </row>
    <row r="491">
      <c r="B491" s="21"/>
    </row>
    <row r="492">
      <c r="B492" s="21"/>
    </row>
    <row r="493">
      <c r="B493" s="21"/>
    </row>
    <row r="494">
      <c r="B494" s="21"/>
    </row>
    <row r="495">
      <c r="B495" s="21"/>
    </row>
    <row r="496">
      <c r="B496" s="21"/>
    </row>
    <row r="497">
      <c r="B497" s="21"/>
    </row>
    <row r="498">
      <c r="B498" s="21"/>
    </row>
    <row r="499">
      <c r="B499" s="21"/>
    </row>
    <row r="500">
      <c r="B500" s="21"/>
    </row>
    <row r="501">
      <c r="B501" s="21"/>
    </row>
    <row r="502">
      <c r="B502" s="21"/>
    </row>
    <row r="503">
      <c r="B503" s="21"/>
    </row>
    <row r="504">
      <c r="B504" s="21"/>
    </row>
    <row r="505">
      <c r="B505" s="21"/>
    </row>
    <row r="506">
      <c r="B506" s="21"/>
    </row>
    <row r="507">
      <c r="B507" s="21"/>
    </row>
    <row r="508">
      <c r="B508" s="21"/>
    </row>
    <row r="509">
      <c r="B509" s="21"/>
    </row>
    <row r="510">
      <c r="B510" s="21"/>
    </row>
    <row r="511">
      <c r="B511" s="21"/>
    </row>
    <row r="512">
      <c r="B512" s="21"/>
    </row>
    <row r="513">
      <c r="B513" s="21"/>
    </row>
    <row r="514">
      <c r="B514" s="21"/>
    </row>
    <row r="515">
      <c r="B515" s="21"/>
    </row>
    <row r="516">
      <c r="B516" s="21"/>
    </row>
    <row r="517">
      <c r="B517" s="21"/>
    </row>
    <row r="518">
      <c r="B518" s="21"/>
    </row>
    <row r="519">
      <c r="B519" s="21"/>
    </row>
    <row r="520">
      <c r="B520" s="21"/>
    </row>
    <row r="521">
      <c r="B521" s="21"/>
    </row>
    <row r="522">
      <c r="B522" s="21"/>
    </row>
    <row r="523">
      <c r="B523" s="21"/>
    </row>
    <row r="524">
      <c r="B524" s="21"/>
    </row>
    <row r="525">
      <c r="B525" s="21"/>
    </row>
    <row r="526">
      <c r="B526" s="21"/>
    </row>
    <row r="527">
      <c r="B527" s="21"/>
    </row>
    <row r="528">
      <c r="B528" s="21"/>
    </row>
    <row r="529">
      <c r="B529" s="21"/>
    </row>
    <row r="530">
      <c r="B530" s="21"/>
    </row>
    <row r="531">
      <c r="B531" s="21"/>
    </row>
    <row r="532">
      <c r="B532" s="21"/>
    </row>
    <row r="533">
      <c r="B533" s="21"/>
    </row>
    <row r="534">
      <c r="B534" s="21"/>
    </row>
    <row r="535">
      <c r="B535" s="21"/>
    </row>
    <row r="536">
      <c r="B536" s="21"/>
    </row>
    <row r="537">
      <c r="B537" s="21"/>
    </row>
    <row r="538">
      <c r="B538" s="21"/>
    </row>
    <row r="539">
      <c r="B539" s="21"/>
    </row>
    <row r="540">
      <c r="B540" s="21"/>
    </row>
    <row r="541">
      <c r="B541" s="21"/>
    </row>
    <row r="542">
      <c r="B542" s="21"/>
    </row>
    <row r="543">
      <c r="B543" s="21"/>
    </row>
    <row r="544">
      <c r="B544" s="21"/>
    </row>
    <row r="545">
      <c r="B545" s="21"/>
    </row>
    <row r="546">
      <c r="B546" s="21"/>
    </row>
    <row r="547">
      <c r="B547" s="21"/>
    </row>
    <row r="548">
      <c r="B548" s="21"/>
    </row>
    <row r="549">
      <c r="B549" s="21"/>
    </row>
    <row r="550">
      <c r="B550" s="21"/>
    </row>
    <row r="551">
      <c r="B551" s="21"/>
    </row>
    <row r="552">
      <c r="B552" s="21"/>
    </row>
    <row r="553">
      <c r="B553" s="21"/>
    </row>
    <row r="554">
      <c r="B554" s="21"/>
    </row>
    <row r="555">
      <c r="B555" s="21"/>
    </row>
    <row r="556">
      <c r="B556" s="21"/>
    </row>
    <row r="557">
      <c r="B557" s="21"/>
    </row>
    <row r="558">
      <c r="B558" s="21"/>
    </row>
    <row r="559">
      <c r="B559" s="21"/>
    </row>
    <row r="560">
      <c r="B560" s="21"/>
    </row>
    <row r="561">
      <c r="B561" s="21"/>
    </row>
    <row r="562">
      <c r="B562" s="21"/>
    </row>
    <row r="563">
      <c r="B563" s="21"/>
    </row>
    <row r="564">
      <c r="B564" s="21"/>
    </row>
    <row r="565">
      <c r="B565" s="21"/>
    </row>
    <row r="566">
      <c r="B566" s="21"/>
    </row>
    <row r="567">
      <c r="B567" s="21"/>
    </row>
    <row r="568">
      <c r="B568" s="21"/>
    </row>
    <row r="569">
      <c r="B569" s="21"/>
    </row>
    <row r="570">
      <c r="B570" s="21"/>
    </row>
    <row r="571">
      <c r="B571" s="21"/>
    </row>
    <row r="572">
      <c r="B572" s="21"/>
    </row>
    <row r="573">
      <c r="B573" s="21"/>
    </row>
    <row r="574">
      <c r="B574" s="21"/>
    </row>
    <row r="575">
      <c r="B575" s="21"/>
    </row>
    <row r="576">
      <c r="B576" s="21"/>
    </row>
    <row r="577">
      <c r="B577" s="21"/>
    </row>
    <row r="578">
      <c r="B578" s="21"/>
    </row>
    <row r="579">
      <c r="B579" s="21"/>
    </row>
    <row r="580">
      <c r="B580" s="21"/>
    </row>
    <row r="581">
      <c r="B581" s="21"/>
    </row>
    <row r="582">
      <c r="B582" s="21"/>
    </row>
    <row r="583">
      <c r="B583" s="21"/>
    </row>
    <row r="584">
      <c r="B584" s="21"/>
    </row>
    <row r="585">
      <c r="B585" s="21"/>
    </row>
    <row r="586">
      <c r="B586" s="21"/>
    </row>
    <row r="587">
      <c r="B587" s="21"/>
    </row>
    <row r="588">
      <c r="B588" s="21"/>
    </row>
    <row r="589">
      <c r="B589" s="21"/>
    </row>
    <row r="590">
      <c r="B590" s="21"/>
    </row>
    <row r="591">
      <c r="B591" s="21"/>
    </row>
    <row r="592">
      <c r="B592" s="21"/>
    </row>
    <row r="593">
      <c r="B593" s="21"/>
    </row>
    <row r="594">
      <c r="B594" s="21"/>
    </row>
    <row r="595">
      <c r="B595" s="21"/>
    </row>
    <row r="596">
      <c r="B596" s="21"/>
    </row>
    <row r="597">
      <c r="B597" s="21"/>
    </row>
    <row r="598">
      <c r="B598" s="21"/>
    </row>
    <row r="599">
      <c r="B599" s="21"/>
    </row>
    <row r="600">
      <c r="B600" s="21"/>
    </row>
    <row r="601">
      <c r="B601" s="21"/>
    </row>
    <row r="602">
      <c r="B602" s="21"/>
    </row>
    <row r="603">
      <c r="B603" s="21"/>
    </row>
    <row r="604">
      <c r="B604" s="21"/>
    </row>
    <row r="605">
      <c r="B605" s="21"/>
    </row>
    <row r="606">
      <c r="B606" s="21"/>
    </row>
    <row r="607">
      <c r="B607" s="21"/>
    </row>
    <row r="608">
      <c r="B608" s="21"/>
    </row>
    <row r="609">
      <c r="B609" s="21"/>
    </row>
    <row r="610">
      <c r="B610" s="21"/>
    </row>
    <row r="611">
      <c r="B611" s="21"/>
    </row>
    <row r="612">
      <c r="B612" s="21"/>
    </row>
    <row r="613">
      <c r="B613" s="21"/>
    </row>
    <row r="614">
      <c r="B614" s="21"/>
    </row>
    <row r="615">
      <c r="B615" s="21"/>
    </row>
    <row r="616">
      <c r="B616" s="21"/>
    </row>
    <row r="617">
      <c r="B617" s="21"/>
    </row>
    <row r="618">
      <c r="B618" s="21"/>
    </row>
    <row r="619">
      <c r="B619" s="21"/>
    </row>
    <row r="620">
      <c r="B620" s="21"/>
    </row>
    <row r="621">
      <c r="B621" s="21"/>
    </row>
    <row r="622">
      <c r="B622" s="21"/>
    </row>
    <row r="623">
      <c r="B623" s="21"/>
    </row>
    <row r="624">
      <c r="B624" s="21"/>
    </row>
    <row r="625">
      <c r="B625" s="21"/>
    </row>
    <row r="626">
      <c r="B626" s="21"/>
    </row>
    <row r="627">
      <c r="B627" s="21"/>
    </row>
    <row r="628">
      <c r="B628" s="21"/>
    </row>
    <row r="629">
      <c r="B629" s="21"/>
    </row>
    <row r="630">
      <c r="B630" s="21"/>
    </row>
    <row r="631">
      <c r="B631" s="21"/>
    </row>
    <row r="632">
      <c r="B632" s="21"/>
    </row>
    <row r="633">
      <c r="B633" s="21"/>
    </row>
    <row r="634">
      <c r="B634" s="21"/>
    </row>
    <row r="635">
      <c r="B635" s="21"/>
    </row>
    <row r="636">
      <c r="B636" s="21"/>
    </row>
    <row r="637">
      <c r="B637" s="21"/>
    </row>
    <row r="638">
      <c r="B638" s="21"/>
    </row>
    <row r="639">
      <c r="B639" s="21"/>
    </row>
    <row r="640">
      <c r="B640" s="21"/>
    </row>
    <row r="641">
      <c r="B641" s="21"/>
    </row>
    <row r="642">
      <c r="B642" s="21"/>
    </row>
    <row r="643">
      <c r="B643" s="21"/>
    </row>
    <row r="644">
      <c r="B644" s="21"/>
    </row>
    <row r="645">
      <c r="B645" s="21"/>
    </row>
    <row r="646">
      <c r="B646" s="21"/>
    </row>
    <row r="647">
      <c r="B647" s="21"/>
    </row>
    <row r="648">
      <c r="B648" s="21"/>
    </row>
    <row r="649">
      <c r="B649" s="21"/>
    </row>
    <row r="650">
      <c r="B650" s="21"/>
    </row>
    <row r="651">
      <c r="B651" s="21"/>
    </row>
    <row r="652">
      <c r="B652" s="21"/>
    </row>
    <row r="653">
      <c r="B653" s="21"/>
    </row>
    <row r="654">
      <c r="B654" s="21"/>
    </row>
    <row r="655">
      <c r="B655" s="21"/>
    </row>
    <row r="656">
      <c r="B656" s="21"/>
    </row>
    <row r="657">
      <c r="B657" s="21"/>
    </row>
    <row r="658">
      <c r="B658" s="21"/>
    </row>
    <row r="659">
      <c r="B659" s="21"/>
    </row>
    <row r="660">
      <c r="B660" s="21"/>
    </row>
    <row r="661">
      <c r="B661" s="21"/>
    </row>
    <row r="662">
      <c r="B662" s="21"/>
    </row>
    <row r="663">
      <c r="B663" s="21"/>
    </row>
    <row r="664">
      <c r="B664" s="21"/>
    </row>
    <row r="665">
      <c r="B665" s="21"/>
    </row>
    <row r="666">
      <c r="B666" s="21"/>
    </row>
    <row r="667">
      <c r="B667" s="21"/>
    </row>
    <row r="668">
      <c r="B668" s="21"/>
    </row>
    <row r="669">
      <c r="B669" s="21"/>
    </row>
    <row r="670">
      <c r="B670" s="21"/>
    </row>
    <row r="671">
      <c r="B671" s="21"/>
    </row>
    <row r="672">
      <c r="B672" s="21"/>
    </row>
    <row r="673">
      <c r="B673" s="21"/>
    </row>
    <row r="674">
      <c r="B674" s="21"/>
    </row>
    <row r="675">
      <c r="B675" s="21"/>
    </row>
    <row r="676">
      <c r="B676" s="21"/>
    </row>
    <row r="677">
      <c r="B677" s="21"/>
    </row>
    <row r="678">
      <c r="B678" s="21"/>
    </row>
    <row r="679">
      <c r="B679" s="21"/>
    </row>
    <row r="680">
      <c r="B680" s="21"/>
    </row>
    <row r="681">
      <c r="B681" s="21"/>
    </row>
    <row r="682">
      <c r="B682" s="21"/>
    </row>
    <row r="683">
      <c r="B683" s="21"/>
    </row>
    <row r="684">
      <c r="B684" s="21"/>
    </row>
    <row r="685">
      <c r="B685" s="21"/>
    </row>
    <row r="686">
      <c r="B686" s="21"/>
    </row>
    <row r="687">
      <c r="B687" s="21"/>
    </row>
    <row r="688">
      <c r="B688" s="21"/>
    </row>
    <row r="689">
      <c r="B689" s="21"/>
    </row>
    <row r="690">
      <c r="B690" s="21"/>
    </row>
    <row r="691">
      <c r="B691" s="21"/>
    </row>
    <row r="692">
      <c r="B692" s="21"/>
    </row>
    <row r="693">
      <c r="B693" s="21"/>
    </row>
    <row r="694">
      <c r="B694" s="21"/>
    </row>
    <row r="695">
      <c r="B695" s="21"/>
    </row>
    <row r="696">
      <c r="B696" s="21"/>
    </row>
    <row r="697">
      <c r="B697" s="21"/>
    </row>
    <row r="698">
      <c r="B698" s="21"/>
    </row>
    <row r="699">
      <c r="B699" s="21"/>
    </row>
    <row r="700">
      <c r="B700" s="21"/>
    </row>
    <row r="701">
      <c r="B701" s="21"/>
    </row>
    <row r="702">
      <c r="B702" s="21"/>
    </row>
    <row r="703">
      <c r="B703" s="21"/>
    </row>
    <row r="704">
      <c r="B704" s="21"/>
    </row>
    <row r="705">
      <c r="B705" s="21"/>
    </row>
    <row r="706">
      <c r="B706" s="21"/>
    </row>
    <row r="707">
      <c r="B707" s="21"/>
    </row>
    <row r="708">
      <c r="B708" s="21"/>
    </row>
    <row r="709">
      <c r="B709" s="21"/>
    </row>
    <row r="710">
      <c r="B710" s="21"/>
    </row>
    <row r="711">
      <c r="B711" s="21"/>
    </row>
    <row r="712">
      <c r="B712" s="21"/>
    </row>
    <row r="713">
      <c r="B713" s="21"/>
    </row>
    <row r="714">
      <c r="B714" s="21"/>
    </row>
    <row r="715">
      <c r="B715" s="21"/>
    </row>
    <row r="716">
      <c r="B716" s="21"/>
    </row>
    <row r="717">
      <c r="B717" s="21"/>
    </row>
    <row r="718">
      <c r="B718" s="21"/>
    </row>
    <row r="719">
      <c r="B719" s="21"/>
    </row>
    <row r="720">
      <c r="B720" s="21"/>
    </row>
    <row r="721">
      <c r="B721" s="21"/>
    </row>
    <row r="722">
      <c r="B722" s="21"/>
    </row>
    <row r="723">
      <c r="B723" s="21"/>
    </row>
    <row r="724">
      <c r="B724" s="21"/>
    </row>
    <row r="725">
      <c r="B725" s="21"/>
    </row>
    <row r="726">
      <c r="B726" s="21"/>
    </row>
    <row r="727">
      <c r="B727" s="21"/>
    </row>
    <row r="728">
      <c r="B728" s="21"/>
    </row>
    <row r="729">
      <c r="B729" s="21"/>
    </row>
    <row r="730">
      <c r="B730" s="21"/>
    </row>
    <row r="731">
      <c r="B731" s="21"/>
    </row>
    <row r="732">
      <c r="B732" s="21"/>
    </row>
    <row r="733">
      <c r="B733" s="21"/>
    </row>
    <row r="734">
      <c r="B734" s="21"/>
    </row>
    <row r="735">
      <c r="B735" s="21"/>
    </row>
    <row r="736">
      <c r="B736" s="21"/>
    </row>
    <row r="737">
      <c r="B737" s="21"/>
    </row>
    <row r="738">
      <c r="B738" s="21"/>
    </row>
    <row r="739">
      <c r="B739" s="21"/>
    </row>
    <row r="740">
      <c r="B740" s="21"/>
    </row>
    <row r="741">
      <c r="B741" s="21"/>
    </row>
    <row r="742">
      <c r="B742" s="21"/>
    </row>
    <row r="743">
      <c r="B743" s="21"/>
    </row>
    <row r="744">
      <c r="B744" s="21"/>
    </row>
    <row r="745">
      <c r="B745" s="21"/>
    </row>
    <row r="746">
      <c r="B746" s="21"/>
    </row>
    <row r="747">
      <c r="B747" s="21"/>
    </row>
    <row r="748">
      <c r="B748" s="21"/>
    </row>
    <row r="749">
      <c r="B749" s="21"/>
    </row>
    <row r="750">
      <c r="B750" s="21"/>
    </row>
    <row r="751">
      <c r="B751" s="21"/>
    </row>
    <row r="752">
      <c r="B752" s="21"/>
    </row>
    <row r="753">
      <c r="B753" s="21"/>
    </row>
    <row r="754">
      <c r="B754" s="21"/>
    </row>
    <row r="755">
      <c r="B755" s="21"/>
    </row>
    <row r="756">
      <c r="B756" s="21"/>
    </row>
    <row r="757">
      <c r="B757" s="21"/>
    </row>
    <row r="758">
      <c r="B758" s="21"/>
    </row>
    <row r="759">
      <c r="B759" s="21"/>
    </row>
    <row r="760">
      <c r="B760" s="21"/>
    </row>
    <row r="761">
      <c r="B761" s="21"/>
    </row>
    <row r="762">
      <c r="B762" s="21"/>
    </row>
    <row r="763">
      <c r="B763" s="21"/>
    </row>
    <row r="764">
      <c r="B764" s="21"/>
    </row>
    <row r="765">
      <c r="B765" s="21"/>
    </row>
    <row r="766">
      <c r="B766" s="21"/>
    </row>
    <row r="767">
      <c r="B767" s="21"/>
    </row>
    <row r="768">
      <c r="B768" s="21"/>
    </row>
    <row r="769">
      <c r="B769" s="21"/>
    </row>
    <row r="770">
      <c r="B770" s="21"/>
    </row>
    <row r="771">
      <c r="B771" s="21"/>
    </row>
    <row r="772">
      <c r="B772" s="21"/>
    </row>
    <row r="773">
      <c r="B773" s="21"/>
    </row>
    <row r="774">
      <c r="B774" s="21"/>
    </row>
    <row r="775">
      <c r="B775" s="21"/>
    </row>
    <row r="776">
      <c r="B776" s="21"/>
    </row>
    <row r="777">
      <c r="B777" s="21"/>
    </row>
    <row r="778">
      <c r="B778" s="21"/>
    </row>
    <row r="779">
      <c r="B779" s="21"/>
    </row>
    <row r="780">
      <c r="B780" s="21"/>
    </row>
    <row r="781">
      <c r="B781" s="21"/>
    </row>
    <row r="782">
      <c r="B782" s="21"/>
    </row>
    <row r="783">
      <c r="B783" s="21"/>
    </row>
    <row r="784">
      <c r="B784" s="21"/>
    </row>
    <row r="785">
      <c r="B785" s="21"/>
    </row>
    <row r="786">
      <c r="B786" s="21"/>
    </row>
    <row r="787">
      <c r="B787" s="21"/>
    </row>
    <row r="788">
      <c r="B788" s="21"/>
    </row>
    <row r="789">
      <c r="B789" s="21"/>
    </row>
    <row r="790">
      <c r="B790" s="21"/>
    </row>
    <row r="791">
      <c r="B791" s="21"/>
    </row>
    <row r="792">
      <c r="B792" s="21"/>
    </row>
    <row r="793">
      <c r="B793" s="21"/>
    </row>
    <row r="794">
      <c r="B794" s="21"/>
    </row>
    <row r="795">
      <c r="B795" s="21"/>
    </row>
    <row r="796">
      <c r="B796" s="21"/>
    </row>
    <row r="797">
      <c r="B797" s="21"/>
    </row>
    <row r="798">
      <c r="B798" s="21"/>
    </row>
    <row r="799">
      <c r="B799" s="21"/>
    </row>
    <row r="800">
      <c r="B800" s="21"/>
    </row>
    <row r="801">
      <c r="B801" s="21"/>
    </row>
    <row r="802">
      <c r="B802" s="21"/>
    </row>
    <row r="803">
      <c r="B803" s="21"/>
    </row>
    <row r="804">
      <c r="B804" s="21"/>
    </row>
    <row r="805">
      <c r="B805" s="21"/>
    </row>
    <row r="806">
      <c r="B806" s="21"/>
    </row>
    <row r="807">
      <c r="B807" s="21"/>
    </row>
    <row r="808">
      <c r="B808" s="21"/>
    </row>
    <row r="809">
      <c r="B809" s="21"/>
    </row>
    <row r="810">
      <c r="B810" s="21"/>
    </row>
    <row r="811">
      <c r="B811" s="21"/>
    </row>
    <row r="812">
      <c r="B812" s="21"/>
    </row>
    <row r="813">
      <c r="B813" s="21"/>
    </row>
    <row r="814">
      <c r="B814" s="21"/>
    </row>
    <row r="815">
      <c r="B815" s="21"/>
    </row>
    <row r="816">
      <c r="B816" s="21"/>
    </row>
    <row r="817">
      <c r="B817" s="21"/>
    </row>
    <row r="818">
      <c r="B818" s="21"/>
    </row>
    <row r="819">
      <c r="B819" s="21"/>
    </row>
    <row r="820">
      <c r="B820" s="21"/>
    </row>
    <row r="821">
      <c r="B821" s="21"/>
    </row>
    <row r="822">
      <c r="B822" s="21"/>
    </row>
    <row r="823">
      <c r="B823" s="21"/>
    </row>
    <row r="824">
      <c r="B824" s="21"/>
    </row>
    <row r="825">
      <c r="B825" s="21"/>
    </row>
    <row r="826">
      <c r="B826" s="21"/>
    </row>
    <row r="827">
      <c r="B827" s="21"/>
    </row>
    <row r="828">
      <c r="B828" s="21"/>
    </row>
    <row r="829">
      <c r="B829" s="21"/>
    </row>
    <row r="830">
      <c r="B830" s="21"/>
    </row>
    <row r="831">
      <c r="B831" s="21"/>
    </row>
    <row r="832">
      <c r="B832" s="21"/>
    </row>
    <row r="833">
      <c r="B833" s="21"/>
    </row>
    <row r="834">
      <c r="B834" s="21"/>
    </row>
    <row r="835">
      <c r="B835" s="21"/>
    </row>
    <row r="836">
      <c r="B836" s="21"/>
    </row>
    <row r="837">
      <c r="B837" s="21"/>
    </row>
    <row r="838">
      <c r="B838" s="21"/>
    </row>
    <row r="839">
      <c r="B839" s="21"/>
    </row>
    <row r="840">
      <c r="B840" s="21"/>
    </row>
    <row r="841">
      <c r="B841" s="21"/>
    </row>
    <row r="842">
      <c r="B842" s="21"/>
    </row>
    <row r="843">
      <c r="B843" s="21"/>
    </row>
    <row r="844">
      <c r="B844" s="21"/>
    </row>
    <row r="845">
      <c r="B845" s="21"/>
    </row>
    <row r="846">
      <c r="B846" s="21"/>
    </row>
    <row r="847">
      <c r="B847" s="21"/>
    </row>
    <row r="848">
      <c r="B848" s="21"/>
    </row>
    <row r="849">
      <c r="B849" s="21"/>
    </row>
    <row r="850">
      <c r="B850" s="21"/>
    </row>
    <row r="851">
      <c r="B851" s="21"/>
    </row>
    <row r="852">
      <c r="B852" s="21"/>
    </row>
    <row r="853">
      <c r="B853" s="21"/>
    </row>
    <row r="854">
      <c r="B854" s="21"/>
    </row>
    <row r="855">
      <c r="B855" s="21"/>
    </row>
    <row r="856">
      <c r="B856" s="21"/>
    </row>
    <row r="857">
      <c r="B857" s="21"/>
    </row>
    <row r="858">
      <c r="B858" s="21"/>
    </row>
    <row r="859">
      <c r="B859" s="21"/>
    </row>
    <row r="860">
      <c r="B860" s="21"/>
    </row>
    <row r="861">
      <c r="B861" s="21"/>
    </row>
    <row r="862">
      <c r="B862" s="21"/>
    </row>
    <row r="863">
      <c r="B863" s="21"/>
    </row>
    <row r="864">
      <c r="B864" s="21"/>
    </row>
    <row r="865">
      <c r="B865" s="21"/>
    </row>
    <row r="866">
      <c r="B866" s="21"/>
    </row>
    <row r="867">
      <c r="B867" s="21"/>
    </row>
    <row r="868">
      <c r="B868" s="21"/>
    </row>
    <row r="869">
      <c r="B869" s="21"/>
    </row>
    <row r="870">
      <c r="B870" s="21"/>
    </row>
    <row r="871">
      <c r="B871" s="21"/>
    </row>
    <row r="872">
      <c r="B872" s="21"/>
    </row>
    <row r="873">
      <c r="B873" s="21"/>
    </row>
    <row r="874">
      <c r="B874" s="21"/>
    </row>
    <row r="875">
      <c r="B875" s="21"/>
    </row>
    <row r="876">
      <c r="B876" s="21"/>
    </row>
    <row r="877">
      <c r="B877" s="21"/>
    </row>
    <row r="878">
      <c r="B878" s="21"/>
    </row>
    <row r="879">
      <c r="B879" s="21"/>
    </row>
    <row r="880">
      <c r="B880" s="21"/>
    </row>
    <row r="881">
      <c r="B881" s="21"/>
    </row>
    <row r="882">
      <c r="B882" s="21"/>
    </row>
    <row r="883">
      <c r="B883" s="21"/>
    </row>
    <row r="884">
      <c r="B884" s="21"/>
    </row>
    <row r="885">
      <c r="B885" s="21"/>
    </row>
    <row r="886">
      <c r="B886" s="21"/>
    </row>
    <row r="887">
      <c r="B887" s="21"/>
    </row>
    <row r="888">
      <c r="B888" s="21"/>
    </row>
    <row r="889">
      <c r="B889" s="21"/>
    </row>
    <row r="890">
      <c r="B890" s="21"/>
    </row>
    <row r="891">
      <c r="B891" s="21"/>
    </row>
    <row r="892">
      <c r="B892" s="21"/>
    </row>
    <row r="893">
      <c r="B893" s="21"/>
    </row>
    <row r="894">
      <c r="B894" s="21"/>
    </row>
    <row r="895">
      <c r="B895" s="21"/>
    </row>
    <row r="896">
      <c r="B896" s="21"/>
    </row>
    <row r="897">
      <c r="B897" s="21"/>
    </row>
    <row r="898">
      <c r="B898" s="21"/>
    </row>
    <row r="899">
      <c r="B899" s="21"/>
    </row>
    <row r="900">
      <c r="B900" s="21"/>
    </row>
    <row r="901">
      <c r="B901" s="21"/>
    </row>
    <row r="902">
      <c r="B902" s="21"/>
    </row>
    <row r="903">
      <c r="B903" s="21"/>
    </row>
    <row r="904">
      <c r="B904" s="21"/>
    </row>
    <row r="905">
      <c r="B905" s="21"/>
    </row>
    <row r="906">
      <c r="B906" s="21"/>
    </row>
    <row r="907">
      <c r="B907" s="21"/>
    </row>
    <row r="908">
      <c r="B908" s="21"/>
    </row>
    <row r="909">
      <c r="B909" s="21"/>
    </row>
    <row r="910">
      <c r="B910" s="21"/>
    </row>
    <row r="911">
      <c r="B911" s="21"/>
    </row>
    <row r="912">
      <c r="B912" s="21"/>
    </row>
    <row r="913">
      <c r="B913" s="21"/>
    </row>
    <row r="914">
      <c r="B914" s="21"/>
    </row>
    <row r="915">
      <c r="B915" s="21"/>
    </row>
    <row r="916">
      <c r="B916" s="21"/>
    </row>
    <row r="917">
      <c r="B917" s="21"/>
    </row>
    <row r="918">
      <c r="B918" s="21"/>
    </row>
    <row r="919">
      <c r="B919" s="21"/>
    </row>
    <row r="920">
      <c r="B920" s="21"/>
    </row>
    <row r="921">
      <c r="B921" s="21"/>
    </row>
    <row r="922">
      <c r="B922" s="21"/>
    </row>
    <row r="923">
      <c r="B923" s="21"/>
    </row>
    <row r="924">
      <c r="B924" s="21"/>
    </row>
    <row r="925">
      <c r="B925" s="21"/>
    </row>
    <row r="926">
      <c r="B926" s="21"/>
    </row>
    <row r="927">
      <c r="B927" s="21"/>
    </row>
    <row r="928">
      <c r="B928" s="21"/>
    </row>
    <row r="929">
      <c r="B929" s="21"/>
    </row>
    <row r="930">
      <c r="B930" s="21"/>
    </row>
    <row r="931">
      <c r="B931" s="21"/>
    </row>
    <row r="932">
      <c r="B932" s="21"/>
    </row>
    <row r="933">
      <c r="B933" s="21"/>
    </row>
    <row r="934">
      <c r="B934" s="21"/>
    </row>
    <row r="935">
      <c r="B935" s="21"/>
    </row>
    <row r="936">
      <c r="B936" s="21"/>
    </row>
    <row r="937">
      <c r="B937" s="21"/>
    </row>
    <row r="938">
      <c r="B938" s="21"/>
    </row>
    <row r="939">
      <c r="B939" s="21"/>
    </row>
    <row r="940">
      <c r="B940" s="21"/>
    </row>
    <row r="941">
      <c r="B941" s="21"/>
    </row>
    <row r="942">
      <c r="B942" s="21"/>
    </row>
    <row r="943">
      <c r="B943" s="21"/>
    </row>
    <row r="944">
      <c r="B944" s="21"/>
    </row>
    <row r="945">
      <c r="B945" s="21"/>
    </row>
    <row r="946">
      <c r="B946" s="21"/>
    </row>
    <row r="947">
      <c r="B947" s="21"/>
    </row>
    <row r="948">
      <c r="B948" s="21"/>
    </row>
    <row r="949">
      <c r="B949" s="21"/>
    </row>
    <row r="950">
      <c r="B950" s="21"/>
    </row>
    <row r="951">
      <c r="B951" s="21"/>
    </row>
    <row r="952">
      <c r="B952" s="21"/>
    </row>
    <row r="953">
      <c r="B953" s="21"/>
    </row>
    <row r="954">
      <c r="B954" s="21"/>
    </row>
    <row r="955">
      <c r="B955" s="21"/>
    </row>
    <row r="956">
      <c r="B956" s="21"/>
    </row>
    <row r="957">
      <c r="B957" s="21"/>
    </row>
    <row r="958">
      <c r="B958" s="21"/>
    </row>
    <row r="959">
      <c r="B959" s="21"/>
    </row>
    <row r="960">
      <c r="B960" s="21"/>
    </row>
    <row r="961">
      <c r="B961" s="21"/>
    </row>
    <row r="962">
      <c r="B962" s="21"/>
    </row>
    <row r="963">
      <c r="B963" s="21"/>
    </row>
    <row r="964">
      <c r="B964" s="21"/>
    </row>
    <row r="965">
      <c r="B965" s="21"/>
    </row>
    <row r="966">
      <c r="B966" s="21"/>
    </row>
    <row r="967">
      <c r="B967" s="21"/>
    </row>
    <row r="968">
      <c r="B968" s="21"/>
    </row>
    <row r="969">
      <c r="B969" s="21"/>
    </row>
    <row r="970">
      <c r="B970" s="21"/>
    </row>
    <row r="971">
      <c r="B971" s="21"/>
    </row>
    <row r="972">
      <c r="B972" s="21"/>
    </row>
    <row r="973">
      <c r="B973" s="21"/>
    </row>
    <row r="974">
      <c r="B974" s="21"/>
    </row>
    <row r="975">
      <c r="B975" s="21"/>
    </row>
    <row r="976">
      <c r="B976" s="21"/>
    </row>
    <row r="977">
      <c r="B977" s="21"/>
    </row>
    <row r="978">
      <c r="B978" s="21"/>
    </row>
    <row r="979">
      <c r="B979" s="21"/>
    </row>
    <row r="980">
      <c r="B980" s="21"/>
    </row>
    <row r="981">
      <c r="B981" s="21"/>
    </row>
    <row r="982">
      <c r="B982" s="21"/>
    </row>
    <row r="983">
      <c r="B983" s="21"/>
    </row>
    <row r="984">
      <c r="B984" s="21"/>
    </row>
    <row r="985">
      <c r="B985" s="21"/>
    </row>
    <row r="986">
      <c r="B986" s="21"/>
    </row>
    <row r="987">
      <c r="B987" s="21"/>
    </row>
    <row r="988">
      <c r="B988" s="21"/>
    </row>
    <row r="989">
      <c r="B989" s="21"/>
    </row>
    <row r="990">
      <c r="B990" s="21"/>
    </row>
    <row r="991">
      <c r="B991" s="21"/>
    </row>
    <row r="992">
      <c r="B992" s="21"/>
    </row>
    <row r="993">
      <c r="B993" s="21"/>
    </row>
    <row r="994">
      <c r="B994" s="21"/>
    </row>
    <row r="995">
      <c r="B995" s="21"/>
    </row>
    <row r="996">
      <c r="B996" s="21"/>
    </row>
    <row r="997">
      <c r="B997" s="21"/>
    </row>
    <row r="998">
      <c r="B998" s="21"/>
    </row>
    <row r="999">
      <c r="B999" s="21"/>
    </row>
    <row r="1000">
      <c r="B1000" s="21"/>
    </row>
    <row r="1001">
      <c r="B1001" s="21"/>
    </row>
  </sheetData>
  <autoFilter ref="$A$1:$Z$84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5"/>
    <col customWidth="1" min="2" max="6" width="15.88"/>
    <col customWidth="1" min="9" max="9" width="13.13"/>
  </cols>
  <sheetData>
    <row r="1">
      <c r="A1" s="65" t="str">
        <f>IFERROR(__xludf.DUMMYFUNCTION("IMPORTRANGE(""https://docs.google.com/spreadsheets/d/1ctPXcx7hfCzmjvCqyMaRqRYeCF5tAFMlXFOh56O9Jw4/edit?gid=587105757#gid=587105757"",""Cisco!A1:D1000"")"),"Devices")</f>
        <v>Devices</v>
      </c>
      <c r="B1" s="66" t="str">
        <f>IFERROR(__xludf.DUMMYFUNCTION("""COMPUTED_VALUE"""),"List Price")</f>
        <v>List Price</v>
      </c>
      <c r="C1" s="65" t="str">
        <f>IFERROR(__xludf.DUMMYFUNCTION("""COMPUTED_VALUE"""),"Giá AM nhập")</f>
        <v>Giá AM nhập</v>
      </c>
      <c r="D1" s="65" t="str">
        <f>IFERROR(__xludf.DUMMYFUNCTION("""COMPUTED_VALUE"""),"Final Price")</f>
        <v>Final Price</v>
      </c>
      <c r="E1" s="17"/>
      <c r="F1" s="17"/>
      <c r="G1" s="65"/>
      <c r="H1" s="7"/>
      <c r="I1" s="1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</row>
    <row r="2">
      <c r="A2" s="29" t="str">
        <f>IFERROR(__xludf.DUMMYFUNCTION("""COMPUTED_VALUE"""),"C8200L-1N-4T")</f>
        <v>C8200L-1N-4T</v>
      </c>
      <c r="B2" s="67">
        <f>IFERROR(__xludf.DUMMYFUNCTION("""COMPUTED_VALUE"""),20055.59)</f>
        <v>20055.59</v>
      </c>
      <c r="C2" s="67">
        <f>IFERROR(__xludf.DUMMYFUNCTION("""COMPUTED_VALUE"""),18000.0)</f>
        <v>18000</v>
      </c>
      <c r="D2" s="67">
        <f>IFERROR(__xludf.DUMMYFUNCTION("""COMPUTED_VALUE"""),18000.0)</f>
        <v>18000</v>
      </c>
      <c r="G2" s="67"/>
    </row>
    <row r="3">
      <c r="A3" s="29" t="str">
        <f>IFERROR(__xludf.DUMMYFUNCTION("""COMPUTED_VALUE"""),"C8200-1N-4T")</f>
        <v>C8200-1N-4T</v>
      </c>
      <c r="B3" s="67">
        <f>IFERROR(__xludf.DUMMYFUNCTION("""COMPUTED_VALUE"""),26751.42)</f>
        <v>26751.42</v>
      </c>
      <c r="C3" s="67">
        <f>IFERROR(__xludf.DUMMYFUNCTION("""COMPUTED_VALUE"""),15000.0)</f>
        <v>15000</v>
      </c>
      <c r="D3" s="67">
        <f>IFERROR(__xludf.DUMMYFUNCTION("""COMPUTED_VALUE"""),15000.0)</f>
        <v>15000</v>
      </c>
      <c r="G3" s="67"/>
    </row>
    <row r="4">
      <c r="A4" s="29" t="str">
        <f>IFERROR(__xludf.DUMMYFUNCTION("""COMPUTED_VALUE"""),"C8300-2N2S-4T2X")</f>
        <v>C8300-2N2S-4T2X</v>
      </c>
      <c r="B4" s="67">
        <f>IFERROR(__xludf.DUMMYFUNCTION("""COMPUTED_VALUE"""),87564.41)</f>
        <v>87564.41</v>
      </c>
      <c r="C4" s="29"/>
      <c r="D4" s="67">
        <f>IFERROR(__xludf.DUMMYFUNCTION("""COMPUTED_VALUE"""),87564.41)</f>
        <v>87564.41</v>
      </c>
      <c r="G4" s="67"/>
    </row>
    <row r="5">
      <c r="A5" s="29" t="str">
        <f>IFERROR(__xludf.DUMMYFUNCTION("""COMPUTED_VALUE"""),"C8300-1N1S-4T2X")</f>
        <v>C8300-1N1S-4T2X</v>
      </c>
      <c r="B5" s="67">
        <f>IFERROR(__xludf.DUMMYFUNCTION("""COMPUTED_VALUE"""),71768.03)</f>
        <v>71768.03</v>
      </c>
      <c r="C5" s="29"/>
      <c r="D5" s="67">
        <f>IFERROR(__xludf.DUMMYFUNCTION("""COMPUTED_VALUE"""),71768.03)</f>
        <v>71768.03</v>
      </c>
      <c r="G5" s="67"/>
    </row>
    <row r="6">
      <c r="A6" s="29" t="str">
        <f>IFERROR(__xludf.DUMMYFUNCTION("""COMPUTED_VALUE"""),"C8300-2N2S-6T")</f>
        <v>C8300-2N2S-6T</v>
      </c>
      <c r="B6" s="67">
        <f>IFERROR(__xludf.DUMMYFUNCTION("""COMPUTED_VALUE"""),46344.92)</f>
        <v>46344.92</v>
      </c>
      <c r="C6" s="29"/>
      <c r="D6" s="67">
        <f>IFERROR(__xludf.DUMMYFUNCTION("""COMPUTED_VALUE"""),46344.92)</f>
        <v>46344.92</v>
      </c>
      <c r="G6" s="67"/>
    </row>
    <row r="7">
      <c r="A7" s="29" t="str">
        <f>IFERROR(__xludf.DUMMYFUNCTION("""COMPUTED_VALUE"""),"C8300-1N1S-6T")</f>
        <v>C8300-1N1S-6T</v>
      </c>
      <c r="B7" s="67">
        <f>IFERROR(__xludf.DUMMYFUNCTION("""COMPUTED_VALUE"""),36965.33)</f>
        <v>36965.33</v>
      </c>
      <c r="C7" s="29"/>
      <c r="D7" s="67">
        <f>IFERROR(__xludf.DUMMYFUNCTION("""COMPUTED_VALUE"""),36965.33)</f>
        <v>36965.33</v>
      </c>
      <c r="G7" s="67"/>
    </row>
    <row r="8">
      <c r="A8" s="29" t="str">
        <f>IFERROR(__xludf.DUMMYFUNCTION("""COMPUTED_VALUE"""),"C8500-20X6C")</f>
        <v>C8500-20X6C</v>
      </c>
      <c r="B8" s="67">
        <f>IFERROR(__xludf.DUMMYFUNCTION("""COMPUTED_VALUE"""),534067.23)</f>
        <v>534067.23</v>
      </c>
      <c r="C8" s="29"/>
      <c r="D8" s="67">
        <f>IFERROR(__xludf.DUMMYFUNCTION("""COMPUTED_VALUE"""),534067.23)</f>
        <v>534067.23</v>
      </c>
      <c r="G8" s="67"/>
    </row>
    <row r="9">
      <c r="A9" s="29" t="str">
        <f>IFERROR(__xludf.DUMMYFUNCTION("""COMPUTED_VALUE"""),"C8500-12X4QC")</f>
        <v>C8500-12X4QC</v>
      </c>
      <c r="B9" s="67">
        <f>IFERROR(__xludf.DUMMYFUNCTION("""COMPUTED_VALUE"""),284449.0)</f>
        <v>284449</v>
      </c>
      <c r="C9" s="29"/>
      <c r="D9" s="67">
        <f>IFERROR(__xludf.DUMMYFUNCTION("""COMPUTED_VALUE"""),284449.0)</f>
        <v>284449</v>
      </c>
      <c r="G9" s="67"/>
    </row>
    <row r="10">
      <c r="A10" s="29" t="str">
        <f>IFERROR(__xludf.DUMMYFUNCTION("""COMPUTED_VALUE"""),"C8500-12X")</f>
        <v>C8500-12X</v>
      </c>
      <c r="B10" s="67">
        <f>IFERROR(__xludf.DUMMYFUNCTION("""COMPUTED_VALUE"""),198921.55)</f>
        <v>198921.55</v>
      </c>
      <c r="C10" s="29"/>
      <c r="D10" s="67">
        <f>IFERROR(__xludf.DUMMYFUNCTION("""COMPUTED_VALUE"""),198921.55)</f>
        <v>198921.55</v>
      </c>
      <c r="G10" s="67"/>
    </row>
    <row r="11">
      <c r="A11" s="29" t="str">
        <f>IFERROR(__xludf.DUMMYFUNCTION("""COMPUTED_VALUE"""),"C8500L-8S4X")</f>
        <v>C8500L-8S4X</v>
      </c>
      <c r="B11" s="67">
        <f>IFERROR(__xludf.DUMMYFUNCTION("""COMPUTED_VALUE"""),92549.95)</f>
        <v>92549.95</v>
      </c>
      <c r="C11" s="29"/>
      <c r="D11" s="67">
        <f>IFERROR(__xludf.DUMMYFUNCTION("""COMPUTED_VALUE"""),92549.95)</f>
        <v>92549.95</v>
      </c>
      <c r="G11" s="67"/>
    </row>
    <row r="12">
      <c r="A12" s="29" t="str">
        <f>IFERROR(__xludf.DUMMYFUNCTION("""COMPUTED_VALUE"""),"C9200-24T")</f>
        <v>C9200-24T</v>
      </c>
      <c r="B12" s="67">
        <f>IFERROR(__xludf.DUMMYFUNCTION("""COMPUTED_VALUE"""),10084.98)</f>
        <v>10084.98</v>
      </c>
      <c r="C12" s="29"/>
      <c r="D12" s="67">
        <f>IFERROR(__xludf.DUMMYFUNCTION("""COMPUTED_VALUE"""),10084.98)</f>
        <v>10084.98</v>
      </c>
      <c r="G12" s="67"/>
    </row>
    <row r="13">
      <c r="A13" s="29" t="str">
        <f>IFERROR(__xludf.DUMMYFUNCTION("""COMPUTED_VALUE"""),"C9200-24P")</f>
        <v>C9200-24P</v>
      </c>
      <c r="B13" s="67">
        <f>IFERROR(__xludf.DUMMYFUNCTION("""COMPUTED_VALUE"""),11213.65)</f>
        <v>11213.65</v>
      </c>
      <c r="C13" s="29"/>
      <c r="D13" s="67">
        <f>IFERROR(__xludf.DUMMYFUNCTION("""COMPUTED_VALUE"""),11213.65)</f>
        <v>11213.65</v>
      </c>
      <c r="G13" s="67"/>
    </row>
    <row r="14">
      <c r="A14" s="29" t="str">
        <f>IFERROR(__xludf.DUMMYFUNCTION("""COMPUTED_VALUE"""),"C9200-48T")</f>
        <v>C9200-48T</v>
      </c>
      <c r="B14" s="67">
        <f>IFERROR(__xludf.DUMMYFUNCTION("""COMPUTED_VALUE"""),15922.14)</f>
        <v>15922.14</v>
      </c>
      <c r="C14" s="29"/>
      <c r="D14" s="67">
        <f>IFERROR(__xludf.DUMMYFUNCTION("""COMPUTED_VALUE"""),15922.14)</f>
        <v>15922.14</v>
      </c>
      <c r="G14" s="67"/>
    </row>
    <row r="15">
      <c r="A15" s="29" t="str">
        <f>IFERROR(__xludf.DUMMYFUNCTION("""COMPUTED_VALUE"""),"C9200-48P")</f>
        <v>C9200-48P</v>
      </c>
      <c r="B15" s="67">
        <f>IFERROR(__xludf.DUMMYFUNCTION("""COMPUTED_VALUE"""),20161.2)</f>
        <v>20161.2</v>
      </c>
      <c r="C15" s="29"/>
      <c r="D15" s="67">
        <f>IFERROR(__xludf.DUMMYFUNCTION("""COMPUTED_VALUE"""),20161.2)</f>
        <v>20161.2</v>
      </c>
      <c r="G15" s="67"/>
    </row>
    <row r="16">
      <c r="A16" s="29" t="str">
        <f>IFERROR(__xludf.DUMMYFUNCTION("""COMPUTED_VALUE"""),"C9200L-24T-4G")</f>
        <v>C9200L-24T-4G</v>
      </c>
      <c r="B16" s="67">
        <f>IFERROR(__xludf.DUMMYFUNCTION("""COMPUTED_VALUE"""),6262.27)</f>
        <v>6262.27</v>
      </c>
      <c r="C16" s="29"/>
      <c r="D16" s="67">
        <f>IFERROR(__xludf.DUMMYFUNCTION("""COMPUTED_VALUE"""),6262.27)</f>
        <v>6262.27</v>
      </c>
      <c r="G16" s="67"/>
    </row>
    <row r="17">
      <c r="A17" s="29" t="str">
        <f>IFERROR(__xludf.DUMMYFUNCTION("""COMPUTED_VALUE"""),"C9200L-24P-4G")</f>
        <v>C9200L-24P-4G</v>
      </c>
      <c r="B17" s="67">
        <f>IFERROR(__xludf.DUMMYFUNCTION("""COMPUTED_VALUE"""),7688.05)</f>
        <v>7688.05</v>
      </c>
      <c r="C17" s="29"/>
      <c r="D17" s="67">
        <f>IFERROR(__xludf.DUMMYFUNCTION("""COMPUTED_VALUE"""),7688.05)</f>
        <v>7688.05</v>
      </c>
      <c r="G17" s="67"/>
    </row>
    <row r="18">
      <c r="A18" s="29" t="str">
        <f>IFERROR(__xludf.DUMMYFUNCTION("""COMPUTED_VALUE"""),"C9200L-48T-4G")</f>
        <v>C9200L-48T-4G</v>
      </c>
      <c r="B18" s="67">
        <f>IFERROR(__xludf.DUMMYFUNCTION("""COMPUTED_VALUE"""),11166.4)</f>
        <v>11166.4</v>
      </c>
      <c r="C18" s="29"/>
      <c r="D18" s="67">
        <f>IFERROR(__xludf.DUMMYFUNCTION("""COMPUTED_VALUE"""),11166.4)</f>
        <v>11166.4</v>
      </c>
      <c r="G18" s="67"/>
    </row>
    <row r="19">
      <c r="A19" s="29" t="str">
        <f>IFERROR(__xludf.DUMMYFUNCTION("""COMPUTED_VALUE"""),"C9200L-48P-4G")</f>
        <v>C9200L-48P-4G</v>
      </c>
      <c r="B19" s="67">
        <f>IFERROR(__xludf.DUMMYFUNCTION("""COMPUTED_VALUE"""),15455.34)</f>
        <v>15455.34</v>
      </c>
      <c r="C19" s="29"/>
      <c r="D19" s="67">
        <f>IFERROR(__xludf.DUMMYFUNCTION("""COMPUTED_VALUE"""),15455.34)</f>
        <v>15455.34</v>
      </c>
      <c r="G19" s="67"/>
    </row>
    <row r="20">
      <c r="A20" s="29" t="str">
        <f>IFERROR(__xludf.DUMMYFUNCTION("""COMPUTED_VALUE"""),"C9200L-24T-4X")</f>
        <v>C9200L-24T-4X</v>
      </c>
      <c r="B20" s="67">
        <f>IFERROR(__xludf.DUMMYFUNCTION("""COMPUTED_VALUE"""),8762.44)</f>
        <v>8762.44</v>
      </c>
      <c r="C20" s="29"/>
      <c r="D20" s="67">
        <f>IFERROR(__xludf.DUMMYFUNCTION("""COMPUTED_VALUE"""),8762.44)</f>
        <v>8762.44</v>
      </c>
      <c r="G20" s="67"/>
    </row>
    <row r="21">
      <c r="A21" s="29" t="str">
        <f>IFERROR(__xludf.DUMMYFUNCTION("""COMPUTED_VALUE"""),"C9200L-24P-4X")</f>
        <v>C9200L-24P-4X</v>
      </c>
      <c r="B21" s="67">
        <f>IFERROR(__xludf.DUMMYFUNCTION("""COMPUTED_VALUE"""),10192.33)</f>
        <v>10192.33</v>
      </c>
      <c r="C21" s="29"/>
      <c r="D21" s="67">
        <f>IFERROR(__xludf.DUMMYFUNCTION("""COMPUTED_VALUE"""),10192.33)</f>
        <v>10192.33</v>
      </c>
      <c r="G21" s="67"/>
    </row>
    <row r="22">
      <c r="A22" s="29" t="str">
        <f>IFERROR(__xludf.DUMMYFUNCTION("""COMPUTED_VALUE"""),"C9200L-48T-4X")</f>
        <v>C9200L-48T-4X</v>
      </c>
      <c r="B22" s="67">
        <f>IFERROR(__xludf.DUMMYFUNCTION("""COMPUTED_VALUE"""),13666.57)</f>
        <v>13666.57</v>
      </c>
      <c r="C22" s="29"/>
      <c r="D22" s="67">
        <f>IFERROR(__xludf.DUMMYFUNCTION("""COMPUTED_VALUE"""),13666.57)</f>
        <v>13666.57</v>
      </c>
      <c r="G22" s="67"/>
    </row>
    <row r="23">
      <c r="A23" s="29" t="str">
        <f>IFERROR(__xludf.DUMMYFUNCTION("""COMPUTED_VALUE"""),"C9200L-48P-4X")</f>
        <v>C9200L-48P-4X</v>
      </c>
      <c r="B23" s="67">
        <f>IFERROR(__xludf.DUMMYFUNCTION("""COMPUTED_VALUE"""),17955.51)</f>
        <v>17955.51</v>
      </c>
      <c r="C23" s="29"/>
      <c r="D23" s="67">
        <f>IFERROR(__xludf.DUMMYFUNCTION("""COMPUTED_VALUE"""),17955.51)</f>
        <v>17955.51</v>
      </c>
      <c r="G23" s="67"/>
    </row>
    <row r="24">
      <c r="A24" s="29" t="str">
        <f>IFERROR(__xludf.DUMMYFUNCTION("""COMPUTED_VALUE"""),"C9200CX-8P-2X2G")</f>
        <v>C9200CX-8P-2X2G</v>
      </c>
      <c r="B24" s="67">
        <f>IFERROR(__xludf.DUMMYFUNCTION("""COMPUTED_VALUE"""),5144.72)</f>
        <v>5144.72</v>
      </c>
      <c r="C24" s="29"/>
      <c r="D24" s="67">
        <f>IFERROR(__xludf.DUMMYFUNCTION("""COMPUTED_VALUE"""),5144.72)</f>
        <v>5144.72</v>
      </c>
      <c r="G24" s="67"/>
    </row>
    <row r="25">
      <c r="A25" s="29" t="str">
        <f>IFERROR(__xludf.DUMMYFUNCTION("""COMPUTED_VALUE"""),"C9200CX-12T-2X2G")</f>
        <v>C9200CX-12T-2X2G</v>
      </c>
      <c r="B25" s="67">
        <f>IFERROR(__xludf.DUMMYFUNCTION("""COMPUTED_VALUE"""),4714.31)</f>
        <v>4714.31</v>
      </c>
      <c r="C25" s="29"/>
      <c r="D25" s="67">
        <f>IFERROR(__xludf.DUMMYFUNCTION("""COMPUTED_VALUE"""),4714.31)</f>
        <v>4714.31</v>
      </c>
      <c r="G25" s="67"/>
    </row>
    <row r="26">
      <c r="A26" s="29" t="str">
        <f>IFERROR(__xludf.DUMMYFUNCTION("""COMPUTED_VALUE"""),"C9200CX-12P-2X2G")</f>
        <v>C9200CX-12P-2X2G</v>
      </c>
      <c r="B26" s="67">
        <f>IFERROR(__xludf.DUMMYFUNCTION("""COMPUTED_VALUE"""),5606.95)</f>
        <v>5606.95</v>
      </c>
      <c r="C26" s="29"/>
      <c r="D26" s="67">
        <f>IFERROR(__xludf.DUMMYFUNCTION("""COMPUTED_VALUE"""),5606.95)</f>
        <v>5606.95</v>
      </c>
      <c r="G26" s="67"/>
    </row>
    <row r="27">
      <c r="A27" s="29" t="str">
        <f>IFERROR(__xludf.DUMMYFUNCTION("""COMPUTED_VALUE"""),"C9300L-24T-4G")</f>
        <v>C9300L-24T-4G</v>
      </c>
      <c r="B27" s="67">
        <f>IFERROR(__xludf.DUMMYFUNCTION("""COMPUTED_VALUE"""),13274.37)</f>
        <v>13274.37</v>
      </c>
      <c r="C27" s="29"/>
      <c r="D27" s="67">
        <f>IFERROR(__xludf.DUMMYFUNCTION("""COMPUTED_VALUE"""),13274.37)</f>
        <v>13274.37</v>
      </c>
      <c r="G27" s="67"/>
    </row>
    <row r="28">
      <c r="A28" s="29" t="str">
        <f>IFERROR(__xludf.DUMMYFUNCTION("""COMPUTED_VALUE"""),"C9300L-24P-4G")</f>
        <v>C9300L-24P-4G</v>
      </c>
      <c r="B28" s="67">
        <f>IFERROR(__xludf.DUMMYFUNCTION("""COMPUTED_VALUE"""),14219.2)</f>
        <v>14219.2</v>
      </c>
      <c r="C28" s="29"/>
      <c r="D28" s="67">
        <f>IFERROR(__xludf.DUMMYFUNCTION("""COMPUTED_VALUE"""),14219.2)</f>
        <v>14219.2</v>
      </c>
      <c r="G28" s="67"/>
    </row>
    <row r="29">
      <c r="A29" s="29" t="str">
        <f>IFERROR(__xludf.DUMMYFUNCTION("""COMPUTED_VALUE"""),"C9300L-24T-4X")</f>
        <v>C9300L-24T-4X</v>
      </c>
      <c r="B29" s="67">
        <f>IFERROR(__xludf.DUMMYFUNCTION("""COMPUTED_VALUE"""),16104.69)</f>
        <v>16104.69</v>
      </c>
      <c r="C29" s="29"/>
      <c r="D29" s="67">
        <f>IFERROR(__xludf.DUMMYFUNCTION("""COMPUTED_VALUE"""),16104.69)</f>
        <v>16104.69</v>
      </c>
      <c r="G29" s="67"/>
    </row>
    <row r="30">
      <c r="A30" s="29" t="str">
        <f>IFERROR(__xludf.DUMMYFUNCTION("""COMPUTED_VALUE"""),"C9300L-24P-4X")</f>
        <v>C9300L-24P-4X</v>
      </c>
      <c r="B30" s="67">
        <f>IFERROR(__xludf.DUMMYFUNCTION("""COMPUTED_VALUE"""),17045.38)</f>
        <v>17045.38</v>
      </c>
      <c r="C30" s="29"/>
      <c r="D30" s="67">
        <f>IFERROR(__xludf.DUMMYFUNCTION("""COMPUTED_VALUE"""),17045.38)</f>
        <v>17045.38</v>
      </c>
      <c r="G30" s="67"/>
    </row>
    <row r="31">
      <c r="A31" s="29" t="str">
        <f>IFERROR(__xludf.DUMMYFUNCTION("""COMPUTED_VALUE"""),"C9300L-48T-4G")</f>
        <v>C9300L-48T-4G</v>
      </c>
      <c r="B31" s="67">
        <f>IFERROR(__xludf.DUMMYFUNCTION("""COMPUTED_VALUE"""),19434.02)</f>
        <v>19434.02</v>
      </c>
      <c r="C31" s="29"/>
      <c r="D31" s="67">
        <f>IFERROR(__xludf.DUMMYFUNCTION("""COMPUTED_VALUE"""),19434.02)</f>
        <v>19434.02</v>
      </c>
      <c r="G31" s="67"/>
    </row>
    <row r="32">
      <c r="A32" s="29" t="str">
        <f>IFERROR(__xludf.DUMMYFUNCTION("""COMPUTED_VALUE"""),"C9300L-48P-4G")</f>
        <v>C9300L-48P-4G</v>
      </c>
      <c r="B32" s="67">
        <f>IFERROR(__xludf.DUMMYFUNCTION("""COMPUTED_VALUE"""),22071.94)</f>
        <v>22071.94</v>
      </c>
      <c r="C32" s="29"/>
      <c r="D32" s="67">
        <f>IFERROR(__xludf.DUMMYFUNCTION("""COMPUTED_VALUE"""),22071.94)</f>
        <v>22071.94</v>
      </c>
      <c r="G32" s="67"/>
    </row>
    <row r="33">
      <c r="A33" s="29" t="str">
        <f>IFERROR(__xludf.DUMMYFUNCTION("""COMPUTED_VALUE"""),"C9300L-48T-4X")</f>
        <v>C9300L-48T-4X</v>
      </c>
      <c r="B33" s="67">
        <f>IFERROR(__xludf.DUMMYFUNCTION("""COMPUTED_VALUE"""),22260.23)</f>
        <v>22260.23</v>
      </c>
      <c r="C33" s="29"/>
      <c r="D33" s="67">
        <f>IFERROR(__xludf.DUMMYFUNCTION("""COMPUTED_VALUE"""),22260.23)</f>
        <v>22260.23</v>
      </c>
      <c r="G33" s="67"/>
    </row>
    <row r="34">
      <c r="A34" s="29" t="str">
        <f>IFERROR(__xludf.DUMMYFUNCTION("""COMPUTED_VALUE"""),"C9300L-48P-4X")</f>
        <v>C9300L-48P-4X</v>
      </c>
      <c r="B34" s="67">
        <f>IFERROR(__xludf.DUMMYFUNCTION("""COMPUTED_VALUE"""),24901.12)</f>
        <v>24901.12</v>
      </c>
      <c r="C34" s="29"/>
      <c r="D34" s="67">
        <f>IFERROR(__xludf.DUMMYFUNCTION("""COMPUTED_VALUE"""),24901.12)</f>
        <v>24901.12</v>
      </c>
      <c r="G34" s="67"/>
    </row>
    <row r="35">
      <c r="A35" s="29" t="str">
        <f>IFERROR(__xludf.DUMMYFUNCTION("""COMPUTED_VALUE"""),"C9300-24T")</f>
        <v>C9300-24T</v>
      </c>
      <c r="B35" s="67">
        <f>IFERROR(__xludf.DUMMYFUNCTION("""COMPUTED_VALUE"""),17547.66)</f>
        <v>17547.66</v>
      </c>
      <c r="C35" s="29"/>
      <c r="D35" s="67">
        <f>IFERROR(__xludf.DUMMYFUNCTION("""COMPUTED_VALUE"""),17547.66)</f>
        <v>17547.66</v>
      </c>
      <c r="G35" s="67"/>
    </row>
    <row r="36">
      <c r="A36" s="29" t="str">
        <f>IFERROR(__xludf.DUMMYFUNCTION("""COMPUTED_VALUE"""),"C9300-24P")</f>
        <v>C9300-24P</v>
      </c>
      <c r="B36" s="67">
        <f>IFERROR(__xludf.DUMMYFUNCTION("""COMPUTED_VALUE"""),19038.33)</f>
        <v>19038.33</v>
      </c>
      <c r="C36" s="29"/>
      <c r="D36" s="67">
        <f>IFERROR(__xludf.DUMMYFUNCTION("""COMPUTED_VALUE"""),19038.33)</f>
        <v>19038.33</v>
      </c>
      <c r="G36" s="67"/>
    </row>
    <row r="37">
      <c r="A37" s="29" t="str">
        <f>IFERROR(__xludf.DUMMYFUNCTION("""COMPUTED_VALUE"""),"C9300-24U")</f>
        <v>C9300-24U</v>
      </c>
      <c r="B37" s="67">
        <f>IFERROR(__xludf.DUMMYFUNCTION("""COMPUTED_VALUE"""),19965.21)</f>
        <v>19965.21</v>
      </c>
      <c r="C37" s="29"/>
      <c r="D37" s="67">
        <f>IFERROR(__xludf.DUMMYFUNCTION("""COMPUTED_VALUE"""),19965.21)</f>
        <v>19965.21</v>
      </c>
      <c r="G37" s="67"/>
    </row>
    <row r="38">
      <c r="A38" s="29" t="str">
        <f>IFERROR(__xludf.DUMMYFUNCTION("""COMPUTED_VALUE"""),"C9300-24H")</f>
        <v>C9300-24H</v>
      </c>
      <c r="B38" s="67">
        <f>IFERROR(__xludf.DUMMYFUNCTION("""COMPUTED_VALUE"""),20515.29)</f>
        <v>20515.29</v>
      </c>
      <c r="C38" s="29"/>
      <c r="D38" s="67">
        <f>IFERROR(__xludf.DUMMYFUNCTION("""COMPUTED_VALUE"""),20515.29)</f>
        <v>20515.29</v>
      </c>
      <c r="G38" s="67"/>
    </row>
    <row r="39">
      <c r="A39" s="29" t="str">
        <f>IFERROR(__xludf.DUMMYFUNCTION("""COMPUTED_VALUE"""),"C9300-24S")</f>
        <v>C9300-24S</v>
      </c>
      <c r="B39" s="67">
        <f>IFERROR(__xludf.DUMMYFUNCTION("""COMPUTED_VALUE"""),48735.58)</f>
        <v>48735.58</v>
      </c>
      <c r="C39" s="29"/>
      <c r="D39" s="67">
        <f>IFERROR(__xludf.DUMMYFUNCTION("""COMPUTED_VALUE"""),48735.58)</f>
        <v>48735.58</v>
      </c>
      <c r="G39" s="67"/>
    </row>
    <row r="40">
      <c r="A40" s="29" t="str">
        <f>IFERROR(__xludf.DUMMYFUNCTION("""COMPUTED_VALUE"""),"C9300-24UB")</f>
        <v>C9300-24UB</v>
      </c>
      <c r="B40" s="67">
        <f>IFERROR(__xludf.DUMMYFUNCTION("""COMPUTED_VALUE"""),24477.78)</f>
        <v>24477.78</v>
      </c>
      <c r="C40" s="29"/>
      <c r="D40" s="67">
        <f>IFERROR(__xludf.DUMMYFUNCTION("""COMPUTED_VALUE"""),24477.78)</f>
        <v>24477.78</v>
      </c>
      <c r="G40" s="67"/>
    </row>
    <row r="41">
      <c r="A41" s="29" t="str">
        <f>IFERROR(__xludf.DUMMYFUNCTION("""COMPUTED_VALUE"""),"C9300-48T")</f>
        <v>C9300-48T</v>
      </c>
      <c r="B41" s="67">
        <f>IFERROR(__xludf.DUMMYFUNCTION("""COMPUTED_VALUE"""),25854.11)</f>
        <v>25854.11</v>
      </c>
      <c r="C41" s="29"/>
      <c r="D41" s="67">
        <f>IFERROR(__xludf.DUMMYFUNCTION("""COMPUTED_VALUE"""),25854.11)</f>
        <v>25854.11</v>
      </c>
      <c r="G41" s="67"/>
    </row>
    <row r="42">
      <c r="A42" s="29" t="str">
        <f>IFERROR(__xludf.DUMMYFUNCTION("""COMPUTED_VALUE"""),"C9300-48P")</f>
        <v>C9300-48P</v>
      </c>
      <c r="B42" s="67">
        <f>IFERROR(__xludf.DUMMYFUNCTION("""COMPUTED_VALUE"""),28776.34)</f>
        <v>28776.34</v>
      </c>
      <c r="C42" s="29"/>
      <c r="D42" s="67">
        <f>IFERROR(__xludf.DUMMYFUNCTION("""COMPUTED_VALUE"""),28776.34)</f>
        <v>28776.34</v>
      </c>
      <c r="G42" s="67"/>
    </row>
    <row r="43">
      <c r="A43" s="29" t="str">
        <f>IFERROR(__xludf.DUMMYFUNCTION("""COMPUTED_VALUE"""),"C9300-48U")</f>
        <v>C9300-48U</v>
      </c>
      <c r="B43" s="67">
        <f>IFERROR(__xludf.DUMMYFUNCTION("""COMPUTED_VALUE"""),30632.82)</f>
        <v>30632.82</v>
      </c>
      <c r="C43" s="29"/>
      <c r="D43" s="67">
        <f>IFERROR(__xludf.DUMMYFUNCTION("""COMPUTED_VALUE"""),30632.82)</f>
        <v>30632.82</v>
      </c>
      <c r="G43" s="67"/>
    </row>
    <row r="44">
      <c r="A44" s="29" t="str">
        <f>IFERROR(__xludf.DUMMYFUNCTION("""COMPUTED_VALUE"""),"C9300-48H")</f>
        <v>C9300-48H</v>
      </c>
      <c r="B44" s="67">
        <f>IFERROR(__xludf.DUMMYFUNCTION("""COMPUTED_VALUE"""),31600.93)</f>
        <v>31600.93</v>
      </c>
      <c r="C44" s="29"/>
      <c r="D44" s="67">
        <f>IFERROR(__xludf.DUMMYFUNCTION("""COMPUTED_VALUE"""),31600.93)</f>
        <v>31600.93</v>
      </c>
      <c r="G44" s="67"/>
    </row>
    <row r="45">
      <c r="A45" s="29" t="str">
        <f>IFERROR(__xludf.DUMMYFUNCTION("""COMPUTED_VALUE"""),"C9300-48S")</f>
        <v>C9300-48S</v>
      </c>
      <c r="B45" s="67">
        <f>IFERROR(__xludf.DUMMYFUNCTION("""COMPUTED_VALUE"""),55867.65)</f>
        <v>55867.65</v>
      </c>
      <c r="C45" s="29"/>
      <c r="D45" s="67">
        <f>IFERROR(__xludf.DUMMYFUNCTION("""COMPUTED_VALUE"""),55867.65)</f>
        <v>55867.65</v>
      </c>
      <c r="G45" s="67"/>
    </row>
    <row r="46">
      <c r="A46" s="29" t="str">
        <f>IFERROR(__xludf.DUMMYFUNCTION("""COMPUTED_VALUE"""),"C9300-48UB")</f>
        <v>C9300-48UB</v>
      </c>
      <c r="B46" s="67">
        <f>IFERROR(__xludf.DUMMYFUNCTION("""COMPUTED_VALUE"""),36714.46)</f>
        <v>36714.46</v>
      </c>
      <c r="C46" s="29"/>
      <c r="D46" s="67">
        <f>IFERROR(__xludf.DUMMYFUNCTION("""COMPUTED_VALUE"""),36714.46)</f>
        <v>36714.46</v>
      </c>
      <c r="G46" s="67"/>
    </row>
    <row r="47">
      <c r="A47" s="29" t="str">
        <f>IFERROR(__xludf.DUMMYFUNCTION("""COMPUTED_VALUE"""),"C1300-8T-E-2G")</f>
        <v>C1300-8T-E-2G</v>
      </c>
      <c r="B47" s="67">
        <f>IFERROR(__xludf.DUMMYFUNCTION("""COMPUTED_VALUE"""),466.11)</f>
        <v>466.11</v>
      </c>
      <c r="C47" s="29"/>
      <c r="D47" s="67">
        <f>IFERROR(__xludf.DUMMYFUNCTION("""COMPUTED_VALUE"""),466.11)</f>
        <v>466.11</v>
      </c>
      <c r="G47" s="67"/>
    </row>
    <row r="48">
      <c r="A48" s="29" t="str">
        <f>IFERROR(__xludf.DUMMYFUNCTION("""COMPUTED_VALUE"""),"C1300-8P-E-2G")</f>
        <v>C1300-8P-E-2G</v>
      </c>
      <c r="B48" s="67">
        <f>IFERROR(__xludf.DUMMYFUNCTION("""COMPUTED_VALUE"""),576.42)</f>
        <v>576.42</v>
      </c>
      <c r="C48" s="29"/>
      <c r="D48" s="67">
        <f>IFERROR(__xludf.DUMMYFUNCTION("""COMPUTED_VALUE"""),576.42)</f>
        <v>576.42</v>
      </c>
      <c r="G48" s="67"/>
    </row>
    <row r="49">
      <c r="A49" s="29" t="str">
        <f>IFERROR(__xludf.DUMMYFUNCTION("""COMPUTED_VALUE"""),"C1300-8FP-2G")</f>
        <v>C1300-8FP-2G</v>
      </c>
      <c r="B49" s="67">
        <f>IFERROR(__xludf.DUMMYFUNCTION("""COMPUTED_VALUE"""),765.31)</f>
        <v>765.31</v>
      </c>
      <c r="C49" s="29"/>
      <c r="D49" s="67">
        <f>IFERROR(__xludf.DUMMYFUNCTION("""COMPUTED_VALUE"""),765.31)</f>
        <v>765.31</v>
      </c>
      <c r="G49" s="67"/>
    </row>
    <row r="50">
      <c r="A50" s="29" t="str">
        <f>IFERROR(__xludf.DUMMYFUNCTION("""COMPUTED_VALUE"""),"C1300-16T-2G")</f>
        <v>C1300-16T-2G</v>
      </c>
      <c r="B50" s="67">
        <f>IFERROR(__xludf.DUMMYFUNCTION("""COMPUTED_VALUE"""),663.67)</f>
        <v>663.67</v>
      </c>
      <c r="C50" s="29"/>
      <c r="D50" s="67">
        <f>IFERROR(__xludf.DUMMYFUNCTION("""COMPUTED_VALUE"""),663.67)</f>
        <v>663.67</v>
      </c>
      <c r="G50" s="67"/>
    </row>
    <row r="51">
      <c r="A51" s="29" t="str">
        <f>IFERROR(__xludf.DUMMYFUNCTION("""COMPUTED_VALUE"""),"C1300-16P-2G")</f>
        <v>C1300-16P-2G</v>
      </c>
      <c r="B51" s="67">
        <f>IFERROR(__xludf.DUMMYFUNCTION("""COMPUTED_VALUE"""),962.86)</f>
        <v>962.86</v>
      </c>
      <c r="C51" s="29"/>
      <c r="D51" s="67">
        <f>IFERROR(__xludf.DUMMYFUNCTION("""COMPUTED_VALUE"""),962.86)</f>
        <v>962.86</v>
      </c>
      <c r="G51" s="67"/>
    </row>
    <row r="52">
      <c r="A52" s="29" t="str">
        <f>IFERROR(__xludf.DUMMYFUNCTION("""COMPUTED_VALUE"""),"C1300-16FP-2G")</f>
        <v>C1300-16FP-2G</v>
      </c>
      <c r="B52" s="67">
        <f>IFERROR(__xludf.DUMMYFUNCTION("""COMPUTED_VALUE"""),1364.85)</f>
        <v>1364.85</v>
      </c>
      <c r="C52" s="29"/>
      <c r="D52" s="67">
        <f>IFERROR(__xludf.DUMMYFUNCTION("""COMPUTED_VALUE"""),1364.85)</f>
        <v>1364.85</v>
      </c>
      <c r="G52" s="67"/>
    </row>
    <row r="53">
      <c r="A53" s="29" t="str">
        <f>IFERROR(__xludf.DUMMYFUNCTION("""COMPUTED_VALUE"""),"C1300-24T-4G")</f>
        <v>C1300-24T-4G</v>
      </c>
      <c r="B53" s="67">
        <f>IFERROR(__xludf.DUMMYFUNCTION("""COMPUTED_VALUE"""),925.31)</f>
        <v>925.31</v>
      </c>
      <c r="C53" s="29"/>
      <c r="D53" s="67">
        <f>IFERROR(__xludf.DUMMYFUNCTION("""COMPUTED_VALUE"""),925.31)</f>
        <v>925.31</v>
      </c>
      <c r="G53" s="67"/>
    </row>
    <row r="54">
      <c r="A54" s="29" t="str">
        <f>IFERROR(__xludf.DUMMYFUNCTION("""COMPUTED_VALUE"""),"C1300-24P-4G")</f>
        <v>C1300-24P-4G</v>
      </c>
      <c r="B54" s="67">
        <f>IFERROR(__xludf.DUMMYFUNCTION("""COMPUTED_VALUE"""),1316.32)</f>
        <v>1316.32</v>
      </c>
      <c r="C54" s="29"/>
      <c r="D54" s="67">
        <f>IFERROR(__xludf.DUMMYFUNCTION("""COMPUTED_VALUE"""),1316.32)</f>
        <v>1316.32</v>
      </c>
      <c r="G54" s="67"/>
    </row>
    <row r="55">
      <c r="A55" s="29" t="str">
        <f>IFERROR(__xludf.DUMMYFUNCTION("""COMPUTED_VALUE"""),"C1300-24FP-4G")</f>
        <v>C1300-24FP-4G</v>
      </c>
      <c r="B55" s="67">
        <f>IFERROR(__xludf.DUMMYFUNCTION("""COMPUTED_VALUE"""),1785.82)</f>
        <v>1785.82</v>
      </c>
      <c r="C55" s="29"/>
      <c r="D55" s="67">
        <f>IFERROR(__xludf.DUMMYFUNCTION("""COMPUTED_VALUE"""),1785.82)</f>
        <v>1785.82</v>
      </c>
      <c r="G55" s="67"/>
    </row>
    <row r="56">
      <c r="A56" s="29" t="str">
        <f>IFERROR(__xludf.DUMMYFUNCTION("""COMPUTED_VALUE"""),"C1300-48T-4G")</f>
        <v>C1300-48T-4G</v>
      </c>
      <c r="B56" s="67">
        <f>IFERROR(__xludf.DUMMYFUNCTION("""COMPUTED_VALUE"""),1446.81)</f>
        <v>1446.81</v>
      </c>
      <c r="C56" s="29"/>
      <c r="D56" s="67">
        <f>IFERROR(__xludf.DUMMYFUNCTION("""COMPUTED_VALUE"""),1446.81)</f>
        <v>1446.81</v>
      </c>
      <c r="G56" s="67"/>
    </row>
    <row r="57">
      <c r="A57" s="29" t="str">
        <f>IFERROR(__xludf.DUMMYFUNCTION("""COMPUTED_VALUE"""),"C1300-48P-4G")</f>
        <v>C1300-48P-4G</v>
      </c>
      <c r="B57" s="67">
        <f>IFERROR(__xludf.DUMMYFUNCTION("""COMPUTED_VALUE"""),2394.09)</f>
        <v>2394.09</v>
      </c>
      <c r="C57" s="29"/>
      <c r="D57" s="67">
        <f>IFERROR(__xludf.DUMMYFUNCTION("""COMPUTED_VALUE"""),2394.09)</f>
        <v>2394.09</v>
      </c>
      <c r="G57" s="67"/>
    </row>
    <row r="58">
      <c r="A58" s="29" t="str">
        <f>IFERROR(__xludf.DUMMYFUNCTION("""COMPUTED_VALUE"""),"C1300-48FP-4G")</f>
        <v>C1300-48FP-4G</v>
      </c>
      <c r="B58" s="67">
        <f>IFERROR(__xludf.DUMMYFUNCTION("""COMPUTED_VALUE"""),2990.63)</f>
        <v>2990.63</v>
      </c>
      <c r="C58" s="29"/>
      <c r="D58" s="67">
        <f>IFERROR(__xludf.DUMMYFUNCTION("""COMPUTED_VALUE"""),2990.63)</f>
        <v>2990.63</v>
      </c>
      <c r="G58" s="67"/>
    </row>
    <row r="59">
      <c r="A59" s="29" t="str">
        <f>IFERROR(__xludf.DUMMYFUNCTION("""COMPUTED_VALUE"""),"C1300-16P-4X")</f>
        <v>C1300-16P-4X</v>
      </c>
      <c r="B59" s="67">
        <f>IFERROR(__xludf.DUMMYFUNCTION("""COMPUTED_VALUE"""),1047.05)</f>
        <v>1047.05</v>
      </c>
      <c r="C59" s="29"/>
      <c r="D59" s="67">
        <f>IFERROR(__xludf.DUMMYFUNCTION("""COMPUTED_VALUE"""),1047.05)</f>
        <v>1047.05</v>
      </c>
      <c r="G59" s="67"/>
    </row>
    <row r="60">
      <c r="A60" s="29" t="str">
        <f>IFERROR(__xludf.DUMMYFUNCTION("""COMPUTED_VALUE"""),"C1300-24T-4X")</f>
        <v>C1300-24T-4X</v>
      </c>
      <c r="B60" s="67">
        <f>IFERROR(__xludf.DUMMYFUNCTION("""COMPUTED_VALUE"""),1403.2)</f>
        <v>1403.2</v>
      </c>
      <c r="C60" s="29"/>
      <c r="D60" s="67">
        <f>IFERROR(__xludf.DUMMYFUNCTION("""COMPUTED_VALUE"""),1403.2)</f>
        <v>1403.2</v>
      </c>
      <c r="G60" s="67"/>
    </row>
    <row r="61">
      <c r="A61" s="29" t="str">
        <f>IFERROR(__xludf.DUMMYFUNCTION("""COMPUTED_VALUE"""),"C1300-24P-4X")</f>
        <v>C1300-24P-4X</v>
      </c>
      <c r="B61" s="67">
        <f>IFERROR(__xludf.DUMMYFUNCTION("""COMPUTED_VALUE"""),1674.32)</f>
        <v>1674.32</v>
      </c>
      <c r="C61" s="29"/>
      <c r="D61" s="67">
        <f>IFERROR(__xludf.DUMMYFUNCTION("""COMPUTED_VALUE"""),1674.32)</f>
        <v>1674.32</v>
      </c>
      <c r="G61" s="67"/>
    </row>
    <row r="62">
      <c r="A62" s="29" t="str">
        <f>IFERROR(__xludf.DUMMYFUNCTION("""COMPUTED_VALUE"""),"C1300-24FP-4X")</f>
        <v>C1300-24FP-4X</v>
      </c>
      <c r="B62" s="67">
        <f>IFERROR(__xludf.DUMMYFUNCTION("""COMPUTED_VALUE"""),2278.26)</f>
        <v>2278.26</v>
      </c>
      <c r="C62" s="29"/>
      <c r="D62" s="67">
        <f>IFERROR(__xludf.DUMMYFUNCTION("""COMPUTED_VALUE"""),2278.26)</f>
        <v>2278.26</v>
      </c>
      <c r="G62" s="67"/>
    </row>
    <row r="63">
      <c r="A63" s="29" t="str">
        <f>IFERROR(__xludf.DUMMYFUNCTION("""COMPUTED_VALUE"""),"C1300-48T-4X")</f>
        <v>C1300-48T-4X</v>
      </c>
      <c r="B63" s="67">
        <f>IFERROR(__xludf.DUMMYFUNCTION("""COMPUTED_VALUE"""),2202.72)</f>
        <v>2202.72</v>
      </c>
      <c r="C63" s="29"/>
      <c r="D63" s="67">
        <f>IFERROR(__xludf.DUMMYFUNCTION("""COMPUTED_VALUE"""),2202.72)</f>
        <v>2202.72</v>
      </c>
      <c r="G63" s="67"/>
    </row>
    <row r="64">
      <c r="A64" s="29" t="str">
        <f>IFERROR(__xludf.DUMMYFUNCTION("""COMPUTED_VALUE"""),"C1300-48P-4X")</f>
        <v>C1300-48P-4X</v>
      </c>
      <c r="B64" s="67">
        <f>IFERROR(__xludf.DUMMYFUNCTION("""COMPUTED_VALUE"""),2733.04)</f>
        <v>2733.04</v>
      </c>
      <c r="C64" s="29"/>
      <c r="D64" s="67">
        <f>IFERROR(__xludf.DUMMYFUNCTION("""COMPUTED_VALUE"""),2733.04)</f>
        <v>2733.04</v>
      </c>
      <c r="G64" s="67"/>
    </row>
    <row r="65">
      <c r="A65" s="29" t="str">
        <f>IFERROR(__xludf.DUMMYFUNCTION("""COMPUTED_VALUE"""),"C1300-48FP-4X")</f>
        <v>C1300-48FP-4X</v>
      </c>
      <c r="B65" s="67">
        <f>IFERROR(__xludf.DUMMYFUNCTION("""COMPUTED_VALUE"""),3526.47)</f>
        <v>3526.47</v>
      </c>
      <c r="C65" s="29"/>
      <c r="D65" s="67">
        <f>IFERROR(__xludf.DUMMYFUNCTION("""COMPUTED_VALUE"""),3526.47)</f>
        <v>3526.47</v>
      </c>
      <c r="G65" s="67"/>
    </row>
    <row r="66">
      <c r="A66" s="29" t="str">
        <f>IFERROR(__xludf.DUMMYFUNCTION("""COMPUTED_VALUE"""),"C1300-12XT-2X")</f>
        <v>C1300-12XT-2X</v>
      </c>
      <c r="B66" s="67">
        <f>IFERROR(__xludf.DUMMYFUNCTION("""COMPUTED_VALUE"""),2418.18)</f>
        <v>2418.18</v>
      </c>
      <c r="C66" s="29"/>
      <c r="D66" s="67">
        <f>IFERROR(__xludf.DUMMYFUNCTION("""COMPUTED_VALUE"""),2418.18)</f>
        <v>2418.18</v>
      </c>
      <c r="G66" s="67"/>
    </row>
    <row r="67">
      <c r="A67" s="29" t="str">
        <f>IFERROR(__xludf.DUMMYFUNCTION("""COMPUTED_VALUE"""),"C1300-12XS")</f>
        <v>C1300-12XS</v>
      </c>
      <c r="B67" s="67">
        <f>IFERROR(__xludf.DUMMYFUNCTION("""COMPUTED_VALUE"""),2462.89)</f>
        <v>2462.89</v>
      </c>
      <c r="C67" s="29"/>
      <c r="D67" s="67">
        <f>IFERROR(__xludf.DUMMYFUNCTION("""COMPUTED_VALUE"""),2462.89)</f>
        <v>2462.89</v>
      </c>
      <c r="G67" s="67"/>
    </row>
    <row r="68">
      <c r="A68" s="29" t="str">
        <f>IFERROR(__xludf.DUMMYFUNCTION("""COMPUTED_VALUE"""),"C1300-16XTS")</f>
        <v>C1300-16XTS</v>
      </c>
      <c r="B68" s="67">
        <f>IFERROR(__xludf.DUMMYFUNCTION("""COMPUTED_VALUE"""),3849.34)</f>
        <v>3849.34</v>
      </c>
      <c r="C68" s="29"/>
      <c r="D68" s="67">
        <f>IFERROR(__xludf.DUMMYFUNCTION("""COMPUTED_VALUE"""),3849.34)</f>
        <v>3849.34</v>
      </c>
      <c r="G68" s="67"/>
    </row>
    <row r="69">
      <c r="A69" s="29" t="str">
        <f>IFERROR(__xludf.DUMMYFUNCTION("""COMPUTED_VALUE"""),"C1300-24XS")</f>
        <v>C1300-24XS</v>
      </c>
      <c r="B69" s="67">
        <f>IFERROR(__xludf.DUMMYFUNCTION("""COMPUTED_VALUE"""),3983.44)</f>
        <v>3983.44</v>
      </c>
      <c r="C69" s="29"/>
      <c r="D69" s="67">
        <f>IFERROR(__xludf.DUMMYFUNCTION("""COMPUTED_VALUE"""),3983.44)</f>
        <v>3983.44</v>
      </c>
      <c r="G69" s="67"/>
    </row>
    <row r="70">
      <c r="A70" s="29" t="str">
        <f>IFERROR(__xludf.DUMMYFUNCTION("""COMPUTED_VALUE"""),"C1300-24XT")</f>
        <v>C1300-24XT</v>
      </c>
      <c r="B70" s="67">
        <f>IFERROR(__xludf.DUMMYFUNCTION("""COMPUTED_VALUE"""),5118.44)</f>
        <v>5118.44</v>
      </c>
      <c r="C70" s="29"/>
      <c r="D70" s="67">
        <f>IFERROR(__xludf.DUMMYFUNCTION("""COMPUTED_VALUE"""),5118.44)</f>
        <v>5118.44</v>
      </c>
      <c r="G70" s="67"/>
    </row>
    <row r="71">
      <c r="A71" s="29" t="str">
        <f>IFERROR(__xludf.DUMMYFUNCTION("""COMPUTED_VALUE"""),"C1300-24XTS")</f>
        <v>C1300-24XTS</v>
      </c>
      <c r="B71" s="67">
        <f>IFERROR(__xludf.DUMMYFUNCTION("""COMPUTED_VALUE"""),4937.7)</f>
        <v>4937.7</v>
      </c>
      <c r="C71" s="29"/>
      <c r="D71" s="67">
        <f>IFERROR(__xludf.DUMMYFUNCTION("""COMPUTED_VALUE"""),4937.7)</f>
        <v>4937.7</v>
      </c>
      <c r="G71" s="67"/>
    </row>
    <row r="72">
      <c r="A72" s="29" t="str">
        <f>IFERROR(__xludf.DUMMYFUNCTION("""COMPUTED_VALUE"""),"C1300X-24T-4X")</f>
        <v>C1300X-24T-4X</v>
      </c>
      <c r="B72" s="67">
        <f>IFERROR(__xludf.DUMMYFUNCTION("""COMPUTED_VALUE"""),1187.92)</f>
        <v>1187.92</v>
      </c>
      <c r="C72" s="29"/>
      <c r="D72" s="67">
        <f>IFERROR(__xludf.DUMMYFUNCTION("""COMPUTED_VALUE"""),1187.92)</f>
        <v>1187.92</v>
      </c>
      <c r="G72" s="67"/>
    </row>
    <row r="73">
      <c r="A73" s="29" t="str">
        <f>IFERROR(__xludf.DUMMYFUNCTION("""COMPUTED_VALUE"""),"C1300X-48T-4X")</f>
        <v>C1300X-48T-4X</v>
      </c>
      <c r="B73" s="67">
        <f>IFERROR(__xludf.DUMMYFUNCTION("""COMPUTED_VALUE"""),1723.05)</f>
        <v>1723.05</v>
      </c>
      <c r="C73" s="29"/>
      <c r="D73" s="67">
        <f>IFERROR(__xludf.DUMMYFUNCTION("""COMPUTED_VALUE"""),1723.05)</f>
        <v>1723.05</v>
      </c>
      <c r="G73" s="67"/>
    </row>
    <row r="74">
      <c r="A74" s="29" t="str">
        <f>IFERROR(__xludf.DUMMYFUNCTION("""COMPUTED_VALUE"""),"C1300X-24P-4X")</f>
        <v>C1300X-24P-4X</v>
      </c>
      <c r="B74" s="67">
        <f>IFERROR(__xludf.DUMMYFUNCTION("""COMPUTED_VALUE"""),1925.65)</f>
        <v>1925.65</v>
      </c>
      <c r="C74" s="29"/>
      <c r="D74" s="67">
        <f>IFERROR(__xludf.DUMMYFUNCTION("""COMPUTED_VALUE"""),1925.65)</f>
        <v>1925.65</v>
      </c>
      <c r="G74" s="67"/>
    </row>
    <row r="75">
      <c r="A75" s="29" t="str">
        <f>IFERROR(__xludf.DUMMYFUNCTION("""COMPUTED_VALUE"""),"C1300X-48P-4X")</f>
        <v>C1300X-48P-4X</v>
      </c>
      <c r="B75" s="67">
        <f>IFERROR(__xludf.DUMMYFUNCTION("""COMPUTED_VALUE"""),2982.58)</f>
        <v>2982.58</v>
      </c>
      <c r="C75" s="29"/>
      <c r="D75" s="67">
        <f>IFERROR(__xludf.DUMMYFUNCTION("""COMPUTED_VALUE"""),2982.58)</f>
        <v>2982.58</v>
      </c>
      <c r="G75" s="67"/>
    </row>
    <row r="76">
      <c r="A76" s="29" t="str">
        <f>IFERROR(__xludf.DUMMYFUNCTION("""COMPUTED_VALUE"""),"C9500-32C")</f>
        <v>C9500-32C</v>
      </c>
      <c r="B76" s="67">
        <f>IFERROR(__xludf.DUMMYFUNCTION("""COMPUTED_VALUE"""),85280.32)</f>
        <v>85280.32</v>
      </c>
      <c r="C76" s="29"/>
      <c r="D76" s="67">
        <f>IFERROR(__xludf.DUMMYFUNCTION("""COMPUTED_VALUE"""),85280.32)</f>
        <v>85280.32</v>
      </c>
      <c r="G76" s="67"/>
    </row>
    <row r="77">
      <c r="A77" s="29" t="str">
        <f>IFERROR(__xludf.DUMMYFUNCTION("""COMPUTED_VALUE"""),"C9500-32QC")</f>
        <v>C9500-32QC</v>
      </c>
      <c r="B77" s="67">
        <f>IFERROR(__xludf.DUMMYFUNCTION("""COMPUTED_VALUE"""),76987.18)</f>
        <v>76987.18</v>
      </c>
      <c r="C77" s="29"/>
      <c r="D77" s="67">
        <f>IFERROR(__xludf.DUMMYFUNCTION("""COMPUTED_VALUE"""),76987.18)</f>
        <v>76987.18</v>
      </c>
      <c r="G77" s="67"/>
    </row>
    <row r="78">
      <c r="A78" s="29" t="str">
        <f>IFERROR(__xludf.DUMMYFUNCTION("""COMPUTED_VALUE"""),"C9500-48Y4C")</f>
        <v>C9500-48Y4C</v>
      </c>
      <c r="B78" s="67">
        <f>IFERROR(__xludf.DUMMYFUNCTION("""COMPUTED_VALUE"""),65076.01)</f>
        <v>65076.01</v>
      </c>
      <c r="C78" s="29"/>
      <c r="D78" s="67">
        <f>IFERROR(__xludf.DUMMYFUNCTION("""COMPUTED_VALUE"""),65076.01)</f>
        <v>65076.01</v>
      </c>
      <c r="G78" s="67"/>
    </row>
    <row r="79">
      <c r="A79" s="29" t="str">
        <f>IFERROR(__xludf.DUMMYFUNCTION("""COMPUTED_VALUE"""),"C9500-24Y4C")</f>
        <v>C9500-24Y4C</v>
      </c>
      <c r="B79" s="67">
        <f>IFERROR(__xludf.DUMMYFUNCTION("""COMPUTED_VALUE"""),54433.3)</f>
        <v>54433.3</v>
      </c>
      <c r="C79" s="29"/>
      <c r="D79" s="67">
        <f>IFERROR(__xludf.DUMMYFUNCTION("""COMPUTED_VALUE"""),54433.3)</f>
        <v>54433.3</v>
      </c>
      <c r="G79" s="67"/>
    </row>
    <row r="80">
      <c r="A80" s="29" t="str">
        <f>IFERROR(__xludf.DUMMYFUNCTION("""COMPUTED_VALUE"""),"C9500X-28C8D")</f>
        <v>C9500X-28C8D</v>
      </c>
      <c r="B80" s="67">
        <f>IFERROR(__xludf.DUMMYFUNCTION("""COMPUTED_VALUE"""),166221.42)</f>
        <v>166221.42</v>
      </c>
      <c r="C80" s="29"/>
      <c r="D80" s="67">
        <f>IFERROR(__xludf.DUMMYFUNCTION("""COMPUTED_VALUE"""),166221.42)</f>
        <v>166221.42</v>
      </c>
      <c r="G80" s="67"/>
    </row>
    <row r="81">
      <c r="A81" s="29" t="str">
        <f>IFERROR(__xludf.DUMMYFUNCTION("""COMPUTED_VALUE"""),"C9500X-60L4D")</f>
        <v>C9500X-60L4D</v>
      </c>
      <c r="B81" s="67">
        <f>IFERROR(__xludf.DUMMYFUNCTION("""COMPUTED_VALUE"""),127832.66)</f>
        <v>127832.66</v>
      </c>
      <c r="C81" s="29"/>
      <c r="D81" s="67">
        <f>IFERROR(__xludf.DUMMYFUNCTION("""COMPUTED_VALUE"""),127832.66)</f>
        <v>127832.66</v>
      </c>
      <c r="G81" s="67"/>
    </row>
    <row r="82">
      <c r="A82" s="29" t="str">
        <f>IFERROR(__xludf.DUMMYFUNCTION("""COMPUTED_VALUE"""),"APIC-CLUSTERG5")</f>
        <v>APIC-CLUSTERG5</v>
      </c>
      <c r="B82" s="67">
        <f>IFERROR(__xludf.DUMMYFUNCTION("""COMPUTED_VALUE"""),161856.78)</f>
        <v>161856.78</v>
      </c>
      <c r="C82" s="29"/>
      <c r="D82" s="67">
        <f>IFERROR(__xludf.DUMMYFUNCTION("""COMPUTED_VALUE"""),161856.78)</f>
        <v>161856.78</v>
      </c>
      <c r="G82" s="67"/>
    </row>
    <row r="83">
      <c r="A83" s="29" t="str">
        <f>IFERROR(__xludf.DUMMYFUNCTION("""COMPUTED_VALUE"""),"N9K-C9504")</f>
        <v>N9K-C9504</v>
      </c>
      <c r="B83" s="67">
        <f>IFERROR(__xludf.DUMMYFUNCTION("""COMPUTED_VALUE"""),361526.13)</f>
        <v>361526.13</v>
      </c>
      <c r="C83" s="29"/>
      <c r="D83" s="67">
        <f>IFERROR(__xludf.DUMMYFUNCTION("""COMPUTED_VALUE"""),361526.13)</f>
        <v>361526.13</v>
      </c>
      <c r="G83" s="67"/>
    </row>
    <row r="84">
      <c r="A84" s="29" t="str">
        <f>IFERROR(__xludf.DUMMYFUNCTION("""COMPUTED_VALUE"""),"N9K-X9736C-FX3=")</f>
        <v>N9K-X9736C-FX3=</v>
      </c>
      <c r="B84" s="67">
        <f>IFERROR(__xludf.DUMMYFUNCTION("""COMPUTED_VALUE"""),56066.35)</f>
        <v>56066.35</v>
      </c>
      <c r="C84" s="29"/>
      <c r="D84" s="67">
        <f>IFERROR(__xludf.DUMMYFUNCTION("""COMPUTED_VALUE"""),56066.35)</f>
        <v>56066.35</v>
      </c>
      <c r="G84" s="67"/>
    </row>
    <row r="85">
      <c r="A85" s="29" t="str">
        <f>IFERROR(__xludf.DUMMYFUNCTION("""COMPUTED_VALUE"""),"N9K-C93600CD-GX")</f>
        <v>N9K-C93600CD-GX</v>
      </c>
      <c r="B85" s="67">
        <f>IFERROR(__xludf.DUMMYFUNCTION("""COMPUTED_VALUE"""),118659.89)</f>
        <v>118659.89</v>
      </c>
      <c r="C85" s="29"/>
      <c r="D85" s="67">
        <f>IFERROR(__xludf.DUMMYFUNCTION("""COMPUTED_VALUE"""),118659.89)</f>
        <v>118659.89</v>
      </c>
      <c r="G85" s="67"/>
    </row>
    <row r="86">
      <c r="A86" s="29" t="str">
        <f>IFERROR(__xludf.DUMMYFUNCTION("""COMPUTED_VALUE"""),"N9K-C93180YC-FX3")</f>
        <v>N9K-C93180YC-FX3</v>
      </c>
      <c r="B86" s="67">
        <f>IFERROR(__xludf.DUMMYFUNCTION("""COMPUTED_VALUE"""),69697.92)</f>
        <v>69697.92</v>
      </c>
      <c r="C86" s="29"/>
      <c r="D86" s="67">
        <f>IFERROR(__xludf.DUMMYFUNCTION("""COMPUTED_VALUE"""),69697.92)</f>
        <v>69697.92</v>
      </c>
      <c r="G86" s="67"/>
    </row>
    <row r="87">
      <c r="A87" s="29" t="str">
        <f>IFERROR(__xludf.DUMMYFUNCTION("""COMPUTED_VALUE"""),"N9K-C9348GC-FX3")</f>
        <v>N9K-C9348GC-FX3</v>
      </c>
      <c r="B87" s="67">
        <f>IFERROR(__xludf.DUMMYFUNCTION("""COMPUTED_VALUE"""),30084.92)</f>
        <v>30084.92</v>
      </c>
      <c r="C87" s="29"/>
      <c r="D87" s="67">
        <f>IFERROR(__xludf.DUMMYFUNCTION("""COMPUTED_VALUE"""),30084.92)</f>
        <v>30084.92</v>
      </c>
      <c r="G87" s="67"/>
    </row>
    <row r="88">
      <c r="A88" s="29" t="str">
        <f>IFERROR(__xludf.DUMMYFUNCTION("""COMPUTED_VALUE"""),"QSFP-100G-LR-S=")</f>
        <v>QSFP-100G-LR-S=</v>
      </c>
      <c r="B88" s="67">
        <f>IFERROR(__xludf.DUMMYFUNCTION("""COMPUTED_VALUE"""),4130.83)</f>
        <v>4130.83</v>
      </c>
      <c r="C88" s="29"/>
      <c r="D88" s="67">
        <f>IFERROR(__xludf.DUMMYFUNCTION("""COMPUTED_VALUE"""),4130.83)</f>
        <v>4130.83</v>
      </c>
      <c r="G88" s="67"/>
    </row>
    <row r="89">
      <c r="A89" s="29" t="str">
        <f>IFERROR(__xludf.DUMMYFUNCTION("""COMPUTED_VALUE"""),"C1161X-8P")</f>
        <v>C1161X-8P</v>
      </c>
      <c r="B89" s="67">
        <f>IFERROR(__xludf.DUMMYFUNCTION("""COMPUTED_VALUE"""),10544.189999999999)</f>
        <v>10544.19</v>
      </c>
      <c r="C89" s="67">
        <f>IFERROR(__xludf.DUMMYFUNCTION("""COMPUTED_VALUE"""),26500.0)</f>
        <v>26500</v>
      </c>
      <c r="D89" s="67">
        <f>IFERROR(__xludf.DUMMYFUNCTION("""COMPUTED_VALUE"""),26500.0)</f>
        <v>26500</v>
      </c>
      <c r="G89" s="67"/>
    </row>
    <row r="90">
      <c r="A90" s="29" t="str">
        <f>IFERROR(__xludf.DUMMYFUNCTION("""COMPUTED_VALUE"""),"C1127-8PLTEP")</f>
        <v>C1127-8PLTEP</v>
      </c>
      <c r="B90" s="67">
        <f>IFERROR(__xludf.DUMMYFUNCTION("""COMPUTED_VALUE"""),9119.72)</f>
        <v>9119.72</v>
      </c>
      <c r="C90" s="67">
        <f>IFERROR(__xludf.DUMMYFUNCTION("""COMPUTED_VALUE"""),32500.0)</f>
        <v>32500</v>
      </c>
      <c r="D90" s="67">
        <f>IFERROR(__xludf.DUMMYFUNCTION("""COMPUTED_VALUE"""),32500.0)</f>
        <v>32500</v>
      </c>
      <c r="G90" s="67"/>
    </row>
    <row r="91">
      <c r="A91" s="29" t="str">
        <f>IFERROR(__xludf.DUMMYFUNCTION("""COMPUTED_VALUE"""),"C1117-4P")</f>
        <v>C1117-4P</v>
      </c>
      <c r="B91" s="67">
        <f>IFERROR(__xludf.DUMMYFUNCTION("""COMPUTED_VALUE"""),8670.439999999999)</f>
        <v>8670.44</v>
      </c>
      <c r="C91" s="67">
        <f>IFERROR(__xludf.DUMMYFUNCTION("""COMPUTED_VALUE"""),192000.0)</f>
        <v>192000</v>
      </c>
      <c r="D91" s="67">
        <f>IFERROR(__xludf.DUMMYFUNCTION("""COMPUTED_VALUE"""),192000.0)</f>
        <v>192000</v>
      </c>
      <c r="G91" s="67"/>
    </row>
    <row r="92">
      <c r="A92" s="29" t="str">
        <f>IFERROR(__xludf.DUMMYFUNCTION("""COMPUTED_VALUE"""),"C1109-4PLTE2P")</f>
        <v>C1109-4PLTE2P</v>
      </c>
      <c r="B92" s="67">
        <f>IFERROR(__xludf.DUMMYFUNCTION("""COMPUTED_VALUE"""),9255.74)</f>
        <v>9255.74</v>
      </c>
      <c r="C92" s="29"/>
      <c r="D92" s="67">
        <f>IFERROR(__xludf.DUMMYFUNCTION("""COMPUTED_VALUE"""),9255.74)</f>
        <v>9255.74</v>
      </c>
      <c r="G92" s="67"/>
    </row>
    <row r="93">
      <c r="A93" s="29" t="str">
        <f>IFERROR(__xludf.DUMMYFUNCTION("""COMPUTED_VALUE"""),"C1161-8P")</f>
        <v>C1161-8P</v>
      </c>
      <c r="B93" s="67">
        <f>IFERROR(__xludf.DUMMYFUNCTION("""COMPUTED_VALUE"""),9295.63)</f>
        <v>9295.63</v>
      </c>
      <c r="C93" s="29"/>
      <c r="D93" s="67">
        <f>IFERROR(__xludf.DUMMYFUNCTION("""COMPUTED_VALUE"""),9295.63)</f>
        <v>9295.63</v>
      </c>
      <c r="G93" s="67"/>
    </row>
    <row r="94">
      <c r="A94" s="29" t="str">
        <f>IFERROR(__xludf.DUMMYFUNCTION("""COMPUTED_VALUE"""),"C1131-8PWS")</f>
        <v>C1131-8PWS</v>
      </c>
      <c r="B94" s="67">
        <f>IFERROR(__xludf.DUMMYFUNCTION("""COMPUTED_VALUE"""),9167.72)</f>
        <v>9167.72</v>
      </c>
      <c r="C94" s="29"/>
      <c r="D94" s="67">
        <f>IFERROR(__xludf.DUMMYFUNCTION("""COMPUTED_VALUE"""),9167.72)</f>
        <v>9167.72</v>
      </c>
      <c r="G94" s="67"/>
    </row>
    <row r="95">
      <c r="A95" s="29" t="str">
        <f>IFERROR(__xludf.DUMMYFUNCTION("""COMPUTED_VALUE"""),"C1131X-8PWS")</f>
        <v>C1131X-8PWS</v>
      </c>
      <c r="B95" s="67">
        <f>IFERROR(__xludf.DUMMYFUNCTION("""COMPUTED_VALUE"""),9409.5)</f>
        <v>9409.5</v>
      </c>
      <c r="C95" s="29"/>
      <c r="D95" s="67">
        <f>IFERROR(__xludf.DUMMYFUNCTION("""COMPUTED_VALUE"""),9409.5)</f>
        <v>9409.5</v>
      </c>
      <c r="G95" s="67"/>
    </row>
    <row r="96">
      <c r="A96" s="29" t="str">
        <f>IFERROR(__xludf.DUMMYFUNCTION("""COMPUTED_VALUE"""),"C1121-4P")</f>
        <v>C1121-4P</v>
      </c>
      <c r="B96" s="67">
        <f>IFERROR(__xludf.DUMMYFUNCTION("""COMPUTED_VALUE"""),8116.299999999999)</f>
        <v>8116.3</v>
      </c>
      <c r="C96" s="29"/>
      <c r="D96" s="67">
        <f>IFERROR(__xludf.DUMMYFUNCTION("""COMPUTED_VALUE"""),8116.299999999999)</f>
        <v>8116.3</v>
      </c>
      <c r="G96" s="67"/>
    </row>
    <row r="97">
      <c r="A97" s="29" t="str">
        <f>IFERROR(__xludf.DUMMYFUNCTION("""COMPUTED_VALUE"""),"C1121-8P")</f>
        <v>C1121-8P</v>
      </c>
      <c r="B97" s="67">
        <f>IFERROR(__xludf.DUMMYFUNCTION("""COMPUTED_VALUE"""),8446.06)</f>
        <v>8446.06</v>
      </c>
      <c r="C97" s="29"/>
      <c r="D97" s="67">
        <f>IFERROR(__xludf.DUMMYFUNCTION("""COMPUTED_VALUE"""),8446.06)</f>
        <v>8446.06</v>
      </c>
      <c r="G97" s="67"/>
    </row>
    <row r="98">
      <c r="A98" s="29" t="str">
        <f>IFERROR(__xludf.DUMMYFUNCTION("""COMPUTED_VALUE"""),"C1116-4P")</f>
        <v>C1116-4P</v>
      </c>
      <c r="B98" s="67">
        <f>IFERROR(__xludf.DUMMYFUNCTION("""COMPUTED_VALUE"""),8670.439999999999)</f>
        <v>8670.44</v>
      </c>
      <c r="C98" s="29"/>
      <c r="D98" s="67">
        <f>IFERROR(__xludf.DUMMYFUNCTION("""COMPUTED_VALUE"""),8670.439999999999)</f>
        <v>8670.44</v>
      </c>
      <c r="G98" s="67"/>
    </row>
    <row r="99">
      <c r="A99" s="29" t="str">
        <f>IFERROR(__xludf.DUMMYFUNCTION("""COMPUTED_VALUE"""),"C1112-8P")</f>
        <v>C1112-8P</v>
      </c>
      <c r="B99" s="67">
        <f>IFERROR(__xludf.DUMMYFUNCTION("""COMPUTED_VALUE"""),9786.58)</f>
        <v>9786.58</v>
      </c>
      <c r="C99" s="29"/>
      <c r="D99" s="67">
        <f>IFERROR(__xludf.DUMMYFUNCTION("""COMPUTED_VALUE"""),9786.58)</f>
        <v>9786.58</v>
      </c>
      <c r="G99" s="67"/>
    </row>
    <row r="100">
      <c r="A100" s="29" t="str">
        <f>IFERROR(__xludf.DUMMYFUNCTION("""COMPUTED_VALUE"""),"C8355-G2 (Default Routing)")</f>
        <v>C8355-G2 (Default Routing)</v>
      </c>
      <c r="B100" s="67">
        <f>IFERROR(__xludf.DUMMYFUNCTION("""COMPUTED_VALUE"""),26043.76)</f>
        <v>26043.76</v>
      </c>
      <c r="C100" s="29"/>
      <c r="D100" s="67">
        <f>IFERROR(__xludf.DUMMYFUNCTION("""COMPUTED_VALUE"""),26043.76)</f>
        <v>26043.76</v>
      </c>
      <c r="G100" s="67"/>
    </row>
    <row r="101">
      <c r="A101" s="29" t="str">
        <f>IFERROR(__xludf.DUMMYFUNCTION("""COMPUTED_VALUE"""),"C8355-G2 (Adv Routing)")</f>
        <v>C8355-G2 (Adv Routing)</v>
      </c>
      <c r="B101" s="67">
        <f>IFERROR(__xludf.DUMMYFUNCTION("""COMPUTED_VALUE"""),36123.759999999995)</f>
        <v>36123.76</v>
      </c>
      <c r="C101" s="29"/>
      <c r="D101" s="67">
        <f>IFERROR(__xludf.DUMMYFUNCTION("""COMPUTED_VALUE"""),36123.759999999995)</f>
        <v>36123.76</v>
      </c>
      <c r="G101" s="67"/>
    </row>
    <row r="102">
      <c r="A102" s="29" t="str">
        <f>IFERROR(__xludf.DUMMYFUNCTION("""COMPUTED_VALUE"""),"C8355-G2 (SDWAN)")</f>
        <v>C8355-G2 (SDWAN)</v>
      </c>
      <c r="B102" s="67">
        <f>IFERROR(__xludf.DUMMYFUNCTION("""COMPUTED_VALUE"""),40227.759999999995)</f>
        <v>40227.76</v>
      </c>
      <c r="C102" s="29"/>
      <c r="D102" s="67">
        <f>IFERROR(__xludf.DUMMYFUNCTION("""COMPUTED_VALUE"""),40227.759999999995)</f>
        <v>40227.76</v>
      </c>
      <c r="G102" s="67"/>
    </row>
    <row r="103">
      <c r="A103" s="29" t="str">
        <f>IFERROR(__xludf.DUMMYFUNCTION("""COMPUTED_VALUE"""),"C8355-G2 (Full Adds On)")</f>
        <v>C8355-G2 (Full Adds On)</v>
      </c>
      <c r="B103" s="67">
        <f>IFERROR(__xludf.DUMMYFUNCTION("""COMPUTED_VALUE"""),42063.759999999995)</f>
        <v>42063.76</v>
      </c>
      <c r="C103" s="29"/>
      <c r="D103" s="67">
        <f>IFERROR(__xludf.DUMMYFUNCTION("""COMPUTED_VALUE"""),42063.759999999995)</f>
        <v>42063.76</v>
      </c>
      <c r="G103" s="67"/>
    </row>
    <row r="104">
      <c r="A104" s="29" t="str">
        <f>IFERROR(__xludf.DUMMYFUNCTION("""COMPUTED_VALUE"""),"C8375-E-G2 (Default Routing)")</f>
        <v>C8375-E-G2 (Default Routing)</v>
      </c>
      <c r="B104" s="67">
        <f>IFERROR(__xludf.DUMMYFUNCTION("""COMPUTED_VALUE"""),44396.56)</f>
        <v>44396.56</v>
      </c>
      <c r="C104" s="29"/>
      <c r="D104" s="67">
        <f>IFERROR(__xludf.DUMMYFUNCTION("""COMPUTED_VALUE"""),44396.56)</f>
        <v>44396.56</v>
      </c>
      <c r="G104" s="67"/>
    </row>
    <row r="105">
      <c r="A105" s="29" t="str">
        <f>IFERROR(__xludf.DUMMYFUNCTION("""COMPUTED_VALUE"""),"C8375-E-G2 (Adv Routing)")</f>
        <v>C8375-E-G2 (Adv Routing)</v>
      </c>
      <c r="B105" s="67">
        <f>IFERROR(__xludf.DUMMYFUNCTION("""COMPUTED_VALUE"""),54476.56)</f>
        <v>54476.56</v>
      </c>
      <c r="C105" s="29"/>
      <c r="D105" s="67">
        <f>IFERROR(__xludf.DUMMYFUNCTION("""COMPUTED_VALUE"""),54476.56)</f>
        <v>54476.56</v>
      </c>
      <c r="G105" s="67"/>
    </row>
    <row r="106">
      <c r="A106" s="29" t="str">
        <f>IFERROR(__xludf.DUMMYFUNCTION("""COMPUTED_VALUE"""),"C8375-E-G2 (SDWAN)")</f>
        <v>C8375-E-G2 (SDWAN)</v>
      </c>
      <c r="B106" s="67">
        <f>IFERROR(__xludf.DUMMYFUNCTION("""COMPUTED_VALUE"""),58580.56)</f>
        <v>58580.56</v>
      </c>
      <c r="C106" s="29"/>
      <c r="D106" s="67">
        <f>IFERROR(__xludf.DUMMYFUNCTION("""COMPUTED_VALUE"""),58580.56)</f>
        <v>58580.56</v>
      </c>
      <c r="G106" s="67"/>
    </row>
    <row r="107">
      <c r="A107" s="29" t="str">
        <f>IFERROR(__xludf.DUMMYFUNCTION("""COMPUTED_VALUE"""),"C8375-E-G2 (Full Adds On)")</f>
        <v>C8375-E-G2 (Full Adds On)</v>
      </c>
      <c r="B107" s="67">
        <f>IFERROR(__xludf.DUMMYFUNCTION("""COMPUTED_VALUE"""),60416.56)</f>
        <v>60416.56</v>
      </c>
      <c r="C107" s="29"/>
      <c r="D107" s="67">
        <f>IFERROR(__xludf.DUMMYFUNCTION("""COMPUTED_VALUE"""),60416.56)</f>
        <v>60416.56</v>
      </c>
      <c r="G107" s="67"/>
    </row>
    <row r="108">
      <c r="A108" s="29" t="str">
        <f>IFERROR(__xludf.DUMMYFUNCTION("""COMPUTED_VALUE"""),"C8550-G2 (Default Routing)")</f>
        <v>C8550-G2 (Default Routing)</v>
      </c>
      <c r="B108" s="67">
        <f>IFERROR(__xludf.DUMMYFUNCTION("""COMPUTED_VALUE"""),182038.62)</f>
        <v>182038.62</v>
      </c>
      <c r="C108" s="29"/>
      <c r="D108" s="67">
        <f>IFERROR(__xludf.DUMMYFUNCTION("""COMPUTED_VALUE"""),182038.62)</f>
        <v>182038.62</v>
      </c>
      <c r="G108" s="67"/>
    </row>
    <row r="109">
      <c r="A109" s="29" t="str">
        <f>IFERROR(__xludf.DUMMYFUNCTION("""COMPUTED_VALUE"""),"C8550-G2 (Adv Routing)")</f>
        <v>C8550-G2 (Adv Routing)</v>
      </c>
      <c r="B109" s="67">
        <f>IFERROR(__xludf.DUMMYFUNCTION("""COMPUTED_VALUE"""),215638.62)</f>
        <v>215638.62</v>
      </c>
      <c r="C109" s="29"/>
      <c r="D109" s="67">
        <f>IFERROR(__xludf.DUMMYFUNCTION("""COMPUTED_VALUE"""),215638.62)</f>
        <v>215638.62</v>
      </c>
      <c r="G109" s="67"/>
    </row>
    <row r="110">
      <c r="A110" s="29" t="str">
        <f>IFERROR(__xludf.DUMMYFUNCTION("""COMPUTED_VALUE"""),"C8550-G2 (SDWAN)")</f>
        <v>C8550-G2 (SDWAN)</v>
      </c>
      <c r="B110" s="67">
        <f>IFERROR(__xludf.DUMMYFUNCTION("""COMPUTED_VALUE"""),237226.62)</f>
        <v>237226.62</v>
      </c>
      <c r="C110" s="29"/>
      <c r="D110" s="67">
        <f>IFERROR(__xludf.DUMMYFUNCTION("""COMPUTED_VALUE"""),237226.62)</f>
        <v>237226.62</v>
      </c>
      <c r="G110" s="67"/>
    </row>
    <row r="111">
      <c r="A111" s="29" t="str">
        <f>IFERROR(__xludf.DUMMYFUNCTION("""COMPUTED_VALUE"""),"C8570-G2 (Default Routing)")</f>
        <v>C8570-G2 (Default Routing)</v>
      </c>
      <c r="B111" s="67">
        <f>IFERROR(__xludf.DUMMYFUNCTION("""COMPUTED_VALUE"""),254910.54)</f>
        <v>254910.54</v>
      </c>
      <c r="C111" s="29"/>
      <c r="D111" s="67">
        <f>IFERROR(__xludf.DUMMYFUNCTION("""COMPUTED_VALUE"""),254910.54)</f>
        <v>254910.54</v>
      </c>
      <c r="G111" s="67"/>
    </row>
    <row r="112">
      <c r="A112" s="29" t="str">
        <f>IFERROR(__xludf.DUMMYFUNCTION("""COMPUTED_VALUE"""),"C8570-G2 (Adv Routing)")</f>
        <v>C8570-G2 (Adv Routing)</v>
      </c>
      <c r="B112" s="67">
        <f>IFERROR(__xludf.DUMMYFUNCTION("""COMPUTED_VALUE"""),288510.54000000004)</f>
        <v>288510.54</v>
      </c>
      <c r="C112" s="29"/>
      <c r="D112" s="67">
        <f>IFERROR(__xludf.DUMMYFUNCTION("""COMPUTED_VALUE"""),288510.54000000004)</f>
        <v>288510.54</v>
      </c>
      <c r="G112" s="67"/>
    </row>
    <row r="113">
      <c r="A113" s="29" t="str">
        <f>IFERROR(__xludf.DUMMYFUNCTION("""COMPUTED_VALUE"""),"C8570-G2 (SDWAN)")</f>
        <v>C8570-G2 (SDWAN)</v>
      </c>
      <c r="B113" s="67">
        <f>IFERROR(__xludf.DUMMYFUNCTION("""COMPUTED_VALUE"""),310098.54000000004)</f>
        <v>310098.54</v>
      </c>
      <c r="C113" s="29"/>
      <c r="D113" s="67">
        <f>IFERROR(__xludf.DUMMYFUNCTION("""COMPUTED_VALUE"""),310098.54000000004)</f>
        <v>310098.54</v>
      </c>
      <c r="G113" s="67"/>
    </row>
    <row r="114">
      <c r="A114" s="29" t="str">
        <f>IFERROR(__xludf.DUMMYFUNCTION("""COMPUTED_VALUE"""),"C8455-G2 (Default Routing)")</f>
        <v>C8455-G2 (Default Routing)</v>
      </c>
      <c r="B114" s="67">
        <f>IFERROR(__xludf.DUMMYFUNCTION("""COMPUTED_VALUE"""),60581.28)</f>
        <v>60581.28</v>
      </c>
      <c r="C114" s="29"/>
      <c r="D114" s="67">
        <f>IFERROR(__xludf.DUMMYFUNCTION("""COMPUTED_VALUE"""),60581.28)</f>
        <v>60581.28</v>
      </c>
      <c r="G114" s="67"/>
    </row>
    <row r="115">
      <c r="A115" s="29" t="str">
        <f>IFERROR(__xludf.DUMMYFUNCTION("""COMPUTED_VALUE"""),"C8455-G2 (Adv Routing)")</f>
        <v>C8455-G2 (Adv Routing)</v>
      </c>
      <c r="B115" s="67">
        <f>IFERROR(__xludf.DUMMYFUNCTION("""COMPUTED_VALUE"""),94181.28)</f>
        <v>94181.28</v>
      </c>
      <c r="C115" s="29"/>
      <c r="D115" s="67">
        <f>IFERROR(__xludf.DUMMYFUNCTION("""COMPUTED_VALUE"""),94181.28)</f>
        <v>94181.28</v>
      </c>
      <c r="G115" s="67"/>
    </row>
    <row r="116">
      <c r="A116" s="29" t="str">
        <f>IFERROR(__xludf.DUMMYFUNCTION("""COMPUTED_VALUE"""),"C8455-G2 (SDWAN)")</f>
        <v>C8455-G2 (SDWAN)</v>
      </c>
      <c r="B116" s="67">
        <f>IFERROR(__xludf.DUMMYFUNCTION("""COMPUTED_VALUE"""),115769.28)</f>
        <v>115769.28</v>
      </c>
      <c r="C116" s="29"/>
      <c r="D116" s="67">
        <f>IFERROR(__xludf.DUMMYFUNCTION("""COMPUTED_VALUE"""),115769.28)</f>
        <v>115769.28</v>
      </c>
      <c r="G116" s="67"/>
    </row>
    <row r="117">
      <c r="A117" s="29" t="str">
        <f>IFERROR(__xludf.DUMMYFUNCTION("""COMPUTED_VALUE"""),"C8455-G2 (Full Adds On)")</f>
        <v>C8455-G2 (Full Adds On)</v>
      </c>
      <c r="B117" s="67">
        <f>IFERROR(__xludf.DUMMYFUNCTION("""COMPUTED_VALUE"""),119441.28)</f>
        <v>119441.28</v>
      </c>
      <c r="C117" s="29"/>
      <c r="D117" s="67">
        <f>IFERROR(__xludf.DUMMYFUNCTION("""COMPUTED_VALUE"""),119441.28)</f>
        <v>119441.28</v>
      </c>
      <c r="G117" s="67"/>
    </row>
    <row r="118">
      <c r="A118" s="29" t="str">
        <f>IFERROR(__xludf.DUMMYFUNCTION("""COMPUTED_VALUE"""),"C8475-G2 (Default Routing)")</f>
        <v>C8475-G2 (Default Routing)</v>
      </c>
      <c r="B118" s="67">
        <f>IFERROR(__xludf.DUMMYFUNCTION("""COMPUTED_VALUE"""),109166.7)</f>
        <v>109166.7</v>
      </c>
      <c r="C118" s="29"/>
      <c r="D118" s="67">
        <f>IFERROR(__xludf.DUMMYFUNCTION("""COMPUTED_VALUE"""),109166.7)</f>
        <v>109166.7</v>
      </c>
      <c r="G118" s="67"/>
    </row>
    <row r="119">
      <c r="A119" s="29" t="str">
        <f>IFERROR(__xludf.DUMMYFUNCTION("""COMPUTED_VALUE"""),"C8475-G2 (Adv Routing)")</f>
        <v>C8475-G2 (Adv Routing)</v>
      </c>
      <c r="B119" s="67">
        <f>IFERROR(__xludf.DUMMYFUNCTION("""COMPUTED_VALUE"""),142766.7)</f>
        <v>142766.7</v>
      </c>
      <c r="C119" s="29"/>
      <c r="D119" s="67">
        <f>IFERROR(__xludf.DUMMYFUNCTION("""COMPUTED_VALUE"""),142766.7)</f>
        <v>142766.7</v>
      </c>
      <c r="G119" s="67"/>
    </row>
    <row r="120">
      <c r="A120" s="29" t="str">
        <f>IFERROR(__xludf.DUMMYFUNCTION("""COMPUTED_VALUE"""),"C8475-G2 (SDWAN)")</f>
        <v>C8475-G2 (SDWAN)</v>
      </c>
      <c r="B120" s="67">
        <f>IFERROR(__xludf.DUMMYFUNCTION("""COMPUTED_VALUE"""),164354.7)</f>
        <v>164354.7</v>
      </c>
      <c r="C120" s="29"/>
      <c r="D120" s="67">
        <f>IFERROR(__xludf.DUMMYFUNCTION("""COMPUTED_VALUE"""),164354.7)</f>
        <v>164354.7</v>
      </c>
      <c r="G120" s="67"/>
    </row>
    <row r="121">
      <c r="A121" s="29" t="str">
        <f>IFERROR(__xludf.DUMMYFUNCTION("""COMPUTED_VALUE"""),"C8475-G2 (Full Adds On)")</f>
        <v>C8475-G2 (Full Adds On)</v>
      </c>
      <c r="B121" s="67">
        <f>IFERROR(__xludf.DUMMYFUNCTION("""COMPUTED_VALUE"""),168026.7)</f>
        <v>168026.7</v>
      </c>
      <c r="C121" s="29"/>
      <c r="D121" s="67">
        <f>IFERROR(__xludf.DUMMYFUNCTION("""COMPUTED_VALUE"""),168026.7)</f>
        <v>168026.7</v>
      </c>
      <c r="G121" s="67"/>
    </row>
    <row r="122">
      <c r="A122" s="29" t="str">
        <f>IFERROR(__xludf.DUMMYFUNCTION("""COMPUTED_VALUE"""),"C8235-E-G2 (Default Routing)")</f>
        <v>C8235-E-G2 (Default Routing)</v>
      </c>
      <c r="B122" s="67">
        <f>IFERROR(__xludf.DUMMYFUNCTION("""COMPUTED_VALUE"""),13967.14)</f>
        <v>13967.14</v>
      </c>
      <c r="C122" s="29"/>
      <c r="D122" s="67">
        <f>IFERROR(__xludf.DUMMYFUNCTION("""COMPUTED_VALUE"""),13967.14)</f>
        <v>13967.14</v>
      </c>
      <c r="G122" s="67"/>
    </row>
    <row r="123">
      <c r="A123" s="29" t="str">
        <f>IFERROR(__xludf.DUMMYFUNCTION("""COMPUTED_VALUE"""),"C8235-E-G2 (Adv Routing)")</f>
        <v>C8235-E-G2 (Adv Routing)</v>
      </c>
      <c r="B123" s="67">
        <f>IFERROR(__xludf.DUMMYFUNCTION("""COMPUTED_VALUE"""),17999.14)</f>
        <v>17999.14</v>
      </c>
      <c r="C123" s="29"/>
      <c r="D123" s="67">
        <f>IFERROR(__xludf.DUMMYFUNCTION("""COMPUTED_VALUE"""),17999.14)</f>
        <v>17999.14</v>
      </c>
      <c r="G123" s="67"/>
    </row>
    <row r="124">
      <c r="A124" s="29" t="str">
        <f>IFERROR(__xludf.DUMMYFUNCTION("""COMPUTED_VALUE"""),"C8235-E-G2 (SDWAN)")</f>
        <v>C8235-E-G2 (SDWAN)</v>
      </c>
      <c r="B124" s="67">
        <f>IFERROR(__xludf.DUMMYFUNCTION("""COMPUTED_VALUE"""),18647.14)</f>
        <v>18647.14</v>
      </c>
      <c r="C124" s="29"/>
      <c r="D124" s="67">
        <f>IFERROR(__xludf.DUMMYFUNCTION("""COMPUTED_VALUE"""),18647.14)</f>
        <v>18647.14</v>
      </c>
      <c r="G124" s="67"/>
    </row>
    <row r="125">
      <c r="A125" s="29" t="str">
        <f>IFERROR(__xludf.DUMMYFUNCTION("""COMPUTED_VALUE"""),"C8235-E-G2 (Full Adds On)")</f>
        <v>C8235-E-G2 (Full Adds On)</v>
      </c>
      <c r="B125" s="67">
        <f>IFERROR(__xludf.DUMMYFUNCTION("""COMPUTED_VALUE"""),19295.14)</f>
        <v>19295.14</v>
      </c>
      <c r="C125" s="29"/>
      <c r="D125" s="67">
        <f>IFERROR(__xludf.DUMMYFUNCTION("""COMPUTED_VALUE"""),19295.14)</f>
        <v>19295.14</v>
      </c>
      <c r="G125" s="67"/>
    </row>
    <row r="126">
      <c r="A126" s="29" t="str">
        <f>IFERROR(__xludf.DUMMYFUNCTION("""COMPUTED_VALUE"""),"C8231-E-G2 (Default Routing)")</f>
        <v>C8231-E-G2 (Default Routing)</v>
      </c>
      <c r="B126" s="67">
        <f>IFERROR(__xludf.DUMMYFUNCTION("""COMPUTED_VALUE"""),11093.35)</f>
        <v>11093.35</v>
      </c>
      <c r="C126" s="29"/>
      <c r="D126" s="67">
        <f>IFERROR(__xludf.DUMMYFUNCTION("""COMPUTED_VALUE"""),11093.35)</f>
        <v>11093.35</v>
      </c>
      <c r="G126" s="67"/>
    </row>
    <row r="127">
      <c r="A127" s="29" t="str">
        <f>IFERROR(__xludf.DUMMYFUNCTION("""COMPUTED_VALUE"""),"C8231-E-G2 (Adv Routing)")</f>
        <v>C8231-E-G2 (Adv Routing)</v>
      </c>
      <c r="B127" s="67">
        <f>IFERROR(__xludf.DUMMYFUNCTION("""COMPUTED_VALUE"""),15125.35)</f>
        <v>15125.35</v>
      </c>
      <c r="C127" s="29"/>
      <c r="D127" s="67">
        <f>IFERROR(__xludf.DUMMYFUNCTION("""COMPUTED_VALUE"""),15125.35)</f>
        <v>15125.35</v>
      </c>
      <c r="G127" s="67"/>
    </row>
    <row r="128">
      <c r="A128" s="29" t="str">
        <f>IFERROR(__xludf.DUMMYFUNCTION("""COMPUTED_VALUE"""),"C8231-E-G2 (SDWAN)")</f>
        <v>C8231-E-G2 (SDWAN)</v>
      </c>
      <c r="B128" s="67">
        <f>IFERROR(__xludf.DUMMYFUNCTION("""COMPUTED_VALUE"""),15773.35)</f>
        <v>15773.35</v>
      </c>
      <c r="C128" s="29"/>
      <c r="D128" s="67">
        <f>IFERROR(__xludf.DUMMYFUNCTION("""COMPUTED_VALUE"""),15773.35)</f>
        <v>15773.35</v>
      </c>
      <c r="G128" s="67"/>
    </row>
    <row r="129">
      <c r="A129" s="29" t="str">
        <f>IFERROR(__xludf.DUMMYFUNCTION("""COMPUTED_VALUE"""),"C8231-E-G2 (Full Adds On)")</f>
        <v>C8231-E-G2 (Full Adds On)</v>
      </c>
      <c r="B129" s="67">
        <f>IFERROR(__xludf.DUMMYFUNCTION("""COMPUTED_VALUE"""),16421.35)</f>
        <v>16421.35</v>
      </c>
      <c r="C129" s="29"/>
      <c r="D129" s="67">
        <f>IFERROR(__xludf.DUMMYFUNCTION("""COMPUTED_VALUE"""),16421.35)</f>
        <v>16421.35</v>
      </c>
      <c r="G129" s="67"/>
    </row>
    <row r="130">
      <c r="A130" s="29" t="str">
        <f>IFERROR(__xludf.DUMMYFUNCTION("""COMPUTED_VALUE"""),"C8235-G2 (Default Routing)")</f>
        <v>C8235-G2 (Default Routing)</v>
      </c>
      <c r="B130" s="67">
        <f>IFERROR(__xludf.DUMMYFUNCTION("""COMPUTED_VALUE"""),11149.27)</f>
        <v>11149.27</v>
      </c>
      <c r="C130" s="29"/>
      <c r="D130" s="67">
        <f>IFERROR(__xludf.DUMMYFUNCTION("""COMPUTED_VALUE"""),11149.27)</f>
        <v>11149.27</v>
      </c>
      <c r="G130" s="67"/>
    </row>
    <row r="131">
      <c r="A131" s="29" t="str">
        <f>IFERROR(__xludf.DUMMYFUNCTION("""COMPUTED_VALUE"""),"C8235-G2 (Adv Routing)")</f>
        <v>C8235-G2 (Adv Routing)</v>
      </c>
      <c r="B131" s="67">
        <f>IFERROR(__xludf.DUMMYFUNCTION("""COMPUTED_VALUE"""),15181.27)</f>
        <v>15181.27</v>
      </c>
      <c r="C131" s="29"/>
      <c r="D131" s="67">
        <f>IFERROR(__xludf.DUMMYFUNCTION("""COMPUTED_VALUE"""),15181.27)</f>
        <v>15181.27</v>
      </c>
      <c r="G131" s="67"/>
    </row>
    <row r="132">
      <c r="A132" s="29" t="str">
        <f>IFERROR(__xludf.DUMMYFUNCTION("""COMPUTED_VALUE"""),"C8235-G2 (SDWAN)")</f>
        <v>C8235-G2 (SDWAN)</v>
      </c>
      <c r="B132" s="67">
        <f>IFERROR(__xludf.DUMMYFUNCTION("""COMPUTED_VALUE"""),15829.27)</f>
        <v>15829.27</v>
      </c>
      <c r="C132" s="29"/>
      <c r="D132" s="67">
        <f>IFERROR(__xludf.DUMMYFUNCTION("""COMPUTED_VALUE"""),15829.27)</f>
        <v>15829.27</v>
      </c>
      <c r="G132" s="67"/>
    </row>
    <row r="133">
      <c r="A133" s="29" t="str">
        <f>IFERROR(__xludf.DUMMYFUNCTION("""COMPUTED_VALUE"""),"C8235-G2 (Full Adds On)")</f>
        <v>C8235-G2 (Full Adds On)</v>
      </c>
      <c r="B133" s="67">
        <f>IFERROR(__xludf.DUMMYFUNCTION("""COMPUTED_VALUE"""),16477.27)</f>
        <v>16477.27</v>
      </c>
      <c r="C133" s="29"/>
      <c r="D133" s="67">
        <f>IFERROR(__xludf.DUMMYFUNCTION("""COMPUTED_VALUE"""),16477.27)</f>
        <v>16477.27</v>
      </c>
      <c r="G133" s="67"/>
    </row>
    <row r="134">
      <c r="A134" s="29" t="str">
        <f>IFERROR(__xludf.DUMMYFUNCTION("""COMPUTED_VALUE"""),"C8231-G2 (Default Routing)")</f>
        <v>C8231-G2 (Default Routing)</v>
      </c>
      <c r="B134" s="67">
        <f>IFERROR(__xludf.DUMMYFUNCTION("""COMPUTED_VALUE"""),6976.88)</f>
        <v>6976.88</v>
      </c>
      <c r="C134" s="29"/>
      <c r="D134" s="67">
        <f>IFERROR(__xludf.DUMMYFUNCTION("""COMPUTED_VALUE"""),6976.88)</f>
        <v>6976.88</v>
      </c>
      <c r="G134" s="67"/>
    </row>
    <row r="135">
      <c r="A135" s="29" t="str">
        <f>IFERROR(__xludf.DUMMYFUNCTION("""COMPUTED_VALUE"""),"C8231-G2 (Adv Routing)")</f>
        <v>C8231-G2 (Adv Routing)</v>
      </c>
      <c r="B135" s="67">
        <f>IFERROR(__xludf.DUMMYFUNCTION("""COMPUTED_VALUE"""),11008.880000000001)</f>
        <v>11008.88</v>
      </c>
      <c r="C135" s="29"/>
      <c r="D135" s="67">
        <f>IFERROR(__xludf.DUMMYFUNCTION("""COMPUTED_VALUE"""),11008.880000000001)</f>
        <v>11008.88</v>
      </c>
      <c r="G135" s="67"/>
    </row>
    <row r="136">
      <c r="A136" s="29" t="str">
        <f>IFERROR(__xludf.DUMMYFUNCTION("""COMPUTED_VALUE"""),"C8231-G2 (SDWAN)")</f>
        <v>C8231-G2 (SDWAN)</v>
      </c>
      <c r="B136" s="67">
        <f>IFERROR(__xludf.DUMMYFUNCTION("""COMPUTED_VALUE"""),11656.880000000001)</f>
        <v>11656.88</v>
      </c>
      <c r="C136" s="29"/>
      <c r="D136" s="67">
        <f>IFERROR(__xludf.DUMMYFUNCTION("""COMPUTED_VALUE"""),11656.880000000001)</f>
        <v>11656.88</v>
      </c>
      <c r="G136" s="67"/>
    </row>
    <row r="137">
      <c r="A137" s="29" t="str">
        <f>IFERROR(__xludf.DUMMYFUNCTION("""COMPUTED_VALUE"""),"C8231-G2 (Full Adds On)")</f>
        <v>C8231-G2 (Full Adds On)</v>
      </c>
      <c r="B137" s="67">
        <f>IFERROR(__xludf.DUMMYFUNCTION("""COMPUTED_VALUE"""),12304.880000000001)</f>
        <v>12304.88</v>
      </c>
      <c r="C137" s="29"/>
      <c r="D137" s="67">
        <f>IFERROR(__xludf.DUMMYFUNCTION("""COMPUTED_VALUE"""),12304.880000000001)</f>
        <v>12304.88</v>
      </c>
      <c r="G137" s="67"/>
    </row>
    <row r="138">
      <c r="A138" s="29" t="str">
        <f>IFERROR(__xludf.DUMMYFUNCTION("""COMPUTED_VALUE"""),"C8130-G2 (Default Routing)")</f>
        <v>C8130-G2 (Default Routing)</v>
      </c>
      <c r="B138" s="67">
        <f>IFERROR(__xludf.DUMMYFUNCTION("""COMPUTED_VALUE"""),2222.15)</f>
        <v>2222.15</v>
      </c>
      <c r="C138" s="29"/>
      <c r="D138" s="67">
        <f>IFERROR(__xludf.DUMMYFUNCTION("""COMPUTED_VALUE"""),2222.15)</f>
        <v>2222.15</v>
      </c>
      <c r="G138" s="67"/>
    </row>
    <row r="139">
      <c r="A139" s="29" t="str">
        <f>IFERROR(__xludf.DUMMYFUNCTION("""COMPUTED_VALUE"""),"C8130-G2 (Adv Routing)")</f>
        <v>C8130-G2 (Adv Routing)</v>
      </c>
      <c r="B139" s="67">
        <f>IFERROR(__xludf.DUMMYFUNCTION("""COMPUTED_VALUE"""),3902.15)</f>
        <v>3902.15</v>
      </c>
      <c r="C139" s="29"/>
      <c r="D139" s="67">
        <f>IFERROR(__xludf.DUMMYFUNCTION("""COMPUTED_VALUE"""),3902.15)</f>
        <v>3902.15</v>
      </c>
      <c r="G139" s="67"/>
    </row>
    <row r="140">
      <c r="A140" s="29" t="str">
        <f>IFERROR(__xludf.DUMMYFUNCTION("""COMPUTED_VALUE"""),"C8131-G2 (Default Routing)")</f>
        <v>C8131-G2 (Default Routing)</v>
      </c>
      <c r="B140" s="67">
        <f>IFERROR(__xludf.DUMMYFUNCTION("""COMPUTED_VALUE"""),2688.89)</f>
        <v>2688.89</v>
      </c>
      <c r="C140" s="29"/>
      <c r="D140" s="67">
        <f>IFERROR(__xludf.DUMMYFUNCTION("""COMPUTED_VALUE"""),2688.89)</f>
        <v>2688.89</v>
      </c>
      <c r="G140" s="67"/>
    </row>
    <row r="141">
      <c r="A141" s="29" t="str">
        <f>IFERROR(__xludf.DUMMYFUNCTION("""COMPUTED_VALUE"""),"C8131-G2 (Adv Routing)")</f>
        <v>C8131-G2 (Adv Routing)</v>
      </c>
      <c r="B141" s="67">
        <f>IFERROR(__xludf.DUMMYFUNCTION("""COMPUTED_VALUE"""),4368.889999999999)</f>
        <v>4368.89</v>
      </c>
      <c r="C141" s="29"/>
      <c r="D141" s="67">
        <f>IFERROR(__xludf.DUMMYFUNCTION("""COMPUTED_VALUE"""),4368.889999999999)</f>
        <v>4368.89</v>
      </c>
      <c r="G141" s="67"/>
    </row>
    <row r="142">
      <c r="A142" s="29" t="str">
        <f>IFERROR(__xludf.DUMMYFUNCTION("""COMPUTED_VALUE"""),"C8131-G2 (SDWAN)")</f>
        <v>C8131-G2 (SDWAN)</v>
      </c>
      <c r="B142" s="67">
        <f>IFERROR(__xludf.DUMMYFUNCTION("""COMPUTED_VALUE"""),4704.889999999999)</f>
        <v>4704.89</v>
      </c>
      <c r="C142" s="29"/>
      <c r="D142" s="67">
        <f>IFERROR(__xludf.DUMMYFUNCTION("""COMPUTED_VALUE"""),4704.889999999999)</f>
        <v>4704.89</v>
      </c>
      <c r="G142" s="67"/>
    </row>
    <row r="143">
      <c r="A143" s="29" t="str">
        <f>IFERROR(__xludf.DUMMYFUNCTION("""COMPUTED_VALUE"""),"C8131-G2 (Full Adds On)")</f>
        <v>C8131-G2 (Full Adds On)</v>
      </c>
      <c r="B143" s="67">
        <f>IFERROR(__xludf.DUMMYFUNCTION("""COMPUTED_VALUE"""),5028.889999999999)</f>
        <v>5028.89</v>
      </c>
      <c r="C143" s="29"/>
      <c r="D143" s="67">
        <f>IFERROR(__xludf.DUMMYFUNCTION("""COMPUTED_VALUE"""),5028.889999999999)</f>
        <v>5028.89</v>
      </c>
      <c r="G143" s="67"/>
    </row>
    <row r="144">
      <c r="A144" s="29" t="str">
        <f>IFERROR(__xludf.DUMMYFUNCTION("""COMPUTED_VALUE"""),"C8140-G2 (Default Routing)")</f>
        <v>C8140-G2 (Default Routing)</v>
      </c>
      <c r="B144" s="67">
        <f>IFERROR(__xludf.DUMMYFUNCTION("""COMPUTED_VALUE"""),2692.95)</f>
        <v>2692.95</v>
      </c>
      <c r="C144" s="29"/>
      <c r="D144" s="67">
        <f>IFERROR(__xludf.DUMMYFUNCTION("""COMPUTED_VALUE"""),2692.95)</f>
        <v>2692.95</v>
      </c>
      <c r="G144" s="67"/>
    </row>
    <row r="145">
      <c r="A145" s="29" t="str">
        <f>IFERROR(__xludf.DUMMYFUNCTION("""COMPUTED_VALUE"""),"C8140-G2 (Adv Routing)")</f>
        <v>C8140-G2 (Adv Routing)</v>
      </c>
      <c r="B145" s="67">
        <f>IFERROR(__xludf.DUMMYFUNCTION("""COMPUTED_VALUE"""),4372.95)</f>
        <v>4372.95</v>
      </c>
      <c r="C145" s="29"/>
      <c r="D145" s="67">
        <f>IFERROR(__xludf.DUMMYFUNCTION("""COMPUTED_VALUE"""),4372.95)</f>
        <v>4372.95</v>
      </c>
      <c r="G145" s="67"/>
    </row>
    <row r="146">
      <c r="A146" s="29" t="str">
        <f>IFERROR(__xludf.DUMMYFUNCTION("""COMPUTED_VALUE"""),"C8151-G2 (Default Routing)")</f>
        <v>C8151-G2 (Default Routing)</v>
      </c>
      <c r="B146" s="67">
        <f>IFERROR(__xludf.DUMMYFUNCTION("""COMPUTED_VALUE"""),3477.61)</f>
        <v>3477.61</v>
      </c>
      <c r="C146" s="29"/>
      <c r="D146" s="67">
        <f>IFERROR(__xludf.DUMMYFUNCTION("""COMPUTED_VALUE"""),3477.61)</f>
        <v>3477.61</v>
      </c>
      <c r="G146" s="67"/>
    </row>
    <row r="147">
      <c r="A147" s="29" t="str">
        <f>IFERROR(__xludf.DUMMYFUNCTION("""COMPUTED_VALUE"""),"C8151-G2 (Adv Routing)")</f>
        <v>C8151-G2 (Adv Routing)</v>
      </c>
      <c r="B147" s="67">
        <f>IFERROR(__xludf.DUMMYFUNCTION("""COMPUTED_VALUE"""),5157.610000000001)</f>
        <v>5157.61</v>
      </c>
      <c r="C147" s="29"/>
      <c r="D147" s="67">
        <f>IFERROR(__xludf.DUMMYFUNCTION("""COMPUTED_VALUE"""),5157.610000000001)</f>
        <v>5157.61</v>
      </c>
      <c r="G147" s="67"/>
    </row>
    <row r="148">
      <c r="A148" s="29" t="str">
        <f>IFERROR(__xludf.DUMMYFUNCTION("""COMPUTED_VALUE"""),"C8151-G2 (SDWAN)")</f>
        <v>C8151-G2 (SDWAN)</v>
      </c>
      <c r="B148" s="67">
        <f>IFERROR(__xludf.DUMMYFUNCTION("""COMPUTED_VALUE"""),5493.610000000001)</f>
        <v>5493.61</v>
      </c>
      <c r="C148" s="29"/>
      <c r="D148" s="67">
        <f>IFERROR(__xludf.DUMMYFUNCTION("""COMPUTED_VALUE"""),5493.610000000001)</f>
        <v>5493.61</v>
      </c>
      <c r="G148" s="67"/>
    </row>
    <row r="149">
      <c r="A149" s="29" t="str">
        <f>IFERROR(__xludf.DUMMYFUNCTION("""COMPUTED_VALUE"""),"C8151-G2 (Full Adds On)")</f>
        <v>C8151-G2 (Full Adds On)</v>
      </c>
      <c r="B149" s="67">
        <f>IFERROR(__xludf.DUMMYFUNCTION("""COMPUTED_VALUE"""),5817.610000000001)</f>
        <v>5817.61</v>
      </c>
      <c r="C149" s="29"/>
      <c r="D149" s="67">
        <f>IFERROR(__xludf.DUMMYFUNCTION("""COMPUTED_VALUE"""),5817.610000000001)</f>
        <v>5817.61</v>
      </c>
      <c r="G149" s="67"/>
    </row>
    <row r="150">
      <c r="A150" s="29" t="str">
        <f>IFERROR(__xludf.DUMMYFUNCTION("""COMPUTED_VALUE"""),"C8161-G2 (Default Routing)")</f>
        <v>C8161-G2 (Default Routing)</v>
      </c>
      <c r="B150" s="67">
        <f>IFERROR(__xludf.DUMMYFUNCTION("""COMPUTED_VALUE"""),4101.2)</f>
        <v>4101.2</v>
      </c>
      <c r="C150" s="29"/>
      <c r="D150" s="67">
        <f>IFERROR(__xludf.DUMMYFUNCTION("""COMPUTED_VALUE"""),4101.2)</f>
        <v>4101.2</v>
      </c>
      <c r="G150" s="67"/>
    </row>
    <row r="151">
      <c r="A151" s="29" t="str">
        <f>IFERROR(__xludf.DUMMYFUNCTION("""COMPUTED_VALUE"""),"C8161-G2 (Adv Routing)")</f>
        <v>C8161-G2 (Adv Routing)</v>
      </c>
      <c r="B151" s="67">
        <f>IFERROR(__xludf.DUMMYFUNCTION("""COMPUTED_VALUE"""),5781.2)</f>
        <v>5781.2</v>
      </c>
      <c r="C151" s="29"/>
      <c r="D151" s="67">
        <f>IFERROR(__xludf.DUMMYFUNCTION("""COMPUTED_VALUE"""),5781.2)</f>
        <v>5781.2</v>
      </c>
      <c r="G151" s="67"/>
    </row>
    <row r="152">
      <c r="A152" s="29" t="str">
        <f>IFERROR(__xludf.DUMMYFUNCTION("""COMPUTED_VALUE"""),"C8161-G2 (SDWAN)")</f>
        <v>C8161-G2 (SDWAN)</v>
      </c>
      <c r="B152" s="67">
        <f>IFERROR(__xludf.DUMMYFUNCTION("""COMPUTED_VALUE"""),6117.2)</f>
        <v>6117.2</v>
      </c>
      <c r="C152" s="29"/>
      <c r="D152" s="67">
        <f>IFERROR(__xludf.DUMMYFUNCTION("""COMPUTED_VALUE"""),6117.2)</f>
        <v>6117.2</v>
      </c>
      <c r="G152" s="67"/>
    </row>
    <row r="153">
      <c r="A153" s="29" t="str">
        <f>IFERROR(__xludf.DUMMYFUNCTION("""COMPUTED_VALUE"""),"C8161-G2 (Full Adds On)")</f>
        <v>C8161-G2 (Full Adds On)</v>
      </c>
      <c r="B153" s="67">
        <f>IFERROR(__xludf.DUMMYFUNCTION("""COMPUTED_VALUE"""),6441.2)</f>
        <v>6441.2</v>
      </c>
      <c r="C153" s="29"/>
      <c r="D153" s="67">
        <f>IFERROR(__xludf.DUMMYFUNCTION("""COMPUTED_VALUE"""),6441.2)</f>
        <v>6441.2</v>
      </c>
      <c r="G153" s="67"/>
    </row>
    <row r="154">
      <c r="A154" s="29" t="str">
        <f>IFERROR(__xludf.DUMMYFUNCTION("""COMPUTED_VALUE"""),"100GQSFP-LR4-4=")</f>
        <v>100GQSFP-LR4-4=</v>
      </c>
      <c r="B154" s="67">
        <f>IFERROR(__xludf.DUMMYFUNCTION("""COMPUTED_VALUE"""),36510.54)</f>
        <v>36510.54</v>
      </c>
      <c r="C154" s="29"/>
      <c r="D154" s="67">
        <f>IFERROR(__xludf.DUMMYFUNCTION("""COMPUTED_VALUE"""),36510.54)</f>
        <v>36510.54</v>
      </c>
      <c r="G154" s="67"/>
    </row>
    <row r="155">
      <c r="A155" s="29" t="str">
        <f>IFERROR(__xludf.DUMMYFUNCTION("""COMPUTED_VALUE"""),"QSFP-100G-ER4L-S=")</f>
        <v>QSFP-100G-ER4L-S=</v>
      </c>
      <c r="B155" s="67">
        <f>IFERROR(__xludf.DUMMYFUNCTION("""COMPUTED_VALUE"""),91270.27)</f>
        <v>91270.27</v>
      </c>
      <c r="C155" s="29"/>
      <c r="D155" s="67">
        <f>IFERROR(__xludf.DUMMYFUNCTION("""COMPUTED_VALUE"""),91270.27)</f>
        <v>91270.27</v>
      </c>
      <c r="G155" s="67"/>
    </row>
    <row r="156">
      <c r="A156" s="29" t="str">
        <f>IFERROR(__xludf.DUMMYFUNCTION("""COMPUTED_VALUE"""),"QSFP-100G-ZR4-S=")</f>
        <v>QSFP-100G-ZR4-S=</v>
      </c>
      <c r="B156" s="67">
        <f>IFERROR(__xludf.DUMMYFUNCTION("""COMPUTED_VALUE"""),36190.0)</f>
        <v>36190</v>
      </c>
      <c r="C156" s="29"/>
      <c r="D156" s="67">
        <f>IFERROR(__xludf.DUMMYFUNCTION("""COMPUTED_VALUE"""),36190.0)</f>
        <v>36190</v>
      </c>
      <c r="G156" s="67"/>
    </row>
    <row r="157">
      <c r="A157" s="29" t="str">
        <f>IFERROR(__xludf.DUMMYFUNCTION("""COMPUTED_VALUE"""),"SFP-10G-SR=")</f>
        <v>SFP-10G-SR=</v>
      </c>
      <c r="B157" s="67">
        <f>IFERROR(__xludf.DUMMYFUNCTION("""COMPUTED_VALUE"""),1210.94)</f>
        <v>1210.94</v>
      </c>
      <c r="C157" s="29"/>
      <c r="D157" s="67">
        <f>IFERROR(__xludf.DUMMYFUNCTION("""COMPUTED_VALUE"""),1210.94)</f>
        <v>1210.94</v>
      </c>
      <c r="G157" s="67"/>
    </row>
    <row r="158">
      <c r="A158" s="29" t="str">
        <f>IFERROR(__xludf.DUMMYFUNCTION("""COMPUTED_VALUE"""),"SFP-10G-LR=")</f>
        <v>SFP-10G-LR=</v>
      </c>
      <c r="B158" s="67">
        <f>IFERROR(__xludf.DUMMYFUNCTION("""COMPUTED_VALUE"""),4861.99)</f>
        <v>4861.99</v>
      </c>
      <c r="C158" s="29"/>
      <c r="D158" s="67">
        <f>IFERROR(__xludf.DUMMYFUNCTION("""COMPUTED_VALUE"""),4861.99)</f>
        <v>4861.99</v>
      </c>
      <c r="G158" s="67"/>
    </row>
    <row r="159">
      <c r="A159" s="29" t="str">
        <f>IFERROR(__xludf.DUMMYFUNCTION("""COMPUTED_VALUE"""),"SFP-10G-ER=")</f>
        <v>SFP-10G-ER=</v>
      </c>
      <c r="B159" s="67">
        <f>IFERROR(__xludf.DUMMYFUNCTION("""COMPUTED_VALUE"""),12170.18)</f>
        <v>12170.18</v>
      </c>
      <c r="C159" s="29"/>
      <c r="D159" s="67">
        <f>IFERROR(__xludf.DUMMYFUNCTION("""COMPUTED_VALUE"""),12170.18)</f>
        <v>12170.18</v>
      </c>
      <c r="G159" s="67"/>
    </row>
    <row r="160">
      <c r="A160" s="29" t="str">
        <f>IFERROR(__xludf.DUMMYFUNCTION("""COMPUTED_VALUE"""),"SFP-10G-ZR=")</f>
        <v>SFP-10G-ZR=</v>
      </c>
      <c r="B160" s="67">
        <f>IFERROR(__xludf.DUMMYFUNCTION("""COMPUTED_VALUE"""),19472.29)</f>
        <v>19472.29</v>
      </c>
      <c r="C160" s="29"/>
      <c r="D160" s="67">
        <f>IFERROR(__xludf.DUMMYFUNCTION("""COMPUTED_VALUE"""),19472.29)</f>
        <v>19472.29</v>
      </c>
      <c r="G160" s="67"/>
    </row>
    <row r="161">
      <c r="A161" s="29" t="str">
        <f>IFERROR(__xludf.DUMMYFUNCTION("""COMPUTED_VALUE"""),"GLC-LH-SMD=")</f>
        <v>GLC-LH-SMD=</v>
      </c>
      <c r="B161" s="67">
        <f>IFERROR(__xludf.DUMMYFUNCTION("""COMPUTED_VALUE"""),1210.94)</f>
        <v>1210.94</v>
      </c>
      <c r="C161" s="29"/>
      <c r="D161" s="67">
        <f>IFERROR(__xludf.DUMMYFUNCTION("""COMPUTED_VALUE"""),1210.94)</f>
        <v>1210.94</v>
      </c>
      <c r="G161" s="67"/>
    </row>
    <row r="162">
      <c r="A162" s="29" t="str">
        <f>IFERROR(__xludf.DUMMYFUNCTION("""COMPUTED_VALUE"""),"GLC-EX-SMD=")</f>
        <v>GLC-EX-SMD=</v>
      </c>
      <c r="B162" s="67">
        <f>IFERROR(__xludf.DUMMYFUNCTION("""COMPUTED_VALUE"""),2427.96)</f>
        <v>2427.96</v>
      </c>
      <c r="C162" s="29"/>
      <c r="D162" s="67">
        <f>IFERROR(__xludf.DUMMYFUNCTION("""COMPUTED_VALUE"""),2427.96)</f>
        <v>2427.96</v>
      </c>
      <c r="G162" s="67"/>
    </row>
    <row r="163">
      <c r="A163" s="29" t="str">
        <f>IFERROR(__xludf.DUMMYFUNCTION("""COMPUTED_VALUE"""),"GLC-ZX-SMD=")</f>
        <v>GLC-ZX-SMD=</v>
      </c>
      <c r="B163" s="67">
        <f>IFERROR(__xludf.DUMMYFUNCTION("""COMPUTED_VALUE"""),4861.99)</f>
        <v>4861.99</v>
      </c>
      <c r="C163" s="29"/>
      <c r="D163" s="67">
        <f>IFERROR(__xludf.DUMMYFUNCTION("""COMPUTED_VALUE"""),4861.99)</f>
        <v>4861.99</v>
      </c>
      <c r="G163" s="67"/>
    </row>
    <row r="164">
      <c r="A164" s="29" t="str">
        <f>IFERROR(__xludf.DUMMYFUNCTION("""COMPUTED_VALUE"""),"GLC-TE=")</f>
        <v>GLC-TE=</v>
      </c>
      <c r="B164" s="67">
        <f>IFERROR(__xludf.DUMMYFUNCTION("""COMPUTED_VALUE"""),547.66)</f>
        <v>547.66</v>
      </c>
      <c r="C164" s="29"/>
      <c r="D164" s="67">
        <f>IFERROR(__xludf.DUMMYFUNCTION("""COMPUTED_VALUE"""),547.66)</f>
        <v>547.66</v>
      </c>
      <c r="G164" s="67"/>
    </row>
    <row r="165">
      <c r="A165" s="29" t="str">
        <f>IFERROR(__xludf.DUMMYFUNCTION("""COMPUTED_VALUE"""),"SFP-10G-SR-S=")</f>
        <v>SFP-10G-SR-S=</v>
      </c>
      <c r="B165" s="67">
        <f>IFERROR(__xludf.DUMMYFUNCTION("""COMPUTED_VALUE"""),851.91)</f>
        <v>851.91</v>
      </c>
      <c r="C165" s="29"/>
      <c r="D165" s="67">
        <f>IFERROR(__xludf.DUMMYFUNCTION("""COMPUTED_VALUE"""),851.91)</f>
        <v>851.91</v>
      </c>
      <c r="G165" s="67"/>
    </row>
    <row r="166">
      <c r="A166" s="29" t="str">
        <f>IFERROR(__xludf.DUMMYFUNCTION("""COMPUTED_VALUE"""),"SFP-10G-LR-S=")</f>
        <v>SFP-10G-LR-S=</v>
      </c>
      <c r="B166" s="67">
        <f>IFERROR(__xludf.DUMMYFUNCTION("""COMPUTED_VALUE"""),2434.04)</f>
        <v>2434.04</v>
      </c>
      <c r="C166" s="29"/>
      <c r="D166" s="67">
        <f>IFERROR(__xludf.DUMMYFUNCTION("""COMPUTED_VALUE"""),2434.04)</f>
        <v>2434.04</v>
      </c>
      <c r="G166" s="67"/>
    </row>
    <row r="167">
      <c r="A167" s="29" t="str">
        <f>IFERROR(__xludf.DUMMYFUNCTION("""COMPUTED_VALUE"""),"SFP-10G-ER-S=")</f>
        <v>SFP-10G-ER-S=</v>
      </c>
      <c r="B167" s="67">
        <f>IFERROR(__xludf.DUMMYFUNCTION("""COMPUTED_VALUE"""),9614.44)</f>
        <v>9614.44</v>
      </c>
      <c r="C167" s="29"/>
      <c r="D167" s="67">
        <f>IFERROR(__xludf.DUMMYFUNCTION("""COMPUTED_VALUE"""),9614.44)</f>
        <v>9614.44</v>
      </c>
      <c r="G167" s="67"/>
    </row>
    <row r="168">
      <c r="A168" s="29" t="str">
        <f>IFERROR(__xludf.DUMMYFUNCTION("""COMPUTED_VALUE"""),"SFP-10G-ZR-S=")</f>
        <v>SFP-10G-ZR-S=</v>
      </c>
      <c r="B168" s="67">
        <f>IFERROR(__xludf.DUMMYFUNCTION("""COMPUTED_VALUE"""),13265.5)</f>
        <v>13265.5</v>
      </c>
      <c r="C168" s="29"/>
      <c r="D168" s="67">
        <f>IFERROR(__xludf.DUMMYFUNCTION("""COMPUTED_VALUE"""),13265.5)</f>
        <v>13265.5</v>
      </c>
      <c r="G168" s="67"/>
    </row>
    <row r="169">
      <c r="A169" s="29" t="str">
        <f>IFERROR(__xludf.DUMMYFUNCTION("""COMPUTED_VALUE"""),"GLC-SX-MMD=")</f>
        <v>GLC-SX-MMD=</v>
      </c>
      <c r="B169" s="67">
        <f>IFERROR(__xludf.DUMMYFUNCTION("""COMPUTED_VALUE"""),608.51)</f>
        <v>608.51</v>
      </c>
      <c r="C169" s="29"/>
      <c r="D169" s="67">
        <f>IFERROR(__xludf.DUMMYFUNCTION("""COMPUTED_VALUE"""),608.51)</f>
        <v>608.51</v>
      </c>
      <c r="G169" s="67"/>
    </row>
    <row r="170">
      <c r="A170" s="29" t="str">
        <f>IFERROR(__xludf.DUMMYFUNCTION("""COMPUTED_VALUE"""),"C9136I")</f>
        <v>C9136I</v>
      </c>
      <c r="B170" s="67">
        <f>IFERROR(__xludf.DUMMYFUNCTION("""COMPUTED_VALUE"""),5585.79)</f>
        <v>5585.79</v>
      </c>
      <c r="C170" s="29"/>
      <c r="D170" s="67">
        <f>IFERROR(__xludf.DUMMYFUNCTION("""COMPUTED_VALUE"""),5585.79)</f>
        <v>5585.79</v>
      </c>
      <c r="G170" s="67"/>
    </row>
    <row r="171">
      <c r="A171" s="29" t="str">
        <f>IFERROR(__xludf.DUMMYFUNCTION("""COMPUTED_VALUE"""),"CW9162I")</f>
        <v>CW9162I</v>
      </c>
      <c r="B171" s="67">
        <f>IFERROR(__xludf.DUMMYFUNCTION("""COMPUTED_VALUE"""),3076.63)</f>
        <v>3076.63</v>
      </c>
      <c r="C171" s="29"/>
      <c r="D171" s="67">
        <f>IFERROR(__xludf.DUMMYFUNCTION("""COMPUTED_VALUE"""),3076.63)</f>
        <v>3076.63</v>
      </c>
      <c r="G171" s="67"/>
    </row>
    <row r="172">
      <c r="A172" s="29" t="str">
        <f>IFERROR(__xludf.DUMMYFUNCTION("""COMPUTED_VALUE"""),"CW9164I")</f>
        <v>CW9164I</v>
      </c>
      <c r="B172" s="67">
        <f>IFERROR(__xludf.DUMMYFUNCTION("""COMPUTED_VALUE"""),4438.98)</f>
        <v>4438.98</v>
      </c>
      <c r="C172" s="29"/>
      <c r="D172" s="67">
        <f>IFERROR(__xludf.DUMMYFUNCTION("""COMPUTED_VALUE"""),4438.98)</f>
        <v>4438.98</v>
      </c>
      <c r="G172" s="67"/>
    </row>
    <row r="173">
      <c r="A173" s="29" t="str">
        <f>IFERROR(__xludf.DUMMYFUNCTION("""COMPUTED_VALUE"""),"CW9166I")</f>
        <v>CW9166I</v>
      </c>
      <c r="B173" s="67">
        <f>IFERROR(__xludf.DUMMYFUNCTION("""COMPUTED_VALUE"""),4870.07)</f>
        <v>4870.07</v>
      </c>
      <c r="C173" s="29"/>
      <c r="D173" s="67">
        <f>IFERROR(__xludf.DUMMYFUNCTION("""COMPUTED_VALUE"""),4870.07)</f>
        <v>4870.07</v>
      </c>
      <c r="G173" s="67"/>
    </row>
    <row r="174">
      <c r="A174" s="29" t="str">
        <f>IFERROR(__xludf.DUMMYFUNCTION("""COMPUTED_VALUE"""),"CW9166D1")</f>
        <v>CW9166D1</v>
      </c>
      <c r="B174" s="67">
        <f>IFERROR(__xludf.DUMMYFUNCTION("""COMPUTED_VALUE"""),5301.15)</f>
        <v>5301.15</v>
      </c>
      <c r="C174" s="29"/>
      <c r="D174" s="67">
        <f>IFERROR(__xludf.DUMMYFUNCTION("""COMPUTED_VALUE"""),5301.15)</f>
        <v>5301.15</v>
      </c>
      <c r="G174" s="67"/>
    </row>
    <row r="175">
      <c r="A175" s="29" t="str">
        <f>IFERROR(__xludf.DUMMYFUNCTION("""COMPUTED_VALUE"""),"CW9172I")</f>
        <v>CW9172I</v>
      </c>
      <c r="B175" s="67">
        <f>IFERROR(__xludf.DUMMYFUNCTION("""COMPUTED_VALUE"""),3173.83)</f>
        <v>3173.83</v>
      </c>
      <c r="C175" s="29"/>
      <c r="D175" s="67">
        <f>IFERROR(__xludf.DUMMYFUNCTION("""COMPUTED_VALUE"""),3173.83)</f>
        <v>3173.83</v>
      </c>
      <c r="G175" s="67"/>
    </row>
    <row r="176">
      <c r="A176" s="29" t="str">
        <f>IFERROR(__xludf.DUMMYFUNCTION("""COMPUTED_VALUE"""),"CW9172H")</f>
        <v>CW9172H</v>
      </c>
      <c r="B176" s="67">
        <f>IFERROR(__xludf.DUMMYFUNCTION("""COMPUTED_VALUE"""),2870.81)</f>
        <v>2870.81</v>
      </c>
      <c r="C176" s="29"/>
      <c r="D176" s="67">
        <f>IFERROR(__xludf.DUMMYFUNCTION("""COMPUTED_VALUE"""),2870.81)</f>
        <v>2870.81</v>
      </c>
      <c r="G176" s="67"/>
    </row>
    <row r="177">
      <c r="A177" s="29" t="str">
        <f>IFERROR(__xludf.DUMMYFUNCTION("""COMPUTED_VALUE"""),"CW9176I")</f>
        <v>CW9176I</v>
      </c>
      <c r="B177" s="67">
        <f>IFERROR(__xludf.DUMMYFUNCTION("""COMPUTED_VALUE"""),4982.709999999999)</f>
        <v>4982.71</v>
      </c>
      <c r="C177" s="29"/>
      <c r="D177" s="67">
        <f>IFERROR(__xludf.DUMMYFUNCTION("""COMPUTED_VALUE"""),4982.709999999999)</f>
        <v>4982.71</v>
      </c>
      <c r="G177" s="67"/>
    </row>
    <row r="178">
      <c r="A178" s="29" t="str">
        <f>IFERROR(__xludf.DUMMYFUNCTION("""COMPUTED_VALUE"""),"CW9176D1")</f>
        <v>CW9176D1</v>
      </c>
      <c r="B178" s="67">
        <f>IFERROR(__xludf.DUMMYFUNCTION("""COMPUTED_VALUE"""),5437.05)</f>
        <v>5437.05</v>
      </c>
      <c r="C178" s="29"/>
      <c r="D178" s="67">
        <f>IFERROR(__xludf.DUMMYFUNCTION("""COMPUTED_VALUE"""),5437.05)</f>
        <v>5437.05</v>
      </c>
      <c r="G178" s="67"/>
    </row>
    <row r="179">
      <c r="A179" s="29" t="str">
        <f>IFERROR(__xludf.DUMMYFUNCTION("""COMPUTED_VALUE"""),"CW9178I")</f>
        <v>CW9178I</v>
      </c>
      <c r="B179" s="67">
        <f>IFERROR(__xludf.DUMMYFUNCTION("""COMPUTED_VALUE"""),5737.19)</f>
        <v>5737.19</v>
      </c>
      <c r="C179" s="29"/>
      <c r="D179" s="67">
        <f>IFERROR(__xludf.DUMMYFUNCTION("""COMPUTED_VALUE"""),5737.19)</f>
        <v>5737.19</v>
      </c>
      <c r="G179" s="67"/>
    </row>
    <row r="180">
      <c r="A180" s="29" t="str">
        <f>IFERROR(__xludf.DUMMYFUNCTION("""COMPUTED_VALUE"""),"C9124AXI")</f>
        <v>C9124AXI</v>
      </c>
      <c r="B180" s="67">
        <f>IFERROR(__xludf.DUMMYFUNCTION("""COMPUTED_VALUE"""),6120.74)</f>
        <v>6120.74</v>
      </c>
      <c r="C180" s="29"/>
      <c r="D180" s="67">
        <f>IFERROR(__xludf.DUMMYFUNCTION("""COMPUTED_VALUE"""),6120.74)</f>
        <v>6120.74</v>
      </c>
      <c r="G180" s="67"/>
    </row>
    <row r="181">
      <c r="A181" s="29" t="str">
        <f>IFERROR(__xludf.DUMMYFUNCTION("""COMPUTED_VALUE"""),"C9124AXD")</f>
        <v>C9124AXD</v>
      </c>
      <c r="B181" s="67">
        <f>IFERROR(__xludf.DUMMYFUNCTION("""COMPUTED_VALUE"""),6448.469999999999)</f>
        <v>6448.47</v>
      </c>
      <c r="C181" s="29"/>
      <c r="D181" s="67">
        <f>IFERROR(__xludf.DUMMYFUNCTION("""COMPUTED_VALUE"""),6448.469999999999)</f>
        <v>6448.47</v>
      </c>
      <c r="G181" s="67"/>
    </row>
    <row r="182">
      <c r="A182" s="29" t="str">
        <f>IFERROR(__xludf.DUMMYFUNCTION("""COMPUTED_VALUE"""),"C9124AXE")</f>
        <v>C9124AXE</v>
      </c>
      <c r="B182" s="67">
        <f>IFERROR(__xludf.DUMMYFUNCTION("""COMPUTED_VALUE"""),6448.469999999999)</f>
        <v>6448.47</v>
      </c>
      <c r="C182" s="29"/>
      <c r="D182" s="67">
        <f>IFERROR(__xludf.DUMMYFUNCTION("""COMPUTED_VALUE"""),6448.469999999999)</f>
        <v>6448.47</v>
      </c>
      <c r="G182" s="67"/>
    </row>
    <row r="183">
      <c r="A183" s="29" t="str">
        <f>IFERROR(__xludf.DUMMYFUNCTION("""COMPUTED_VALUE"""),"CW9163E")</f>
        <v>CW9163E</v>
      </c>
      <c r="B183" s="67">
        <f>IFERROR(__xludf.DUMMYFUNCTION("""COMPUTED_VALUE"""),5659.86)</f>
        <v>5659.86</v>
      </c>
      <c r="C183" s="29"/>
      <c r="D183" s="67">
        <f>IFERROR(__xludf.DUMMYFUNCTION("""COMPUTED_VALUE"""),5659.86)</f>
        <v>5659.86</v>
      </c>
      <c r="G183" s="67"/>
    </row>
    <row r="184">
      <c r="A184" s="29"/>
      <c r="B184" s="29"/>
      <c r="C184" s="29"/>
      <c r="D184" s="29"/>
      <c r="G184" s="67"/>
    </row>
    <row r="185">
      <c r="A185" s="29"/>
      <c r="B185" s="29"/>
      <c r="C185" s="29"/>
      <c r="D185" s="29"/>
      <c r="G185" s="67"/>
    </row>
    <row r="186">
      <c r="A186" s="29"/>
      <c r="B186" s="29"/>
      <c r="C186" s="29"/>
      <c r="D186" s="29"/>
      <c r="G186" s="67"/>
    </row>
    <row r="187">
      <c r="A187" s="29"/>
      <c r="B187" s="29"/>
      <c r="C187" s="29"/>
      <c r="D187" s="29"/>
      <c r="G187" s="67"/>
    </row>
    <row r="188">
      <c r="A188" s="29"/>
      <c r="B188" s="29"/>
      <c r="C188" s="29"/>
      <c r="D188" s="29"/>
      <c r="G188" s="67"/>
    </row>
    <row r="189">
      <c r="A189" s="29"/>
      <c r="B189" s="29"/>
      <c r="C189" s="29"/>
      <c r="D189" s="29"/>
      <c r="G189" s="67"/>
    </row>
    <row r="190">
      <c r="A190" s="29"/>
      <c r="B190" s="29"/>
      <c r="C190" s="29"/>
      <c r="D190" s="29"/>
      <c r="G190" s="67"/>
    </row>
    <row r="191">
      <c r="A191" s="29"/>
      <c r="B191" s="29"/>
      <c r="C191" s="29"/>
      <c r="D191" s="29"/>
      <c r="G191" s="67"/>
    </row>
    <row r="192">
      <c r="A192" s="29"/>
      <c r="B192" s="29"/>
      <c r="C192" s="29"/>
      <c r="D192" s="29"/>
      <c r="G192" s="67"/>
    </row>
    <row r="193">
      <c r="A193" s="29"/>
      <c r="B193" s="29"/>
      <c r="C193" s="29"/>
      <c r="D193" s="29"/>
      <c r="G193" s="67"/>
    </row>
    <row r="194">
      <c r="A194" s="29"/>
      <c r="B194" s="29"/>
      <c r="C194" s="29"/>
      <c r="D194" s="29"/>
      <c r="G194" s="67"/>
    </row>
    <row r="195">
      <c r="A195" s="29"/>
      <c r="B195" s="29"/>
      <c r="C195" s="29"/>
      <c r="D195" s="29"/>
      <c r="G195" s="67"/>
    </row>
    <row r="196">
      <c r="A196" s="29"/>
      <c r="B196" s="29"/>
      <c r="C196" s="29"/>
      <c r="D196" s="29"/>
      <c r="G196" s="67"/>
    </row>
    <row r="197">
      <c r="A197" s="29"/>
      <c r="B197" s="29"/>
      <c r="C197" s="29"/>
      <c r="D197" s="29"/>
      <c r="G197" s="67"/>
    </row>
    <row r="198">
      <c r="A198" s="29"/>
      <c r="B198" s="29"/>
      <c r="C198" s="29"/>
      <c r="D198" s="29"/>
      <c r="G198" s="67"/>
    </row>
    <row r="199">
      <c r="A199" s="29"/>
      <c r="B199" s="29"/>
      <c r="C199" s="29"/>
      <c r="D199" s="29"/>
      <c r="G199" s="67"/>
    </row>
    <row r="200">
      <c r="A200" s="29"/>
      <c r="B200" s="29"/>
      <c r="C200" s="29"/>
      <c r="D200" s="29"/>
      <c r="G200" s="67"/>
    </row>
    <row r="201">
      <c r="A201" s="29"/>
      <c r="B201" s="29"/>
      <c r="C201" s="29"/>
      <c r="D201" s="29"/>
      <c r="G201" s="67"/>
    </row>
    <row r="202">
      <c r="A202" s="29"/>
      <c r="B202" s="29"/>
      <c r="C202" s="29"/>
      <c r="D202" s="29"/>
      <c r="G202" s="67"/>
    </row>
    <row r="203">
      <c r="A203" s="29"/>
      <c r="B203" s="29"/>
      <c r="C203" s="29"/>
      <c r="D203" s="29"/>
      <c r="G203" s="67"/>
    </row>
    <row r="204">
      <c r="A204" s="29"/>
      <c r="B204" s="29"/>
      <c r="C204" s="29"/>
      <c r="D204" s="29"/>
      <c r="G204" s="67"/>
    </row>
    <row r="205">
      <c r="A205" s="29"/>
      <c r="B205" s="29"/>
      <c r="C205" s="29"/>
      <c r="D205" s="29"/>
      <c r="G205" s="67"/>
    </row>
    <row r="206">
      <c r="A206" s="29"/>
      <c r="B206" s="29"/>
      <c r="C206" s="29"/>
      <c r="D206" s="29"/>
      <c r="G206" s="67"/>
    </row>
    <row r="207">
      <c r="A207" s="29"/>
      <c r="B207" s="29"/>
      <c r="C207" s="29"/>
      <c r="D207" s="29"/>
      <c r="G207" s="67"/>
    </row>
    <row r="208">
      <c r="A208" s="29"/>
      <c r="B208" s="29"/>
      <c r="C208" s="29"/>
      <c r="D208" s="29"/>
      <c r="G208" s="67"/>
    </row>
    <row r="209">
      <c r="A209" s="29"/>
      <c r="B209" s="29"/>
      <c r="C209" s="29"/>
      <c r="D209" s="29"/>
      <c r="G209" s="67"/>
    </row>
    <row r="210">
      <c r="A210" s="29"/>
      <c r="B210" s="29"/>
      <c r="C210" s="29"/>
      <c r="D210" s="29"/>
      <c r="G210" s="67"/>
    </row>
    <row r="211">
      <c r="A211" s="29"/>
      <c r="B211" s="29"/>
      <c r="C211" s="29"/>
      <c r="D211" s="29"/>
      <c r="G211" s="67"/>
    </row>
    <row r="212">
      <c r="A212" s="29"/>
      <c r="B212" s="29"/>
      <c r="C212" s="29"/>
      <c r="D212" s="29"/>
      <c r="G212" s="67"/>
    </row>
    <row r="213">
      <c r="A213" s="29"/>
      <c r="B213" s="29"/>
      <c r="C213" s="29"/>
      <c r="D213" s="29"/>
      <c r="G213" s="67"/>
    </row>
    <row r="214">
      <c r="A214" s="29"/>
      <c r="B214" s="29"/>
      <c r="C214" s="29"/>
      <c r="D214" s="29"/>
      <c r="G214" s="67"/>
    </row>
    <row r="215">
      <c r="A215" s="29"/>
      <c r="B215" s="29"/>
      <c r="C215" s="29"/>
      <c r="D215" s="29"/>
      <c r="G215" s="67"/>
    </row>
    <row r="216">
      <c r="A216" s="29"/>
      <c r="B216" s="29"/>
      <c r="C216" s="29"/>
      <c r="D216" s="29"/>
      <c r="G216" s="67"/>
    </row>
    <row r="217">
      <c r="A217" s="29"/>
      <c r="B217" s="29"/>
      <c r="C217" s="29"/>
      <c r="D217" s="29"/>
      <c r="G217" s="67"/>
    </row>
    <row r="218">
      <c r="A218" s="29"/>
      <c r="B218" s="29"/>
      <c r="C218" s="29"/>
      <c r="D218" s="29"/>
      <c r="G218" s="67"/>
    </row>
    <row r="219">
      <c r="A219" s="29"/>
      <c r="B219" s="29"/>
      <c r="C219" s="29"/>
      <c r="D219" s="29"/>
      <c r="G219" s="67"/>
    </row>
    <row r="220">
      <c r="A220" s="29"/>
      <c r="B220" s="29"/>
      <c r="C220" s="29"/>
      <c r="D220" s="29"/>
      <c r="G220" s="67"/>
    </row>
    <row r="221">
      <c r="A221" s="29"/>
      <c r="B221" s="29"/>
      <c r="C221" s="29"/>
      <c r="D221" s="29"/>
      <c r="G221" s="67"/>
    </row>
    <row r="222">
      <c r="A222" s="29"/>
      <c r="B222" s="29"/>
      <c r="C222" s="29"/>
      <c r="D222" s="29"/>
      <c r="G222" s="67"/>
    </row>
    <row r="223">
      <c r="A223" s="29"/>
      <c r="B223" s="29"/>
      <c r="C223" s="29"/>
      <c r="D223" s="29"/>
      <c r="G223" s="67"/>
    </row>
    <row r="224">
      <c r="A224" s="29"/>
      <c r="B224" s="29"/>
      <c r="C224" s="29"/>
      <c r="D224" s="29"/>
      <c r="G224" s="67"/>
    </row>
    <row r="225">
      <c r="A225" s="29"/>
      <c r="B225" s="29"/>
      <c r="C225" s="29"/>
      <c r="D225" s="29"/>
      <c r="G225" s="67"/>
    </row>
    <row r="226">
      <c r="A226" s="29"/>
      <c r="B226" s="29"/>
      <c r="C226" s="29"/>
      <c r="D226" s="29"/>
      <c r="G226" s="67"/>
    </row>
    <row r="227">
      <c r="A227" s="29"/>
      <c r="B227" s="29"/>
      <c r="C227" s="29"/>
      <c r="D227" s="29"/>
      <c r="G227" s="67"/>
    </row>
    <row r="228">
      <c r="A228" s="29"/>
      <c r="B228" s="29"/>
      <c r="C228" s="29"/>
      <c r="D228" s="29"/>
      <c r="G228" s="67"/>
    </row>
    <row r="229">
      <c r="A229" s="29"/>
      <c r="B229" s="29"/>
      <c r="C229" s="29"/>
      <c r="D229" s="29"/>
      <c r="G229" s="67"/>
    </row>
    <row r="230">
      <c r="A230" s="29"/>
      <c r="B230" s="29"/>
      <c r="C230" s="29"/>
      <c r="D230" s="29"/>
      <c r="G230" s="67"/>
    </row>
    <row r="231">
      <c r="A231" s="29"/>
      <c r="B231" s="29"/>
      <c r="C231" s="29"/>
      <c r="D231" s="29"/>
      <c r="G231" s="67"/>
    </row>
    <row r="232">
      <c r="A232" s="29"/>
      <c r="B232" s="29"/>
      <c r="C232" s="29"/>
      <c r="D232" s="29"/>
      <c r="G232" s="67"/>
    </row>
    <row r="233">
      <c r="A233" s="29"/>
      <c r="B233" s="29"/>
      <c r="C233" s="29"/>
      <c r="D233" s="29"/>
      <c r="G233" s="67"/>
    </row>
    <row r="234">
      <c r="A234" s="29"/>
      <c r="B234" s="29"/>
      <c r="C234" s="29"/>
      <c r="D234" s="29"/>
      <c r="G234" s="67"/>
    </row>
    <row r="235">
      <c r="A235" s="29"/>
      <c r="B235" s="29"/>
      <c r="C235" s="29"/>
      <c r="D235" s="29"/>
      <c r="G235" s="67"/>
    </row>
    <row r="236">
      <c r="A236" s="29"/>
      <c r="B236" s="29"/>
      <c r="C236" s="29"/>
      <c r="D236" s="29"/>
      <c r="G236" s="67"/>
    </row>
    <row r="237">
      <c r="A237" s="29"/>
      <c r="B237" s="29"/>
      <c r="C237" s="29"/>
      <c r="D237" s="29"/>
      <c r="G237" s="67"/>
    </row>
    <row r="238">
      <c r="A238" s="29"/>
      <c r="B238" s="29"/>
      <c r="C238" s="29"/>
      <c r="D238" s="29"/>
      <c r="G238" s="67"/>
    </row>
    <row r="239">
      <c r="A239" s="29"/>
      <c r="B239" s="29"/>
      <c r="C239" s="29"/>
      <c r="D239" s="29"/>
      <c r="G239" s="67"/>
    </row>
    <row r="240">
      <c r="A240" s="29"/>
      <c r="B240" s="29"/>
      <c r="C240" s="29"/>
      <c r="D240" s="29"/>
      <c r="G240" s="67"/>
    </row>
    <row r="241">
      <c r="A241" s="29"/>
      <c r="B241" s="29"/>
      <c r="C241" s="29"/>
      <c r="D241" s="29"/>
      <c r="G241" s="67"/>
    </row>
    <row r="242">
      <c r="A242" s="29"/>
      <c r="B242" s="29"/>
      <c r="C242" s="29"/>
      <c r="D242" s="29"/>
      <c r="G242" s="67"/>
    </row>
    <row r="243">
      <c r="A243" s="29"/>
      <c r="B243" s="29"/>
      <c r="C243" s="29"/>
      <c r="D243" s="29"/>
      <c r="G243" s="67"/>
    </row>
    <row r="244">
      <c r="A244" s="29"/>
      <c r="B244" s="29"/>
      <c r="C244" s="29"/>
      <c r="D244" s="29"/>
      <c r="G244" s="67"/>
    </row>
    <row r="245">
      <c r="A245" s="29"/>
      <c r="B245" s="29"/>
      <c r="C245" s="29"/>
      <c r="D245" s="29"/>
      <c r="G245" s="67"/>
    </row>
    <row r="246">
      <c r="A246" s="29"/>
      <c r="B246" s="29"/>
      <c r="C246" s="29"/>
      <c r="D246" s="29"/>
      <c r="G246" s="67"/>
    </row>
    <row r="247">
      <c r="A247" s="29"/>
      <c r="B247" s="29"/>
      <c r="C247" s="29"/>
      <c r="D247" s="29"/>
      <c r="G247" s="67"/>
    </row>
    <row r="248">
      <c r="A248" s="29"/>
      <c r="B248" s="29"/>
      <c r="C248" s="29"/>
      <c r="D248" s="29"/>
      <c r="G248" s="67"/>
    </row>
    <row r="249">
      <c r="A249" s="29"/>
      <c r="B249" s="29"/>
      <c r="C249" s="29"/>
      <c r="D249" s="29"/>
      <c r="G249" s="67"/>
    </row>
    <row r="250">
      <c r="A250" s="29"/>
      <c r="B250" s="29"/>
      <c r="C250" s="29"/>
      <c r="D250" s="29"/>
      <c r="G250" s="67"/>
    </row>
    <row r="251">
      <c r="A251" s="29"/>
      <c r="B251" s="29"/>
      <c r="C251" s="29"/>
      <c r="D251" s="29"/>
      <c r="G251" s="67"/>
    </row>
    <row r="252">
      <c r="A252" s="29"/>
      <c r="B252" s="29"/>
      <c r="C252" s="29"/>
      <c r="D252" s="29"/>
      <c r="G252" s="67"/>
    </row>
    <row r="253">
      <c r="A253" s="29"/>
      <c r="B253" s="29"/>
      <c r="C253" s="29"/>
      <c r="D253" s="29"/>
      <c r="G253" s="67"/>
    </row>
    <row r="254">
      <c r="A254" s="29"/>
      <c r="B254" s="29"/>
      <c r="C254" s="29"/>
      <c r="D254" s="29"/>
      <c r="G254" s="67"/>
    </row>
    <row r="255">
      <c r="A255" s="29"/>
      <c r="B255" s="29"/>
      <c r="C255" s="29"/>
      <c r="D255" s="29"/>
      <c r="G255" s="67"/>
    </row>
    <row r="256">
      <c r="A256" s="29"/>
      <c r="B256" s="29"/>
      <c r="C256" s="29"/>
      <c r="D256" s="29"/>
      <c r="G256" s="67"/>
    </row>
    <row r="257">
      <c r="A257" s="29"/>
      <c r="B257" s="29"/>
      <c r="C257" s="29"/>
      <c r="D257" s="29"/>
      <c r="G257" s="67"/>
    </row>
    <row r="258">
      <c r="A258" s="29"/>
      <c r="B258" s="29"/>
      <c r="C258" s="29"/>
      <c r="D258" s="29"/>
      <c r="G258" s="67"/>
    </row>
    <row r="259">
      <c r="A259" s="29"/>
      <c r="B259" s="29"/>
      <c r="C259" s="29"/>
      <c r="D259" s="29"/>
      <c r="G259" s="67"/>
    </row>
    <row r="260">
      <c r="A260" s="29"/>
      <c r="B260" s="29"/>
      <c r="C260" s="29"/>
      <c r="D260" s="29"/>
      <c r="G260" s="67"/>
    </row>
    <row r="261">
      <c r="A261" s="29"/>
      <c r="B261" s="29"/>
      <c r="C261" s="29"/>
      <c r="D261" s="29"/>
      <c r="G261" s="67"/>
    </row>
    <row r="262">
      <c r="A262" s="29"/>
      <c r="B262" s="29"/>
      <c r="C262" s="29"/>
      <c r="D262" s="29"/>
      <c r="G262" s="67"/>
    </row>
    <row r="263">
      <c r="A263" s="29"/>
      <c r="B263" s="29"/>
      <c r="C263" s="29"/>
      <c r="D263" s="29"/>
      <c r="G263" s="67"/>
    </row>
    <row r="264">
      <c r="A264" s="29"/>
      <c r="B264" s="29"/>
      <c r="C264" s="29"/>
      <c r="D264" s="29"/>
      <c r="G264" s="67"/>
    </row>
    <row r="265">
      <c r="A265" s="29"/>
      <c r="B265" s="29"/>
      <c r="C265" s="29"/>
      <c r="D265" s="29"/>
      <c r="G265" s="67"/>
    </row>
    <row r="266">
      <c r="A266" s="29"/>
      <c r="B266" s="29"/>
      <c r="C266" s="29"/>
      <c r="D266" s="29"/>
      <c r="G266" s="67"/>
    </row>
    <row r="267">
      <c r="A267" s="29"/>
      <c r="B267" s="29"/>
      <c r="C267" s="29"/>
      <c r="D267" s="29"/>
      <c r="G267" s="67"/>
    </row>
    <row r="268">
      <c r="A268" s="29"/>
      <c r="B268" s="29"/>
      <c r="C268" s="29"/>
      <c r="D268" s="29"/>
      <c r="G268" s="67"/>
    </row>
    <row r="269">
      <c r="A269" s="29"/>
      <c r="B269" s="29"/>
      <c r="C269" s="29"/>
      <c r="D269" s="29"/>
      <c r="G269" s="67"/>
    </row>
    <row r="270">
      <c r="A270" s="29"/>
      <c r="B270" s="29"/>
      <c r="C270" s="29"/>
      <c r="D270" s="29"/>
      <c r="G270" s="67"/>
    </row>
    <row r="271">
      <c r="A271" s="29"/>
      <c r="B271" s="29"/>
      <c r="C271" s="67" t="str">
        <f>IFERROR(__xludf.DUMMYFUNCTION("""COMPUTED_VALUE"""),"")</f>
        <v/>
      </c>
      <c r="D271" s="29"/>
      <c r="G271" s="67"/>
    </row>
    <row r="272">
      <c r="A272" s="29"/>
      <c r="B272" s="29"/>
      <c r="C272" s="67" t="str">
        <f>IFERROR(__xludf.DUMMYFUNCTION("""COMPUTED_VALUE"""),"")</f>
        <v/>
      </c>
      <c r="D272" s="29"/>
      <c r="G272" s="67"/>
    </row>
    <row r="273">
      <c r="A273" s="29"/>
      <c r="B273" s="29"/>
      <c r="C273" s="67" t="str">
        <f>IFERROR(__xludf.DUMMYFUNCTION("""COMPUTED_VALUE"""),"")</f>
        <v/>
      </c>
      <c r="D273" s="29"/>
      <c r="G273" s="67"/>
    </row>
    <row r="274">
      <c r="A274" s="29"/>
      <c r="B274" s="29"/>
      <c r="C274" s="67" t="str">
        <f>IFERROR(__xludf.DUMMYFUNCTION("""COMPUTED_VALUE"""),"")</f>
        <v/>
      </c>
      <c r="D274" s="29"/>
      <c r="G274" s="67"/>
    </row>
    <row r="275">
      <c r="A275" s="29"/>
      <c r="B275" s="29"/>
      <c r="C275" s="67" t="str">
        <f>IFERROR(__xludf.DUMMYFUNCTION("""COMPUTED_VALUE"""),"")</f>
        <v/>
      </c>
      <c r="D275" s="29"/>
      <c r="G275" s="67"/>
    </row>
    <row r="276">
      <c r="A276" s="29"/>
      <c r="B276" s="29"/>
      <c r="C276" s="67" t="str">
        <f>IFERROR(__xludf.DUMMYFUNCTION("""COMPUTED_VALUE"""),"")</f>
        <v/>
      </c>
      <c r="D276" s="29"/>
      <c r="G276" s="67"/>
    </row>
    <row r="277">
      <c r="A277" s="29"/>
      <c r="B277" s="29"/>
      <c r="C277" s="67" t="str">
        <f>IFERROR(__xludf.DUMMYFUNCTION("""COMPUTED_VALUE"""),"")</f>
        <v/>
      </c>
      <c r="D277" s="29"/>
      <c r="G277" s="67"/>
    </row>
    <row r="278">
      <c r="A278" s="29"/>
      <c r="B278" s="29"/>
      <c r="C278" s="67" t="str">
        <f>IFERROR(__xludf.DUMMYFUNCTION("""COMPUTED_VALUE"""),"")</f>
        <v/>
      </c>
      <c r="D278" s="29"/>
      <c r="G278" s="67"/>
    </row>
    <row r="279">
      <c r="A279" s="29"/>
      <c r="B279" s="29"/>
      <c r="C279" s="67" t="str">
        <f>IFERROR(__xludf.DUMMYFUNCTION("""COMPUTED_VALUE"""),"")</f>
        <v/>
      </c>
      <c r="D279" s="29"/>
      <c r="G279" s="67"/>
    </row>
    <row r="280">
      <c r="A280" s="29"/>
      <c r="B280" s="29"/>
      <c r="C280" s="67" t="str">
        <f>IFERROR(__xludf.DUMMYFUNCTION("""COMPUTED_VALUE"""),"")</f>
        <v/>
      </c>
      <c r="D280" s="29"/>
      <c r="G280" s="67"/>
    </row>
    <row r="281">
      <c r="A281" s="29"/>
      <c r="B281" s="29"/>
      <c r="C281" s="67" t="str">
        <f>IFERROR(__xludf.DUMMYFUNCTION("""COMPUTED_VALUE"""),"")</f>
        <v/>
      </c>
      <c r="D281" s="29"/>
      <c r="G281" s="67"/>
    </row>
    <row r="282">
      <c r="A282" s="29"/>
      <c r="B282" s="29"/>
      <c r="C282" s="67" t="str">
        <f>IFERROR(__xludf.DUMMYFUNCTION("""COMPUTED_VALUE"""),"")</f>
        <v/>
      </c>
      <c r="D282" s="29"/>
      <c r="G282" s="67"/>
    </row>
    <row r="283">
      <c r="A283" s="29"/>
      <c r="B283" s="29"/>
      <c r="C283" s="67" t="str">
        <f>IFERROR(__xludf.DUMMYFUNCTION("""COMPUTED_VALUE"""),"")</f>
        <v/>
      </c>
      <c r="D283" s="29"/>
      <c r="G283" s="67"/>
    </row>
    <row r="284">
      <c r="A284" s="29"/>
      <c r="B284" s="29"/>
      <c r="C284" s="67" t="str">
        <f>IFERROR(__xludf.DUMMYFUNCTION("""COMPUTED_VALUE"""),"")</f>
        <v/>
      </c>
      <c r="D284" s="29"/>
      <c r="G284" s="67"/>
    </row>
    <row r="285">
      <c r="A285" s="29"/>
      <c r="B285" s="29"/>
      <c r="C285" s="67" t="str">
        <f>IFERROR(__xludf.DUMMYFUNCTION("""COMPUTED_VALUE"""),"")</f>
        <v/>
      </c>
      <c r="D285" s="29"/>
      <c r="G285" s="67"/>
    </row>
    <row r="286">
      <c r="A286" s="29"/>
      <c r="B286" s="29"/>
      <c r="C286" s="67" t="str">
        <f>IFERROR(__xludf.DUMMYFUNCTION("""COMPUTED_VALUE"""),"")</f>
        <v/>
      </c>
      <c r="D286" s="29"/>
      <c r="G286" s="67"/>
    </row>
    <row r="287">
      <c r="A287" s="29"/>
      <c r="B287" s="29"/>
      <c r="C287" s="67" t="str">
        <f>IFERROR(__xludf.DUMMYFUNCTION("""COMPUTED_VALUE"""),"")</f>
        <v/>
      </c>
      <c r="D287" s="29"/>
      <c r="G287" s="67"/>
    </row>
    <row r="288">
      <c r="A288" s="29"/>
      <c r="B288" s="29"/>
      <c r="C288" s="67" t="str">
        <f>IFERROR(__xludf.DUMMYFUNCTION("""COMPUTED_VALUE"""),"")</f>
        <v/>
      </c>
      <c r="D288" s="29"/>
      <c r="G288" s="67"/>
    </row>
    <row r="289">
      <c r="A289" s="29"/>
      <c r="B289" s="29"/>
      <c r="C289" s="67" t="str">
        <f>IFERROR(__xludf.DUMMYFUNCTION("""COMPUTED_VALUE"""),"")</f>
        <v/>
      </c>
      <c r="D289" s="29"/>
      <c r="G289" s="67"/>
    </row>
    <row r="290">
      <c r="A290" s="29"/>
      <c r="B290" s="29"/>
      <c r="C290" s="67" t="str">
        <f>IFERROR(__xludf.DUMMYFUNCTION("""COMPUTED_VALUE"""),"")</f>
        <v/>
      </c>
      <c r="D290" s="29"/>
      <c r="G290" s="67"/>
    </row>
    <row r="291">
      <c r="A291" s="29"/>
      <c r="B291" s="29"/>
      <c r="C291" s="67" t="str">
        <f>IFERROR(__xludf.DUMMYFUNCTION("""COMPUTED_VALUE"""),"")</f>
        <v/>
      </c>
      <c r="D291" s="29"/>
      <c r="G291" s="67"/>
    </row>
    <row r="292">
      <c r="A292" s="29"/>
      <c r="B292" s="29"/>
      <c r="C292" s="67" t="str">
        <f>IFERROR(__xludf.DUMMYFUNCTION("""COMPUTED_VALUE"""),"")</f>
        <v/>
      </c>
      <c r="D292" s="29"/>
      <c r="G292" s="67"/>
    </row>
    <row r="293">
      <c r="A293" s="29"/>
      <c r="B293" s="29"/>
      <c r="C293" s="67" t="str">
        <f>IFERROR(__xludf.DUMMYFUNCTION("""COMPUTED_VALUE"""),"")</f>
        <v/>
      </c>
      <c r="D293" s="29"/>
      <c r="G293" s="67"/>
    </row>
    <row r="294">
      <c r="A294" s="29"/>
      <c r="B294" s="29"/>
      <c r="C294" s="67" t="str">
        <f>IFERROR(__xludf.DUMMYFUNCTION("""COMPUTED_VALUE"""),"")</f>
        <v/>
      </c>
      <c r="D294" s="29"/>
      <c r="G294" s="67"/>
    </row>
    <row r="295">
      <c r="A295" s="29"/>
      <c r="B295" s="29"/>
      <c r="C295" s="67" t="str">
        <f>IFERROR(__xludf.DUMMYFUNCTION("""COMPUTED_VALUE"""),"")</f>
        <v/>
      </c>
      <c r="D295" s="29"/>
      <c r="G295" s="67"/>
    </row>
    <row r="296">
      <c r="A296" s="29"/>
      <c r="B296" s="29"/>
      <c r="C296" s="67" t="str">
        <f>IFERROR(__xludf.DUMMYFUNCTION("""COMPUTED_VALUE"""),"")</f>
        <v/>
      </c>
      <c r="D296" s="29"/>
      <c r="G296" s="67"/>
    </row>
    <row r="297">
      <c r="A297" s="29"/>
      <c r="B297" s="29"/>
      <c r="C297" s="67" t="str">
        <f>IFERROR(__xludf.DUMMYFUNCTION("""COMPUTED_VALUE"""),"")</f>
        <v/>
      </c>
      <c r="D297" s="29"/>
      <c r="G297" s="67"/>
    </row>
    <row r="298">
      <c r="A298" s="29"/>
      <c r="B298" s="29"/>
      <c r="C298" s="67" t="str">
        <f>IFERROR(__xludf.DUMMYFUNCTION("""COMPUTED_VALUE"""),"")</f>
        <v/>
      </c>
      <c r="D298" s="29"/>
      <c r="G298" s="67"/>
    </row>
    <row r="299">
      <c r="A299" s="29"/>
      <c r="B299" s="29"/>
      <c r="C299" s="67" t="str">
        <f>IFERROR(__xludf.DUMMYFUNCTION("""COMPUTED_VALUE"""),"")</f>
        <v/>
      </c>
      <c r="D299" s="29"/>
      <c r="G299" s="67"/>
    </row>
    <row r="300">
      <c r="A300" s="29"/>
      <c r="B300" s="29"/>
      <c r="C300" s="67" t="str">
        <f>IFERROR(__xludf.DUMMYFUNCTION("""COMPUTED_VALUE"""),"")</f>
        <v/>
      </c>
      <c r="D300" s="29"/>
      <c r="G300" s="67"/>
    </row>
    <row r="301">
      <c r="A301" s="29"/>
      <c r="B301" s="29"/>
      <c r="C301" s="67" t="str">
        <f>IFERROR(__xludf.DUMMYFUNCTION("""COMPUTED_VALUE"""),"")</f>
        <v/>
      </c>
      <c r="D301" s="29"/>
      <c r="G301" s="67"/>
    </row>
    <row r="302">
      <c r="A302" s="29"/>
      <c r="B302" s="29"/>
      <c r="C302" s="67" t="str">
        <f>IFERROR(__xludf.DUMMYFUNCTION("""COMPUTED_VALUE"""),"")</f>
        <v/>
      </c>
      <c r="D302" s="29"/>
      <c r="G302" s="67"/>
    </row>
    <row r="303">
      <c r="A303" s="29"/>
      <c r="B303" s="29"/>
      <c r="C303" s="67" t="str">
        <f>IFERROR(__xludf.DUMMYFUNCTION("""COMPUTED_VALUE"""),"")</f>
        <v/>
      </c>
      <c r="D303" s="29"/>
      <c r="G303" s="67"/>
    </row>
    <row r="304">
      <c r="A304" s="29"/>
      <c r="B304" s="29"/>
      <c r="C304" s="67" t="str">
        <f>IFERROR(__xludf.DUMMYFUNCTION("""COMPUTED_VALUE"""),"")</f>
        <v/>
      </c>
      <c r="D304" s="29"/>
      <c r="G304" s="67"/>
    </row>
    <row r="305">
      <c r="A305" s="29"/>
      <c r="B305" s="29"/>
      <c r="C305" s="67" t="str">
        <f>IFERROR(__xludf.DUMMYFUNCTION("""COMPUTED_VALUE"""),"")</f>
        <v/>
      </c>
      <c r="D305" s="29"/>
      <c r="G305" s="67"/>
    </row>
    <row r="306">
      <c r="A306" s="29"/>
      <c r="B306" s="29"/>
      <c r="C306" s="67" t="str">
        <f>IFERROR(__xludf.DUMMYFUNCTION("""COMPUTED_VALUE"""),"")</f>
        <v/>
      </c>
      <c r="D306" s="29"/>
      <c r="G306" s="67"/>
    </row>
    <row r="307">
      <c r="A307" s="29"/>
      <c r="B307" s="29"/>
      <c r="C307" s="67" t="str">
        <f>IFERROR(__xludf.DUMMYFUNCTION("""COMPUTED_VALUE"""),"")</f>
        <v/>
      </c>
      <c r="D307" s="29"/>
      <c r="G307" s="67"/>
    </row>
    <row r="308">
      <c r="A308" s="29"/>
      <c r="B308" s="29"/>
      <c r="C308" s="67" t="str">
        <f>IFERROR(__xludf.DUMMYFUNCTION("""COMPUTED_VALUE"""),"")</f>
        <v/>
      </c>
      <c r="D308" s="29"/>
      <c r="G308" s="67"/>
    </row>
    <row r="309">
      <c r="A309" s="29"/>
      <c r="B309" s="29"/>
      <c r="C309" s="67" t="str">
        <f>IFERROR(__xludf.DUMMYFUNCTION("""COMPUTED_VALUE"""),"")</f>
        <v/>
      </c>
      <c r="D309" s="29"/>
      <c r="G309" s="67"/>
    </row>
    <row r="310">
      <c r="A310" s="29"/>
      <c r="B310" s="29"/>
      <c r="C310" s="67" t="str">
        <f>IFERROR(__xludf.DUMMYFUNCTION("""COMPUTED_VALUE"""),"")</f>
        <v/>
      </c>
      <c r="D310" s="29"/>
      <c r="G310" s="67"/>
    </row>
    <row r="311">
      <c r="A311" s="29"/>
      <c r="B311" s="29"/>
      <c r="C311" s="67" t="str">
        <f>IFERROR(__xludf.DUMMYFUNCTION("""COMPUTED_VALUE"""),"")</f>
        <v/>
      </c>
      <c r="D311" s="29"/>
      <c r="G311" s="67"/>
    </row>
    <row r="312">
      <c r="A312" s="29"/>
      <c r="B312" s="29"/>
      <c r="C312" s="67" t="str">
        <f>IFERROR(__xludf.DUMMYFUNCTION("""COMPUTED_VALUE"""),"")</f>
        <v/>
      </c>
      <c r="D312" s="29"/>
      <c r="G312" s="67"/>
    </row>
    <row r="313">
      <c r="A313" s="29"/>
      <c r="B313" s="29"/>
      <c r="C313" s="67" t="str">
        <f>IFERROR(__xludf.DUMMYFUNCTION("""COMPUTED_VALUE"""),"")</f>
        <v/>
      </c>
      <c r="D313" s="29"/>
      <c r="G313" s="67"/>
    </row>
    <row r="314">
      <c r="A314" s="29"/>
      <c r="B314" s="29"/>
      <c r="C314" s="67" t="str">
        <f>IFERROR(__xludf.DUMMYFUNCTION("""COMPUTED_VALUE"""),"")</f>
        <v/>
      </c>
      <c r="D314" s="29"/>
      <c r="G314" s="67"/>
    </row>
    <row r="315">
      <c r="A315" s="29"/>
      <c r="B315" s="29"/>
      <c r="C315" s="67" t="str">
        <f>IFERROR(__xludf.DUMMYFUNCTION("""COMPUTED_VALUE"""),"")</f>
        <v/>
      </c>
      <c r="D315" s="29"/>
      <c r="G315" s="67"/>
    </row>
    <row r="316">
      <c r="A316" s="29"/>
      <c r="B316" s="29"/>
      <c r="C316" s="67" t="str">
        <f>IFERROR(__xludf.DUMMYFUNCTION("""COMPUTED_VALUE"""),"")</f>
        <v/>
      </c>
      <c r="D316" s="29"/>
      <c r="G316" s="67"/>
    </row>
    <row r="317">
      <c r="A317" s="29"/>
      <c r="B317" s="29"/>
      <c r="C317" s="67" t="str">
        <f>IFERROR(__xludf.DUMMYFUNCTION("""COMPUTED_VALUE"""),"")</f>
        <v/>
      </c>
      <c r="D317" s="29"/>
      <c r="G317" s="67"/>
    </row>
    <row r="318">
      <c r="A318" s="29"/>
      <c r="B318" s="29"/>
      <c r="C318" s="67" t="str">
        <f>IFERROR(__xludf.DUMMYFUNCTION("""COMPUTED_VALUE"""),"")</f>
        <v/>
      </c>
      <c r="D318" s="29"/>
      <c r="G318" s="67"/>
    </row>
    <row r="319">
      <c r="A319" s="29"/>
      <c r="B319" s="29"/>
      <c r="C319" s="67" t="str">
        <f>IFERROR(__xludf.DUMMYFUNCTION("""COMPUTED_VALUE"""),"")</f>
        <v/>
      </c>
      <c r="D319" s="29"/>
      <c r="G319" s="67"/>
    </row>
    <row r="320">
      <c r="A320" s="29"/>
      <c r="B320" s="29"/>
      <c r="C320" s="67" t="str">
        <f>IFERROR(__xludf.DUMMYFUNCTION("""COMPUTED_VALUE"""),"")</f>
        <v/>
      </c>
      <c r="D320" s="29"/>
      <c r="G320" s="67"/>
    </row>
    <row r="321">
      <c r="A321" s="29"/>
      <c r="B321" s="29"/>
      <c r="C321" s="67" t="str">
        <f>IFERROR(__xludf.DUMMYFUNCTION("""COMPUTED_VALUE"""),"")</f>
        <v/>
      </c>
      <c r="D321" s="29"/>
      <c r="G321" s="67"/>
    </row>
    <row r="322">
      <c r="A322" s="29"/>
      <c r="B322" s="29"/>
      <c r="C322" s="67" t="str">
        <f>IFERROR(__xludf.DUMMYFUNCTION("""COMPUTED_VALUE"""),"")</f>
        <v/>
      </c>
      <c r="D322" s="29"/>
      <c r="G322" s="67"/>
    </row>
    <row r="323">
      <c r="A323" s="29"/>
      <c r="B323" s="29"/>
      <c r="C323" s="67" t="str">
        <f>IFERROR(__xludf.DUMMYFUNCTION("""COMPUTED_VALUE"""),"")</f>
        <v/>
      </c>
      <c r="D323" s="29"/>
      <c r="G323" s="67"/>
    </row>
    <row r="324">
      <c r="A324" s="29"/>
      <c r="B324" s="29"/>
      <c r="C324" s="67" t="str">
        <f>IFERROR(__xludf.DUMMYFUNCTION("""COMPUTED_VALUE"""),"")</f>
        <v/>
      </c>
      <c r="D324" s="29"/>
      <c r="G324" s="67"/>
    </row>
    <row r="325">
      <c r="A325" s="29"/>
      <c r="B325" s="29"/>
      <c r="C325" s="67" t="str">
        <f>IFERROR(__xludf.DUMMYFUNCTION("""COMPUTED_VALUE"""),"")</f>
        <v/>
      </c>
      <c r="D325" s="29"/>
      <c r="G325" s="67"/>
    </row>
    <row r="326">
      <c r="A326" s="29"/>
      <c r="B326" s="29"/>
      <c r="C326" s="67" t="str">
        <f>IFERROR(__xludf.DUMMYFUNCTION("""COMPUTED_VALUE"""),"")</f>
        <v/>
      </c>
      <c r="D326" s="29"/>
      <c r="G326" s="67"/>
    </row>
    <row r="327">
      <c r="A327" s="29"/>
      <c r="B327" s="29"/>
      <c r="C327" s="67" t="str">
        <f>IFERROR(__xludf.DUMMYFUNCTION("""COMPUTED_VALUE"""),"")</f>
        <v/>
      </c>
      <c r="D327" s="29"/>
      <c r="G327" s="67"/>
    </row>
    <row r="328">
      <c r="A328" s="29"/>
      <c r="B328" s="29"/>
      <c r="C328" s="67" t="str">
        <f>IFERROR(__xludf.DUMMYFUNCTION("""COMPUTED_VALUE"""),"")</f>
        <v/>
      </c>
      <c r="D328" s="29"/>
      <c r="G328" s="67"/>
    </row>
    <row r="329">
      <c r="A329" s="29"/>
      <c r="B329" s="29"/>
      <c r="C329" s="67" t="str">
        <f>IFERROR(__xludf.DUMMYFUNCTION("""COMPUTED_VALUE"""),"")</f>
        <v/>
      </c>
      <c r="D329" s="29"/>
      <c r="G329" s="67"/>
    </row>
    <row r="330">
      <c r="A330" s="29"/>
      <c r="B330" s="29"/>
      <c r="C330" s="67" t="str">
        <f>IFERROR(__xludf.DUMMYFUNCTION("""COMPUTED_VALUE"""),"")</f>
        <v/>
      </c>
      <c r="D330" s="29"/>
      <c r="G330" s="67"/>
    </row>
    <row r="331">
      <c r="A331" s="29"/>
      <c r="B331" s="29"/>
      <c r="C331" s="67" t="str">
        <f>IFERROR(__xludf.DUMMYFUNCTION("""COMPUTED_VALUE"""),"")</f>
        <v/>
      </c>
      <c r="D331" s="29"/>
      <c r="G331" s="67"/>
    </row>
    <row r="332">
      <c r="A332" s="29"/>
      <c r="B332" s="29"/>
      <c r="C332" s="67" t="str">
        <f>IFERROR(__xludf.DUMMYFUNCTION("""COMPUTED_VALUE"""),"")</f>
        <v/>
      </c>
      <c r="D332" s="29"/>
      <c r="G332" s="67"/>
    </row>
    <row r="333">
      <c r="A333" s="29"/>
      <c r="B333" s="29"/>
      <c r="C333" s="67" t="str">
        <f>IFERROR(__xludf.DUMMYFUNCTION("""COMPUTED_VALUE"""),"")</f>
        <v/>
      </c>
      <c r="D333" s="29"/>
      <c r="G333" s="67"/>
    </row>
    <row r="334">
      <c r="A334" s="29"/>
      <c r="B334" s="29"/>
      <c r="C334" s="67" t="str">
        <f>IFERROR(__xludf.DUMMYFUNCTION("""COMPUTED_VALUE"""),"")</f>
        <v/>
      </c>
      <c r="D334" s="29"/>
      <c r="G334" s="67"/>
    </row>
    <row r="335">
      <c r="A335" s="29"/>
      <c r="B335" s="29"/>
      <c r="C335" s="67" t="str">
        <f>IFERROR(__xludf.DUMMYFUNCTION("""COMPUTED_VALUE"""),"")</f>
        <v/>
      </c>
      <c r="D335" s="29"/>
      <c r="G335" s="67"/>
    </row>
    <row r="336">
      <c r="A336" s="29"/>
      <c r="B336" s="29"/>
      <c r="C336" s="67" t="str">
        <f>IFERROR(__xludf.DUMMYFUNCTION("""COMPUTED_VALUE"""),"")</f>
        <v/>
      </c>
      <c r="D336" s="29"/>
      <c r="G336" s="67"/>
    </row>
    <row r="337">
      <c r="A337" s="29"/>
      <c r="B337" s="29"/>
      <c r="C337" s="67" t="str">
        <f>IFERROR(__xludf.DUMMYFUNCTION("""COMPUTED_VALUE"""),"")</f>
        <v/>
      </c>
      <c r="D337" s="29"/>
      <c r="G337" s="67"/>
    </row>
    <row r="338">
      <c r="A338" s="29"/>
      <c r="B338" s="29"/>
      <c r="C338" s="67" t="str">
        <f>IFERROR(__xludf.DUMMYFUNCTION("""COMPUTED_VALUE"""),"")</f>
        <v/>
      </c>
      <c r="D338" s="29"/>
      <c r="G338" s="67"/>
    </row>
    <row r="339">
      <c r="A339" s="29"/>
      <c r="B339" s="29"/>
      <c r="C339" s="67" t="str">
        <f>IFERROR(__xludf.DUMMYFUNCTION("""COMPUTED_VALUE"""),"")</f>
        <v/>
      </c>
      <c r="D339" s="29"/>
      <c r="G339" s="67"/>
    </row>
    <row r="340">
      <c r="A340" s="29"/>
      <c r="B340" s="29"/>
      <c r="C340" s="67" t="str">
        <f>IFERROR(__xludf.DUMMYFUNCTION("""COMPUTED_VALUE"""),"")</f>
        <v/>
      </c>
      <c r="D340" s="29"/>
      <c r="G340" s="67"/>
    </row>
    <row r="341">
      <c r="A341" s="29"/>
      <c r="B341" s="29"/>
      <c r="C341" s="67" t="str">
        <f>IFERROR(__xludf.DUMMYFUNCTION("""COMPUTED_VALUE"""),"")</f>
        <v/>
      </c>
      <c r="D341" s="29"/>
      <c r="G341" s="67"/>
    </row>
    <row r="342">
      <c r="A342" s="29"/>
      <c r="B342" s="29"/>
      <c r="C342" s="67" t="str">
        <f>IFERROR(__xludf.DUMMYFUNCTION("""COMPUTED_VALUE"""),"")</f>
        <v/>
      </c>
      <c r="D342" s="29"/>
      <c r="G342" s="67"/>
    </row>
    <row r="343">
      <c r="A343" s="29"/>
      <c r="B343" s="29"/>
      <c r="C343" s="67" t="str">
        <f>IFERROR(__xludf.DUMMYFUNCTION("""COMPUTED_VALUE"""),"")</f>
        <v/>
      </c>
      <c r="D343" s="29"/>
      <c r="G343" s="67"/>
    </row>
    <row r="344">
      <c r="A344" s="29"/>
      <c r="B344" s="29"/>
      <c r="C344" s="67" t="str">
        <f>IFERROR(__xludf.DUMMYFUNCTION("""COMPUTED_VALUE"""),"")</f>
        <v/>
      </c>
      <c r="D344" s="29"/>
      <c r="G344" s="67"/>
    </row>
    <row r="345">
      <c r="A345" s="29"/>
      <c r="B345" s="29"/>
      <c r="C345" s="67" t="str">
        <f>IFERROR(__xludf.DUMMYFUNCTION("""COMPUTED_VALUE"""),"")</f>
        <v/>
      </c>
      <c r="D345" s="29"/>
      <c r="G345" s="67"/>
    </row>
    <row r="346">
      <c r="A346" s="29"/>
      <c r="B346" s="29"/>
      <c r="C346" s="67" t="str">
        <f>IFERROR(__xludf.DUMMYFUNCTION("""COMPUTED_VALUE"""),"")</f>
        <v/>
      </c>
      <c r="D346" s="29"/>
      <c r="G346" s="67"/>
    </row>
    <row r="347">
      <c r="A347" s="29"/>
      <c r="B347" s="29"/>
      <c r="C347" s="67" t="str">
        <f>IFERROR(__xludf.DUMMYFUNCTION("""COMPUTED_VALUE"""),"")</f>
        <v/>
      </c>
      <c r="D347" s="29"/>
      <c r="G347" s="67"/>
    </row>
    <row r="348">
      <c r="A348" s="29"/>
      <c r="B348" s="29"/>
      <c r="C348" s="67" t="str">
        <f>IFERROR(__xludf.DUMMYFUNCTION("""COMPUTED_VALUE"""),"")</f>
        <v/>
      </c>
      <c r="D348" s="29"/>
      <c r="G348" s="67"/>
    </row>
    <row r="349">
      <c r="A349" s="29"/>
      <c r="B349" s="29"/>
      <c r="C349" s="67" t="str">
        <f>IFERROR(__xludf.DUMMYFUNCTION("""COMPUTED_VALUE"""),"")</f>
        <v/>
      </c>
      <c r="D349" s="29"/>
      <c r="G349" s="67"/>
    </row>
    <row r="350">
      <c r="A350" s="29"/>
      <c r="B350" s="29"/>
      <c r="C350" s="67" t="str">
        <f>IFERROR(__xludf.DUMMYFUNCTION("""COMPUTED_VALUE"""),"")</f>
        <v/>
      </c>
      <c r="D350" s="29"/>
      <c r="G350" s="67"/>
    </row>
    <row r="351">
      <c r="A351" s="29"/>
      <c r="B351" s="29"/>
      <c r="C351" s="67" t="str">
        <f>IFERROR(__xludf.DUMMYFUNCTION("""COMPUTED_VALUE"""),"")</f>
        <v/>
      </c>
      <c r="D351" s="29"/>
      <c r="G351" s="67"/>
    </row>
    <row r="352">
      <c r="A352" s="29"/>
      <c r="B352" s="29"/>
      <c r="C352" s="67" t="str">
        <f>IFERROR(__xludf.DUMMYFUNCTION("""COMPUTED_VALUE"""),"")</f>
        <v/>
      </c>
      <c r="D352" s="29"/>
      <c r="G352" s="67"/>
    </row>
    <row r="353">
      <c r="A353" s="29"/>
      <c r="B353" s="29"/>
      <c r="C353" s="67" t="str">
        <f>IFERROR(__xludf.DUMMYFUNCTION("""COMPUTED_VALUE"""),"")</f>
        <v/>
      </c>
      <c r="D353" s="29"/>
      <c r="G353" s="67"/>
    </row>
    <row r="354">
      <c r="A354" s="29"/>
      <c r="B354" s="29"/>
      <c r="C354" s="67" t="str">
        <f>IFERROR(__xludf.DUMMYFUNCTION("""COMPUTED_VALUE"""),"")</f>
        <v/>
      </c>
      <c r="D354" s="29"/>
      <c r="G354" s="67"/>
    </row>
    <row r="355">
      <c r="A355" s="29"/>
      <c r="B355" s="29"/>
      <c r="C355" s="67" t="str">
        <f>IFERROR(__xludf.DUMMYFUNCTION("""COMPUTED_VALUE"""),"")</f>
        <v/>
      </c>
      <c r="D355" s="29"/>
      <c r="G355" s="67"/>
    </row>
    <row r="356">
      <c r="A356" s="29"/>
      <c r="B356" s="29"/>
      <c r="C356" s="67" t="str">
        <f>IFERROR(__xludf.DUMMYFUNCTION("""COMPUTED_VALUE"""),"")</f>
        <v/>
      </c>
      <c r="D356" s="29"/>
      <c r="G356" s="67"/>
    </row>
    <row r="357">
      <c r="A357" s="29"/>
      <c r="B357" s="29"/>
      <c r="C357" s="67" t="str">
        <f>IFERROR(__xludf.DUMMYFUNCTION("""COMPUTED_VALUE"""),"")</f>
        <v/>
      </c>
      <c r="D357" s="29"/>
      <c r="G357" s="67"/>
    </row>
    <row r="358">
      <c r="A358" s="29"/>
      <c r="B358" s="29"/>
      <c r="C358" s="67" t="str">
        <f>IFERROR(__xludf.DUMMYFUNCTION("""COMPUTED_VALUE"""),"")</f>
        <v/>
      </c>
      <c r="D358" s="29"/>
      <c r="G358" s="67"/>
    </row>
    <row r="359">
      <c r="A359" s="29"/>
      <c r="B359" s="29"/>
      <c r="C359" s="67" t="str">
        <f>IFERROR(__xludf.DUMMYFUNCTION("""COMPUTED_VALUE"""),"")</f>
        <v/>
      </c>
      <c r="D359" s="29"/>
      <c r="G359" s="67"/>
    </row>
    <row r="360">
      <c r="A360" s="29"/>
      <c r="B360" s="29"/>
      <c r="C360" s="67" t="str">
        <f>IFERROR(__xludf.DUMMYFUNCTION("""COMPUTED_VALUE"""),"")</f>
        <v/>
      </c>
      <c r="D360" s="29"/>
      <c r="G360" s="67"/>
    </row>
    <row r="361">
      <c r="A361" s="29"/>
      <c r="B361" s="29"/>
      <c r="C361" s="67" t="str">
        <f>IFERROR(__xludf.DUMMYFUNCTION("""COMPUTED_VALUE"""),"")</f>
        <v/>
      </c>
      <c r="D361" s="29"/>
      <c r="G361" s="67"/>
    </row>
    <row r="362">
      <c r="A362" s="29"/>
      <c r="B362" s="29"/>
      <c r="C362" s="67" t="str">
        <f>IFERROR(__xludf.DUMMYFUNCTION("""COMPUTED_VALUE"""),"")</f>
        <v/>
      </c>
      <c r="D362" s="29"/>
      <c r="G362" s="67"/>
    </row>
    <row r="363">
      <c r="A363" s="29"/>
      <c r="B363" s="29"/>
      <c r="C363" s="67" t="str">
        <f>IFERROR(__xludf.DUMMYFUNCTION("""COMPUTED_VALUE"""),"")</f>
        <v/>
      </c>
      <c r="D363" s="29"/>
      <c r="G363" s="67"/>
    </row>
    <row r="364">
      <c r="A364" s="29"/>
      <c r="B364" s="29"/>
      <c r="C364" s="67" t="str">
        <f>IFERROR(__xludf.DUMMYFUNCTION("""COMPUTED_VALUE"""),"")</f>
        <v/>
      </c>
      <c r="D364" s="29"/>
      <c r="G364" s="67"/>
    </row>
    <row r="365">
      <c r="A365" s="29"/>
      <c r="B365" s="29"/>
      <c r="C365" s="67" t="str">
        <f>IFERROR(__xludf.DUMMYFUNCTION("""COMPUTED_VALUE"""),"")</f>
        <v/>
      </c>
      <c r="D365" s="29"/>
      <c r="G365" s="67"/>
    </row>
    <row r="366">
      <c r="A366" s="29"/>
      <c r="B366" s="29"/>
      <c r="C366" s="67" t="str">
        <f>IFERROR(__xludf.DUMMYFUNCTION("""COMPUTED_VALUE"""),"")</f>
        <v/>
      </c>
      <c r="D366" s="29"/>
      <c r="G366" s="67"/>
    </row>
    <row r="367">
      <c r="A367" s="29"/>
      <c r="B367" s="29"/>
      <c r="C367" s="67" t="str">
        <f>IFERROR(__xludf.DUMMYFUNCTION("""COMPUTED_VALUE"""),"")</f>
        <v/>
      </c>
      <c r="D367" s="29"/>
      <c r="G367" s="67"/>
    </row>
    <row r="368">
      <c r="A368" s="29"/>
      <c r="B368" s="29"/>
      <c r="C368" s="67" t="str">
        <f>IFERROR(__xludf.DUMMYFUNCTION("""COMPUTED_VALUE"""),"")</f>
        <v/>
      </c>
      <c r="D368" s="29"/>
      <c r="G368" s="67"/>
    </row>
    <row r="369">
      <c r="A369" s="29"/>
      <c r="B369" s="29"/>
      <c r="C369" s="67" t="str">
        <f>IFERROR(__xludf.DUMMYFUNCTION("""COMPUTED_VALUE"""),"")</f>
        <v/>
      </c>
      <c r="D369" s="29"/>
      <c r="G369" s="67"/>
    </row>
    <row r="370">
      <c r="A370" s="29"/>
      <c r="B370" s="29"/>
      <c r="C370" s="67" t="str">
        <f>IFERROR(__xludf.DUMMYFUNCTION("""COMPUTED_VALUE"""),"")</f>
        <v/>
      </c>
      <c r="D370" s="29"/>
      <c r="G370" s="67"/>
    </row>
    <row r="371">
      <c r="A371" s="29"/>
      <c r="B371" s="29"/>
      <c r="C371" s="67" t="str">
        <f>IFERROR(__xludf.DUMMYFUNCTION("""COMPUTED_VALUE"""),"")</f>
        <v/>
      </c>
      <c r="D371" s="29"/>
      <c r="G371" s="67"/>
    </row>
    <row r="372">
      <c r="A372" s="29"/>
      <c r="B372" s="29"/>
      <c r="C372" s="67" t="str">
        <f>IFERROR(__xludf.DUMMYFUNCTION("""COMPUTED_VALUE"""),"")</f>
        <v/>
      </c>
      <c r="D372" s="29"/>
      <c r="G372" s="67"/>
    </row>
    <row r="373">
      <c r="A373" s="29"/>
      <c r="B373" s="29"/>
      <c r="C373" s="67" t="str">
        <f>IFERROR(__xludf.DUMMYFUNCTION("""COMPUTED_VALUE"""),"")</f>
        <v/>
      </c>
      <c r="D373" s="29"/>
      <c r="G373" s="67"/>
    </row>
    <row r="374">
      <c r="A374" s="29"/>
      <c r="B374" s="29"/>
      <c r="C374" s="67" t="str">
        <f>IFERROR(__xludf.DUMMYFUNCTION("""COMPUTED_VALUE"""),"")</f>
        <v/>
      </c>
      <c r="D374" s="29"/>
      <c r="G374" s="67"/>
    </row>
    <row r="375">
      <c r="A375" s="29"/>
      <c r="B375" s="29"/>
      <c r="C375" s="67" t="str">
        <f>IFERROR(__xludf.DUMMYFUNCTION("""COMPUTED_VALUE"""),"")</f>
        <v/>
      </c>
      <c r="D375" s="29"/>
      <c r="G375" s="67"/>
    </row>
    <row r="376">
      <c r="A376" s="29"/>
      <c r="B376" s="29"/>
      <c r="C376" s="67" t="str">
        <f>IFERROR(__xludf.DUMMYFUNCTION("""COMPUTED_VALUE"""),"")</f>
        <v/>
      </c>
      <c r="D376" s="29"/>
      <c r="G376" s="67"/>
    </row>
    <row r="377">
      <c r="A377" s="29"/>
      <c r="B377" s="29"/>
      <c r="C377" s="67" t="str">
        <f>IFERROR(__xludf.DUMMYFUNCTION("""COMPUTED_VALUE"""),"")</f>
        <v/>
      </c>
      <c r="D377" s="29"/>
      <c r="G377" s="67"/>
    </row>
    <row r="378">
      <c r="A378" s="29"/>
      <c r="B378" s="29"/>
      <c r="C378" s="67" t="str">
        <f>IFERROR(__xludf.DUMMYFUNCTION("""COMPUTED_VALUE"""),"")</f>
        <v/>
      </c>
      <c r="D378" s="29"/>
      <c r="G378" s="67"/>
    </row>
    <row r="379">
      <c r="A379" s="29"/>
      <c r="B379" s="29"/>
      <c r="C379" s="67" t="str">
        <f>IFERROR(__xludf.DUMMYFUNCTION("""COMPUTED_VALUE"""),"")</f>
        <v/>
      </c>
      <c r="D379" s="29"/>
      <c r="G379" s="67"/>
    </row>
    <row r="380">
      <c r="A380" s="29"/>
      <c r="B380" s="29"/>
      <c r="C380" s="67" t="str">
        <f>IFERROR(__xludf.DUMMYFUNCTION("""COMPUTED_VALUE"""),"")</f>
        <v/>
      </c>
      <c r="D380" s="29"/>
      <c r="G380" s="67"/>
    </row>
    <row r="381">
      <c r="A381" s="29"/>
      <c r="B381" s="29"/>
      <c r="C381" s="67" t="str">
        <f>IFERROR(__xludf.DUMMYFUNCTION("""COMPUTED_VALUE"""),"")</f>
        <v/>
      </c>
      <c r="D381" s="29"/>
      <c r="G381" s="67"/>
    </row>
    <row r="382">
      <c r="A382" s="29"/>
      <c r="B382" s="29"/>
      <c r="C382" s="67" t="str">
        <f>IFERROR(__xludf.DUMMYFUNCTION("""COMPUTED_VALUE"""),"")</f>
        <v/>
      </c>
      <c r="D382" s="29"/>
      <c r="G382" s="67"/>
    </row>
    <row r="383">
      <c r="A383" s="29"/>
      <c r="B383" s="29"/>
      <c r="C383" s="67" t="str">
        <f>IFERROR(__xludf.DUMMYFUNCTION("""COMPUTED_VALUE"""),"")</f>
        <v/>
      </c>
      <c r="D383" s="29"/>
      <c r="G383" s="67"/>
    </row>
    <row r="384">
      <c r="A384" s="29"/>
      <c r="B384" s="29"/>
      <c r="C384" s="67" t="str">
        <f>IFERROR(__xludf.DUMMYFUNCTION("""COMPUTED_VALUE"""),"")</f>
        <v/>
      </c>
      <c r="D384" s="29"/>
      <c r="G384" s="67"/>
    </row>
    <row r="385">
      <c r="A385" s="29"/>
      <c r="B385" s="29"/>
      <c r="C385" s="67" t="str">
        <f>IFERROR(__xludf.DUMMYFUNCTION("""COMPUTED_VALUE"""),"")</f>
        <v/>
      </c>
      <c r="D385" s="29"/>
      <c r="G385" s="67"/>
    </row>
    <row r="386">
      <c r="A386" s="29"/>
      <c r="B386" s="29"/>
      <c r="C386" s="67" t="str">
        <f>IFERROR(__xludf.DUMMYFUNCTION("""COMPUTED_VALUE"""),"")</f>
        <v/>
      </c>
      <c r="D386" s="29"/>
      <c r="G386" s="67"/>
    </row>
    <row r="387">
      <c r="A387" s="29"/>
      <c r="B387" s="29"/>
      <c r="C387" s="67" t="str">
        <f>IFERROR(__xludf.DUMMYFUNCTION("""COMPUTED_VALUE"""),"")</f>
        <v/>
      </c>
      <c r="D387" s="29"/>
      <c r="G387" s="67"/>
    </row>
    <row r="388">
      <c r="A388" s="29"/>
      <c r="B388" s="29"/>
      <c r="C388" s="67" t="str">
        <f>IFERROR(__xludf.DUMMYFUNCTION("""COMPUTED_VALUE"""),"")</f>
        <v/>
      </c>
      <c r="D388" s="29"/>
      <c r="G388" s="67"/>
    </row>
    <row r="389">
      <c r="A389" s="29"/>
      <c r="B389" s="29"/>
      <c r="C389" s="67" t="str">
        <f>IFERROR(__xludf.DUMMYFUNCTION("""COMPUTED_VALUE"""),"")</f>
        <v/>
      </c>
      <c r="D389" s="29"/>
      <c r="G389" s="67"/>
    </row>
    <row r="390">
      <c r="A390" s="29"/>
      <c r="B390" s="29"/>
      <c r="C390" s="67" t="str">
        <f>IFERROR(__xludf.DUMMYFUNCTION("""COMPUTED_VALUE"""),"")</f>
        <v/>
      </c>
      <c r="D390" s="29"/>
      <c r="G390" s="67"/>
    </row>
    <row r="391">
      <c r="A391" s="29"/>
      <c r="B391" s="29"/>
      <c r="C391" s="67" t="str">
        <f>IFERROR(__xludf.DUMMYFUNCTION("""COMPUTED_VALUE"""),"")</f>
        <v/>
      </c>
      <c r="D391" s="29"/>
      <c r="G391" s="67"/>
    </row>
    <row r="392">
      <c r="A392" s="29"/>
      <c r="B392" s="29"/>
      <c r="C392" s="67" t="str">
        <f>IFERROR(__xludf.DUMMYFUNCTION("""COMPUTED_VALUE"""),"")</f>
        <v/>
      </c>
      <c r="D392" s="29"/>
      <c r="G392" s="67"/>
    </row>
    <row r="393">
      <c r="A393" s="29"/>
      <c r="B393" s="29"/>
      <c r="C393" s="67" t="str">
        <f>IFERROR(__xludf.DUMMYFUNCTION("""COMPUTED_VALUE"""),"")</f>
        <v/>
      </c>
      <c r="D393" s="29"/>
      <c r="G393" s="67"/>
    </row>
    <row r="394">
      <c r="A394" s="29"/>
      <c r="B394" s="29"/>
      <c r="C394" s="67" t="str">
        <f>IFERROR(__xludf.DUMMYFUNCTION("""COMPUTED_VALUE"""),"")</f>
        <v/>
      </c>
      <c r="D394" s="29"/>
      <c r="G394" s="67"/>
    </row>
    <row r="395">
      <c r="A395" s="29"/>
      <c r="B395" s="29"/>
      <c r="C395" s="67" t="str">
        <f>IFERROR(__xludf.DUMMYFUNCTION("""COMPUTED_VALUE"""),"")</f>
        <v/>
      </c>
      <c r="D395" s="29"/>
      <c r="G395" s="67"/>
    </row>
    <row r="396">
      <c r="A396" s="29"/>
      <c r="B396" s="29"/>
      <c r="C396" s="67" t="str">
        <f>IFERROR(__xludf.DUMMYFUNCTION("""COMPUTED_VALUE"""),"")</f>
        <v/>
      </c>
      <c r="D396" s="29"/>
      <c r="G396" s="67"/>
    </row>
    <row r="397">
      <c r="A397" s="29"/>
      <c r="B397" s="29"/>
      <c r="C397" s="67" t="str">
        <f>IFERROR(__xludf.DUMMYFUNCTION("""COMPUTED_VALUE"""),"")</f>
        <v/>
      </c>
      <c r="D397" s="29"/>
      <c r="G397" s="67"/>
    </row>
    <row r="398">
      <c r="A398" s="29"/>
      <c r="B398" s="29"/>
      <c r="C398" s="67" t="str">
        <f>IFERROR(__xludf.DUMMYFUNCTION("""COMPUTED_VALUE"""),"")</f>
        <v/>
      </c>
      <c r="D398" s="29"/>
      <c r="G398" s="67"/>
    </row>
    <row r="399">
      <c r="A399" s="29"/>
      <c r="B399" s="29"/>
      <c r="C399" s="67" t="str">
        <f>IFERROR(__xludf.DUMMYFUNCTION("""COMPUTED_VALUE"""),"")</f>
        <v/>
      </c>
      <c r="D399" s="29"/>
      <c r="G399" s="67"/>
    </row>
    <row r="400">
      <c r="A400" s="29"/>
      <c r="B400" s="29"/>
      <c r="C400" s="67" t="str">
        <f>IFERROR(__xludf.DUMMYFUNCTION("""COMPUTED_VALUE"""),"")</f>
        <v/>
      </c>
      <c r="D400" s="29"/>
      <c r="G400" s="67"/>
    </row>
    <row r="401">
      <c r="A401" s="29"/>
      <c r="B401" s="29"/>
      <c r="C401" s="67" t="str">
        <f>IFERROR(__xludf.DUMMYFUNCTION("""COMPUTED_VALUE"""),"")</f>
        <v/>
      </c>
      <c r="D401" s="29"/>
      <c r="G401" s="67"/>
    </row>
    <row r="402">
      <c r="A402" s="29"/>
      <c r="B402" s="29"/>
      <c r="C402" s="67" t="str">
        <f>IFERROR(__xludf.DUMMYFUNCTION("""COMPUTED_VALUE"""),"")</f>
        <v/>
      </c>
      <c r="D402" s="29"/>
      <c r="G402" s="67"/>
    </row>
    <row r="403">
      <c r="A403" s="29"/>
      <c r="B403" s="29"/>
      <c r="C403" s="67" t="str">
        <f>IFERROR(__xludf.DUMMYFUNCTION("""COMPUTED_VALUE"""),"")</f>
        <v/>
      </c>
      <c r="D403" s="29"/>
      <c r="G403" s="67"/>
    </row>
    <row r="404">
      <c r="A404" s="29"/>
      <c r="B404" s="29"/>
      <c r="C404" s="67" t="str">
        <f>IFERROR(__xludf.DUMMYFUNCTION("""COMPUTED_VALUE"""),"")</f>
        <v/>
      </c>
      <c r="D404" s="29"/>
      <c r="G404" s="67"/>
    </row>
    <row r="405">
      <c r="A405" s="29"/>
      <c r="B405" s="29"/>
      <c r="C405" s="67" t="str">
        <f>IFERROR(__xludf.DUMMYFUNCTION("""COMPUTED_VALUE"""),"")</f>
        <v/>
      </c>
      <c r="D405" s="29"/>
      <c r="G405" s="67"/>
    </row>
    <row r="406">
      <c r="A406" s="29"/>
      <c r="B406" s="29"/>
      <c r="C406" s="67" t="str">
        <f>IFERROR(__xludf.DUMMYFUNCTION("""COMPUTED_VALUE"""),"")</f>
        <v/>
      </c>
      <c r="D406" s="29"/>
      <c r="G406" s="67"/>
    </row>
    <row r="407">
      <c r="A407" s="29"/>
      <c r="B407" s="29"/>
      <c r="C407" s="67" t="str">
        <f>IFERROR(__xludf.DUMMYFUNCTION("""COMPUTED_VALUE"""),"")</f>
        <v/>
      </c>
      <c r="D407" s="29"/>
      <c r="G407" s="67"/>
    </row>
    <row r="408">
      <c r="A408" s="29"/>
      <c r="B408" s="29"/>
      <c r="C408" s="67" t="str">
        <f>IFERROR(__xludf.DUMMYFUNCTION("""COMPUTED_VALUE"""),"")</f>
        <v/>
      </c>
      <c r="D408" s="29"/>
      <c r="G408" s="67"/>
    </row>
    <row r="409">
      <c r="A409" s="29"/>
      <c r="B409" s="29"/>
      <c r="C409" s="67" t="str">
        <f>IFERROR(__xludf.DUMMYFUNCTION("""COMPUTED_VALUE"""),"")</f>
        <v/>
      </c>
      <c r="D409" s="29"/>
      <c r="G409" s="67"/>
    </row>
    <row r="410">
      <c r="A410" s="29"/>
      <c r="B410" s="29"/>
      <c r="C410" s="67" t="str">
        <f>IFERROR(__xludf.DUMMYFUNCTION("""COMPUTED_VALUE"""),"")</f>
        <v/>
      </c>
      <c r="D410" s="29"/>
      <c r="G410" s="67"/>
    </row>
    <row r="411">
      <c r="A411" s="29"/>
      <c r="B411" s="29"/>
      <c r="C411" s="67" t="str">
        <f>IFERROR(__xludf.DUMMYFUNCTION("""COMPUTED_VALUE"""),"")</f>
        <v/>
      </c>
      <c r="D411" s="29"/>
      <c r="G411" s="67"/>
    </row>
    <row r="412">
      <c r="A412" s="29"/>
      <c r="B412" s="29"/>
      <c r="C412" s="67" t="str">
        <f>IFERROR(__xludf.DUMMYFUNCTION("""COMPUTED_VALUE"""),"")</f>
        <v/>
      </c>
      <c r="D412" s="29"/>
      <c r="G412" s="67"/>
    </row>
    <row r="413">
      <c r="A413" s="29"/>
      <c r="B413" s="29"/>
      <c r="C413" s="67" t="str">
        <f>IFERROR(__xludf.DUMMYFUNCTION("""COMPUTED_VALUE"""),"")</f>
        <v/>
      </c>
      <c r="D413" s="29"/>
      <c r="G413" s="67"/>
    </row>
    <row r="414">
      <c r="A414" s="29"/>
      <c r="B414" s="29"/>
      <c r="C414" s="67" t="str">
        <f>IFERROR(__xludf.DUMMYFUNCTION("""COMPUTED_VALUE"""),"")</f>
        <v/>
      </c>
      <c r="D414" s="29"/>
      <c r="G414" s="67"/>
    </row>
    <row r="415">
      <c r="A415" s="29"/>
      <c r="B415" s="29"/>
      <c r="C415" s="67" t="str">
        <f>IFERROR(__xludf.DUMMYFUNCTION("""COMPUTED_VALUE"""),"")</f>
        <v/>
      </c>
      <c r="D415" s="29"/>
      <c r="G415" s="67"/>
    </row>
    <row r="416">
      <c r="A416" s="29"/>
      <c r="B416" s="29"/>
      <c r="C416" s="67" t="str">
        <f>IFERROR(__xludf.DUMMYFUNCTION("""COMPUTED_VALUE"""),"")</f>
        <v/>
      </c>
      <c r="D416" s="29"/>
      <c r="G416" s="67"/>
    </row>
    <row r="417">
      <c r="A417" s="29"/>
      <c r="B417" s="29"/>
      <c r="C417" s="67" t="str">
        <f>IFERROR(__xludf.DUMMYFUNCTION("""COMPUTED_VALUE"""),"")</f>
        <v/>
      </c>
      <c r="D417" s="29"/>
      <c r="G417" s="67"/>
    </row>
    <row r="418">
      <c r="A418" s="29"/>
      <c r="B418" s="29"/>
      <c r="C418" s="67" t="str">
        <f>IFERROR(__xludf.DUMMYFUNCTION("""COMPUTED_VALUE"""),"")</f>
        <v/>
      </c>
      <c r="D418" s="29"/>
      <c r="G418" s="67"/>
    </row>
    <row r="419">
      <c r="A419" s="29"/>
      <c r="B419" s="29"/>
      <c r="C419" s="67" t="str">
        <f>IFERROR(__xludf.DUMMYFUNCTION("""COMPUTED_VALUE"""),"")</f>
        <v/>
      </c>
      <c r="D419" s="29"/>
      <c r="G419" s="67"/>
    </row>
    <row r="420">
      <c r="A420" s="29"/>
      <c r="B420" s="29"/>
      <c r="C420" s="67" t="str">
        <f>IFERROR(__xludf.DUMMYFUNCTION("""COMPUTED_VALUE"""),"")</f>
        <v/>
      </c>
      <c r="D420" s="29"/>
      <c r="G420" s="67"/>
    </row>
    <row r="421">
      <c r="A421" s="29"/>
      <c r="B421" s="29"/>
      <c r="C421" s="67" t="str">
        <f>IFERROR(__xludf.DUMMYFUNCTION("""COMPUTED_VALUE"""),"")</f>
        <v/>
      </c>
      <c r="D421" s="29"/>
      <c r="G421" s="67"/>
    </row>
    <row r="422">
      <c r="A422" s="29"/>
      <c r="B422" s="29"/>
      <c r="C422" s="67" t="str">
        <f>IFERROR(__xludf.DUMMYFUNCTION("""COMPUTED_VALUE"""),"")</f>
        <v/>
      </c>
      <c r="D422" s="29"/>
      <c r="G422" s="67"/>
    </row>
    <row r="423">
      <c r="A423" s="29"/>
      <c r="B423" s="29"/>
      <c r="C423" s="67" t="str">
        <f>IFERROR(__xludf.DUMMYFUNCTION("""COMPUTED_VALUE"""),"")</f>
        <v/>
      </c>
      <c r="D423" s="29"/>
      <c r="G423" s="67"/>
    </row>
    <row r="424">
      <c r="A424" s="29"/>
      <c r="B424" s="29"/>
      <c r="C424" s="67" t="str">
        <f>IFERROR(__xludf.DUMMYFUNCTION("""COMPUTED_VALUE"""),"")</f>
        <v/>
      </c>
      <c r="D424" s="29"/>
      <c r="G424" s="67"/>
    </row>
    <row r="425">
      <c r="A425" s="29"/>
      <c r="B425" s="29"/>
      <c r="C425" s="67" t="str">
        <f>IFERROR(__xludf.DUMMYFUNCTION("""COMPUTED_VALUE"""),"")</f>
        <v/>
      </c>
      <c r="D425" s="29"/>
      <c r="G425" s="67"/>
    </row>
    <row r="426">
      <c r="A426" s="29"/>
      <c r="B426" s="29"/>
      <c r="C426" s="67" t="str">
        <f>IFERROR(__xludf.DUMMYFUNCTION("""COMPUTED_VALUE"""),"")</f>
        <v/>
      </c>
      <c r="D426" s="29"/>
      <c r="G426" s="67"/>
    </row>
    <row r="427">
      <c r="A427" s="29"/>
      <c r="B427" s="29"/>
      <c r="C427" s="67" t="str">
        <f>IFERROR(__xludf.DUMMYFUNCTION("""COMPUTED_VALUE"""),"")</f>
        <v/>
      </c>
      <c r="D427" s="29"/>
      <c r="G427" s="67"/>
    </row>
    <row r="428">
      <c r="A428" s="29"/>
      <c r="B428" s="29"/>
      <c r="C428" s="67" t="str">
        <f>IFERROR(__xludf.DUMMYFUNCTION("""COMPUTED_VALUE"""),"")</f>
        <v/>
      </c>
      <c r="D428" s="29"/>
      <c r="G428" s="67"/>
    </row>
    <row r="429">
      <c r="A429" s="29"/>
      <c r="B429" s="29"/>
      <c r="C429" s="67" t="str">
        <f>IFERROR(__xludf.DUMMYFUNCTION("""COMPUTED_VALUE"""),"")</f>
        <v/>
      </c>
      <c r="D429" s="29"/>
      <c r="G429" s="67"/>
    </row>
    <row r="430">
      <c r="A430" s="29"/>
      <c r="B430" s="29"/>
      <c r="C430" s="67" t="str">
        <f>IFERROR(__xludf.DUMMYFUNCTION("""COMPUTED_VALUE"""),"")</f>
        <v/>
      </c>
      <c r="D430" s="29"/>
      <c r="G430" s="67"/>
    </row>
    <row r="431">
      <c r="A431" s="29"/>
      <c r="B431" s="29"/>
      <c r="C431" s="67" t="str">
        <f>IFERROR(__xludf.DUMMYFUNCTION("""COMPUTED_VALUE"""),"")</f>
        <v/>
      </c>
      <c r="D431" s="29"/>
      <c r="G431" s="67"/>
    </row>
    <row r="432">
      <c r="A432" s="29"/>
      <c r="B432" s="29"/>
      <c r="C432" s="67" t="str">
        <f>IFERROR(__xludf.DUMMYFUNCTION("""COMPUTED_VALUE"""),"")</f>
        <v/>
      </c>
      <c r="D432" s="29"/>
      <c r="G432" s="67"/>
    </row>
    <row r="433">
      <c r="A433" s="29"/>
      <c r="B433" s="29"/>
      <c r="C433" s="67" t="str">
        <f>IFERROR(__xludf.DUMMYFUNCTION("""COMPUTED_VALUE"""),"")</f>
        <v/>
      </c>
      <c r="D433" s="29"/>
      <c r="G433" s="67"/>
    </row>
    <row r="434">
      <c r="A434" s="29"/>
      <c r="B434" s="29"/>
      <c r="C434" s="67" t="str">
        <f>IFERROR(__xludf.DUMMYFUNCTION("""COMPUTED_VALUE"""),"")</f>
        <v/>
      </c>
      <c r="D434" s="29"/>
      <c r="G434" s="67"/>
    </row>
    <row r="435">
      <c r="A435" s="29"/>
      <c r="B435" s="29"/>
      <c r="C435" s="67" t="str">
        <f>IFERROR(__xludf.DUMMYFUNCTION("""COMPUTED_VALUE"""),"")</f>
        <v/>
      </c>
      <c r="D435" s="29"/>
      <c r="G435" s="67"/>
    </row>
    <row r="436">
      <c r="A436" s="29"/>
      <c r="B436" s="29"/>
      <c r="C436" s="67" t="str">
        <f>IFERROR(__xludf.DUMMYFUNCTION("""COMPUTED_VALUE"""),"")</f>
        <v/>
      </c>
      <c r="D436" s="29"/>
      <c r="G436" s="67"/>
    </row>
    <row r="437">
      <c r="A437" s="29"/>
      <c r="B437" s="29"/>
      <c r="C437" s="67" t="str">
        <f>IFERROR(__xludf.DUMMYFUNCTION("""COMPUTED_VALUE"""),"")</f>
        <v/>
      </c>
      <c r="D437" s="29"/>
      <c r="G437" s="67"/>
    </row>
    <row r="438">
      <c r="A438" s="29"/>
      <c r="B438" s="29"/>
      <c r="C438" s="67" t="str">
        <f>IFERROR(__xludf.DUMMYFUNCTION("""COMPUTED_VALUE"""),"")</f>
        <v/>
      </c>
      <c r="D438" s="29"/>
      <c r="G438" s="67"/>
    </row>
    <row r="439">
      <c r="A439" s="29"/>
      <c r="B439" s="29"/>
      <c r="C439" s="67" t="str">
        <f>IFERROR(__xludf.DUMMYFUNCTION("""COMPUTED_VALUE"""),"")</f>
        <v/>
      </c>
      <c r="D439" s="29"/>
      <c r="G439" s="67"/>
    </row>
    <row r="440">
      <c r="A440" s="29"/>
      <c r="B440" s="29"/>
      <c r="C440" s="67" t="str">
        <f>IFERROR(__xludf.DUMMYFUNCTION("""COMPUTED_VALUE"""),"")</f>
        <v/>
      </c>
      <c r="D440" s="29"/>
      <c r="G440" s="67"/>
    </row>
    <row r="441">
      <c r="A441" s="29"/>
      <c r="B441" s="29"/>
      <c r="C441" s="67" t="str">
        <f>IFERROR(__xludf.DUMMYFUNCTION("""COMPUTED_VALUE"""),"")</f>
        <v/>
      </c>
      <c r="D441" s="29"/>
      <c r="G441" s="67"/>
    </row>
    <row r="442">
      <c r="A442" s="29"/>
      <c r="B442" s="29"/>
      <c r="C442" s="67" t="str">
        <f>IFERROR(__xludf.DUMMYFUNCTION("""COMPUTED_VALUE"""),"")</f>
        <v/>
      </c>
      <c r="D442" s="29"/>
      <c r="G442" s="67"/>
    </row>
    <row r="443">
      <c r="A443" s="29"/>
      <c r="B443" s="29"/>
      <c r="C443" s="67" t="str">
        <f>IFERROR(__xludf.DUMMYFUNCTION("""COMPUTED_VALUE"""),"")</f>
        <v/>
      </c>
      <c r="D443" s="29"/>
      <c r="G443" s="67"/>
    </row>
    <row r="444">
      <c r="A444" s="29"/>
      <c r="B444" s="29"/>
      <c r="C444" s="67" t="str">
        <f>IFERROR(__xludf.DUMMYFUNCTION("""COMPUTED_VALUE"""),"")</f>
        <v/>
      </c>
      <c r="D444" s="29"/>
      <c r="G444" s="67"/>
    </row>
    <row r="445">
      <c r="A445" s="29"/>
      <c r="B445" s="29"/>
      <c r="C445" s="67" t="str">
        <f>IFERROR(__xludf.DUMMYFUNCTION("""COMPUTED_VALUE"""),"")</f>
        <v/>
      </c>
      <c r="D445" s="29"/>
      <c r="G445" s="67"/>
    </row>
    <row r="446">
      <c r="A446" s="29"/>
      <c r="B446" s="29"/>
      <c r="C446" s="67" t="str">
        <f>IFERROR(__xludf.DUMMYFUNCTION("""COMPUTED_VALUE"""),"")</f>
        <v/>
      </c>
      <c r="D446" s="29"/>
      <c r="G446" s="67"/>
    </row>
    <row r="447">
      <c r="A447" s="29"/>
      <c r="B447" s="29"/>
      <c r="C447" s="67" t="str">
        <f>IFERROR(__xludf.DUMMYFUNCTION("""COMPUTED_VALUE"""),"")</f>
        <v/>
      </c>
      <c r="D447" s="29"/>
      <c r="G447" s="67"/>
    </row>
    <row r="448">
      <c r="A448" s="29"/>
      <c r="B448" s="29"/>
      <c r="C448" s="67" t="str">
        <f>IFERROR(__xludf.DUMMYFUNCTION("""COMPUTED_VALUE"""),"")</f>
        <v/>
      </c>
      <c r="D448" s="29"/>
      <c r="G448" s="67"/>
    </row>
    <row r="449">
      <c r="A449" s="29"/>
      <c r="B449" s="29"/>
      <c r="C449" s="67" t="str">
        <f>IFERROR(__xludf.DUMMYFUNCTION("""COMPUTED_VALUE"""),"")</f>
        <v/>
      </c>
      <c r="D449" s="29"/>
      <c r="G449" s="67"/>
    </row>
    <row r="450">
      <c r="A450" s="29"/>
      <c r="B450" s="29"/>
      <c r="C450" s="67" t="str">
        <f>IFERROR(__xludf.DUMMYFUNCTION("""COMPUTED_VALUE"""),"")</f>
        <v/>
      </c>
      <c r="D450" s="29"/>
      <c r="G450" s="67"/>
    </row>
    <row r="451">
      <c r="A451" s="29"/>
      <c r="B451" s="29"/>
      <c r="C451" s="67" t="str">
        <f>IFERROR(__xludf.DUMMYFUNCTION("""COMPUTED_VALUE"""),"")</f>
        <v/>
      </c>
      <c r="D451" s="29"/>
      <c r="G451" s="67"/>
    </row>
    <row r="452">
      <c r="A452" s="29"/>
      <c r="B452" s="29"/>
      <c r="C452" s="67" t="str">
        <f>IFERROR(__xludf.DUMMYFUNCTION("""COMPUTED_VALUE"""),"")</f>
        <v/>
      </c>
      <c r="D452" s="29"/>
      <c r="G452" s="67"/>
    </row>
    <row r="453">
      <c r="A453" s="29"/>
      <c r="B453" s="29"/>
      <c r="C453" s="67" t="str">
        <f>IFERROR(__xludf.DUMMYFUNCTION("""COMPUTED_VALUE"""),"")</f>
        <v/>
      </c>
      <c r="D453" s="29"/>
      <c r="G453" s="67"/>
    </row>
    <row r="454">
      <c r="A454" s="29"/>
      <c r="B454" s="29"/>
      <c r="C454" s="67" t="str">
        <f>IFERROR(__xludf.DUMMYFUNCTION("""COMPUTED_VALUE"""),"")</f>
        <v/>
      </c>
      <c r="D454" s="29"/>
      <c r="G454" s="67"/>
    </row>
    <row r="455">
      <c r="A455" s="29"/>
      <c r="B455" s="29"/>
      <c r="C455" s="67" t="str">
        <f>IFERROR(__xludf.DUMMYFUNCTION("""COMPUTED_VALUE"""),"")</f>
        <v/>
      </c>
      <c r="D455" s="29"/>
      <c r="G455" s="67"/>
    </row>
    <row r="456">
      <c r="A456" s="29"/>
      <c r="B456" s="29"/>
      <c r="C456" s="67" t="str">
        <f>IFERROR(__xludf.DUMMYFUNCTION("""COMPUTED_VALUE"""),"")</f>
        <v/>
      </c>
      <c r="D456" s="29"/>
      <c r="G456" s="67"/>
    </row>
    <row r="457">
      <c r="A457" s="29"/>
      <c r="B457" s="29"/>
      <c r="C457" s="67" t="str">
        <f>IFERROR(__xludf.DUMMYFUNCTION("""COMPUTED_VALUE"""),"")</f>
        <v/>
      </c>
      <c r="D457" s="29"/>
      <c r="G457" s="67"/>
    </row>
    <row r="458">
      <c r="A458" s="29"/>
      <c r="B458" s="29"/>
      <c r="C458" s="67" t="str">
        <f>IFERROR(__xludf.DUMMYFUNCTION("""COMPUTED_VALUE"""),"")</f>
        <v/>
      </c>
      <c r="D458" s="29"/>
      <c r="G458" s="67"/>
    </row>
    <row r="459">
      <c r="A459" s="29"/>
      <c r="B459" s="29"/>
      <c r="C459" s="67" t="str">
        <f>IFERROR(__xludf.DUMMYFUNCTION("""COMPUTED_VALUE"""),"")</f>
        <v/>
      </c>
      <c r="D459" s="29"/>
      <c r="G459" s="67"/>
    </row>
    <row r="460">
      <c r="A460" s="29"/>
      <c r="B460" s="29"/>
      <c r="C460" s="67" t="str">
        <f>IFERROR(__xludf.DUMMYFUNCTION("""COMPUTED_VALUE"""),"")</f>
        <v/>
      </c>
      <c r="D460" s="29"/>
      <c r="G460" s="67"/>
    </row>
    <row r="461">
      <c r="A461" s="29"/>
      <c r="B461" s="29"/>
      <c r="C461" s="67" t="str">
        <f>IFERROR(__xludf.DUMMYFUNCTION("""COMPUTED_VALUE"""),"")</f>
        <v/>
      </c>
      <c r="D461" s="29"/>
      <c r="G461" s="67"/>
    </row>
    <row r="462">
      <c r="A462" s="29"/>
      <c r="B462" s="29"/>
      <c r="C462" s="67" t="str">
        <f>IFERROR(__xludf.DUMMYFUNCTION("""COMPUTED_VALUE"""),"")</f>
        <v/>
      </c>
      <c r="D462" s="29"/>
      <c r="G462" s="67"/>
    </row>
    <row r="463">
      <c r="A463" s="29"/>
      <c r="B463" s="29"/>
      <c r="C463" s="67" t="str">
        <f>IFERROR(__xludf.DUMMYFUNCTION("""COMPUTED_VALUE"""),"")</f>
        <v/>
      </c>
      <c r="D463" s="29"/>
      <c r="G463" s="67"/>
    </row>
    <row r="464">
      <c r="A464" s="29"/>
      <c r="B464" s="29"/>
      <c r="C464" s="67" t="str">
        <f>IFERROR(__xludf.DUMMYFUNCTION("""COMPUTED_VALUE"""),"")</f>
        <v/>
      </c>
      <c r="D464" s="29"/>
      <c r="G464" s="67"/>
    </row>
    <row r="465">
      <c r="A465" s="29"/>
      <c r="B465" s="29"/>
      <c r="C465" s="67" t="str">
        <f>IFERROR(__xludf.DUMMYFUNCTION("""COMPUTED_VALUE"""),"")</f>
        <v/>
      </c>
      <c r="D465" s="29"/>
      <c r="G465" s="67"/>
    </row>
    <row r="466">
      <c r="A466" s="29"/>
      <c r="B466" s="29"/>
      <c r="C466" s="67" t="str">
        <f>IFERROR(__xludf.DUMMYFUNCTION("""COMPUTED_VALUE"""),"")</f>
        <v/>
      </c>
      <c r="D466" s="29"/>
      <c r="G466" s="67"/>
    </row>
    <row r="467">
      <c r="A467" s="29"/>
      <c r="B467" s="29"/>
      <c r="C467" s="67" t="str">
        <f>IFERROR(__xludf.DUMMYFUNCTION("""COMPUTED_VALUE"""),"")</f>
        <v/>
      </c>
      <c r="D467" s="29"/>
      <c r="G467" s="67"/>
    </row>
    <row r="468">
      <c r="A468" s="29"/>
      <c r="B468" s="29"/>
      <c r="C468" s="67" t="str">
        <f>IFERROR(__xludf.DUMMYFUNCTION("""COMPUTED_VALUE"""),"")</f>
        <v/>
      </c>
      <c r="D468" s="29"/>
      <c r="G468" s="67"/>
    </row>
    <row r="469">
      <c r="A469" s="29"/>
      <c r="B469" s="29"/>
      <c r="C469" s="67" t="str">
        <f>IFERROR(__xludf.DUMMYFUNCTION("""COMPUTED_VALUE"""),"")</f>
        <v/>
      </c>
      <c r="D469" s="29"/>
      <c r="G469" s="67"/>
    </row>
    <row r="470">
      <c r="A470" s="29"/>
      <c r="B470" s="29"/>
      <c r="C470" s="67" t="str">
        <f>IFERROR(__xludf.DUMMYFUNCTION("""COMPUTED_VALUE"""),"")</f>
        <v/>
      </c>
      <c r="D470" s="29"/>
      <c r="G470" s="67"/>
    </row>
    <row r="471">
      <c r="A471" s="29"/>
      <c r="B471" s="29"/>
      <c r="C471" s="67" t="str">
        <f>IFERROR(__xludf.DUMMYFUNCTION("""COMPUTED_VALUE"""),"")</f>
        <v/>
      </c>
      <c r="D471" s="29"/>
      <c r="G471" s="67"/>
    </row>
    <row r="472">
      <c r="A472" s="29"/>
      <c r="B472" s="29"/>
      <c r="C472" s="67" t="str">
        <f>IFERROR(__xludf.DUMMYFUNCTION("""COMPUTED_VALUE"""),"")</f>
        <v/>
      </c>
      <c r="D472" s="29"/>
      <c r="G472" s="67"/>
    </row>
    <row r="473">
      <c r="A473" s="29"/>
      <c r="B473" s="29"/>
      <c r="C473" s="67" t="str">
        <f>IFERROR(__xludf.DUMMYFUNCTION("""COMPUTED_VALUE"""),"")</f>
        <v/>
      </c>
      <c r="D473" s="29"/>
      <c r="G473" s="67"/>
    </row>
    <row r="474">
      <c r="A474" s="29"/>
      <c r="B474" s="29"/>
      <c r="C474" s="67" t="str">
        <f>IFERROR(__xludf.DUMMYFUNCTION("""COMPUTED_VALUE"""),"")</f>
        <v/>
      </c>
      <c r="D474" s="29"/>
      <c r="G474" s="67"/>
    </row>
    <row r="475">
      <c r="A475" s="29"/>
      <c r="B475" s="29"/>
      <c r="C475" s="67" t="str">
        <f>IFERROR(__xludf.DUMMYFUNCTION("""COMPUTED_VALUE"""),"")</f>
        <v/>
      </c>
      <c r="D475" s="29"/>
      <c r="G475" s="67"/>
    </row>
    <row r="476">
      <c r="A476" s="29"/>
      <c r="B476" s="29"/>
      <c r="C476" s="67" t="str">
        <f>IFERROR(__xludf.DUMMYFUNCTION("""COMPUTED_VALUE"""),"")</f>
        <v/>
      </c>
      <c r="D476" s="29"/>
      <c r="G476" s="67"/>
    </row>
    <row r="477">
      <c r="A477" s="29"/>
      <c r="B477" s="29"/>
      <c r="C477" s="67" t="str">
        <f>IFERROR(__xludf.DUMMYFUNCTION("""COMPUTED_VALUE"""),"")</f>
        <v/>
      </c>
      <c r="D477" s="29"/>
      <c r="G477" s="67"/>
    </row>
    <row r="478">
      <c r="A478" s="29"/>
      <c r="B478" s="29"/>
      <c r="C478" s="67" t="str">
        <f>IFERROR(__xludf.DUMMYFUNCTION("""COMPUTED_VALUE"""),"")</f>
        <v/>
      </c>
      <c r="D478" s="29"/>
      <c r="G478" s="67"/>
    </row>
    <row r="479">
      <c r="A479" s="29"/>
      <c r="B479" s="29"/>
      <c r="C479" s="67" t="str">
        <f>IFERROR(__xludf.DUMMYFUNCTION("""COMPUTED_VALUE"""),"")</f>
        <v/>
      </c>
      <c r="D479" s="29"/>
      <c r="G479" s="67"/>
    </row>
    <row r="480">
      <c r="A480" s="29"/>
      <c r="B480" s="29"/>
      <c r="C480" s="67" t="str">
        <f>IFERROR(__xludf.DUMMYFUNCTION("""COMPUTED_VALUE"""),"")</f>
        <v/>
      </c>
      <c r="D480" s="29"/>
      <c r="G480" s="67"/>
    </row>
    <row r="481">
      <c r="A481" s="29"/>
      <c r="B481" s="29"/>
      <c r="C481" s="67" t="str">
        <f>IFERROR(__xludf.DUMMYFUNCTION("""COMPUTED_VALUE"""),"")</f>
        <v/>
      </c>
      <c r="D481" s="29"/>
      <c r="G481" s="67"/>
    </row>
    <row r="482">
      <c r="A482" s="29"/>
      <c r="B482" s="29"/>
      <c r="C482" s="67" t="str">
        <f>IFERROR(__xludf.DUMMYFUNCTION("""COMPUTED_VALUE"""),"")</f>
        <v/>
      </c>
      <c r="D482" s="29"/>
      <c r="G482" s="67"/>
    </row>
    <row r="483">
      <c r="A483" s="29"/>
      <c r="B483" s="29"/>
      <c r="C483" s="67" t="str">
        <f>IFERROR(__xludf.DUMMYFUNCTION("""COMPUTED_VALUE"""),"")</f>
        <v/>
      </c>
      <c r="D483" s="29"/>
      <c r="G483" s="67"/>
    </row>
    <row r="484">
      <c r="A484" s="29"/>
      <c r="B484" s="29"/>
      <c r="C484" s="67" t="str">
        <f>IFERROR(__xludf.DUMMYFUNCTION("""COMPUTED_VALUE"""),"")</f>
        <v/>
      </c>
      <c r="D484" s="29"/>
      <c r="G484" s="67"/>
    </row>
    <row r="485">
      <c r="A485" s="29"/>
      <c r="B485" s="29"/>
      <c r="C485" s="67" t="str">
        <f>IFERROR(__xludf.DUMMYFUNCTION("""COMPUTED_VALUE"""),"")</f>
        <v/>
      </c>
      <c r="D485" s="29"/>
      <c r="G485" s="67"/>
    </row>
    <row r="486">
      <c r="A486" s="29"/>
      <c r="B486" s="29"/>
      <c r="C486" s="67" t="str">
        <f>IFERROR(__xludf.DUMMYFUNCTION("""COMPUTED_VALUE"""),"")</f>
        <v/>
      </c>
      <c r="D486" s="29"/>
      <c r="G486" s="67"/>
    </row>
    <row r="487">
      <c r="A487" s="29"/>
      <c r="B487" s="29"/>
      <c r="C487" s="67" t="str">
        <f>IFERROR(__xludf.DUMMYFUNCTION("""COMPUTED_VALUE"""),"")</f>
        <v/>
      </c>
      <c r="D487" s="29"/>
      <c r="G487" s="67"/>
    </row>
    <row r="488">
      <c r="A488" s="29"/>
      <c r="B488" s="29"/>
      <c r="C488" s="67" t="str">
        <f>IFERROR(__xludf.DUMMYFUNCTION("""COMPUTED_VALUE"""),"")</f>
        <v/>
      </c>
      <c r="D488" s="29"/>
      <c r="G488" s="67"/>
    </row>
    <row r="489">
      <c r="A489" s="29"/>
      <c r="B489" s="29"/>
      <c r="C489" s="67" t="str">
        <f>IFERROR(__xludf.DUMMYFUNCTION("""COMPUTED_VALUE"""),"")</f>
        <v/>
      </c>
      <c r="D489" s="29"/>
      <c r="G489" s="67"/>
    </row>
    <row r="490">
      <c r="A490" s="29"/>
      <c r="B490" s="29"/>
      <c r="C490" s="67" t="str">
        <f>IFERROR(__xludf.DUMMYFUNCTION("""COMPUTED_VALUE"""),"")</f>
        <v/>
      </c>
      <c r="D490" s="29"/>
      <c r="G490" s="67"/>
    </row>
    <row r="491">
      <c r="A491" s="29"/>
      <c r="B491" s="29"/>
      <c r="C491" s="67" t="str">
        <f>IFERROR(__xludf.DUMMYFUNCTION("""COMPUTED_VALUE"""),"")</f>
        <v/>
      </c>
      <c r="D491" s="29"/>
      <c r="G491" s="67"/>
    </row>
    <row r="492">
      <c r="A492" s="29"/>
      <c r="B492" s="29"/>
      <c r="C492" s="67" t="str">
        <f>IFERROR(__xludf.DUMMYFUNCTION("""COMPUTED_VALUE"""),"")</f>
        <v/>
      </c>
      <c r="D492" s="29"/>
      <c r="G492" s="67"/>
    </row>
    <row r="493">
      <c r="A493" s="29"/>
      <c r="B493" s="29"/>
      <c r="C493" s="67" t="str">
        <f>IFERROR(__xludf.DUMMYFUNCTION("""COMPUTED_VALUE"""),"")</f>
        <v/>
      </c>
      <c r="D493" s="29"/>
      <c r="G493" s="67"/>
    </row>
    <row r="494">
      <c r="A494" s="29"/>
      <c r="B494" s="29"/>
      <c r="C494" s="67" t="str">
        <f>IFERROR(__xludf.DUMMYFUNCTION("""COMPUTED_VALUE"""),"")</f>
        <v/>
      </c>
      <c r="D494" s="29"/>
      <c r="G494" s="67"/>
    </row>
    <row r="495">
      <c r="A495" s="29"/>
      <c r="B495" s="29"/>
      <c r="C495" s="67" t="str">
        <f>IFERROR(__xludf.DUMMYFUNCTION("""COMPUTED_VALUE"""),"")</f>
        <v/>
      </c>
      <c r="D495" s="29"/>
      <c r="G495" s="67"/>
    </row>
    <row r="496">
      <c r="A496" s="29"/>
      <c r="B496" s="29"/>
      <c r="C496" s="67" t="str">
        <f>IFERROR(__xludf.DUMMYFUNCTION("""COMPUTED_VALUE"""),"")</f>
        <v/>
      </c>
      <c r="D496" s="29"/>
      <c r="G496" s="67"/>
    </row>
    <row r="497">
      <c r="A497" s="29"/>
      <c r="B497" s="29"/>
      <c r="C497" s="67" t="str">
        <f>IFERROR(__xludf.DUMMYFUNCTION("""COMPUTED_VALUE"""),"")</f>
        <v/>
      </c>
      <c r="D497" s="29"/>
      <c r="G497" s="67"/>
    </row>
    <row r="498">
      <c r="A498" s="29"/>
      <c r="B498" s="29"/>
      <c r="C498" s="67" t="str">
        <f>IFERROR(__xludf.DUMMYFUNCTION("""COMPUTED_VALUE"""),"")</f>
        <v/>
      </c>
      <c r="D498" s="29"/>
      <c r="G498" s="67"/>
    </row>
    <row r="499">
      <c r="A499" s="29"/>
      <c r="B499" s="29"/>
      <c r="C499" s="67" t="str">
        <f>IFERROR(__xludf.DUMMYFUNCTION("""COMPUTED_VALUE"""),"")</f>
        <v/>
      </c>
      <c r="D499" s="29"/>
      <c r="G499" s="67"/>
    </row>
    <row r="500">
      <c r="A500" s="29"/>
      <c r="B500" s="29"/>
      <c r="C500" s="67" t="str">
        <f>IFERROR(__xludf.DUMMYFUNCTION("""COMPUTED_VALUE"""),"")</f>
        <v/>
      </c>
      <c r="D500" s="29"/>
      <c r="G500" s="67"/>
    </row>
    <row r="501">
      <c r="A501" s="29"/>
      <c r="B501" s="29"/>
      <c r="C501" s="67" t="str">
        <f>IFERROR(__xludf.DUMMYFUNCTION("""COMPUTED_VALUE"""),"")</f>
        <v/>
      </c>
      <c r="D501" s="29"/>
      <c r="G501" s="67"/>
    </row>
    <row r="502">
      <c r="A502" s="29"/>
      <c r="B502" s="29"/>
      <c r="C502" s="67" t="str">
        <f>IFERROR(__xludf.DUMMYFUNCTION("""COMPUTED_VALUE"""),"")</f>
        <v/>
      </c>
      <c r="D502" s="29"/>
      <c r="G502" s="67"/>
    </row>
    <row r="503">
      <c r="A503" s="29"/>
      <c r="B503" s="29"/>
      <c r="C503" s="67" t="str">
        <f>IFERROR(__xludf.DUMMYFUNCTION("""COMPUTED_VALUE"""),"")</f>
        <v/>
      </c>
      <c r="D503" s="29"/>
      <c r="G503" s="67"/>
    </row>
    <row r="504">
      <c r="A504" s="29"/>
      <c r="B504" s="29"/>
      <c r="C504" s="67" t="str">
        <f>IFERROR(__xludf.DUMMYFUNCTION("""COMPUTED_VALUE"""),"")</f>
        <v/>
      </c>
      <c r="D504" s="29"/>
      <c r="G504" s="67"/>
    </row>
    <row r="505">
      <c r="A505" s="29"/>
      <c r="B505" s="29"/>
      <c r="C505" s="67" t="str">
        <f>IFERROR(__xludf.DUMMYFUNCTION("""COMPUTED_VALUE"""),"")</f>
        <v/>
      </c>
      <c r="D505" s="29"/>
      <c r="G505" s="67"/>
    </row>
    <row r="506">
      <c r="A506" s="29"/>
      <c r="B506" s="29"/>
      <c r="C506" s="67" t="str">
        <f>IFERROR(__xludf.DUMMYFUNCTION("""COMPUTED_VALUE"""),"")</f>
        <v/>
      </c>
      <c r="D506" s="29"/>
      <c r="G506" s="67"/>
    </row>
    <row r="507">
      <c r="A507" s="29"/>
      <c r="B507" s="29"/>
      <c r="C507" s="67" t="str">
        <f>IFERROR(__xludf.DUMMYFUNCTION("""COMPUTED_VALUE"""),"")</f>
        <v/>
      </c>
      <c r="D507" s="29"/>
      <c r="G507" s="67"/>
    </row>
    <row r="508">
      <c r="A508" s="29"/>
      <c r="B508" s="29"/>
      <c r="C508" s="67" t="str">
        <f>IFERROR(__xludf.DUMMYFUNCTION("""COMPUTED_VALUE"""),"")</f>
        <v/>
      </c>
      <c r="D508" s="29"/>
      <c r="G508" s="67"/>
    </row>
    <row r="509">
      <c r="A509" s="29"/>
      <c r="B509" s="29"/>
      <c r="C509" s="67" t="str">
        <f>IFERROR(__xludf.DUMMYFUNCTION("""COMPUTED_VALUE"""),"")</f>
        <v/>
      </c>
      <c r="D509" s="29"/>
      <c r="G509" s="67"/>
    </row>
    <row r="510">
      <c r="A510" s="29"/>
      <c r="B510" s="29"/>
      <c r="C510" s="67" t="str">
        <f>IFERROR(__xludf.DUMMYFUNCTION("""COMPUTED_VALUE"""),"")</f>
        <v/>
      </c>
      <c r="D510" s="29"/>
      <c r="G510" s="67"/>
    </row>
    <row r="511">
      <c r="A511" s="29"/>
      <c r="B511" s="29"/>
      <c r="C511" s="67" t="str">
        <f>IFERROR(__xludf.DUMMYFUNCTION("""COMPUTED_VALUE"""),"")</f>
        <v/>
      </c>
      <c r="D511" s="29"/>
      <c r="G511" s="67"/>
    </row>
    <row r="512">
      <c r="A512" s="29"/>
      <c r="B512" s="29"/>
      <c r="C512" s="67" t="str">
        <f>IFERROR(__xludf.DUMMYFUNCTION("""COMPUTED_VALUE"""),"")</f>
        <v/>
      </c>
      <c r="D512" s="29"/>
      <c r="G512" s="67"/>
    </row>
    <row r="513">
      <c r="A513" s="29"/>
      <c r="B513" s="29"/>
      <c r="C513" s="67" t="str">
        <f>IFERROR(__xludf.DUMMYFUNCTION("""COMPUTED_VALUE"""),"")</f>
        <v/>
      </c>
      <c r="D513" s="29"/>
      <c r="G513" s="67"/>
    </row>
    <row r="514">
      <c r="A514" s="29"/>
      <c r="B514" s="29"/>
      <c r="C514" s="67" t="str">
        <f>IFERROR(__xludf.DUMMYFUNCTION("""COMPUTED_VALUE"""),"")</f>
        <v/>
      </c>
      <c r="D514" s="29"/>
      <c r="G514" s="67"/>
    </row>
    <row r="515">
      <c r="A515" s="29"/>
      <c r="B515" s="29"/>
      <c r="C515" s="67" t="str">
        <f>IFERROR(__xludf.DUMMYFUNCTION("""COMPUTED_VALUE"""),"")</f>
        <v/>
      </c>
      <c r="D515" s="29"/>
      <c r="G515" s="67"/>
    </row>
    <row r="516">
      <c r="A516" s="29"/>
      <c r="B516" s="29"/>
      <c r="C516" s="67" t="str">
        <f>IFERROR(__xludf.DUMMYFUNCTION("""COMPUTED_VALUE"""),"")</f>
        <v/>
      </c>
      <c r="D516" s="29"/>
      <c r="G516" s="67"/>
    </row>
    <row r="517">
      <c r="A517" s="29"/>
      <c r="B517" s="29"/>
      <c r="C517" s="67" t="str">
        <f>IFERROR(__xludf.DUMMYFUNCTION("""COMPUTED_VALUE"""),"")</f>
        <v/>
      </c>
      <c r="D517" s="29"/>
      <c r="G517" s="67"/>
    </row>
    <row r="518">
      <c r="A518" s="29"/>
      <c r="B518" s="29"/>
      <c r="C518" s="67" t="str">
        <f>IFERROR(__xludf.DUMMYFUNCTION("""COMPUTED_VALUE"""),"")</f>
        <v/>
      </c>
      <c r="D518" s="29"/>
      <c r="G518" s="67"/>
    </row>
    <row r="519">
      <c r="A519" s="29"/>
      <c r="B519" s="29"/>
      <c r="C519" s="67" t="str">
        <f>IFERROR(__xludf.DUMMYFUNCTION("""COMPUTED_VALUE"""),"")</f>
        <v/>
      </c>
      <c r="D519" s="29"/>
      <c r="G519" s="67"/>
    </row>
    <row r="520">
      <c r="A520" s="29"/>
      <c r="B520" s="29"/>
      <c r="C520" s="67" t="str">
        <f>IFERROR(__xludf.DUMMYFUNCTION("""COMPUTED_VALUE"""),"")</f>
        <v/>
      </c>
      <c r="D520" s="29"/>
      <c r="G520" s="67"/>
    </row>
    <row r="521">
      <c r="A521" s="29"/>
      <c r="B521" s="29"/>
      <c r="C521" s="67" t="str">
        <f>IFERROR(__xludf.DUMMYFUNCTION("""COMPUTED_VALUE"""),"")</f>
        <v/>
      </c>
      <c r="D521" s="29"/>
      <c r="G521" s="67"/>
    </row>
    <row r="522">
      <c r="A522" s="29"/>
      <c r="B522" s="29"/>
      <c r="C522" s="67" t="str">
        <f>IFERROR(__xludf.DUMMYFUNCTION("""COMPUTED_VALUE"""),"")</f>
        <v/>
      </c>
      <c r="D522" s="29"/>
      <c r="G522" s="67"/>
    </row>
    <row r="523">
      <c r="A523" s="29"/>
      <c r="B523" s="29"/>
      <c r="C523" s="67" t="str">
        <f>IFERROR(__xludf.DUMMYFUNCTION("""COMPUTED_VALUE"""),"")</f>
        <v/>
      </c>
      <c r="D523" s="29"/>
      <c r="G523" s="67"/>
    </row>
    <row r="524">
      <c r="A524" s="29"/>
      <c r="B524" s="29"/>
      <c r="C524" s="67" t="str">
        <f>IFERROR(__xludf.DUMMYFUNCTION("""COMPUTED_VALUE"""),"")</f>
        <v/>
      </c>
      <c r="D524" s="29"/>
      <c r="G524" s="67"/>
    </row>
    <row r="525">
      <c r="A525" s="29"/>
      <c r="B525" s="29"/>
      <c r="C525" s="67" t="str">
        <f>IFERROR(__xludf.DUMMYFUNCTION("""COMPUTED_VALUE"""),"")</f>
        <v/>
      </c>
      <c r="D525" s="29"/>
      <c r="G525" s="67"/>
    </row>
    <row r="526">
      <c r="A526" s="29"/>
      <c r="B526" s="29"/>
      <c r="C526" s="67" t="str">
        <f>IFERROR(__xludf.DUMMYFUNCTION("""COMPUTED_VALUE"""),"")</f>
        <v/>
      </c>
      <c r="D526" s="29"/>
      <c r="G526" s="67"/>
    </row>
    <row r="527">
      <c r="A527" s="29"/>
      <c r="B527" s="29"/>
      <c r="C527" s="67" t="str">
        <f>IFERROR(__xludf.DUMMYFUNCTION("""COMPUTED_VALUE"""),"")</f>
        <v/>
      </c>
      <c r="D527" s="29"/>
      <c r="G527" s="67"/>
    </row>
    <row r="528">
      <c r="A528" s="29"/>
      <c r="B528" s="29"/>
      <c r="C528" s="67" t="str">
        <f>IFERROR(__xludf.DUMMYFUNCTION("""COMPUTED_VALUE"""),"")</f>
        <v/>
      </c>
      <c r="D528" s="29"/>
      <c r="G528" s="67"/>
    </row>
    <row r="529">
      <c r="A529" s="29"/>
      <c r="B529" s="29"/>
      <c r="C529" s="67" t="str">
        <f>IFERROR(__xludf.DUMMYFUNCTION("""COMPUTED_VALUE"""),"")</f>
        <v/>
      </c>
      <c r="D529" s="29"/>
      <c r="G529" s="67"/>
    </row>
    <row r="530">
      <c r="A530" s="29"/>
      <c r="B530" s="29"/>
      <c r="C530" s="67" t="str">
        <f>IFERROR(__xludf.DUMMYFUNCTION("""COMPUTED_VALUE"""),"")</f>
        <v/>
      </c>
      <c r="D530" s="29"/>
      <c r="G530" s="67"/>
    </row>
    <row r="531">
      <c r="A531" s="29"/>
      <c r="B531" s="29"/>
      <c r="C531" s="67" t="str">
        <f>IFERROR(__xludf.DUMMYFUNCTION("""COMPUTED_VALUE"""),"")</f>
        <v/>
      </c>
      <c r="D531" s="29"/>
      <c r="G531" s="67"/>
    </row>
    <row r="532">
      <c r="A532" s="29"/>
      <c r="B532" s="29"/>
      <c r="C532" s="67" t="str">
        <f>IFERROR(__xludf.DUMMYFUNCTION("""COMPUTED_VALUE"""),"")</f>
        <v/>
      </c>
      <c r="D532" s="29"/>
      <c r="G532" s="67"/>
    </row>
    <row r="533">
      <c r="A533" s="29"/>
      <c r="B533" s="29"/>
      <c r="C533" s="67" t="str">
        <f>IFERROR(__xludf.DUMMYFUNCTION("""COMPUTED_VALUE"""),"")</f>
        <v/>
      </c>
      <c r="D533" s="29"/>
      <c r="G533" s="67"/>
    </row>
    <row r="534">
      <c r="A534" s="29"/>
      <c r="B534" s="29"/>
      <c r="C534" s="67" t="str">
        <f>IFERROR(__xludf.DUMMYFUNCTION("""COMPUTED_VALUE"""),"")</f>
        <v/>
      </c>
      <c r="D534" s="29"/>
      <c r="G534" s="67"/>
    </row>
    <row r="535">
      <c r="A535" s="29"/>
      <c r="B535" s="29"/>
      <c r="C535" s="67" t="str">
        <f>IFERROR(__xludf.DUMMYFUNCTION("""COMPUTED_VALUE"""),"")</f>
        <v/>
      </c>
      <c r="D535" s="29"/>
      <c r="G535" s="67"/>
    </row>
    <row r="536">
      <c r="A536" s="29"/>
      <c r="B536" s="29"/>
      <c r="C536" s="67" t="str">
        <f>IFERROR(__xludf.DUMMYFUNCTION("""COMPUTED_VALUE"""),"")</f>
        <v/>
      </c>
      <c r="D536" s="29"/>
      <c r="G536" s="67"/>
    </row>
    <row r="537">
      <c r="A537" s="29"/>
      <c r="B537" s="29"/>
      <c r="C537" s="67" t="str">
        <f>IFERROR(__xludf.DUMMYFUNCTION("""COMPUTED_VALUE"""),"")</f>
        <v/>
      </c>
      <c r="D537" s="29"/>
      <c r="G537" s="67"/>
    </row>
    <row r="538">
      <c r="A538" s="29"/>
      <c r="B538" s="29"/>
      <c r="C538" s="67" t="str">
        <f>IFERROR(__xludf.DUMMYFUNCTION("""COMPUTED_VALUE"""),"")</f>
        <v/>
      </c>
      <c r="D538" s="29"/>
      <c r="G538" s="67"/>
    </row>
    <row r="539">
      <c r="A539" s="29"/>
      <c r="B539" s="29"/>
      <c r="C539" s="67" t="str">
        <f>IFERROR(__xludf.DUMMYFUNCTION("""COMPUTED_VALUE"""),"")</f>
        <v/>
      </c>
      <c r="D539" s="29"/>
      <c r="G539" s="67"/>
    </row>
    <row r="540">
      <c r="A540" s="29"/>
      <c r="B540" s="29"/>
      <c r="C540" s="67" t="str">
        <f>IFERROR(__xludf.DUMMYFUNCTION("""COMPUTED_VALUE"""),"")</f>
        <v/>
      </c>
      <c r="D540" s="29"/>
      <c r="G540" s="67"/>
    </row>
    <row r="541">
      <c r="A541" s="29"/>
      <c r="B541" s="29"/>
      <c r="C541" s="67" t="str">
        <f>IFERROR(__xludf.DUMMYFUNCTION("""COMPUTED_VALUE"""),"")</f>
        <v/>
      </c>
      <c r="D541" s="29"/>
      <c r="G541" s="67"/>
    </row>
    <row r="542">
      <c r="A542" s="29"/>
      <c r="B542" s="29"/>
      <c r="C542" s="67" t="str">
        <f>IFERROR(__xludf.DUMMYFUNCTION("""COMPUTED_VALUE"""),"")</f>
        <v/>
      </c>
      <c r="D542" s="29"/>
      <c r="G542" s="67"/>
    </row>
    <row r="543">
      <c r="A543" s="29"/>
      <c r="B543" s="29"/>
      <c r="C543" s="67" t="str">
        <f>IFERROR(__xludf.DUMMYFUNCTION("""COMPUTED_VALUE"""),"")</f>
        <v/>
      </c>
      <c r="D543" s="29"/>
      <c r="G543" s="67"/>
    </row>
    <row r="544">
      <c r="A544" s="29"/>
      <c r="B544" s="29"/>
      <c r="C544" s="67" t="str">
        <f>IFERROR(__xludf.DUMMYFUNCTION("""COMPUTED_VALUE"""),"")</f>
        <v/>
      </c>
      <c r="D544" s="29"/>
      <c r="G544" s="67"/>
    </row>
    <row r="545">
      <c r="A545" s="29"/>
      <c r="B545" s="29"/>
      <c r="C545" s="67" t="str">
        <f>IFERROR(__xludf.DUMMYFUNCTION("""COMPUTED_VALUE"""),"")</f>
        <v/>
      </c>
      <c r="D545" s="29"/>
      <c r="G545" s="67"/>
    </row>
    <row r="546">
      <c r="A546" s="29"/>
      <c r="B546" s="29"/>
      <c r="C546" s="67" t="str">
        <f>IFERROR(__xludf.DUMMYFUNCTION("""COMPUTED_VALUE"""),"")</f>
        <v/>
      </c>
      <c r="D546" s="29"/>
      <c r="G546" s="67"/>
    </row>
    <row r="547">
      <c r="A547" s="29"/>
      <c r="B547" s="29"/>
      <c r="C547" s="67" t="str">
        <f>IFERROR(__xludf.DUMMYFUNCTION("""COMPUTED_VALUE"""),"")</f>
        <v/>
      </c>
      <c r="D547" s="29"/>
      <c r="G547" s="67"/>
    </row>
    <row r="548">
      <c r="A548" s="29"/>
      <c r="B548" s="29"/>
      <c r="C548" s="67" t="str">
        <f>IFERROR(__xludf.DUMMYFUNCTION("""COMPUTED_VALUE"""),"")</f>
        <v/>
      </c>
      <c r="D548" s="29"/>
      <c r="G548" s="67"/>
    </row>
    <row r="549">
      <c r="A549" s="29"/>
      <c r="B549" s="29"/>
      <c r="C549" s="67" t="str">
        <f>IFERROR(__xludf.DUMMYFUNCTION("""COMPUTED_VALUE"""),"")</f>
        <v/>
      </c>
      <c r="D549" s="29"/>
      <c r="G549" s="67"/>
    </row>
    <row r="550">
      <c r="A550" s="29"/>
      <c r="B550" s="29"/>
      <c r="C550" s="67" t="str">
        <f>IFERROR(__xludf.DUMMYFUNCTION("""COMPUTED_VALUE"""),"")</f>
        <v/>
      </c>
      <c r="D550" s="29"/>
      <c r="G550" s="67"/>
    </row>
    <row r="551">
      <c r="A551" s="29"/>
      <c r="B551" s="29"/>
      <c r="C551" s="67" t="str">
        <f>IFERROR(__xludf.DUMMYFUNCTION("""COMPUTED_VALUE"""),"")</f>
        <v/>
      </c>
      <c r="D551" s="29"/>
      <c r="G551" s="67"/>
    </row>
    <row r="552">
      <c r="A552" s="29"/>
      <c r="B552" s="29"/>
      <c r="C552" s="67" t="str">
        <f>IFERROR(__xludf.DUMMYFUNCTION("""COMPUTED_VALUE"""),"")</f>
        <v/>
      </c>
      <c r="D552" s="29"/>
      <c r="G552" s="67"/>
    </row>
    <row r="553">
      <c r="A553" s="29"/>
      <c r="B553" s="29"/>
      <c r="C553" s="67" t="str">
        <f>IFERROR(__xludf.DUMMYFUNCTION("""COMPUTED_VALUE"""),"")</f>
        <v/>
      </c>
      <c r="D553" s="29"/>
      <c r="G553" s="67"/>
    </row>
    <row r="554">
      <c r="A554" s="29"/>
      <c r="B554" s="29"/>
      <c r="C554" s="67" t="str">
        <f>IFERROR(__xludf.DUMMYFUNCTION("""COMPUTED_VALUE"""),"")</f>
        <v/>
      </c>
      <c r="D554" s="29"/>
      <c r="G554" s="67"/>
    </row>
    <row r="555">
      <c r="A555" s="29"/>
      <c r="B555" s="29"/>
      <c r="C555" s="67" t="str">
        <f>IFERROR(__xludf.DUMMYFUNCTION("""COMPUTED_VALUE"""),"")</f>
        <v/>
      </c>
      <c r="D555" s="29"/>
      <c r="G555" s="67"/>
    </row>
    <row r="556">
      <c r="A556" s="29"/>
      <c r="B556" s="29"/>
      <c r="C556" s="67" t="str">
        <f>IFERROR(__xludf.DUMMYFUNCTION("""COMPUTED_VALUE"""),"")</f>
        <v/>
      </c>
      <c r="D556" s="29"/>
      <c r="G556" s="67"/>
    </row>
    <row r="557">
      <c r="A557" s="29"/>
      <c r="B557" s="29"/>
      <c r="C557" s="67" t="str">
        <f>IFERROR(__xludf.DUMMYFUNCTION("""COMPUTED_VALUE"""),"")</f>
        <v/>
      </c>
      <c r="D557" s="29"/>
      <c r="G557" s="67"/>
    </row>
    <row r="558">
      <c r="A558" s="29"/>
      <c r="B558" s="29"/>
      <c r="C558" s="67" t="str">
        <f>IFERROR(__xludf.DUMMYFUNCTION("""COMPUTED_VALUE"""),"")</f>
        <v/>
      </c>
      <c r="D558" s="29"/>
      <c r="G558" s="67"/>
    </row>
    <row r="559">
      <c r="A559" s="29"/>
      <c r="B559" s="29"/>
      <c r="C559" s="67" t="str">
        <f>IFERROR(__xludf.DUMMYFUNCTION("""COMPUTED_VALUE"""),"")</f>
        <v/>
      </c>
      <c r="D559" s="29"/>
      <c r="G559" s="67"/>
    </row>
    <row r="560">
      <c r="A560" s="29"/>
      <c r="B560" s="29"/>
      <c r="C560" s="67" t="str">
        <f>IFERROR(__xludf.DUMMYFUNCTION("""COMPUTED_VALUE"""),"")</f>
        <v/>
      </c>
      <c r="D560" s="29"/>
      <c r="G560" s="67"/>
    </row>
    <row r="561">
      <c r="A561" s="29"/>
      <c r="B561" s="29"/>
      <c r="C561" s="67" t="str">
        <f>IFERROR(__xludf.DUMMYFUNCTION("""COMPUTED_VALUE"""),"")</f>
        <v/>
      </c>
      <c r="D561" s="29"/>
      <c r="G561" s="67"/>
    </row>
    <row r="562">
      <c r="A562" s="29"/>
      <c r="B562" s="29"/>
      <c r="C562" s="67" t="str">
        <f>IFERROR(__xludf.DUMMYFUNCTION("""COMPUTED_VALUE"""),"")</f>
        <v/>
      </c>
      <c r="D562" s="29"/>
      <c r="G562" s="67"/>
    </row>
    <row r="563">
      <c r="A563" s="29"/>
      <c r="B563" s="29"/>
      <c r="C563" s="67" t="str">
        <f>IFERROR(__xludf.DUMMYFUNCTION("""COMPUTED_VALUE"""),"")</f>
        <v/>
      </c>
      <c r="D563" s="29"/>
      <c r="G563" s="67"/>
    </row>
    <row r="564">
      <c r="A564" s="29"/>
      <c r="B564" s="29"/>
      <c r="C564" s="67" t="str">
        <f>IFERROR(__xludf.DUMMYFUNCTION("""COMPUTED_VALUE"""),"")</f>
        <v/>
      </c>
      <c r="D564" s="29"/>
      <c r="G564" s="67"/>
    </row>
    <row r="565">
      <c r="A565" s="29"/>
      <c r="B565" s="29"/>
      <c r="C565" s="67" t="str">
        <f>IFERROR(__xludf.DUMMYFUNCTION("""COMPUTED_VALUE"""),"")</f>
        <v/>
      </c>
      <c r="D565" s="29"/>
      <c r="G565" s="67"/>
    </row>
    <row r="566">
      <c r="A566" s="29"/>
      <c r="B566" s="29"/>
      <c r="C566" s="67" t="str">
        <f>IFERROR(__xludf.DUMMYFUNCTION("""COMPUTED_VALUE"""),"")</f>
        <v/>
      </c>
      <c r="D566" s="29"/>
      <c r="G566" s="67"/>
    </row>
    <row r="567">
      <c r="A567" s="29"/>
      <c r="B567" s="29"/>
      <c r="C567" s="67" t="str">
        <f>IFERROR(__xludf.DUMMYFUNCTION("""COMPUTED_VALUE"""),"")</f>
        <v/>
      </c>
      <c r="D567" s="29"/>
      <c r="G567" s="67"/>
    </row>
    <row r="568">
      <c r="A568" s="29"/>
      <c r="B568" s="29"/>
      <c r="C568" s="67" t="str">
        <f>IFERROR(__xludf.DUMMYFUNCTION("""COMPUTED_VALUE"""),"")</f>
        <v/>
      </c>
      <c r="D568" s="29"/>
      <c r="G568" s="67"/>
    </row>
    <row r="569">
      <c r="A569" s="29"/>
      <c r="B569" s="29"/>
      <c r="C569" s="67" t="str">
        <f>IFERROR(__xludf.DUMMYFUNCTION("""COMPUTED_VALUE"""),"")</f>
        <v/>
      </c>
      <c r="D569" s="29"/>
      <c r="G569" s="67"/>
    </row>
    <row r="570">
      <c r="A570" s="29"/>
      <c r="B570" s="29"/>
      <c r="C570" s="67" t="str">
        <f>IFERROR(__xludf.DUMMYFUNCTION("""COMPUTED_VALUE"""),"")</f>
        <v/>
      </c>
      <c r="D570" s="29"/>
      <c r="G570" s="67"/>
    </row>
    <row r="571">
      <c r="A571" s="29"/>
      <c r="B571" s="29"/>
      <c r="C571" s="67" t="str">
        <f>IFERROR(__xludf.DUMMYFUNCTION("""COMPUTED_VALUE"""),"")</f>
        <v/>
      </c>
      <c r="D571" s="29"/>
      <c r="G571" s="67"/>
    </row>
    <row r="572">
      <c r="A572" s="29"/>
      <c r="B572" s="29"/>
      <c r="C572" s="67" t="str">
        <f>IFERROR(__xludf.DUMMYFUNCTION("""COMPUTED_VALUE"""),"")</f>
        <v/>
      </c>
      <c r="D572" s="29"/>
      <c r="G572" s="67"/>
    </row>
    <row r="573">
      <c r="A573" s="29"/>
      <c r="B573" s="29"/>
      <c r="C573" s="67" t="str">
        <f>IFERROR(__xludf.DUMMYFUNCTION("""COMPUTED_VALUE"""),"")</f>
        <v/>
      </c>
      <c r="D573" s="29"/>
      <c r="G573" s="67"/>
    </row>
    <row r="574">
      <c r="A574" s="29"/>
      <c r="B574" s="29"/>
      <c r="C574" s="67" t="str">
        <f>IFERROR(__xludf.DUMMYFUNCTION("""COMPUTED_VALUE"""),"")</f>
        <v/>
      </c>
      <c r="D574" s="29"/>
      <c r="G574" s="67"/>
    </row>
    <row r="575">
      <c r="A575" s="29"/>
      <c r="B575" s="29"/>
      <c r="C575" s="67" t="str">
        <f>IFERROR(__xludf.DUMMYFUNCTION("""COMPUTED_VALUE"""),"")</f>
        <v/>
      </c>
      <c r="D575" s="29"/>
      <c r="G575" s="67"/>
    </row>
    <row r="576">
      <c r="A576" s="29"/>
      <c r="B576" s="29"/>
      <c r="C576" s="67" t="str">
        <f>IFERROR(__xludf.DUMMYFUNCTION("""COMPUTED_VALUE"""),"")</f>
        <v/>
      </c>
      <c r="D576" s="29"/>
      <c r="G576" s="67"/>
    </row>
    <row r="577">
      <c r="A577" s="29"/>
      <c r="B577" s="29"/>
      <c r="C577" s="67" t="str">
        <f>IFERROR(__xludf.DUMMYFUNCTION("""COMPUTED_VALUE"""),"")</f>
        <v/>
      </c>
      <c r="D577" s="29"/>
      <c r="G577" s="67"/>
    </row>
    <row r="578">
      <c r="A578" s="29"/>
      <c r="B578" s="29"/>
      <c r="C578" s="67" t="str">
        <f>IFERROR(__xludf.DUMMYFUNCTION("""COMPUTED_VALUE"""),"")</f>
        <v/>
      </c>
      <c r="D578" s="29"/>
      <c r="G578" s="67"/>
    </row>
    <row r="579">
      <c r="A579" s="29"/>
      <c r="B579" s="29"/>
      <c r="C579" s="67" t="str">
        <f>IFERROR(__xludf.DUMMYFUNCTION("""COMPUTED_VALUE"""),"")</f>
        <v/>
      </c>
      <c r="D579" s="29"/>
      <c r="G579" s="67"/>
    </row>
    <row r="580">
      <c r="A580" s="29"/>
      <c r="B580" s="29"/>
      <c r="C580" s="67" t="str">
        <f>IFERROR(__xludf.DUMMYFUNCTION("""COMPUTED_VALUE"""),"")</f>
        <v/>
      </c>
      <c r="D580" s="29"/>
      <c r="G580" s="67"/>
    </row>
    <row r="581">
      <c r="A581" s="29"/>
      <c r="B581" s="29"/>
      <c r="C581" s="67" t="str">
        <f>IFERROR(__xludf.DUMMYFUNCTION("""COMPUTED_VALUE"""),"")</f>
        <v/>
      </c>
      <c r="D581" s="29"/>
      <c r="G581" s="67"/>
    </row>
    <row r="582">
      <c r="A582" s="29"/>
      <c r="B582" s="29"/>
      <c r="C582" s="67" t="str">
        <f>IFERROR(__xludf.DUMMYFUNCTION("""COMPUTED_VALUE"""),"")</f>
        <v/>
      </c>
      <c r="D582" s="29"/>
      <c r="G582" s="67"/>
    </row>
    <row r="583">
      <c r="A583" s="29"/>
      <c r="B583" s="29"/>
      <c r="C583" s="67" t="str">
        <f>IFERROR(__xludf.DUMMYFUNCTION("""COMPUTED_VALUE"""),"")</f>
        <v/>
      </c>
      <c r="D583" s="29"/>
      <c r="G583" s="67"/>
    </row>
    <row r="584">
      <c r="A584" s="29"/>
      <c r="B584" s="29"/>
      <c r="C584" s="67" t="str">
        <f>IFERROR(__xludf.DUMMYFUNCTION("""COMPUTED_VALUE"""),"")</f>
        <v/>
      </c>
      <c r="D584" s="29"/>
      <c r="G584" s="67"/>
    </row>
    <row r="585">
      <c r="A585" s="29"/>
      <c r="B585" s="29"/>
      <c r="C585" s="67" t="str">
        <f>IFERROR(__xludf.DUMMYFUNCTION("""COMPUTED_VALUE"""),"")</f>
        <v/>
      </c>
      <c r="D585" s="29"/>
      <c r="G585" s="67"/>
    </row>
    <row r="586">
      <c r="A586" s="29"/>
      <c r="B586" s="29"/>
      <c r="C586" s="67" t="str">
        <f>IFERROR(__xludf.DUMMYFUNCTION("""COMPUTED_VALUE"""),"")</f>
        <v/>
      </c>
      <c r="D586" s="29"/>
      <c r="G586" s="67"/>
    </row>
    <row r="587">
      <c r="A587" s="29"/>
      <c r="B587" s="29"/>
      <c r="C587" s="67" t="str">
        <f>IFERROR(__xludf.DUMMYFUNCTION("""COMPUTED_VALUE"""),"")</f>
        <v/>
      </c>
      <c r="D587" s="29"/>
      <c r="G587" s="67"/>
    </row>
    <row r="588">
      <c r="A588" s="29"/>
      <c r="B588" s="29"/>
      <c r="C588" s="67" t="str">
        <f>IFERROR(__xludf.DUMMYFUNCTION("""COMPUTED_VALUE"""),"")</f>
        <v/>
      </c>
      <c r="D588" s="29"/>
      <c r="G588" s="67"/>
    </row>
    <row r="589">
      <c r="A589" s="29"/>
      <c r="B589" s="29"/>
      <c r="C589" s="67" t="str">
        <f>IFERROR(__xludf.DUMMYFUNCTION("""COMPUTED_VALUE"""),"")</f>
        <v/>
      </c>
      <c r="D589" s="29"/>
      <c r="G589" s="67"/>
    </row>
    <row r="590">
      <c r="A590" s="29"/>
      <c r="B590" s="29"/>
      <c r="C590" s="67" t="str">
        <f>IFERROR(__xludf.DUMMYFUNCTION("""COMPUTED_VALUE"""),"")</f>
        <v/>
      </c>
      <c r="D590" s="29"/>
      <c r="G590" s="67"/>
    </row>
    <row r="591">
      <c r="A591" s="29"/>
      <c r="B591" s="29"/>
      <c r="C591" s="67" t="str">
        <f>IFERROR(__xludf.DUMMYFUNCTION("""COMPUTED_VALUE"""),"")</f>
        <v/>
      </c>
      <c r="D591" s="29"/>
      <c r="G591" s="67"/>
    </row>
    <row r="592">
      <c r="A592" s="29"/>
      <c r="B592" s="29"/>
      <c r="C592" s="67" t="str">
        <f>IFERROR(__xludf.DUMMYFUNCTION("""COMPUTED_VALUE"""),"")</f>
        <v/>
      </c>
      <c r="D592" s="29"/>
      <c r="G592" s="67"/>
    </row>
    <row r="593">
      <c r="A593" s="29"/>
      <c r="B593" s="29"/>
      <c r="C593" s="67" t="str">
        <f>IFERROR(__xludf.DUMMYFUNCTION("""COMPUTED_VALUE"""),"")</f>
        <v/>
      </c>
      <c r="D593" s="29"/>
      <c r="G593" s="67"/>
    </row>
    <row r="594">
      <c r="A594" s="29"/>
      <c r="B594" s="29"/>
      <c r="C594" s="67" t="str">
        <f>IFERROR(__xludf.DUMMYFUNCTION("""COMPUTED_VALUE"""),"")</f>
        <v/>
      </c>
      <c r="D594" s="29"/>
      <c r="G594" s="67"/>
    </row>
    <row r="595">
      <c r="A595" s="29"/>
      <c r="B595" s="29"/>
      <c r="C595" s="67" t="str">
        <f>IFERROR(__xludf.DUMMYFUNCTION("""COMPUTED_VALUE"""),"")</f>
        <v/>
      </c>
      <c r="D595" s="29"/>
      <c r="G595" s="67"/>
    </row>
    <row r="596">
      <c r="A596" s="29"/>
      <c r="B596" s="29"/>
      <c r="C596" s="67" t="str">
        <f>IFERROR(__xludf.DUMMYFUNCTION("""COMPUTED_VALUE"""),"")</f>
        <v/>
      </c>
      <c r="D596" s="29"/>
      <c r="G596" s="67"/>
    </row>
    <row r="597">
      <c r="A597" s="29"/>
      <c r="B597" s="29"/>
      <c r="C597" s="67" t="str">
        <f>IFERROR(__xludf.DUMMYFUNCTION("""COMPUTED_VALUE"""),"")</f>
        <v/>
      </c>
      <c r="D597" s="29"/>
      <c r="G597" s="67"/>
    </row>
    <row r="598">
      <c r="A598" s="29"/>
      <c r="B598" s="29"/>
      <c r="C598" s="67" t="str">
        <f>IFERROR(__xludf.DUMMYFUNCTION("""COMPUTED_VALUE"""),"")</f>
        <v/>
      </c>
      <c r="D598" s="29"/>
      <c r="G598" s="67"/>
    </row>
    <row r="599">
      <c r="A599" s="29"/>
      <c r="B599" s="29"/>
      <c r="C599" s="67" t="str">
        <f>IFERROR(__xludf.DUMMYFUNCTION("""COMPUTED_VALUE"""),"")</f>
        <v/>
      </c>
      <c r="D599" s="29"/>
      <c r="G599" s="67"/>
    </row>
    <row r="600">
      <c r="A600" s="29"/>
      <c r="B600" s="29"/>
      <c r="C600" s="67" t="str">
        <f>IFERROR(__xludf.DUMMYFUNCTION("""COMPUTED_VALUE"""),"")</f>
        <v/>
      </c>
      <c r="D600" s="29"/>
      <c r="G600" s="67"/>
    </row>
    <row r="601">
      <c r="A601" s="29"/>
      <c r="B601" s="29"/>
      <c r="C601" s="67" t="str">
        <f>IFERROR(__xludf.DUMMYFUNCTION("""COMPUTED_VALUE"""),"")</f>
        <v/>
      </c>
      <c r="D601" s="29"/>
      <c r="G601" s="67"/>
    </row>
    <row r="602">
      <c r="A602" s="29"/>
      <c r="B602" s="29"/>
      <c r="C602" s="67" t="str">
        <f>IFERROR(__xludf.DUMMYFUNCTION("""COMPUTED_VALUE"""),"")</f>
        <v/>
      </c>
      <c r="D602" s="29"/>
      <c r="G602" s="67"/>
    </row>
    <row r="603">
      <c r="A603" s="29"/>
      <c r="B603" s="29"/>
      <c r="C603" s="67" t="str">
        <f>IFERROR(__xludf.DUMMYFUNCTION("""COMPUTED_VALUE"""),"")</f>
        <v/>
      </c>
      <c r="D603" s="29"/>
      <c r="G603" s="67"/>
    </row>
    <row r="604">
      <c r="A604" s="29"/>
      <c r="B604" s="29"/>
      <c r="C604" s="67" t="str">
        <f>IFERROR(__xludf.DUMMYFUNCTION("""COMPUTED_VALUE"""),"")</f>
        <v/>
      </c>
      <c r="D604" s="29"/>
      <c r="G604" s="67"/>
    </row>
    <row r="605">
      <c r="A605" s="29"/>
      <c r="B605" s="29"/>
      <c r="C605" s="67" t="str">
        <f>IFERROR(__xludf.DUMMYFUNCTION("""COMPUTED_VALUE"""),"")</f>
        <v/>
      </c>
      <c r="D605" s="29"/>
      <c r="G605" s="67"/>
    </row>
    <row r="606">
      <c r="A606" s="29"/>
      <c r="B606" s="29"/>
      <c r="C606" s="67" t="str">
        <f>IFERROR(__xludf.DUMMYFUNCTION("""COMPUTED_VALUE"""),"")</f>
        <v/>
      </c>
      <c r="D606" s="29"/>
      <c r="G606" s="67"/>
    </row>
    <row r="607">
      <c r="A607" s="29"/>
      <c r="B607" s="29"/>
      <c r="C607" s="67" t="str">
        <f>IFERROR(__xludf.DUMMYFUNCTION("""COMPUTED_VALUE"""),"")</f>
        <v/>
      </c>
      <c r="D607" s="29"/>
      <c r="G607" s="67"/>
    </row>
    <row r="608">
      <c r="A608" s="29"/>
      <c r="B608" s="29"/>
      <c r="C608" s="67" t="str">
        <f>IFERROR(__xludf.DUMMYFUNCTION("""COMPUTED_VALUE"""),"")</f>
        <v/>
      </c>
      <c r="D608" s="29"/>
      <c r="G608" s="67"/>
    </row>
    <row r="609">
      <c r="A609" s="29"/>
      <c r="B609" s="29"/>
      <c r="C609" s="67" t="str">
        <f>IFERROR(__xludf.DUMMYFUNCTION("""COMPUTED_VALUE"""),"")</f>
        <v/>
      </c>
      <c r="D609" s="29"/>
      <c r="G609" s="67"/>
    </row>
    <row r="610">
      <c r="A610" s="29"/>
      <c r="B610" s="29"/>
      <c r="C610" s="67" t="str">
        <f>IFERROR(__xludf.DUMMYFUNCTION("""COMPUTED_VALUE"""),"")</f>
        <v/>
      </c>
      <c r="D610" s="29"/>
      <c r="G610" s="67"/>
    </row>
    <row r="611">
      <c r="A611" s="29"/>
      <c r="B611" s="29"/>
      <c r="C611" s="67" t="str">
        <f>IFERROR(__xludf.DUMMYFUNCTION("""COMPUTED_VALUE"""),"")</f>
        <v/>
      </c>
      <c r="D611" s="29"/>
      <c r="G611" s="67"/>
    </row>
    <row r="612">
      <c r="A612" s="29"/>
      <c r="B612" s="29"/>
      <c r="C612" s="67" t="str">
        <f>IFERROR(__xludf.DUMMYFUNCTION("""COMPUTED_VALUE"""),"")</f>
        <v/>
      </c>
      <c r="D612" s="29"/>
      <c r="G612" s="67"/>
    </row>
    <row r="613">
      <c r="A613" s="29"/>
      <c r="B613" s="29"/>
      <c r="C613" s="67" t="str">
        <f>IFERROR(__xludf.DUMMYFUNCTION("""COMPUTED_VALUE"""),"")</f>
        <v/>
      </c>
      <c r="D613" s="29"/>
      <c r="G613" s="67"/>
    </row>
    <row r="614">
      <c r="A614" s="29"/>
      <c r="B614" s="29"/>
      <c r="C614" s="67" t="str">
        <f>IFERROR(__xludf.DUMMYFUNCTION("""COMPUTED_VALUE"""),"")</f>
        <v/>
      </c>
      <c r="D614" s="29"/>
      <c r="G614" s="67"/>
    </row>
    <row r="615">
      <c r="A615" s="29"/>
      <c r="B615" s="29"/>
      <c r="C615" s="67" t="str">
        <f>IFERROR(__xludf.DUMMYFUNCTION("""COMPUTED_VALUE"""),"")</f>
        <v/>
      </c>
      <c r="D615" s="29"/>
      <c r="G615" s="67"/>
    </row>
    <row r="616">
      <c r="A616" s="29"/>
      <c r="B616" s="29"/>
      <c r="C616" s="67" t="str">
        <f>IFERROR(__xludf.DUMMYFUNCTION("""COMPUTED_VALUE"""),"")</f>
        <v/>
      </c>
      <c r="D616" s="29"/>
      <c r="G616" s="67"/>
    </row>
    <row r="617">
      <c r="A617" s="29"/>
      <c r="B617" s="29"/>
      <c r="C617" s="67" t="str">
        <f>IFERROR(__xludf.DUMMYFUNCTION("""COMPUTED_VALUE"""),"")</f>
        <v/>
      </c>
      <c r="D617" s="29"/>
      <c r="G617" s="67"/>
    </row>
    <row r="618">
      <c r="A618" s="29"/>
      <c r="B618" s="29"/>
      <c r="C618" s="67" t="str">
        <f>IFERROR(__xludf.DUMMYFUNCTION("""COMPUTED_VALUE"""),"")</f>
        <v/>
      </c>
      <c r="D618" s="29"/>
      <c r="G618" s="67"/>
    </row>
    <row r="619">
      <c r="A619" s="29"/>
      <c r="B619" s="29"/>
      <c r="C619" s="67" t="str">
        <f>IFERROR(__xludf.DUMMYFUNCTION("""COMPUTED_VALUE"""),"")</f>
        <v/>
      </c>
      <c r="D619" s="29"/>
      <c r="G619" s="67"/>
    </row>
    <row r="620">
      <c r="A620" s="29"/>
      <c r="B620" s="29"/>
      <c r="C620" s="67" t="str">
        <f>IFERROR(__xludf.DUMMYFUNCTION("""COMPUTED_VALUE"""),"")</f>
        <v/>
      </c>
      <c r="D620" s="29"/>
      <c r="G620" s="67"/>
    </row>
    <row r="621">
      <c r="A621" s="29"/>
      <c r="B621" s="29"/>
      <c r="C621" s="67" t="str">
        <f>IFERROR(__xludf.DUMMYFUNCTION("""COMPUTED_VALUE"""),"")</f>
        <v/>
      </c>
      <c r="D621" s="29"/>
      <c r="G621" s="67"/>
    </row>
    <row r="622">
      <c r="A622" s="29"/>
      <c r="B622" s="29"/>
      <c r="C622" s="67" t="str">
        <f>IFERROR(__xludf.DUMMYFUNCTION("""COMPUTED_VALUE"""),"")</f>
        <v/>
      </c>
      <c r="D622" s="29"/>
      <c r="G622" s="67"/>
    </row>
    <row r="623">
      <c r="A623" s="29"/>
      <c r="B623" s="29"/>
      <c r="C623" s="67" t="str">
        <f>IFERROR(__xludf.DUMMYFUNCTION("""COMPUTED_VALUE"""),"")</f>
        <v/>
      </c>
      <c r="D623" s="29"/>
      <c r="G623" s="67"/>
    </row>
    <row r="624">
      <c r="A624" s="29"/>
      <c r="B624" s="29"/>
      <c r="C624" s="67" t="str">
        <f>IFERROR(__xludf.DUMMYFUNCTION("""COMPUTED_VALUE"""),"")</f>
        <v/>
      </c>
      <c r="D624" s="29"/>
      <c r="G624" s="67"/>
    </row>
    <row r="625">
      <c r="A625" s="29"/>
      <c r="B625" s="29"/>
      <c r="C625" s="67" t="str">
        <f>IFERROR(__xludf.DUMMYFUNCTION("""COMPUTED_VALUE"""),"")</f>
        <v/>
      </c>
      <c r="D625" s="29"/>
      <c r="G625" s="67"/>
    </row>
    <row r="626">
      <c r="A626" s="29"/>
      <c r="B626" s="29"/>
      <c r="C626" s="67" t="str">
        <f>IFERROR(__xludf.DUMMYFUNCTION("""COMPUTED_VALUE"""),"")</f>
        <v/>
      </c>
      <c r="D626" s="29"/>
      <c r="G626" s="67"/>
    </row>
    <row r="627">
      <c r="A627" s="29"/>
      <c r="B627" s="29"/>
      <c r="C627" s="67" t="str">
        <f>IFERROR(__xludf.DUMMYFUNCTION("""COMPUTED_VALUE"""),"")</f>
        <v/>
      </c>
      <c r="D627" s="29"/>
      <c r="G627" s="67"/>
    </row>
    <row r="628">
      <c r="A628" s="29"/>
      <c r="B628" s="29"/>
      <c r="C628" s="67" t="str">
        <f>IFERROR(__xludf.DUMMYFUNCTION("""COMPUTED_VALUE"""),"")</f>
        <v/>
      </c>
      <c r="D628" s="29"/>
      <c r="G628" s="67"/>
    </row>
    <row r="629">
      <c r="A629" s="29"/>
      <c r="B629" s="29"/>
      <c r="C629" s="67" t="str">
        <f>IFERROR(__xludf.DUMMYFUNCTION("""COMPUTED_VALUE"""),"")</f>
        <v/>
      </c>
      <c r="D629" s="29"/>
      <c r="G629" s="67"/>
    </row>
    <row r="630">
      <c r="A630" s="29"/>
      <c r="B630" s="29"/>
      <c r="C630" s="67" t="str">
        <f>IFERROR(__xludf.DUMMYFUNCTION("""COMPUTED_VALUE"""),"")</f>
        <v/>
      </c>
      <c r="D630" s="29"/>
      <c r="G630" s="67"/>
    </row>
    <row r="631">
      <c r="A631" s="29"/>
      <c r="B631" s="29"/>
      <c r="C631" s="67" t="str">
        <f>IFERROR(__xludf.DUMMYFUNCTION("""COMPUTED_VALUE"""),"")</f>
        <v/>
      </c>
      <c r="D631" s="29"/>
      <c r="G631" s="67"/>
    </row>
    <row r="632">
      <c r="A632" s="29"/>
      <c r="B632" s="29"/>
      <c r="C632" s="67" t="str">
        <f>IFERROR(__xludf.DUMMYFUNCTION("""COMPUTED_VALUE"""),"")</f>
        <v/>
      </c>
      <c r="D632" s="29"/>
      <c r="G632" s="67"/>
    </row>
    <row r="633">
      <c r="A633" s="29"/>
      <c r="B633" s="29"/>
      <c r="C633" s="67" t="str">
        <f>IFERROR(__xludf.DUMMYFUNCTION("""COMPUTED_VALUE"""),"")</f>
        <v/>
      </c>
      <c r="D633" s="29"/>
      <c r="G633" s="67"/>
    </row>
    <row r="634">
      <c r="A634" s="29"/>
      <c r="B634" s="29"/>
      <c r="C634" s="67" t="str">
        <f>IFERROR(__xludf.DUMMYFUNCTION("""COMPUTED_VALUE"""),"")</f>
        <v/>
      </c>
      <c r="D634" s="29"/>
      <c r="G634" s="67"/>
    </row>
    <row r="635">
      <c r="A635" s="29"/>
      <c r="B635" s="29"/>
      <c r="C635" s="67" t="str">
        <f>IFERROR(__xludf.DUMMYFUNCTION("""COMPUTED_VALUE"""),"")</f>
        <v/>
      </c>
      <c r="D635" s="29"/>
      <c r="G635" s="67"/>
    </row>
    <row r="636">
      <c r="A636" s="29"/>
      <c r="B636" s="29"/>
      <c r="C636" s="67" t="str">
        <f>IFERROR(__xludf.DUMMYFUNCTION("""COMPUTED_VALUE"""),"")</f>
        <v/>
      </c>
      <c r="D636" s="29"/>
      <c r="G636" s="67"/>
    </row>
    <row r="637">
      <c r="A637" s="29"/>
      <c r="B637" s="29"/>
      <c r="C637" s="67" t="str">
        <f>IFERROR(__xludf.DUMMYFUNCTION("""COMPUTED_VALUE"""),"")</f>
        <v/>
      </c>
      <c r="D637" s="29"/>
      <c r="G637" s="67"/>
    </row>
    <row r="638">
      <c r="A638" s="29"/>
      <c r="B638" s="29"/>
      <c r="C638" s="67" t="str">
        <f>IFERROR(__xludf.DUMMYFUNCTION("""COMPUTED_VALUE"""),"")</f>
        <v/>
      </c>
      <c r="D638" s="29"/>
      <c r="G638" s="67"/>
    </row>
    <row r="639">
      <c r="A639" s="29"/>
      <c r="B639" s="29"/>
      <c r="C639" s="67" t="str">
        <f>IFERROR(__xludf.DUMMYFUNCTION("""COMPUTED_VALUE"""),"")</f>
        <v/>
      </c>
      <c r="D639" s="29"/>
      <c r="G639" s="67"/>
    </row>
    <row r="640">
      <c r="A640" s="29"/>
      <c r="B640" s="29"/>
      <c r="C640" s="67" t="str">
        <f>IFERROR(__xludf.DUMMYFUNCTION("""COMPUTED_VALUE"""),"")</f>
        <v/>
      </c>
      <c r="D640" s="29"/>
      <c r="G640" s="67"/>
    </row>
    <row r="641">
      <c r="A641" s="29"/>
      <c r="B641" s="29"/>
      <c r="C641" s="67" t="str">
        <f>IFERROR(__xludf.DUMMYFUNCTION("""COMPUTED_VALUE"""),"")</f>
        <v/>
      </c>
      <c r="D641" s="29"/>
      <c r="G641" s="67"/>
    </row>
    <row r="642">
      <c r="A642" s="29"/>
      <c r="B642" s="29"/>
      <c r="C642" s="67" t="str">
        <f>IFERROR(__xludf.DUMMYFUNCTION("""COMPUTED_VALUE"""),"")</f>
        <v/>
      </c>
      <c r="D642" s="29"/>
      <c r="G642" s="67"/>
    </row>
    <row r="643">
      <c r="A643" s="29"/>
      <c r="B643" s="29"/>
      <c r="C643" s="67" t="str">
        <f>IFERROR(__xludf.DUMMYFUNCTION("""COMPUTED_VALUE"""),"")</f>
        <v/>
      </c>
      <c r="D643" s="29"/>
      <c r="G643" s="67"/>
    </row>
    <row r="644">
      <c r="A644" s="29"/>
      <c r="B644" s="29"/>
      <c r="C644" s="67" t="str">
        <f>IFERROR(__xludf.DUMMYFUNCTION("""COMPUTED_VALUE"""),"")</f>
        <v/>
      </c>
      <c r="D644" s="29"/>
      <c r="G644" s="67"/>
    </row>
    <row r="645">
      <c r="A645" s="29"/>
      <c r="B645" s="29"/>
      <c r="C645" s="67" t="str">
        <f>IFERROR(__xludf.DUMMYFUNCTION("""COMPUTED_VALUE"""),"")</f>
        <v/>
      </c>
      <c r="D645" s="29"/>
      <c r="G645" s="67"/>
    </row>
    <row r="646">
      <c r="A646" s="29"/>
      <c r="B646" s="29"/>
      <c r="C646" s="67" t="str">
        <f>IFERROR(__xludf.DUMMYFUNCTION("""COMPUTED_VALUE"""),"")</f>
        <v/>
      </c>
      <c r="D646" s="29"/>
      <c r="G646" s="67"/>
    </row>
    <row r="647">
      <c r="A647" s="29"/>
      <c r="B647" s="29"/>
      <c r="C647" s="67" t="str">
        <f>IFERROR(__xludf.DUMMYFUNCTION("""COMPUTED_VALUE"""),"")</f>
        <v/>
      </c>
      <c r="D647" s="29"/>
      <c r="G647" s="67"/>
    </row>
    <row r="648">
      <c r="A648" s="29"/>
      <c r="B648" s="29"/>
      <c r="C648" s="67" t="str">
        <f>IFERROR(__xludf.DUMMYFUNCTION("""COMPUTED_VALUE"""),"")</f>
        <v/>
      </c>
      <c r="D648" s="29"/>
      <c r="G648" s="67"/>
    </row>
    <row r="649">
      <c r="A649" s="29"/>
      <c r="B649" s="29"/>
      <c r="C649" s="67" t="str">
        <f>IFERROR(__xludf.DUMMYFUNCTION("""COMPUTED_VALUE"""),"")</f>
        <v/>
      </c>
      <c r="D649" s="29"/>
      <c r="G649" s="67"/>
    </row>
    <row r="650">
      <c r="A650" s="29"/>
      <c r="B650" s="29"/>
      <c r="C650" s="67" t="str">
        <f>IFERROR(__xludf.DUMMYFUNCTION("""COMPUTED_VALUE"""),"")</f>
        <v/>
      </c>
      <c r="D650" s="29"/>
      <c r="G650" s="67"/>
    </row>
    <row r="651">
      <c r="A651" s="29"/>
      <c r="B651" s="29"/>
      <c r="C651" s="67" t="str">
        <f>IFERROR(__xludf.DUMMYFUNCTION("""COMPUTED_VALUE"""),"")</f>
        <v/>
      </c>
      <c r="D651" s="29"/>
      <c r="G651" s="67"/>
    </row>
    <row r="652">
      <c r="A652" s="29"/>
      <c r="B652" s="29"/>
      <c r="C652" s="67" t="str">
        <f>IFERROR(__xludf.DUMMYFUNCTION("""COMPUTED_VALUE"""),"")</f>
        <v/>
      </c>
      <c r="D652" s="29"/>
      <c r="G652" s="67"/>
    </row>
    <row r="653">
      <c r="A653" s="29"/>
      <c r="B653" s="29"/>
      <c r="C653" s="67" t="str">
        <f>IFERROR(__xludf.DUMMYFUNCTION("""COMPUTED_VALUE"""),"")</f>
        <v/>
      </c>
      <c r="D653" s="29"/>
      <c r="G653" s="67"/>
    </row>
    <row r="654">
      <c r="A654" s="29"/>
      <c r="B654" s="29"/>
      <c r="C654" s="67" t="str">
        <f>IFERROR(__xludf.DUMMYFUNCTION("""COMPUTED_VALUE"""),"")</f>
        <v/>
      </c>
      <c r="D654" s="29"/>
      <c r="G654" s="67"/>
    </row>
    <row r="655">
      <c r="A655" s="29"/>
      <c r="B655" s="29"/>
      <c r="C655" s="67" t="str">
        <f>IFERROR(__xludf.DUMMYFUNCTION("""COMPUTED_VALUE"""),"")</f>
        <v/>
      </c>
      <c r="D655" s="29"/>
      <c r="G655" s="67"/>
    </row>
    <row r="656">
      <c r="A656" s="29"/>
      <c r="B656" s="29"/>
      <c r="C656" s="67" t="str">
        <f>IFERROR(__xludf.DUMMYFUNCTION("""COMPUTED_VALUE"""),"")</f>
        <v/>
      </c>
      <c r="D656" s="29"/>
      <c r="G656" s="67"/>
    </row>
    <row r="657">
      <c r="A657" s="29"/>
      <c r="B657" s="29"/>
      <c r="C657" s="67" t="str">
        <f>IFERROR(__xludf.DUMMYFUNCTION("""COMPUTED_VALUE"""),"")</f>
        <v/>
      </c>
      <c r="D657" s="29"/>
      <c r="G657" s="67"/>
    </row>
    <row r="658">
      <c r="A658" s="29"/>
      <c r="B658" s="29"/>
      <c r="C658" s="67" t="str">
        <f>IFERROR(__xludf.DUMMYFUNCTION("""COMPUTED_VALUE"""),"")</f>
        <v/>
      </c>
      <c r="D658" s="29"/>
      <c r="G658" s="67"/>
    </row>
    <row r="659">
      <c r="A659" s="29"/>
      <c r="B659" s="29"/>
      <c r="C659" s="67" t="str">
        <f>IFERROR(__xludf.DUMMYFUNCTION("""COMPUTED_VALUE"""),"")</f>
        <v/>
      </c>
      <c r="D659" s="29"/>
      <c r="G659" s="67"/>
    </row>
    <row r="660">
      <c r="A660" s="29"/>
      <c r="B660" s="29"/>
      <c r="C660" s="67" t="str">
        <f>IFERROR(__xludf.DUMMYFUNCTION("""COMPUTED_VALUE"""),"")</f>
        <v/>
      </c>
      <c r="D660" s="29"/>
      <c r="G660" s="67"/>
    </row>
    <row r="661">
      <c r="A661" s="29"/>
      <c r="B661" s="29"/>
      <c r="C661" s="67" t="str">
        <f>IFERROR(__xludf.DUMMYFUNCTION("""COMPUTED_VALUE"""),"")</f>
        <v/>
      </c>
      <c r="D661" s="29"/>
      <c r="G661" s="67"/>
    </row>
    <row r="662">
      <c r="A662" s="29"/>
      <c r="B662" s="29"/>
      <c r="C662" s="67" t="str">
        <f>IFERROR(__xludf.DUMMYFUNCTION("""COMPUTED_VALUE"""),"")</f>
        <v/>
      </c>
      <c r="D662" s="29"/>
      <c r="G662" s="67"/>
    </row>
    <row r="663">
      <c r="A663" s="29"/>
      <c r="B663" s="29"/>
      <c r="C663" s="67" t="str">
        <f>IFERROR(__xludf.DUMMYFUNCTION("""COMPUTED_VALUE"""),"")</f>
        <v/>
      </c>
      <c r="D663" s="29"/>
      <c r="G663" s="67"/>
    </row>
    <row r="664">
      <c r="A664" s="29"/>
      <c r="B664" s="29"/>
      <c r="C664" s="67" t="str">
        <f>IFERROR(__xludf.DUMMYFUNCTION("""COMPUTED_VALUE"""),"")</f>
        <v/>
      </c>
      <c r="D664" s="29"/>
      <c r="G664" s="67"/>
    </row>
    <row r="665">
      <c r="A665" s="29"/>
      <c r="B665" s="29"/>
      <c r="C665" s="67" t="str">
        <f>IFERROR(__xludf.DUMMYFUNCTION("""COMPUTED_VALUE"""),"")</f>
        <v/>
      </c>
      <c r="D665" s="29"/>
      <c r="G665" s="67"/>
    </row>
    <row r="666">
      <c r="A666" s="29"/>
      <c r="B666" s="29"/>
      <c r="C666" s="67" t="str">
        <f>IFERROR(__xludf.DUMMYFUNCTION("""COMPUTED_VALUE"""),"")</f>
        <v/>
      </c>
      <c r="D666" s="29"/>
      <c r="G666" s="67"/>
    </row>
    <row r="667">
      <c r="A667" s="29"/>
      <c r="B667" s="29"/>
      <c r="C667" s="67" t="str">
        <f>IFERROR(__xludf.DUMMYFUNCTION("""COMPUTED_VALUE"""),"")</f>
        <v/>
      </c>
      <c r="D667" s="29"/>
      <c r="G667" s="67"/>
    </row>
    <row r="668">
      <c r="A668" s="29"/>
      <c r="B668" s="29"/>
      <c r="C668" s="67" t="str">
        <f>IFERROR(__xludf.DUMMYFUNCTION("""COMPUTED_VALUE"""),"")</f>
        <v/>
      </c>
      <c r="D668" s="29"/>
      <c r="G668" s="67"/>
    </row>
    <row r="669">
      <c r="A669" s="29"/>
      <c r="B669" s="29"/>
      <c r="C669" s="67" t="str">
        <f>IFERROR(__xludf.DUMMYFUNCTION("""COMPUTED_VALUE"""),"")</f>
        <v/>
      </c>
      <c r="D669" s="29"/>
      <c r="G669" s="67"/>
    </row>
    <row r="670">
      <c r="A670" s="29"/>
      <c r="B670" s="29"/>
      <c r="C670" s="67" t="str">
        <f>IFERROR(__xludf.DUMMYFUNCTION("""COMPUTED_VALUE"""),"")</f>
        <v/>
      </c>
      <c r="D670" s="29"/>
      <c r="G670" s="67"/>
    </row>
    <row r="671">
      <c r="A671" s="29"/>
      <c r="B671" s="29"/>
      <c r="C671" s="67" t="str">
        <f>IFERROR(__xludf.DUMMYFUNCTION("""COMPUTED_VALUE"""),"")</f>
        <v/>
      </c>
      <c r="D671" s="29"/>
      <c r="G671" s="67"/>
    </row>
    <row r="672">
      <c r="A672" s="29"/>
      <c r="B672" s="29"/>
      <c r="C672" s="67" t="str">
        <f>IFERROR(__xludf.DUMMYFUNCTION("""COMPUTED_VALUE"""),"")</f>
        <v/>
      </c>
      <c r="D672" s="29"/>
      <c r="G672" s="67"/>
    </row>
    <row r="673">
      <c r="A673" s="29"/>
      <c r="B673" s="29"/>
      <c r="C673" s="67" t="str">
        <f>IFERROR(__xludf.DUMMYFUNCTION("""COMPUTED_VALUE"""),"")</f>
        <v/>
      </c>
      <c r="D673" s="29"/>
      <c r="G673" s="67"/>
    </row>
    <row r="674">
      <c r="A674" s="29"/>
      <c r="B674" s="29"/>
      <c r="C674" s="67" t="str">
        <f>IFERROR(__xludf.DUMMYFUNCTION("""COMPUTED_VALUE"""),"")</f>
        <v/>
      </c>
      <c r="D674" s="29"/>
      <c r="G674" s="67"/>
    </row>
    <row r="675">
      <c r="A675" s="29"/>
      <c r="B675" s="29"/>
      <c r="C675" s="67" t="str">
        <f>IFERROR(__xludf.DUMMYFUNCTION("""COMPUTED_VALUE"""),"")</f>
        <v/>
      </c>
      <c r="D675" s="29"/>
      <c r="G675" s="67"/>
    </row>
    <row r="676">
      <c r="A676" s="29"/>
      <c r="B676" s="29"/>
      <c r="C676" s="67" t="str">
        <f>IFERROR(__xludf.DUMMYFUNCTION("""COMPUTED_VALUE"""),"")</f>
        <v/>
      </c>
      <c r="D676" s="29"/>
      <c r="G676" s="67"/>
    </row>
    <row r="677">
      <c r="A677" s="29"/>
      <c r="B677" s="29"/>
      <c r="C677" s="67" t="str">
        <f>IFERROR(__xludf.DUMMYFUNCTION("""COMPUTED_VALUE"""),"")</f>
        <v/>
      </c>
      <c r="D677" s="29"/>
      <c r="G677" s="67"/>
    </row>
    <row r="678">
      <c r="A678" s="29"/>
      <c r="B678" s="29"/>
      <c r="C678" s="67" t="str">
        <f>IFERROR(__xludf.DUMMYFUNCTION("""COMPUTED_VALUE"""),"")</f>
        <v/>
      </c>
      <c r="D678" s="29"/>
      <c r="G678" s="67"/>
    </row>
    <row r="679">
      <c r="A679" s="29"/>
      <c r="B679" s="29"/>
      <c r="C679" s="67" t="str">
        <f>IFERROR(__xludf.DUMMYFUNCTION("""COMPUTED_VALUE"""),"")</f>
        <v/>
      </c>
      <c r="D679" s="29"/>
      <c r="G679" s="67"/>
    </row>
    <row r="680">
      <c r="A680" s="29"/>
      <c r="B680" s="29"/>
      <c r="C680" s="67" t="str">
        <f>IFERROR(__xludf.DUMMYFUNCTION("""COMPUTED_VALUE"""),"")</f>
        <v/>
      </c>
      <c r="D680" s="29"/>
      <c r="G680" s="67"/>
    </row>
    <row r="681">
      <c r="A681" s="29"/>
      <c r="B681" s="29"/>
      <c r="C681" s="67" t="str">
        <f>IFERROR(__xludf.DUMMYFUNCTION("""COMPUTED_VALUE"""),"")</f>
        <v/>
      </c>
      <c r="D681" s="29"/>
      <c r="G681" s="67"/>
    </row>
    <row r="682">
      <c r="A682" s="29"/>
      <c r="B682" s="29"/>
      <c r="C682" s="67" t="str">
        <f>IFERROR(__xludf.DUMMYFUNCTION("""COMPUTED_VALUE"""),"")</f>
        <v/>
      </c>
      <c r="D682" s="29"/>
      <c r="G682" s="67"/>
    </row>
    <row r="683">
      <c r="A683" s="29"/>
      <c r="B683" s="29"/>
      <c r="C683" s="67" t="str">
        <f>IFERROR(__xludf.DUMMYFUNCTION("""COMPUTED_VALUE"""),"")</f>
        <v/>
      </c>
      <c r="D683" s="29"/>
      <c r="G683" s="67"/>
    </row>
    <row r="684">
      <c r="A684" s="29"/>
      <c r="B684" s="29"/>
      <c r="C684" s="67" t="str">
        <f>IFERROR(__xludf.DUMMYFUNCTION("""COMPUTED_VALUE"""),"")</f>
        <v/>
      </c>
      <c r="D684" s="29"/>
      <c r="G684" s="67"/>
    </row>
    <row r="685">
      <c r="A685" s="29"/>
      <c r="B685" s="29"/>
      <c r="C685" s="67" t="str">
        <f>IFERROR(__xludf.DUMMYFUNCTION("""COMPUTED_VALUE"""),"")</f>
        <v/>
      </c>
      <c r="D685" s="29"/>
      <c r="G685" s="67"/>
    </row>
    <row r="686">
      <c r="A686" s="29"/>
      <c r="B686" s="29"/>
      <c r="C686" s="67" t="str">
        <f>IFERROR(__xludf.DUMMYFUNCTION("""COMPUTED_VALUE"""),"")</f>
        <v/>
      </c>
      <c r="D686" s="29"/>
      <c r="G686" s="67"/>
    </row>
    <row r="687">
      <c r="A687" s="29"/>
      <c r="B687" s="29"/>
      <c r="C687" s="67" t="str">
        <f>IFERROR(__xludf.DUMMYFUNCTION("""COMPUTED_VALUE"""),"")</f>
        <v/>
      </c>
      <c r="D687" s="29"/>
      <c r="G687" s="67"/>
    </row>
    <row r="688">
      <c r="A688" s="29"/>
      <c r="B688" s="29"/>
      <c r="C688" s="67" t="str">
        <f>IFERROR(__xludf.DUMMYFUNCTION("""COMPUTED_VALUE"""),"")</f>
        <v/>
      </c>
      <c r="D688" s="29"/>
      <c r="G688" s="67"/>
    </row>
    <row r="689">
      <c r="A689" s="29"/>
      <c r="B689" s="29"/>
      <c r="C689" s="67" t="str">
        <f>IFERROR(__xludf.DUMMYFUNCTION("""COMPUTED_VALUE"""),"")</f>
        <v/>
      </c>
      <c r="D689" s="29"/>
      <c r="G689" s="67"/>
    </row>
    <row r="690">
      <c r="A690" s="29"/>
      <c r="B690" s="29"/>
      <c r="C690" s="67" t="str">
        <f>IFERROR(__xludf.DUMMYFUNCTION("""COMPUTED_VALUE"""),"")</f>
        <v/>
      </c>
      <c r="D690" s="29"/>
      <c r="G690" s="67"/>
    </row>
    <row r="691">
      <c r="A691" s="29"/>
      <c r="B691" s="29"/>
      <c r="C691" s="67" t="str">
        <f>IFERROR(__xludf.DUMMYFUNCTION("""COMPUTED_VALUE"""),"")</f>
        <v/>
      </c>
      <c r="D691" s="29"/>
      <c r="G691" s="67"/>
    </row>
    <row r="692">
      <c r="A692" s="29"/>
      <c r="B692" s="29"/>
      <c r="C692" s="67" t="str">
        <f>IFERROR(__xludf.DUMMYFUNCTION("""COMPUTED_VALUE"""),"")</f>
        <v/>
      </c>
      <c r="D692" s="29"/>
      <c r="G692" s="67"/>
    </row>
    <row r="693">
      <c r="A693" s="29"/>
      <c r="B693" s="29"/>
      <c r="C693" s="67" t="str">
        <f>IFERROR(__xludf.DUMMYFUNCTION("""COMPUTED_VALUE"""),"")</f>
        <v/>
      </c>
      <c r="D693" s="29"/>
      <c r="G693" s="67"/>
    </row>
    <row r="694">
      <c r="A694" s="29"/>
      <c r="B694" s="29"/>
      <c r="C694" s="67" t="str">
        <f>IFERROR(__xludf.DUMMYFUNCTION("""COMPUTED_VALUE"""),"")</f>
        <v/>
      </c>
      <c r="D694" s="29"/>
      <c r="G694" s="67"/>
    </row>
    <row r="695">
      <c r="A695" s="29"/>
      <c r="B695" s="29"/>
      <c r="C695" s="67" t="str">
        <f>IFERROR(__xludf.DUMMYFUNCTION("""COMPUTED_VALUE"""),"")</f>
        <v/>
      </c>
      <c r="D695" s="29"/>
      <c r="G695" s="67"/>
    </row>
    <row r="696">
      <c r="A696" s="29"/>
      <c r="B696" s="29"/>
      <c r="C696" s="67" t="str">
        <f>IFERROR(__xludf.DUMMYFUNCTION("""COMPUTED_VALUE"""),"")</f>
        <v/>
      </c>
      <c r="D696" s="29"/>
      <c r="G696" s="67"/>
    </row>
    <row r="697">
      <c r="A697" s="29"/>
      <c r="B697" s="29"/>
      <c r="C697" s="67" t="str">
        <f>IFERROR(__xludf.DUMMYFUNCTION("""COMPUTED_VALUE"""),"")</f>
        <v/>
      </c>
      <c r="D697" s="29"/>
      <c r="G697" s="67"/>
    </row>
    <row r="698">
      <c r="A698" s="29"/>
      <c r="B698" s="29"/>
      <c r="C698" s="67" t="str">
        <f>IFERROR(__xludf.DUMMYFUNCTION("""COMPUTED_VALUE"""),"")</f>
        <v/>
      </c>
      <c r="D698" s="29"/>
      <c r="G698" s="67"/>
    </row>
    <row r="699">
      <c r="A699" s="29"/>
      <c r="B699" s="29"/>
      <c r="C699" s="67" t="str">
        <f>IFERROR(__xludf.DUMMYFUNCTION("""COMPUTED_VALUE"""),"")</f>
        <v/>
      </c>
      <c r="D699" s="29"/>
      <c r="G699" s="67"/>
    </row>
    <row r="700">
      <c r="A700" s="29"/>
      <c r="B700" s="29"/>
      <c r="C700" s="67" t="str">
        <f>IFERROR(__xludf.DUMMYFUNCTION("""COMPUTED_VALUE"""),"")</f>
        <v/>
      </c>
      <c r="D700" s="29"/>
      <c r="G700" s="67"/>
    </row>
    <row r="701">
      <c r="A701" s="29"/>
      <c r="B701" s="29"/>
      <c r="C701" s="67" t="str">
        <f>IFERROR(__xludf.DUMMYFUNCTION("""COMPUTED_VALUE"""),"")</f>
        <v/>
      </c>
      <c r="D701" s="29"/>
      <c r="G701" s="67"/>
    </row>
    <row r="702">
      <c r="A702" s="29"/>
      <c r="B702" s="29"/>
      <c r="C702" s="67" t="str">
        <f>IFERROR(__xludf.DUMMYFUNCTION("""COMPUTED_VALUE"""),"")</f>
        <v/>
      </c>
      <c r="D702" s="29"/>
      <c r="G702" s="67"/>
    </row>
    <row r="703">
      <c r="A703" s="29"/>
      <c r="B703" s="29"/>
      <c r="C703" s="67" t="str">
        <f>IFERROR(__xludf.DUMMYFUNCTION("""COMPUTED_VALUE"""),"")</f>
        <v/>
      </c>
      <c r="D703" s="29"/>
      <c r="G703" s="67"/>
    </row>
    <row r="704">
      <c r="A704" s="29"/>
      <c r="B704" s="29"/>
      <c r="C704" s="67" t="str">
        <f>IFERROR(__xludf.DUMMYFUNCTION("""COMPUTED_VALUE"""),"")</f>
        <v/>
      </c>
      <c r="D704" s="29"/>
      <c r="G704" s="67"/>
    </row>
    <row r="705">
      <c r="A705" s="29"/>
      <c r="B705" s="29"/>
      <c r="C705" s="67" t="str">
        <f>IFERROR(__xludf.DUMMYFUNCTION("""COMPUTED_VALUE"""),"")</f>
        <v/>
      </c>
      <c r="D705" s="29"/>
      <c r="G705" s="67"/>
    </row>
    <row r="706">
      <c r="A706" s="29"/>
      <c r="B706" s="29"/>
      <c r="C706" s="67" t="str">
        <f>IFERROR(__xludf.DUMMYFUNCTION("""COMPUTED_VALUE"""),"")</f>
        <v/>
      </c>
      <c r="D706" s="29"/>
      <c r="G706" s="67"/>
    </row>
    <row r="707">
      <c r="A707" s="29"/>
      <c r="B707" s="29"/>
      <c r="C707" s="67" t="str">
        <f>IFERROR(__xludf.DUMMYFUNCTION("""COMPUTED_VALUE"""),"")</f>
        <v/>
      </c>
      <c r="D707" s="29"/>
      <c r="G707" s="67"/>
    </row>
    <row r="708">
      <c r="A708" s="29"/>
      <c r="B708" s="29"/>
      <c r="C708" s="67" t="str">
        <f>IFERROR(__xludf.DUMMYFUNCTION("""COMPUTED_VALUE"""),"")</f>
        <v/>
      </c>
      <c r="D708" s="29"/>
      <c r="G708" s="67"/>
    </row>
    <row r="709">
      <c r="A709" s="29"/>
      <c r="B709" s="29"/>
      <c r="C709" s="67" t="str">
        <f>IFERROR(__xludf.DUMMYFUNCTION("""COMPUTED_VALUE"""),"")</f>
        <v/>
      </c>
      <c r="D709" s="29"/>
      <c r="G709" s="67"/>
    </row>
    <row r="710">
      <c r="A710" s="29"/>
      <c r="B710" s="29"/>
      <c r="C710" s="67" t="str">
        <f>IFERROR(__xludf.DUMMYFUNCTION("""COMPUTED_VALUE"""),"")</f>
        <v/>
      </c>
      <c r="D710" s="29"/>
      <c r="G710" s="67"/>
    </row>
    <row r="711">
      <c r="A711" s="29"/>
      <c r="B711" s="29"/>
      <c r="C711" s="67" t="str">
        <f>IFERROR(__xludf.DUMMYFUNCTION("""COMPUTED_VALUE"""),"")</f>
        <v/>
      </c>
      <c r="D711" s="29"/>
      <c r="G711" s="67"/>
    </row>
    <row r="712">
      <c r="A712" s="29"/>
      <c r="B712" s="29"/>
      <c r="C712" s="67" t="str">
        <f>IFERROR(__xludf.DUMMYFUNCTION("""COMPUTED_VALUE"""),"")</f>
        <v/>
      </c>
      <c r="D712" s="29"/>
      <c r="G712" s="67"/>
    </row>
    <row r="713">
      <c r="A713" s="29"/>
      <c r="B713" s="29"/>
      <c r="C713" s="67" t="str">
        <f>IFERROR(__xludf.DUMMYFUNCTION("""COMPUTED_VALUE"""),"")</f>
        <v/>
      </c>
      <c r="D713" s="29"/>
      <c r="G713" s="67"/>
    </row>
    <row r="714">
      <c r="A714" s="29"/>
      <c r="B714" s="29"/>
      <c r="C714" s="67" t="str">
        <f>IFERROR(__xludf.DUMMYFUNCTION("""COMPUTED_VALUE"""),"")</f>
        <v/>
      </c>
      <c r="D714" s="29"/>
      <c r="G714" s="67"/>
    </row>
    <row r="715">
      <c r="A715" s="29"/>
      <c r="B715" s="29"/>
      <c r="C715" s="67" t="str">
        <f>IFERROR(__xludf.DUMMYFUNCTION("""COMPUTED_VALUE"""),"")</f>
        <v/>
      </c>
      <c r="D715" s="29"/>
      <c r="G715" s="67"/>
    </row>
    <row r="716">
      <c r="A716" s="29"/>
      <c r="B716" s="29"/>
      <c r="C716" s="67" t="str">
        <f>IFERROR(__xludf.DUMMYFUNCTION("""COMPUTED_VALUE"""),"")</f>
        <v/>
      </c>
      <c r="D716" s="29"/>
      <c r="G716" s="67"/>
    </row>
    <row r="717">
      <c r="A717" s="29"/>
      <c r="B717" s="29"/>
      <c r="C717" s="67" t="str">
        <f>IFERROR(__xludf.DUMMYFUNCTION("""COMPUTED_VALUE"""),"")</f>
        <v/>
      </c>
      <c r="D717" s="29"/>
      <c r="G717" s="67"/>
    </row>
    <row r="718">
      <c r="A718" s="29"/>
      <c r="B718" s="29"/>
      <c r="C718" s="67" t="str">
        <f>IFERROR(__xludf.DUMMYFUNCTION("""COMPUTED_VALUE"""),"")</f>
        <v/>
      </c>
      <c r="D718" s="29"/>
      <c r="G718" s="67"/>
    </row>
    <row r="719">
      <c r="A719" s="29"/>
      <c r="B719" s="29"/>
      <c r="C719" s="67" t="str">
        <f>IFERROR(__xludf.DUMMYFUNCTION("""COMPUTED_VALUE"""),"")</f>
        <v/>
      </c>
      <c r="D719" s="29"/>
      <c r="G719" s="67"/>
    </row>
    <row r="720">
      <c r="A720" s="29"/>
      <c r="B720" s="29"/>
      <c r="C720" s="67" t="str">
        <f>IFERROR(__xludf.DUMMYFUNCTION("""COMPUTED_VALUE"""),"")</f>
        <v/>
      </c>
      <c r="D720" s="29"/>
      <c r="G720" s="67"/>
    </row>
    <row r="721">
      <c r="A721" s="29"/>
      <c r="B721" s="29"/>
      <c r="C721" s="67" t="str">
        <f>IFERROR(__xludf.DUMMYFUNCTION("""COMPUTED_VALUE"""),"")</f>
        <v/>
      </c>
      <c r="D721" s="29"/>
      <c r="G721" s="67"/>
    </row>
    <row r="722">
      <c r="A722" s="29"/>
      <c r="B722" s="29"/>
      <c r="C722" s="67" t="str">
        <f>IFERROR(__xludf.DUMMYFUNCTION("""COMPUTED_VALUE"""),"")</f>
        <v/>
      </c>
      <c r="D722" s="29"/>
      <c r="G722" s="67"/>
    </row>
    <row r="723">
      <c r="A723" s="29"/>
      <c r="B723" s="29"/>
      <c r="C723" s="67" t="str">
        <f>IFERROR(__xludf.DUMMYFUNCTION("""COMPUTED_VALUE"""),"")</f>
        <v/>
      </c>
      <c r="D723" s="29"/>
      <c r="G723" s="67"/>
    </row>
    <row r="724">
      <c r="A724" s="29"/>
      <c r="B724" s="29"/>
      <c r="C724" s="67" t="str">
        <f>IFERROR(__xludf.DUMMYFUNCTION("""COMPUTED_VALUE"""),"")</f>
        <v/>
      </c>
      <c r="D724" s="29"/>
      <c r="G724" s="67"/>
    </row>
    <row r="725">
      <c r="A725" s="29"/>
      <c r="B725" s="29"/>
      <c r="C725" s="67" t="str">
        <f>IFERROR(__xludf.DUMMYFUNCTION("""COMPUTED_VALUE"""),"")</f>
        <v/>
      </c>
      <c r="D725" s="29"/>
      <c r="G725" s="67"/>
    </row>
    <row r="726">
      <c r="A726" s="29"/>
      <c r="B726" s="29"/>
      <c r="C726" s="67" t="str">
        <f>IFERROR(__xludf.DUMMYFUNCTION("""COMPUTED_VALUE"""),"")</f>
        <v/>
      </c>
      <c r="D726" s="29"/>
      <c r="G726" s="67"/>
    </row>
    <row r="727">
      <c r="A727" s="29"/>
      <c r="B727" s="29"/>
      <c r="C727" s="67" t="str">
        <f>IFERROR(__xludf.DUMMYFUNCTION("""COMPUTED_VALUE"""),"")</f>
        <v/>
      </c>
      <c r="D727" s="29"/>
      <c r="G727" s="67"/>
    </row>
    <row r="728">
      <c r="A728" s="29"/>
      <c r="B728" s="29"/>
      <c r="C728" s="67" t="str">
        <f>IFERROR(__xludf.DUMMYFUNCTION("""COMPUTED_VALUE"""),"")</f>
        <v/>
      </c>
      <c r="D728" s="29"/>
      <c r="G728" s="67"/>
    </row>
    <row r="729">
      <c r="A729" s="29"/>
      <c r="B729" s="29"/>
      <c r="C729" s="67" t="str">
        <f>IFERROR(__xludf.DUMMYFUNCTION("""COMPUTED_VALUE"""),"")</f>
        <v/>
      </c>
      <c r="D729" s="29"/>
      <c r="G729" s="67"/>
    </row>
    <row r="730">
      <c r="A730" s="29"/>
      <c r="B730" s="29"/>
      <c r="C730" s="67" t="str">
        <f>IFERROR(__xludf.DUMMYFUNCTION("""COMPUTED_VALUE"""),"")</f>
        <v/>
      </c>
      <c r="D730" s="29"/>
      <c r="G730" s="67"/>
    </row>
    <row r="731">
      <c r="A731" s="29"/>
      <c r="B731" s="29"/>
      <c r="C731" s="67" t="str">
        <f>IFERROR(__xludf.DUMMYFUNCTION("""COMPUTED_VALUE"""),"")</f>
        <v/>
      </c>
      <c r="D731" s="29"/>
      <c r="G731" s="67"/>
    </row>
    <row r="732">
      <c r="A732" s="29"/>
      <c r="B732" s="29"/>
      <c r="C732" s="67" t="str">
        <f>IFERROR(__xludf.DUMMYFUNCTION("""COMPUTED_VALUE"""),"")</f>
        <v/>
      </c>
      <c r="D732" s="29"/>
      <c r="G732" s="67"/>
    </row>
    <row r="733">
      <c r="A733" s="29"/>
      <c r="B733" s="29"/>
      <c r="C733" s="67" t="str">
        <f>IFERROR(__xludf.DUMMYFUNCTION("""COMPUTED_VALUE"""),"")</f>
        <v/>
      </c>
      <c r="D733" s="29"/>
      <c r="G733" s="67"/>
    </row>
    <row r="734">
      <c r="A734" s="29"/>
      <c r="B734" s="29"/>
      <c r="C734" s="67" t="str">
        <f>IFERROR(__xludf.DUMMYFUNCTION("""COMPUTED_VALUE"""),"")</f>
        <v/>
      </c>
      <c r="D734" s="29"/>
      <c r="G734" s="67"/>
    </row>
    <row r="735">
      <c r="A735" s="29"/>
      <c r="B735" s="29"/>
      <c r="C735" s="67" t="str">
        <f>IFERROR(__xludf.DUMMYFUNCTION("""COMPUTED_VALUE"""),"")</f>
        <v/>
      </c>
      <c r="D735" s="29"/>
      <c r="G735" s="67"/>
    </row>
    <row r="736">
      <c r="A736" s="29"/>
      <c r="B736" s="29"/>
      <c r="C736" s="67" t="str">
        <f>IFERROR(__xludf.DUMMYFUNCTION("""COMPUTED_VALUE"""),"")</f>
        <v/>
      </c>
      <c r="D736" s="29"/>
      <c r="G736" s="67"/>
    </row>
    <row r="737">
      <c r="A737" s="29"/>
      <c r="B737" s="29"/>
      <c r="C737" s="67" t="str">
        <f>IFERROR(__xludf.DUMMYFUNCTION("""COMPUTED_VALUE"""),"")</f>
        <v/>
      </c>
      <c r="D737" s="29"/>
      <c r="G737" s="67"/>
    </row>
    <row r="738">
      <c r="A738" s="29"/>
      <c r="B738" s="29"/>
      <c r="C738" s="67" t="str">
        <f>IFERROR(__xludf.DUMMYFUNCTION("""COMPUTED_VALUE"""),"")</f>
        <v/>
      </c>
      <c r="D738" s="29"/>
      <c r="G738" s="67"/>
    </row>
    <row r="739">
      <c r="A739" s="29"/>
      <c r="B739" s="29"/>
      <c r="C739" s="67" t="str">
        <f>IFERROR(__xludf.DUMMYFUNCTION("""COMPUTED_VALUE"""),"")</f>
        <v/>
      </c>
      <c r="D739" s="29"/>
      <c r="G739" s="67"/>
    </row>
    <row r="740">
      <c r="A740" s="29"/>
      <c r="B740" s="29"/>
      <c r="C740" s="67" t="str">
        <f>IFERROR(__xludf.DUMMYFUNCTION("""COMPUTED_VALUE"""),"")</f>
        <v/>
      </c>
      <c r="D740" s="29"/>
      <c r="G740" s="67"/>
    </row>
    <row r="741">
      <c r="A741" s="29"/>
      <c r="B741" s="29"/>
      <c r="C741" s="67" t="str">
        <f>IFERROR(__xludf.DUMMYFUNCTION("""COMPUTED_VALUE"""),"")</f>
        <v/>
      </c>
      <c r="D741" s="29"/>
      <c r="G741" s="67"/>
    </row>
    <row r="742">
      <c r="A742" s="29"/>
      <c r="B742" s="29"/>
      <c r="C742" s="67" t="str">
        <f>IFERROR(__xludf.DUMMYFUNCTION("""COMPUTED_VALUE"""),"")</f>
        <v/>
      </c>
      <c r="D742" s="29"/>
      <c r="G742" s="67"/>
    </row>
    <row r="743">
      <c r="A743" s="29"/>
      <c r="B743" s="29"/>
      <c r="C743" s="67" t="str">
        <f>IFERROR(__xludf.DUMMYFUNCTION("""COMPUTED_VALUE"""),"")</f>
        <v/>
      </c>
      <c r="D743" s="29"/>
      <c r="G743" s="67"/>
    </row>
    <row r="744">
      <c r="A744" s="29"/>
      <c r="B744" s="29"/>
      <c r="C744" s="67" t="str">
        <f>IFERROR(__xludf.DUMMYFUNCTION("""COMPUTED_VALUE"""),"")</f>
        <v/>
      </c>
      <c r="D744" s="29"/>
      <c r="G744" s="67"/>
    </row>
    <row r="745">
      <c r="A745" s="29"/>
      <c r="B745" s="29"/>
      <c r="C745" s="67" t="str">
        <f>IFERROR(__xludf.DUMMYFUNCTION("""COMPUTED_VALUE"""),"")</f>
        <v/>
      </c>
      <c r="D745" s="29"/>
      <c r="G745" s="67"/>
    </row>
    <row r="746">
      <c r="A746" s="29"/>
      <c r="B746" s="29"/>
      <c r="C746" s="67" t="str">
        <f>IFERROR(__xludf.DUMMYFUNCTION("""COMPUTED_VALUE"""),"")</f>
        <v/>
      </c>
      <c r="D746" s="29"/>
      <c r="G746" s="67"/>
    </row>
    <row r="747">
      <c r="A747" s="29"/>
      <c r="B747" s="29"/>
      <c r="C747" s="67" t="str">
        <f>IFERROR(__xludf.DUMMYFUNCTION("""COMPUTED_VALUE"""),"")</f>
        <v/>
      </c>
      <c r="D747" s="29"/>
      <c r="G747" s="67"/>
    </row>
    <row r="748">
      <c r="A748" s="29"/>
      <c r="B748" s="29"/>
      <c r="C748" s="67" t="str">
        <f>IFERROR(__xludf.DUMMYFUNCTION("""COMPUTED_VALUE"""),"")</f>
        <v/>
      </c>
      <c r="D748" s="29"/>
      <c r="G748" s="67"/>
    </row>
    <row r="749">
      <c r="A749" s="29"/>
      <c r="B749" s="29"/>
      <c r="C749" s="67" t="str">
        <f>IFERROR(__xludf.DUMMYFUNCTION("""COMPUTED_VALUE"""),"")</f>
        <v/>
      </c>
      <c r="D749" s="29"/>
      <c r="G749" s="67"/>
    </row>
    <row r="750">
      <c r="A750" s="29"/>
      <c r="B750" s="29"/>
      <c r="C750" s="67" t="str">
        <f>IFERROR(__xludf.DUMMYFUNCTION("""COMPUTED_VALUE"""),"")</f>
        <v/>
      </c>
      <c r="D750" s="29"/>
      <c r="G750" s="67"/>
    </row>
    <row r="751">
      <c r="A751" s="29"/>
      <c r="B751" s="29"/>
      <c r="C751" s="67" t="str">
        <f>IFERROR(__xludf.DUMMYFUNCTION("""COMPUTED_VALUE"""),"")</f>
        <v/>
      </c>
      <c r="D751" s="29"/>
      <c r="G751" s="67"/>
    </row>
    <row r="752">
      <c r="A752" s="29"/>
      <c r="B752" s="29"/>
      <c r="C752" s="67" t="str">
        <f>IFERROR(__xludf.DUMMYFUNCTION("""COMPUTED_VALUE"""),"")</f>
        <v/>
      </c>
      <c r="D752" s="29"/>
      <c r="G752" s="67"/>
    </row>
    <row r="753">
      <c r="A753" s="29"/>
      <c r="B753" s="29"/>
      <c r="C753" s="67" t="str">
        <f>IFERROR(__xludf.DUMMYFUNCTION("""COMPUTED_VALUE"""),"")</f>
        <v/>
      </c>
      <c r="D753" s="29"/>
      <c r="G753" s="67"/>
    </row>
    <row r="754">
      <c r="A754" s="29"/>
      <c r="B754" s="29"/>
      <c r="C754" s="67" t="str">
        <f>IFERROR(__xludf.DUMMYFUNCTION("""COMPUTED_VALUE"""),"")</f>
        <v/>
      </c>
      <c r="D754" s="29"/>
      <c r="G754" s="67"/>
    </row>
    <row r="755">
      <c r="A755" s="29"/>
      <c r="B755" s="29"/>
      <c r="C755" s="67" t="str">
        <f>IFERROR(__xludf.DUMMYFUNCTION("""COMPUTED_VALUE"""),"")</f>
        <v/>
      </c>
      <c r="D755" s="29"/>
      <c r="G755" s="67"/>
    </row>
    <row r="756">
      <c r="A756" s="29"/>
      <c r="B756" s="29"/>
      <c r="C756" s="67" t="str">
        <f>IFERROR(__xludf.DUMMYFUNCTION("""COMPUTED_VALUE"""),"")</f>
        <v/>
      </c>
      <c r="D756" s="29"/>
      <c r="G756" s="67"/>
    </row>
    <row r="757">
      <c r="A757" s="29"/>
      <c r="B757" s="29"/>
      <c r="C757" s="67" t="str">
        <f>IFERROR(__xludf.DUMMYFUNCTION("""COMPUTED_VALUE"""),"")</f>
        <v/>
      </c>
      <c r="D757" s="29"/>
      <c r="G757" s="67"/>
    </row>
    <row r="758">
      <c r="A758" s="29"/>
      <c r="B758" s="29"/>
      <c r="C758" s="67" t="str">
        <f>IFERROR(__xludf.DUMMYFUNCTION("""COMPUTED_VALUE"""),"")</f>
        <v/>
      </c>
      <c r="D758" s="29"/>
      <c r="G758" s="67"/>
    </row>
    <row r="759">
      <c r="A759" s="29"/>
      <c r="B759" s="29"/>
      <c r="C759" s="67" t="str">
        <f>IFERROR(__xludf.DUMMYFUNCTION("""COMPUTED_VALUE"""),"")</f>
        <v/>
      </c>
      <c r="D759" s="29"/>
      <c r="G759" s="67"/>
    </row>
    <row r="760">
      <c r="A760" s="29"/>
      <c r="B760" s="29"/>
      <c r="C760" s="67" t="str">
        <f>IFERROR(__xludf.DUMMYFUNCTION("""COMPUTED_VALUE"""),"")</f>
        <v/>
      </c>
      <c r="D760" s="29"/>
      <c r="G760" s="67"/>
    </row>
    <row r="761">
      <c r="A761" s="29"/>
      <c r="B761" s="29"/>
      <c r="C761" s="67" t="str">
        <f>IFERROR(__xludf.DUMMYFUNCTION("""COMPUTED_VALUE"""),"")</f>
        <v/>
      </c>
      <c r="D761" s="29"/>
      <c r="G761" s="67"/>
    </row>
    <row r="762">
      <c r="A762" s="29"/>
      <c r="B762" s="29"/>
      <c r="C762" s="67" t="str">
        <f>IFERROR(__xludf.DUMMYFUNCTION("""COMPUTED_VALUE"""),"")</f>
        <v/>
      </c>
      <c r="D762" s="29"/>
      <c r="G762" s="67"/>
    </row>
    <row r="763">
      <c r="A763" s="29"/>
      <c r="B763" s="29"/>
      <c r="C763" s="67" t="str">
        <f>IFERROR(__xludf.DUMMYFUNCTION("""COMPUTED_VALUE"""),"")</f>
        <v/>
      </c>
      <c r="D763" s="29"/>
      <c r="G763" s="67"/>
    </row>
    <row r="764">
      <c r="A764" s="29"/>
      <c r="B764" s="29"/>
      <c r="C764" s="67" t="str">
        <f>IFERROR(__xludf.DUMMYFUNCTION("""COMPUTED_VALUE"""),"")</f>
        <v/>
      </c>
      <c r="D764" s="29"/>
      <c r="G764" s="67"/>
    </row>
    <row r="765">
      <c r="A765" s="29"/>
      <c r="B765" s="29"/>
      <c r="C765" s="67" t="str">
        <f>IFERROR(__xludf.DUMMYFUNCTION("""COMPUTED_VALUE"""),"")</f>
        <v/>
      </c>
      <c r="D765" s="29"/>
      <c r="G765" s="67"/>
    </row>
    <row r="766">
      <c r="A766" s="29"/>
      <c r="B766" s="29"/>
      <c r="C766" s="67" t="str">
        <f>IFERROR(__xludf.DUMMYFUNCTION("""COMPUTED_VALUE"""),"")</f>
        <v/>
      </c>
      <c r="D766" s="29"/>
      <c r="G766" s="67"/>
    </row>
    <row r="767">
      <c r="A767" s="29"/>
      <c r="B767" s="29"/>
      <c r="C767" s="67" t="str">
        <f>IFERROR(__xludf.DUMMYFUNCTION("""COMPUTED_VALUE"""),"")</f>
        <v/>
      </c>
      <c r="D767" s="29"/>
      <c r="G767" s="67"/>
    </row>
    <row r="768">
      <c r="A768" s="29"/>
      <c r="B768" s="29"/>
      <c r="C768" s="67" t="str">
        <f>IFERROR(__xludf.DUMMYFUNCTION("""COMPUTED_VALUE"""),"")</f>
        <v/>
      </c>
      <c r="D768" s="29"/>
      <c r="G768" s="67"/>
    </row>
    <row r="769">
      <c r="A769" s="29"/>
      <c r="B769" s="29"/>
      <c r="C769" s="67" t="str">
        <f>IFERROR(__xludf.DUMMYFUNCTION("""COMPUTED_VALUE"""),"")</f>
        <v/>
      </c>
      <c r="D769" s="29"/>
      <c r="G769" s="67"/>
    </row>
    <row r="770">
      <c r="A770" s="29"/>
      <c r="B770" s="29"/>
      <c r="C770" s="67" t="str">
        <f>IFERROR(__xludf.DUMMYFUNCTION("""COMPUTED_VALUE"""),"")</f>
        <v/>
      </c>
      <c r="D770" s="29"/>
      <c r="G770" s="67"/>
    </row>
    <row r="771">
      <c r="A771" s="29"/>
      <c r="B771" s="29"/>
      <c r="C771" s="67" t="str">
        <f>IFERROR(__xludf.DUMMYFUNCTION("""COMPUTED_VALUE"""),"")</f>
        <v/>
      </c>
      <c r="D771" s="29"/>
      <c r="G771" s="67"/>
    </row>
    <row r="772">
      <c r="A772" s="29"/>
      <c r="B772" s="29"/>
      <c r="C772" s="67" t="str">
        <f>IFERROR(__xludf.DUMMYFUNCTION("""COMPUTED_VALUE"""),"")</f>
        <v/>
      </c>
      <c r="D772" s="29"/>
      <c r="G772" s="67"/>
    </row>
    <row r="773">
      <c r="A773" s="29"/>
      <c r="B773" s="29"/>
      <c r="C773" s="67" t="str">
        <f>IFERROR(__xludf.DUMMYFUNCTION("""COMPUTED_VALUE"""),"")</f>
        <v/>
      </c>
      <c r="D773" s="29"/>
      <c r="G773" s="67"/>
    </row>
    <row r="774">
      <c r="A774" s="29"/>
      <c r="B774" s="29"/>
      <c r="C774" s="67" t="str">
        <f>IFERROR(__xludf.DUMMYFUNCTION("""COMPUTED_VALUE"""),"")</f>
        <v/>
      </c>
      <c r="D774" s="29"/>
      <c r="G774" s="67"/>
    </row>
    <row r="775">
      <c r="A775" s="29"/>
      <c r="B775" s="29"/>
      <c r="C775" s="67" t="str">
        <f>IFERROR(__xludf.DUMMYFUNCTION("""COMPUTED_VALUE"""),"")</f>
        <v/>
      </c>
      <c r="D775" s="29"/>
      <c r="G775" s="67"/>
    </row>
    <row r="776">
      <c r="A776" s="29"/>
      <c r="B776" s="29"/>
      <c r="C776" s="67" t="str">
        <f>IFERROR(__xludf.DUMMYFUNCTION("""COMPUTED_VALUE"""),"")</f>
        <v/>
      </c>
      <c r="D776" s="29"/>
      <c r="G776" s="67"/>
    </row>
    <row r="777">
      <c r="A777" s="29"/>
      <c r="B777" s="29"/>
      <c r="C777" s="67" t="str">
        <f>IFERROR(__xludf.DUMMYFUNCTION("""COMPUTED_VALUE"""),"")</f>
        <v/>
      </c>
      <c r="D777" s="29"/>
      <c r="G777" s="67"/>
    </row>
    <row r="778">
      <c r="A778" s="29"/>
      <c r="B778" s="29"/>
      <c r="C778" s="67" t="str">
        <f>IFERROR(__xludf.DUMMYFUNCTION("""COMPUTED_VALUE"""),"")</f>
        <v/>
      </c>
      <c r="D778" s="29"/>
      <c r="G778" s="67"/>
    </row>
    <row r="779">
      <c r="A779" s="29"/>
      <c r="B779" s="29"/>
      <c r="C779" s="67" t="str">
        <f>IFERROR(__xludf.DUMMYFUNCTION("""COMPUTED_VALUE"""),"")</f>
        <v/>
      </c>
      <c r="D779" s="29"/>
      <c r="G779" s="67"/>
    </row>
    <row r="780">
      <c r="A780" s="29"/>
      <c r="B780" s="29"/>
      <c r="C780" s="67" t="str">
        <f>IFERROR(__xludf.DUMMYFUNCTION("""COMPUTED_VALUE"""),"")</f>
        <v/>
      </c>
      <c r="D780" s="29"/>
      <c r="G780" s="67"/>
    </row>
    <row r="781">
      <c r="A781" s="29"/>
      <c r="B781" s="29"/>
      <c r="C781" s="67" t="str">
        <f>IFERROR(__xludf.DUMMYFUNCTION("""COMPUTED_VALUE"""),"")</f>
        <v/>
      </c>
      <c r="D781" s="29"/>
      <c r="G781" s="67"/>
    </row>
    <row r="782">
      <c r="A782" s="29"/>
      <c r="B782" s="29"/>
      <c r="C782" s="67" t="str">
        <f>IFERROR(__xludf.DUMMYFUNCTION("""COMPUTED_VALUE"""),"")</f>
        <v/>
      </c>
      <c r="D782" s="29"/>
      <c r="G782" s="67"/>
    </row>
    <row r="783">
      <c r="A783" s="29"/>
      <c r="B783" s="29"/>
      <c r="C783" s="67" t="str">
        <f>IFERROR(__xludf.DUMMYFUNCTION("""COMPUTED_VALUE"""),"")</f>
        <v/>
      </c>
      <c r="D783" s="29"/>
      <c r="G783" s="67"/>
    </row>
    <row r="784">
      <c r="A784" s="29"/>
      <c r="B784" s="29"/>
      <c r="C784" s="67" t="str">
        <f>IFERROR(__xludf.DUMMYFUNCTION("""COMPUTED_VALUE"""),"")</f>
        <v/>
      </c>
      <c r="D784" s="29"/>
      <c r="G784" s="67"/>
    </row>
    <row r="785">
      <c r="A785" s="29"/>
      <c r="B785" s="29"/>
      <c r="C785" s="67" t="str">
        <f>IFERROR(__xludf.DUMMYFUNCTION("""COMPUTED_VALUE"""),"")</f>
        <v/>
      </c>
      <c r="D785" s="29"/>
      <c r="G785" s="67"/>
    </row>
    <row r="786">
      <c r="A786" s="29"/>
      <c r="B786" s="29"/>
      <c r="C786" s="67" t="str">
        <f>IFERROR(__xludf.DUMMYFUNCTION("""COMPUTED_VALUE"""),"")</f>
        <v/>
      </c>
      <c r="D786" s="29"/>
      <c r="G786" s="67"/>
    </row>
    <row r="787">
      <c r="A787" s="29"/>
      <c r="B787" s="29"/>
      <c r="C787" s="67" t="str">
        <f>IFERROR(__xludf.DUMMYFUNCTION("""COMPUTED_VALUE"""),"")</f>
        <v/>
      </c>
      <c r="D787" s="29"/>
      <c r="G787" s="67"/>
    </row>
    <row r="788">
      <c r="A788" s="29"/>
      <c r="B788" s="29"/>
      <c r="C788" s="67" t="str">
        <f>IFERROR(__xludf.DUMMYFUNCTION("""COMPUTED_VALUE"""),"")</f>
        <v/>
      </c>
      <c r="D788" s="29"/>
      <c r="G788" s="67"/>
    </row>
    <row r="789">
      <c r="A789" s="29"/>
      <c r="B789" s="29"/>
      <c r="C789" s="67" t="str">
        <f>IFERROR(__xludf.DUMMYFUNCTION("""COMPUTED_VALUE"""),"")</f>
        <v/>
      </c>
      <c r="D789" s="29"/>
      <c r="G789" s="67"/>
    </row>
    <row r="790">
      <c r="A790" s="29"/>
      <c r="B790" s="29"/>
      <c r="C790" s="67" t="str">
        <f>IFERROR(__xludf.DUMMYFUNCTION("""COMPUTED_VALUE"""),"")</f>
        <v/>
      </c>
      <c r="D790" s="29"/>
      <c r="G790" s="67"/>
    </row>
    <row r="791">
      <c r="A791" s="29"/>
      <c r="B791" s="29"/>
      <c r="C791" s="67" t="str">
        <f>IFERROR(__xludf.DUMMYFUNCTION("""COMPUTED_VALUE"""),"")</f>
        <v/>
      </c>
      <c r="D791" s="29"/>
      <c r="G791" s="67"/>
    </row>
    <row r="792">
      <c r="A792" s="29"/>
      <c r="B792" s="29"/>
      <c r="C792" s="67" t="str">
        <f>IFERROR(__xludf.DUMMYFUNCTION("""COMPUTED_VALUE"""),"")</f>
        <v/>
      </c>
      <c r="D792" s="29"/>
      <c r="G792" s="67"/>
    </row>
    <row r="793">
      <c r="A793" s="29"/>
      <c r="B793" s="29"/>
      <c r="C793" s="67" t="str">
        <f>IFERROR(__xludf.DUMMYFUNCTION("""COMPUTED_VALUE"""),"")</f>
        <v/>
      </c>
      <c r="D793" s="29"/>
      <c r="G793" s="67"/>
    </row>
    <row r="794">
      <c r="A794" s="29"/>
      <c r="B794" s="29"/>
      <c r="C794" s="67" t="str">
        <f>IFERROR(__xludf.DUMMYFUNCTION("""COMPUTED_VALUE"""),"")</f>
        <v/>
      </c>
      <c r="D794" s="29"/>
      <c r="G794" s="67"/>
    </row>
    <row r="795">
      <c r="A795" s="29"/>
      <c r="B795" s="29"/>
      <c r="C795" s="67" t="str">
        <f>IFERROR(__xludf.DUMMYFUNCTION("""COMPUTED_VALUE"""),"")</f>
        <v/>
      </c>
      <c r="D795" s="29"/>
      <c r="G795" s="67"/>
    </row>
    <row r="796">
      <c r="A796" s="29"/>
      <c r="B796" s="29"/>
      <c r="C796" s="67" t="str">
        <f>IFERROR(__xludf.DUMMYFUNCTION("""COMPUTED_VALUE"""),"")</f>
        <v/>
      </c>
      <c r="D796" s="29"/>
      <c r="G796" s="67"/>
    </row>
    <row r="797">
      <c r="A797" s="29"/>
      <c r="B797" s="29"/>
      <c r="C797" s="67" t="str">
        <f>IFERROR(__xludf.DUMMYFUNCTION("""COMPUTED_VALUE"""),"")</f>
        <v/>
      </c>
      <c r="D797" s="29"/>
      <c r="G797" s="67"/>
    </row>
    <row r="798">
      <c r="A798" s="29"/>
      <c r="B798" s="29"/>
      <c r="C798" s="67" t="str">
        <f>IFERROR(__xludf.DUMMYFUNCTION("""COMPUTED_VALUE"""),"")</f>
        <v/>
      </c>
      <c r="D798" s="29"/>
      <c r="G798" s="67"/>
    </row>
    <row r="799">
      <c r="A799" s="29"/>
      <c r="B799" s="29"/>
      <c r="C799" s="67" t="str">
        <f>IFERROR(__xludf.DUMMYFUNCTION("""COMPUTED_VALUE"""),"")</f>
        <v/>
      </c>
      <c r="D799" s="29"/>
      <c r="G799" s="67"/>
    </row>
    <row r="800">
      <c r="A800" s="29"/>
      <c r="B800" s="29"/>
      <c r="C800" s="67" t="str">
        <f>IFERROR(__xludf.DUMMYFUNCTION("""COMPUTED_VALUE"""),"")</f>
        <v/>
      </c>
      <c r="D800" s="29"/>
      <c r="G800" s="67"/>
    </row>
    <row r="801">
      <c r="A801" s="29"/>
      <c r="B801" s="29"/>
      <c r="C801" s="67" t="str">
        <f>IFERROR(__xludf.DUMMYFUNCTION("""COMPUTED_VALUE"""),"")</f>
        <v/>
      </c>
      <c r="D801" s="29"/>
      <c r="G801" s="67"/>
    </row>
    <row r="802">
      <c r="A802" s="29"/>
      <c r="B802" s="29"/>
      <c r="C802" s="67" t="str">
        <f>IFERROR(__xludf.DUMMYFUNCTION("""COMPUTED_VALUE"""),"")</f>
        <v/>
      </c>
      <c r="D802" s="29"/>
      <c r="G802" s="67"/>
    </row>
    <row r="803">
      <c r="A803" s="29"/>
      <c r="B803" s="29"/>
      <c r="C803" s="67" t="str">
        <f>IFERROR(__xludf.DUMMYFUNCTION("""COMPUTED_VALUE"""),"")</f>
        <v/>
      </c>
      <c r="D803" s="29"/>
      <c r="G803" s="67"/>
    </row>
    <row r="804">
      <c r="A804" s="29"/>
      <c r="B804" s="29"/>
      <c r="C804" s="67" t="str">
        <f>IFERROR(__xludf.DUMMYFUNCTION("""COMPUTED_VALUE"""),"")</f>
        <v/>
      </c>
      <c r="D804" s="29"/>
      <c r="G804" s="67"/>
    </row>
    <row r="805">
      <c r="A805" s="29"/>
      <c r="B805" s="29"/>
      <c r="C805" s="67" t="str">
        <f>IFERROR(__xludf.DUMMYFUNCTION("""COMPUTED_VALUE"""),"")</f>
        <v/>
      </c>
      <c r="D805" s="29"/>
      <c r="G805" s="67"/>
    </row>
    <row r="806">
      <c r="A806" s="29"/>
      <c r="B806" s="29"/>
      <c r="C806" s="67" t="str">
        <f>IFERROR(__xludf.DUMMYFUNCTION("""COMPUTED_VALUE"""),"")</f>
        <v/>
      </c>
      <c r="D806" s="29"/>
      <c r="G806" s="67"/>
    </row>
    <row r="807">
      <c r="A807" s="29"/>
      <c r="B807" s="29"/>
      <c r="C807" s="67" t="str">
        <f>IFERROR(__xludf.DUMMYFUNCTION("""COMPUTED_VALUE"""),"")</f>
        <v/>
      </c>
      <c r="D807" s="29"/>
      <c r="G807" s="67"/>
    </row>
    <row r="808">
      <c r="A808" s="29"/>
      <c r="B808" s="29"/>
      <c r="C808" s="67" t="str">
        <f>IFERROR(__xludf.DUMMYFUNCTION("""COMPUTED_VALUE"""),"")</f>
        <v/>
      </c>
      <c r="D808" s="29"/>
      <c r="G808" s="67"/>
    </row>
    <row r="809">
      <c r="A809" s="29"/>
      <c r="B809" s="29"/>
      <c r="C809" s="67" t="str">
        <f>IFERROR(__xludf.DUMMYFUNCTION("""COMPUTED_VALUE"""),"")</f>
        <v/>
      </c>
      <c r="D809" s="29"/>
      <c r="G809" s="67"/>
    </row>
    <row r="810">
      <c r="A810" s="29"/>
      <c r="B810" s="29"/>
      <c r="C810" s="67" t="str">
        <f>IFERROR(__xludf.DUMMYFUNCTION("""COMPUTED_VALUE"""),"")</f>
        <v/>
      </c>
      <c r="D810" s="29"/>
      <c r="G810" s="67"/>
    </row>
    <row r="811">
      <c r="A811" s="29"/>
      <c r="B811" s="29"/>
      <c r="C811" s="67" t="str">
        <f>IFERROR(__xludf.DUMMYFUNCTION("""COMPUTED_VALUE"""),"")</f>
        <v/>
      </c>
      <c r="D811" s="29"/>
      <c r="G811" s="67"/>
    </row>
    <row r="812">
      <c r="A812" s="29"/>
      <c r="B812" s="29"/>
      <c r="C812" s="67" t="str">
        <f>IFERROR(__xludf.DUMMYFUNCTION("""COMPUTED_VALUE"""),"")</f>
        <v/>
      </c>
      <c r="D812" s="29"/>
      <c r="G812" s="67"/>
    </row>
    <row r="813">
      <c r="A813" s="29"/>
      <c r="B813" s="29"/>
      <c r="C813" s="67" t="str">
        <f>IFERROR(__xludf.DUMMYFUNCTION("""COMPUTED_VALUE"""),"")</f>
        <v/>
      </c>
      <c r="D813" s="29"/>
      <c r="G813" s="67"/>
    </row>
    <row r="814">
      <c r="A814" s="29"/>
      <c r="B814" s="29"/>
      <c r="C814" s="67" t="str">
        <f>IFERROR(__xludf.DUMMYFUNCTION("""COMPUTED_VALUE"""),"")</f>
        <v/>
      </c>
      <c r="D814" s="29"/>
      <c r="G814" s="67"/>
    </row>
    <row r="815">
      <c r="A815" s="29"/>
      <c r="B815" s="29"/>
      <c r="C815" s="67" t="str">
        <f>IFERROR(__xludf.DUMMYFUNCTION("""COMPUTED_VALUE"""),"")</f>
        <v/>
      </c>
      <c r="D815" s="29"/>
      <c r="G815" s="67"/>
    </row>
    <row r="816">
      <c r="A816" s="29"/>
      <c r="B816" s="29"/>
      <c r="C816" s="67" t="str">
        <f>IFERROR(__xludf.DUMMYFUNCTION("""COMPUTED_VALUE"""),"")</f>
        <v/>
      </c>
      <c r="D816" s="29"/>
      <c r="G816" s="67"/>
    </row>
    <row r="817">
      <c r="A817" s="29"/>
      <c r="B817" s="29"/>
      <c r="C817" s="67" t="str">
        <f>IFERROR(__xludf.DUMMYFUNCTION("""COMPUTED_VALUE"""),"")</f>
        <v/>
      </c>
      <c r="D817" s="29"/>
      <c r="G817" s="67"/>
    </row>
    <row r="818">
      <c r="A818" s="29"/>
      <c r="B818" s="29"/>
      <c r="C818" s="67" t="str">
        <f>IFERROR(__xludf.DUMMYFUNCTION("""COMPUTED_VALUE"""),"")</f>
        <v/>
      </c>
      <c r="D818" s="29"/>
      <c r="G818" s="67"/>
    </row>
    <row r="819">
      <c r="A819" s="29"/>
      <c r="B819" s="29"/>
      <c r="C819" s="67" t="str">
        <f>IFERROR(__xludf.DUMMYFUNCTION("""COMPUTED_VALUE"""),"")</f>
        <v/>
      </c>
      <c r="D819" s="29"/>
      <c r="G819" s="67"/>
    </row>
    <row r="820">
      <c r="A820" s="29"/>
      <c r="B820" s="29"/>
      <c r="C820" s="67" t="str">
        <f>IFERROR(__xludf.DUMMYFUNCTION("""COMPUTED_VALUE"""),"")</f>
        <v/>
      </c>
      <c r="D820" s="29"/>
      <c r="G820" s="67"/>
    </row>
    <row r="821">
      <c r="A821" s="29"/>
      <c r="B821" s="29"/>
      <c r="C821" s="67" t="str">
        <f>IFERROR(__xludf.DUMMYFUNCTION("""COMPUTED_VALUE"""),"")</f>
        <v/>
      </c>
      <c r="D821" s="29"/>
      <c r="G821" s="67"/>
    </row>
    <row r="822">
      <c r="A822" s="29"/>
      <c r="B822" s="29"/>
      <c r="C822" s="67" t="str">
        <f>IFERROR(__xludf.DUMMYFUNCTION("""COMPUTED_VALUE"""),"")</f>
        <v/>
      </c>
      <c r="D822" s="29"/>
      <c r="G822" s="67"/>
    </row>
    <row r="823">
      <c r="A823" s="29"/>
      <c r="B823" s="29"/>
      <c r="C823" s="67" t="str">
        <f>IFERROR(__xludf.DUMMYFUNCTION("""COMPUTED_VALUE"""),"")</f>
        <v/>
      </c>
      <c r="D823" s="29"/>
      <c r="G823" s="67"/>
    </row>
    <row r="824">
      <c r="A824" s="29"/>
      <c r="B824" s="29"/>
      <c r="C824" s="67" t="str">
        <f>IFERROR(__xludf.DUMMYFUNCTION("""COMPUTED_VALUE"""),"")</f>
        <v/>
      </c>
      <c r="D824" s="29"/>
      <c r="G824" s="67"/>
    </row>
    <row r="825">
      <c r="A825" s="29"/>
      <c r="B825" s="29"/>
      <c r="C825" s="67" t="str">
        <f>IFERROR(__xludf.DUMMYFUNCTION("""COMPUTED_VALUE"""),"")</f>
        <v/>
      </c>
      <c r="D825" s="29"/>
      <c r="G825" s="67"/>
    </row>
    <row r="826">
      <c r="A826" s="29"/>
      <c r="B826" s="29"/>
      <c r="C826" s="67" t="str">
        <f>IFERROR(__xludf.DUMMYFUNCTION("""COMPUTED_VALUE"""),"")</f>
        <v/>
      </c>
      <c r="D826" s="29"/>
      <c r="G826" s="67"/>
    </row>
    <row r="827">
      <c r="A827" s="29"/>
      <c r="B827" s="29"/>
      <c r="C827" s="67" t="str">
        <f>IFERROR(__xludf.DUMMYFUNCTION("""COMPUTED_VALUE"""),"")</f>
        <v/>
      </c>
      <c r="D827" s="29"/>
      <c r="G827" s="67"/>
    </row>
    <row r="828">
      <c r="A828" s="29"/>
      <c r="B828" s="29"/>
      <c r="C828" s="67" t="str">
        <f>IFERROR(__xludf.DUMMYFUNCTION("""COMPUTED_VALUE"""),"")</f>
        <v/>
      </c>
      <c r="D828" s="29"/>
      <c r="G828" s="67"/>
    </row>
    <row r="829">
      <c r="A829" s="29"/>
      <c r="B829" s="29"/>
      <c r="C829" s="67" t="str">
        <f>IFERROR(__xludf.DUMMYFUNCTION("""COMPUTED_VALUE"""),"")</f>
        <v/>
      </c>
      <c r="D829" s="29"/>
      <c r="G829" s="67"/>
    </row>
    <row r="830">
      <c r="A830" s="29"/>
      <c r="B830" s="29"/>
      <c r="C830" s="67" t="str">
        <f>IFERROR(__xludf.DUMMYFUNCTION("""COMPUTED_VALUE"""),"")</f>
        <v/>
      </c>
      <c r="D830" s="29"/>
      <c r="G830" s="67"/>
    </row>
    <row r="831">
      <c r="A831" s="29"/>
      <c r="B831" s="29"/>
      <c r="C831" s="67" t="str">
        <f>IFERROR(__xludf.DUMMYFUNCTION("""COMPUTED_VALUE"""),"")</f>
        <v/>
      </c>
      <c r="D831" s="29"/>
      <c r="G831" s="67"/>
    </row>
    <row r="832">
      <c r="A832" s="29"/>
      <c r="B832" s="29"/>
      <c r="C832" s="67" t="str">
        <f>IFERROR(__xludf.DUMMYFUNCTION("""COMPUTED_VALUE"""),"")</f>
        <v/>
      </c>
      <c r="D832" s="29"/>
      <c r="G832" s="67"/>
    </row>
    <row r="833">
      <c r="A833" s="29"/>
      <c r="B833" s="29"/>
      <c r="C833" s="67" t="str">
        <f>IFERROR(__xludf.DUMMYFUNCTION("""COMPUTED_VALUE"""),"")</f>
        <v/>
      </c>
      <c r="D833" s="29"/>
      <c r="G833" s="67"/>
    </row>
    <row r="834">
      <c r="A834" s="29"/>
      <c r="B834" s="29"/>
      <c r="C834" s="67" t="str">
        <f>IFERROR(__xludf.DUMMYFUNCTION("""COMPUTED_VALUE"""),"")</f>
        <v/>
      </c>
      <c r="D834" s="29"/>
      <c r="G834" s="67"/>
    </row>
    <row r="835">
      <c r="A835" s="29"/>
      <c r="B835" s="29"/>
      <c r="C835" s="67" t="str">
        <f>IFERROR(__xludf.DUMMYFUNCTION("""COMPUTED_VALUE"""),"")</f>
        <v/>
      </c>
      <c r="D835" s="29"/>
      <c r="G835" s="67"/>
    </row>
    <row r="836">
      <c r="A836" s="29"/>
      <c r="B836" s="29"/>
      <c r="C836" s="67" t="str">
        <f>IFERROR(__xludf.DUMMYFUNCTION("""COMPUTED_VALUE"""),"")</f>
        <v/>
      </c>
      <c r="D836" s="29"/>
      <c r="G836" s="67"/>
    </row>
    <row r="837">
      <c r="A837" s="29"/>
      <c r="B837" s="29"/>
      <c r="C837" s="67" t="str">
        <f>IFERROR(__xludf.DUMMYFUNCTION("""COMPUTED_VALUE"""),"")</f>
        <v/>
      </c>
      <c r="D837" s="29"/>
      <c r="G837" s="67"/>
    </row>
    <row r="838">
      <c r="A838" s="29"/>
      <c r="B838" s="29"/>
      <c r="C838" s="67" t="str">
        <f>IFERROR(__xludf.DUMMYFUNCTION("""COMPUTED_VALUE"""),"")</f>
        <v/>
      </c>
      <c r="D838" s="29"/>
      <c r="G838" s="67"/>
    </row>
    <row r="839">
      <c r="A839" s="29"/>
      <c r="B839" s="29"/>
      <c r="C839" s="67" t="str">
        <f>IFERROR(__xludf.DUMMYFUNCTION("""COMPUTED_VALUE"""),"")</f>
        <v/>
      </c>
      <c r="D839" s="29"/>
      <c r="G839" s="67"/>
    </row>
    <row r="840">
      <c r="A840" s="29"/>
      <c r="B840" s="29"/>
      <c r="C840" s="67" t="str">
        <f>IFERROR(__xludf.DUMMYFUNCTION("""COMPUTED_VALUE"""),"")</f>
        <v/>
      </c>
      <c r="D840" s="29"/>
      <c r="G840" s="67"/>
    </row>
    <row r="841">
      <c r="A841" s="29"/>
      <c r="B841" s="29"/>
      <c r="C841" s="67" t="str">
        <f>IFERROR(__xludf.DUMMYFUNCTION("""COMPUTED_VALUE"""),"")</f>
        <v/>
      </c>
      <c r="D841" s="29"/>
      <c r="G841" s="67"/>
    </row>
    <row r="842">
      <c r="A842" s="29"/>
      <c r="B842" s="29"/>
      <c r="C842" s="67" t="str">
        <f>IFERROR(__xludf.DUMMYFUNCTION("""COMPUTED_VALUE"""),"")</f>
        <v/>
      </c>
      <c r="D842" s="29"/>
      <c r="G842" s="67"/>
    </row>
    <row r="843">
      <c r="A843" s="29"/>
      <c r="B843" s="29"/>
      <c r="C843" s="67" t="str">
        <f>IFERROR(__xludf.DUMMYFUNCTION("""COMPUTED_VALUE"""),"")</f>
        <v/>
      </c>
      <c r="D843" s="29"/>
      <c r="G843" s="67"/>
    </row>
    <row r="844">
      <c r="A844" s="29"/>
      <c r="B844" s="29"/>
      <c r="C844" s="67" t="str">
        <f>IFERROR(__xludf.DUMMYFUNCTION("""COMPUTED_VALUE"""),"")</f>
        <v/>
      </c>
      <c r="D844" s="29"/>
      <c r="G844" s="67"/>
    </row>
    <row r="845">
      <c r="A845" s="29"/>
      <c r="B845" s="29"/>
      <c r="C845" s="67" t="str">
        <f>IFERROR(__xludf.DUMMYFUNCTION("""COMPUTED_VALUE"""),"")</f>
        <v/>
      </c>
      <c r="D845" s="29"/>
      <c r="G845" s="67"/>
    </row>
    <row r="846">
      <c r="A846" s="29"/>
      <c r="B846" s="29"/>
      <c r="C846" s="67" t="str">
        <f>IFERROR(__xludf.DUMMYFUNCTION("""COMPUTED_VALUE"""),"")</f>
        <v/>
      </c>
      <c r="D846" s="29"/>
      <c r="G846" s="67"/>
    </row>
    <row r="847">
      <c r="A847" s="29"/>
      <c r="B847" s="29"/>
      <c r="C847" s="67" t="str">
        <f>IFERROR(__xludf.DUMMYFUNCTION("""COMPUTED_VALUE"""),"")</f>
        <v/>
      </c>
      <c r="D847" s="29"/>
      <c r="G847" s="67"/>
    </row>
    <row r="848">
      <c r="A848" s="29"/>
      <c r="B848" s="29"/>
      <c r="C848" s="67" t="str">
        <f>IFERROR(__xludf.DUMMYFUNCTION("""COMPUTED_VALUE"""),"")</f>
        <v/>
      </c>
      <c r="D848" s="29"/>
      <c r="G848" s="67"/>
    </row>
    <row r="849">
      <c r="A849" s="29"/>
      <c r="B849" s="29"/>
      <c r="C849" s="67" t="str">
        <f>IFERROR(__xludf.DUMMYFUNCTION("""COMPUTED_VALUE"""),"")</f>
        <v/>
      </c>
      <c r="D849" s="29"/>
      <c r="G849" s="67"/>
    </row>
    <row r="850">
      <c r="A850" s="29"/>
      <c r="B850" s="29"/>
      <c r="C850" s="67" t="str">
        <f>IFERROR(__xludf.DUMMYFUNCTION("""COMPUTED_VALUE"""),"")</f>
        <v/>
      </c>
      <c r="D850" s="29"/>
      <c r="G850" s="67"/>
    </row>
    <row r="851">
      <c r="A851" s="29"/>
      <c r="B851" s="29"/>
      <c r="C851" s="67" t="str">
        <f>IFERROR(__xludf.DUMMYFUNCTION("""COMPUTED_VALUE"""),"")</f>
        <v/>
      </c>
      <c r="D851" s="29"/>
      <c r="G851" s="67"/>
    </row>
    <row r="852">
      <c r="A852" s="29"/>
      <c r="B852" s="29"/>
      <c r="C852" s="67" t="str">
        <f>IFERROR(__xludf.DUMMYFUNCTION("""COMPUTED_VALUE"""),"")</f>
        <v/>
      </c>
      <c r="D852" s="29"/>
      <c r="G852" s="67"/>
    </row>
    <row r="853">
      <c r="A853" s="29"/>
      <c r="B853" s="29"/>
      <c r="C853" s="67" t="str">
        <f>IFERROR(__xludf.DUMMYFUNCTION("""COMPUTED_VALUE"""),"")</f>
        <v/>
      </c>
      <c r="D853" s="29"/>
      <c r="G853" s="67"/>
    </row>
    <row r="854">
      <c r="A854" s="29"/>
      <c r="B854" s="29"/>
      <c r="C854" s="67" t="str">
        <f>IFERROR(__xludf.DUMMYFUNCTION("""COMPUTED_VALUE"""),"")</f>
        <v/>
      </c>
      <c r="D854" s="29"/>
      <c r="G854" s="67"/>
    </row>
    <row r="855">
      <c r="A855" s="29"/>
      <c r="B855" s="29"/>
      <c r="C855" s="67" t="str">
        <f>IFERROR(__xludf.DUMMYFUNCTION("""COMPUTED_VALUE"""),"")</f>
        <v/>
      </c>
      <c r="D855" s="29"/>
      <c r="G855" s="67"/>
    </row>
    <row r="856">
      <c r="A856" s="29"/>
      <c r="B856" s="29"/>
      <c r="C856" s="67" t="str">
        <f>IFERROR(__xludf.DUMMYFUNCTION("""COMPUTED_VALUE"""),"")</f>
        <v/>
      </c>
      <c r="D856" s="29"/>
      <c r="G856" s="67"/>
    </row>
    <row r="857">
      <c r="A857" s="29"/>
      <c r="B857" s="29"/>
      <c r="C857" s="67" t="str">
        <f>IFERROR(__xludf.DUMMYFUNCTION("""COMPUTED_VALUE"""),"")</f>
        <v/>
      </c>
      <c r="D857" s="29"/>
      <c r="G857" s="67"/>
    </row>
    <row r="858">
      <c r="A858" s="29"/>
      <c r="B858" s="29"/>
      <c r="C858" s="67" t="str">
        <f>IFERROR(__xludf.DUMMYFUNCTION("""COMPUTED_VALUE"""),"")</f>
        <v/>
      </c>
      <c r="D858" s="29"/>
      <c r="G858" s="67"/>
    </row>
    <row r="859">
      <c r="A859" s="29"/>
      <c r="B859" s="29"/>
      <c r="C859" s="67" t="str">
        <f>IFERROR(__xludf.DUMMYFUNCTION("""COMPUTED_VALUE"""),"")</f>
        <v/>
      </c>
      <c r="D859" s="29"/>
      <c r="G859" s="67"/>
    </row>
    <row r="860">
      <c r="A860" s="29"/>
      <c r="B860" s="29"/>
      <c r="C860" s="67" t="str">
        <f>IFERROR(__xludf.DUMMYFUNCTION("""COMPUTED_VALUE"""),"")</f>
        <v/>
      </c>
      <c r="D860" s="29"/>
      <c r="G860" s="67"/>
    </row>
    <row r="861">
      <c r="A861" s="29"/>
      <c r="B861" s="29"/>
      <c r="C861" s="67" t="str">
        <f>IFERROR(__xludf.DUMMYFUNCTION("""COMPUTED_VALUE"""),"")</f>
        <v/>
      </c>
      <c r="D861" s="29"/>
      <c r="G861" s="67"/>
    </row>
    <row r="862">
      <c r="A862" s="29"/>
      <c r="B862" s="29"/>
      <c r="C862" s="67" t="str">
        <f>IFERROR(__xludf.DUMMYFUNCTION("""COMPUTED_VALUE"""),"")</f>
        <v/>
      </c>
      <c r="D862" s="29"/>
      <c r="G862" s="67"/>
    </row>
    <row r="863">
      <c r="A863" s="29"/>
      <c r="B863" s="29"/>
      <c r="C863" s="67" t="str">
        <f>IFERROR(__xludf.DUMMYFUNCTION("""COMPUTED_VALUE"""),"")</f>
        <v/>
      </c>
      <c r="D863" s="29"/>
      <c r="G863" s="67"/>
    </row>
    <row r="864">
      <c r="A864" s="29"/>
      <c r="B864" s="29"/>
      <c r="C864" s="67" t="str">
        <f>IFERROR(__xludf.DUMMYFUNCTION("""COMPUTED_VALUE"""),"")</f>
        <v/>
      </c>
      <c r="D864" s="29"/>
      <c r="G864" s="67"/>
    </row>
    <row r="865">
      <c r="A865" s="29"/>
      <c r="B865" s="29"/>
      <c r="C865" s="67" t="str">
        <f>IFERROR(__xludf.DUMMYFUNCTION("""COMPUTED_VALUE"""),"")</f>
        <v/>
      </c>
      <c r="D865" s="29"/>
      <c r="G865" s="67"/>
    </row>
    <row r="866">
      <c r="A866" s="29"/>
      <c r="B866" s="29"/>
      <c r="C866" s="67" t="str">
        <f>IFERROR(__xludf.DUMMYFUNCTION("""COMPUTED_VALUE"""),"")</f>
        <v/>
      </c>
      <c r="D866" s="29"/>
      <c r="G866" s="67"/>
    </row>
    <row r="867">
      <c r="A867" s="29"/>
      <c r="B867" s="29"/>
      <c r="C867" s="67" t="str">
        <f>IFERROR(__xludf.DUMMYFUNCTION("""COMPUTED_VALUE"""),"")</f>
        <v/>
      </c>
      <c r="D867" s="29"/>
      <c r="G867" s="67"/>
    </row>
    <row r="868">
      <c r="A868" s="29"/>
      <c r="B868" s="29"/>
      <c r="C868" s="67" t="str">
        <f>IFERROR(__xludf.DUMMYFUNCTION("""COMPUTED_VALUE"""),"")</f>
        <v/>
      </c>
      <c r="D868" s="29"/>
      <c r="G868" s="67"/>
    </row>
    <row r="869">
      <c r="A869" s="29"/>
      <c r="B869" s="29"/>
      <c r="C869" s="67" t="str">
        <f>IFERROR(__xludf.DUMMYFUNCTION("""COMPUTED_VALUE"""),"")</f>
        <v/>
      </c>
      <c r="D869" s="29"/>
      <c r="G869" s="67"/>
    </row>
    <row r="870">
      <c r="A870" s="29"/>
      <c r="B870" s="29"/>
      <c r="C870" s="67" t="str">
        <f>IFERROR(__xludf.DUMMYFUNCTION("""COMPUTED_VALUE"""),"")</f>
        <v/>
      </c>
      <c r="D870" s="29"/>
      <c r="G870" s="67"/>
    </row>
    <row r="871">
      <c r="A871" s="29"/>
      <c r="B871" s="29"/>
      <c r="C871" s="67" t="str">
        <f>IFERROR(__xludf.DUMMYFUNCTION("""COMPUTED_VALUE"""),"")</f>
        <v/>
      </c>
      <c r="D871" s="29"/>
      <c r="G871" s="67"/>
    </row>
    <row r="872">
      <c r="A872" s="29"/>
      <c r="B872" s="29"/>
      <c r="C872" s="67" t="str">
        <f>IFERROR(__xludf.DUMMYFUNCTION("""COMPUTED_VALUE"""),"")</f>
        <v/>
      </c>
      <c r="D872" s="29"/>
      <c r="G872" s="67"/>
    </row>
    <row r="873">
      <c r="A873" s="29"/>
      <c r="B873" s="29"/>
      <c r="C873" s="67" t="str">
        <f>IFERROR(__xludf.DUMMYFUNCTION("""COMPUTED_VALUE"""),"")</f>
        <v/>
      </c>
      <c r="D873" s="29"/>
      <c r="G873" s="67"/>
    </row>
    <row r="874">
      <c r="A874" s="29"/>
      <c r="B874" s="29"/>
      <c r="C874" s="67" t="str">
        <f>IFERROR(__xludf.DUMMYFUNCTION("""COMPUTED_VALUE"""),"")</f>
        <v/>
      </c>
      <c r="D874" s="29"/>
      <c r="G874" s="67"/>
    </row>
    <row r="875">
      <c r="A875" s="29"/>
      <c r="B875" s="29"/>
      <c r="C875" s="67" t="str">
        <f>IFERROR(__xludf.DUMMYFUNCTION("""COMPUTED_VALUE"""),"")</f>
        <v/>
      </c>
      <c r="D875" s="29"/>
      <c r="G875" s="67"/>
    </row>
    <row r="876">
      <c r="A876" s="29"/>
      <c r="B876" s="29"/>
      <c r="C876" s="67" t="str">
        <f>IFERROR(__xludf.DUMMYFUNCTION("""COMPUTED_VALUE"""),"")</f>
        <v/>
      </c>
      <c r="D876" s="29"/>
      <c r="G876" s="67"/>
    </row>
    <row r="877">
      <c r="A877" s="29"/>
      <c r="B877" s="29"/>
      <c r="C877" s="67" t="str">
        <f>IFERROR(__xludf.DUMMYFUNCTION("""COMPUTED_VALUE"""),"")</f>
        <v/>
      </c>
      <c r="D877" s="29"/>
      <c r="G877" s="67"/>
    </row>
    <row r="878">
      <c r="A878" s="29"/>
      <c r="B878" s="29"/>
      <c r="C878" s="67" t="str">
        <f>IFERROR(__xludf.DUMMYFUNCTION("""COMPUTED_VALUE"""),"")</f>
        <v/>
      </c>
      <c r="D878" s="29"/>
      <c r="G878" s="67"/>
    </row>
    <row r="879">
      <c r="A879" s="29"/>
      <c r="B879" s="29"/>
      <c r="C879" s="67" t="str">
        <f>IFERROR(__xludf.DUMMYFUNCTION("""COMPUTED_VALUE"""),"")</f>
        <v/>
      </c>
      <c r="D879" s="29"/>
      <c r="G879" s="67"/>
    </row>
    <row r="880">
      <c r="A880" s="29"/>
      <c r="B880" s="29"/>
      <c r="C880" s="67" t="str">
        <f>IFERROR(__xludf.DUMMYFUNCTION("""COMPUTED_VALUE"""),"")</f>
        <v/>
      </c>
      <c r="D880" s="29"/>
      <c r="G880" s="67"/>
    </row>
    <row r="881">
      <c r="A881" s="29"/>
      <c r="B881" s="29"/>
      <c r="C881" s="67" t="str">
        <f>IFERROR(__xludf.DUMMYFUNCTION("""COMPUTED_VALUE"""),"")</f>
        <v/>
      </c>
      <c r="D881" s="29"/>
      <c r="G881" s="67"/>
    </row>
    <row r="882">
      <c r="A882" s="29"/>
      <c r="B882" s="29"/>
      <c r="C882" s="67" t="str">
        <f>IFERROR(__xludf.DUMMYFUNCTION("""COMPUTED_VALUE"""),"")</f>
        <v/>
      </c>
      <c r="D882" s="29"/>
      <c r="G882" s="67"/>
    </row>
    <row r="883">
      <c r="A883" s="29"/>
      <c r="B883" s="29"/>
      <c r="C883" s="67" t="str">
        <f>IFERROR(__xludf.DUMMYFUNCTION("""COMPUTED_VALUE"""),"")</f>
        <v/>
      </c>
      <c r="D883" s="29"/>
      <c r="G883" s="67"/>
    </row>
    <row r="884">
      <c r="A884" s="29"/>
      <c r="B884" s="29"/>
      <c r="C884" s="67" t="str">
        <f>IFERROR(__xludf.DUMMYFUNCTION("""COMPUTED_VALUE"""),"")</f>
        <v/>
      </c>
      <c r="D884" s="29"/>
      <c r="G884" s="67"/>
    </row>
    <row r="885">
      <c r="A885" s="29"/>
      <c r="B885" s="29"/>
      <c r="C885" s="67" t="str">
        <f>IFERROR(__xludf.DUMMYFUNCTION("""COMPUTED_VALUE"""),"")</f>
        <v/>
      </c>
      <c r="D885" s="29"/>
      <c r="G885" s="67"/>
    </row>
    <row r="886">
      <c r="A886" s="29"/>
      <c r="B886" s="29"/>
      <c r="C886" s="67" t="str">
        <f>IFERROR(__xludf.DUMMYFUNCTION("""COMPUTED_VALUE"""),"")</f>
        <v/>
      </c>
      <c r="D886" s="29"/>
      <c r="G886" s="67"/>
    </row>
    <row r="887">
      <c r="A887" s="29"/>
      <c r="B887" s="29"/>
      <c r="C887" s="67" t="str">
        <f>IFERROR(__xludf.DUMMYFUNCTION("""COMPUTED_VALUE"""),"")</f>
        <v/>
      </c>
      <c r="D887" s="29"/>
      <c r="G887" s="67"/>
    </row>
    <row r="888">
      <c r="A888" s="29"/>
      <c r="B888" s="29"/>
      <c r="C888" s="67" t="str">
        <f>IFERROR(__xludf.DUMMYFUNCTION("""COMPUTED_VALUE"""),"")</f>
        <v/>
      </c>
      <c r="D888" s="29"/>
      <c r="G888" s="67"/>
    </row>
    <row r="889">
      <c r="A889" s="29"/>
      <c r="B889" s="29"/>
      <c r="C889" s="67" t="str">
        <f>IFERROR(__xludf.DUMMYFUNCTION("""COMPUTED_VALUE"""),"")</f>
        <v/>
      </c>
      <c r="D889" s="29"/>
      <c r="G889" s="67"/>
    </row>
    <row r="890">
      <c r="A890" s="29"/>
      <c r="B890" s="29"/>
      <c r="C890" s="67" t="str">
        <f>IFERROR(__xludf.DUMMYFUNCTION("""COMPUTED_VALUE"""),"")</f>
        <v/>
      </c>
      <c r="D890" s="29"/>
      <c r="G890" s="67"/>
    </row>
    <row r="891">
      <c r="A891" s="29"/>
      <c r="B891" s="29"/>
      <c r="C891" s="67" t="str">
        <f>IFERROR(__xludf.DUMMYFUNCTION("""COMPUTED_VALUE"""),"")</f>
        <v/>
      </c>
      <c r="D891" s="29"/>
      <c r="G891" s="67"/>
    </row>
    <row r="892">
      <c r="A892" s="29"/>
      <c r="B892" s="29"/>
      <c r="C892" s="67" t="str">
        <f>IFERROR(__xludf.DUMMYFUNCTION("""COMPUTED_VALUE"""),"")</f>
        <v/>
      </c>
      <c r="D892" s="29"/>
      <c r="G892" s="67"/>
    </row>
    <row r="893">
      <c r="A893" s="29"/>
      <c r="B893" s="29"/>
      <c r="C893" s="67" t="str">
        <f>IFERROR(__xludf.DUMMYFUNCTION("""COMPUTED_VALUE"""),"")</f>
        <v/>
      </c>
      <c r="D893" s="29"/>
      <c r="G893" s="67"/>
    </row>
    <row r="894">
      <c r="A894" s="29"/>
      <c r="B894" s="29"/>
      <c r="C894" s="67" t="str">
        <f>IFERROR(__xludf.DUMMYFUNCTION("""COMPUTED_VALUE"""),"")</f>
        <v/>
      </c>
      <c r="D894" s="29"/>
      <c r="G894" s="67"/>
    </row>
    <row r="895">
      <c r="A895" s="29"/>
      <c r="B895" s="29"/>
      <c r="C895" s="67" t="str">
        <f>IFERROR(__xludf.DUMMYFUNCTION("""COMPUTED_VALUE"""),"")</f>
        <v/>
      </c>
      <c r="D895" s="29"/>
      <c r="G895" s="67"/>
    </row>
    <row r="896">
      <c r="A896" s="29"/>
      <c r="B896" s="29"/>
      <c r="C896" s="67" t="str">
        <f>IFERROR(__xludf.DUMMYFUNCTION("""COMPUTED_VALUE"""),"")</f>
        <v/>
      </c>
      <c r="D896" s="29"/>
      <c r="G896" s="67"/>
    </row>
    <row r="897">
      <c r="A897" s="29"/>
      <c r="B897" s="29"/>
      <c r="C897" s="67" t="str">
        <f>IFERROR(__xludf.DUMMYFUNCTION("""COMPUTED_VALUE"""),"")</f>
        <v/>
      </c>
      <c r="D897" s="29"/>
      <c r="G897" s="67"/>
    </row>
    <row r="898">
      <c r="A898" s="29"/>
      <c r="B898" s="29"/>
      <c r="C898" s="67" t="str">
        <f>IFERROR(__xludf.DUMMYFUNCTION("""COMPUTED_VALUE"""),"")</f>
        <v/>
      </c>
      <c r="D898" s="29"/>
      <c r="G898" s="67"/>
    </row>
    <row r="899">
      <c r="A899" s="29"/>
      <c r="B899" s="29"/>
      <c r="C899" s="67" t="str">
        <f>IFERROR(__xludf.DUMMYFUNCTION("""COMPUTED_VALUE"""),"")</f>
        <v/>
      </c>
      <c r="D899" s="29"/>
      <c r="G899" s="67"/>
    </row>
    <row r="900">
      <c r="A900" s="29"/>
      <c r="B900" s="29"/>
      <c r="C900" s="67" t="str">
        <f>IFERROR(__xludf.DUMMYFUNCTION("""COMPUTED_VALUE"""),"")</f>
        <v/>
      </c>
      <c r="D900" s="29"/>
      <c r="G900" s="67"/>
    </row>
    <row r="901">
      <c r="A901" s="29"/>
      <c r="B901" s="29"/>
      <c r="C901" s="67" t="str">
        <f>IFERROR(__xludf.DUMMYFUNCTION("""COMPUTED_VALUE"""),"")</f>
        <v/>
      </c>
      <c r="D901" s="29"/>
      <c r="G901" s="67"/>
    </row>
    <row r="902">
      <c r="A902" s="29"/>
      <c r="B902" s="29"/>
      <c r="C902" s="67" t="str">
        <f>IFERROR(__xludf.DUMMYFUNCTION("""COMPUTED_VALUE"""),"")</f>
        <v/>
      </c>
      <c r="D902" s="29"/>
      <c r="G902" s="67"/>
    </row>
    <row r="903">
      <c r="A903" s="29"/>
      <c r="B903" s="29"/>
      <c r="C903" s="67" t="str">
        <f>IFERROR(__xludf.DUMMYFUNCTION("""COMPUTED_VALUE"""),"")</f>
        <v/>
      </c>
      <c r="D903" s="29"/>
      <c r="G903" s="67"/>
    </row>
    <row r="904">
      <c r="A904" s="29"/>
      <c r="B904" s="29"/>
      <c r="C904" s="67" t="str">
        <f>IFERROR(__xludf.DUMMYFUNCTION("""COMPUTED_VALUE"""),"")</f>
        <v/>
      </c>
      <c r="D904" s="29"/>
      <c r="G904" s="67"/>
    </row>
    <row r="905">
      <c r="A905" s="29"/>
      <c r="B905" s="29"/>
      <c r="C905" s="67" t="str">
        <f>IFERROR(__xludf.DUMMYFUNCTION("""COMPUTED_VALUE"""),"")</f>
        <v/>
      </c>
      <c r="D905" s="29"/>
      <c r="G905" s="67"/>
    </row>
    <row r="906">
      <c r="A906" s="29"/>
      <c r="B906" s="29"/>
      <c r="C906" s="67" t="str">
        <f>IFERROR(__xludf.DUMMYFUNCTION("""COMPUTED_VALUE"""),"")</f>
        <v/>
      </c>
      <c r="D906" s="29"/>
      <c r="G906" s="67"/>
    </row>
    <row r="907">
      <c r="A907" s="29"/>
      <c r="B907" s="29"/>
      <c r="C907" s="67" t="str">
        <f>IFERROR(__xludf.DUMMYFUNCTION("""COMPUTED_VALUE"""),"")</f>
        <v/>
      </c>
      <c r="D907" s="29"/>
      <c r="G907" s="67"/>
    </row>
    <row r="908">
      <c r="A908" s="29"/>
      <c r="B908" s="29"/>
      <c r="C908" s="67" t="str">
        <f>IFERROR(__xludf.DUMMYFUNCTION("""COMPUTED_VALUE"""),"")</f>
        <v/>
      </c>
      <c r="D908" s="29"/>
      <c r="G908" s="67"/>
    </row>
    <row r="909">
      <c r="A909" s="29"/>
      <c r="B909" s="29"/>
      <c r="C909" s="67" t="str">
        <f>IFERROR(__xludf.DUMMYFUNCTION("""COMPUTED_VALUE"""),"")</f>
        <v/>
      </c>
      <c r="D909" s="29"/>
      <c r="G909" s="67"/>
    </row>
    <row r="910">
      <c r="A910" s="29"/>
      <c r="B910" s="29"/>
      <c r="C910" s="67" t="str">
        <f>IFERROR(__xludf.DUMMYFUNCTION("""COMPUTED_VALUE"""),"")</f>
        <v/>
      </c>
      <c r="D910" s="29"/>
      <c r="G910" s="67"/>
    </row>
    <row r="911">
      <c r="A911" s="29"/>
      <c r="B911" s="29"/>
      <c r="C911" s="67" t="str">
        <f>IFERROR(__xludf.DUMMYFUNCTION("""COMPUTED_VALUE"""),"")</f>
        <v/>
      </c>
      <c r="D911" s="29"/>
      <c r="G911" s="67"/>
    </row>
    <row r="912">
      <c r="A912" s="29"/>
      <c r="B912" s="29"/>
      <c r="C912" s="67" t="str">
        <f>IFERROR(__xludf.DUMMYFUNCTION("""COMPUTED_VALUE"""),"")</f>
        <v/>
      </c>
      <c r="D912" s="29"/>
      <c r="G912" s="67"/>
    </row>
    <row r="913">
      <c r="A913" s="29"/>
      <c r="B913" s="29"/>
      <c r="C913" s="67" t="str">
        <f>IFERROR(__xludf.DUMMYFUNCTION("""COMPUTED_VALUE"""),"")</f>
        <v/>
      </c>
      <c r="D913" s="29"/>
      <c r="G913" s="67"/>
    </row>
    <row r="914">
      <c r="A914" s="29"/>
      <c r="B914" s="29"/>
      <c r="C914" s="67" t="str">
        <f>IFERROR(__xludf.DUMMYFUNCTION("""COMPUTED_VALUE"""),"")</f>
        <v/>
      </c>
      <c r="D914" s="29"/>
      <c r="G914" s="67"/>
    </row>
    <row r="915">
      <c r="A915" s="29"/>
      <c r="B915" s="29"/>
      <c r="C915" s="67" t="str">
        <f>IFERROR(__xludf.DUMMYFUNCTION("""COMPUTED_VALUE"""),"")</f>
        <v/>
      </c>
      <c r="D915" s="29"/>
      <c r="G915" s="67"/>
    </row>
    <row r="916">
      <c r="A916" s="29"/>
      <c r="B916" s="29"/>
      <c r="C916" s="67" t="str">
        <f>IFERROR(__xludf.DUMMYFUNCTION("""COMPUTED_VALUE"""),"")</f>
        <v/>
      </c>
      <c r="D916" s="29"/>
      <c r="G916" s="67"/>
    </row>
    <row r="917">
      <c r="A917" s="29"/>
      <c r="B917" s="29"/>
      <c r="C917" s="67" t="str">
        <f>IFERROR(__xludf.DUMMYFUNCTION("""COMPUTED_VALUE"""),"")</f>
        <v/>
      </c>
      <c r="D917" s="29"/>
      <c r="G917" s="67"/>
    </row>
    <row r="918">
      <c r="A918" s="29"/>
      <c r="B918" s="29"/>
      <c r="C918" s="67" t="str">
        <f>IFERROR(__xludf.DUMMYFUNCTION("""COMPUTED_VALUE"""),"")</f>
        <v/>
      </c>
      <c r="D918" s="29"/>
      <c r="G918" s="67"/>
    </row>
    <row r="919">
      <c r="A919" s="29"/>
      <c r="B919" s="29"/>
      <c r="C919" s="67" t="str">
        <f>IFERROR(__xludf.DUMMYFUNCTION("""COMPUTED_VALUE"""),"")</f>
        <v/>
      </c>
      <c r="D919" s="29"/>
      <c r="G919" s="67"/>
    </row>
    <row r="920">
      <c r="A920" s="29"/>
      <c r="B920" s="29"/>
      <c r="C920" s="67" t="str">
        <f>IFERROR(__xludf.DUMMYFUNCTION("""COMPUTED_VALUE"""),"")</f>
        <v/>
      </c>
      <c r="D920" s="29"/>
      <c r="G920" s="67"/>
    </row>
    <row r="921">
      <c r="A921" s="29"/>
      <c r="B921" s="29"/>
      <c r="C921" s="67" t="str">
        <f>IFERROR(__xludf.DUMMYFUNCTION("""COMPUTED_VALUE"""),"")</f>
        <v/>
      </c>
      <c r="D921" s="29"/>
      <c r="G921" s="67"/>
    </row>
    <row r="922">
      <c r="A922" s="29"/>
      <c r="B922" s="29"/>
      <c r="C922" s="67" t="str">
        <f>IFERROR(__xludf.DUMMYFUNCTION("""COMPUTED_VALUE"""),"")</f>
        <v/>
      </c>
      <c r="D922" s="29"/>
      <c r="G922" s="67"/>
    </row>
    <row r="923">
      <c r="A923" s="29"/>
      <c r="B923" s="29"/>
      <c r="C923" s="67" t="str">
        <f>IFERROR(__xludf.DUMMYFUNCTION("""COMPUTED_VALUE"""),"")</f>
        <v/>
      </c>
      <c r="D923" s="29"/>
      <c r="G923" s="67"/>
    </row>
    <row r="924">
      <c r="A924" s="29"/>
      <c r="B924" s="29"/>
      <c r="C924" s="67" t="str">
        <f>IFERROR(__xludf.DUMMYFUNCTION("""COMPUTED_VALUE"""),"")</f>
        <v/>
      </c>
      <c r="D924" s="29"/>
      <c r="G924" s="67"/>
    </row>
    <row r="925">
      <c r="A925" s="29"/>
      <c r="B925" s="29"/>
      <c r="C925" s="67" t="str">
        <f>IFERROR(__xludf.DUMMYFUNCTION("""COMPUTED_VALUE"""),"")</f>
        <v/>
      </c>
      <c r="D925" s="29"/>
      <c r="G925" s="67"/>
    </row>
    <row r="926">
      <c r="A926" s="29"/>
      <c r="B926" s="29"/>
      <c r="C926" s="67" t="str">
        <f>IFERROR(__xludf.DUMMYFUNCTION("""COMPUTED_VALUE"""),"")</f>
        <v/>
      </c>
      <c r="D926" s="29"/>
      <c r="G926" s="67"/>
    </row>
    <row r="927">
      <c r="A927" s="29"/>
      <c r="B927" s="29"/>
      <c r="C927" s="67" t="str">
        <f>IFERROR(__xludf.DUMMYFUNCTION("""COMPUTED_VALUE"""),"")</f>
        <v/>
      </c>
      <c r="D927" s="29"/>
      <c r="G927" s="67"/>
    </row>
    <row r="928">
      <c r="A928" s="29"/>
      <c r="B928" s="29"/>
      <c r="C928" s="67" t="str">
        <f>IFERROR(__xludf.DUMMYFUNCTION("""COMPUTED_VALUE"""),"")</f>
        <v/>
      </c>
      <c r="D928" s="29"/>
      <c r="G928" s="67"/>
    </row>
    <row r="929">
      <c r="A929" s="29"/>
      <c r="B929" s="29"/>
      <c r="C929" s="67" t="str">
        <f>IFERROR(__xludf.DUMMYFUNCTION("""COMPUTED_VALUE"""),"")</f>
        <v/>
      </c>
      <c r="D929" s="29"/>
      <c r="G929" s="67"/>
    </row>
    <row r="930">
      <c r="A930" s="29"/>
      <c r="B930" s="29"/>
      <c r="C930" s="67" t="str">
        <f>IFERROR(__xludf.DUMMYFUNCTION("""COMPUTED_VALUE"""),"")</f>
        <v/>
      </c>
      <c r="D930" s="29"/>
      <c r="G930" s="67"/>
    </row>
    <row r="931">
      <c r="A931" s="29"/>
      <c r="B931" s="29"/>
      <c r="C931" s="67" t="str">
        <f>IFERROR(__xludf.DUMMYFUNCTION("""COMPUTED_VALUE"""),"")</f>
        <v/>
      </c>
      <c r="D931" s="29"/>
      <c r="G931" s="67"/>
    </row>
    <row r="932">
      <c r="A932" s="29"/>
      <c r="B932" s="29"/>
      <c r="C932" s="67" t="str">
        <f>IFERROR(__xludf.DUMMYFUNCTION("""COMPUTED_VALUE"""),"")</f>
        <v/>
      </c>
      <c r="D932" s="29"/>
      <c r="G932" s="67"/>
    </row>
    <row r="933">
      <c r="A933" s="29"/>
      <c r="B933" s="29"/>
      <c r="C933" s="67" t="str">
        <f>IFERROR(__xludf.DUMMYFUNCTION("""COMPUTED_VALUE"""),"")</f>
        <v/>
      </c>
      <c r="D933" s="29"/>
      <c r="G933" s="67"/>
    </row>
    <row r="934">
      <c r="A934" s="29"/>
      <c r="B934" s="29"/>
      <c r="C934" s="67" t="str">
        <f>IFERROR(__xludf.DUMMYFUNCTION("""COMPUTED_VALUE"""),"")</f>
        <v/>
      </c>
      <c r="D934" s="29"/>
      <c r="G934" s="67"/>
    </row>
    <row r="935">
      <c r="A935" s="29"/>
      <c r="B935" s="29"/>
      <c r="C935" s="67" t="str">
        <f>IFERROR(__xludf.DUMMYFUNCTION("""COMPUTED_VALUE"""),"")</f>
        <v/>
      </c>
      <c r="D935" s="29"/>
      <c r="G935" s="67"/>
    </row>
    <row r="936">
      <c r="A936" s="29"/>
      <c r="B936" s="29"/>
      <c r="C936" s="67" t="str">
        <f>IFERROR(__xludf.DUMMYFUNCTION("""COMPUTED_VALUE"""),"")</f>
        <v/>
      </c>
      <c r="D936" s="29"/>
      <c r="G936" s="67"/>
    </row>
    <row r="937">
      <c r="A937" s="29"/>
      <c r="B937" s="29"/>
      <c r="C937" s="67" t="str">
        <f>IFERROR(__xludf.DUMMYFUNCTION("""COMPUTED_VALUE"""),"")</f>
        <v/>
      </c>
      <c r="D937" s="29"/>
      <c r="G937" s="67"/>
    </row>
    <row r="938">
      <c r="A938" s="29"/>
      <c r="B938" s="29"/>
      <c r="C938" s="67" t="str">
        <f>IFERROR(__xludf.DUMMYFUNCTION("""COMPUTED_VALUE"""),"")</f>
        <v/>
      </c>
      <c r="D938" s="29"/>
      <c r="G938" s="67"/>
    </row>
    <row r="939">
      <c r="A939" s="29"/>
      <c r="B939" s="29"/>
      <c r="C939" s="67" t="str">
        <f>IFERROR(__xludf.DUMMYFUNCTION("""COMPUTED_VALUE"""),"")</f>
        <v/>
      </c>
      <c r="D939" s="29"/>
      <c r="G939" s="67"/>
    </row>
    <row r="940">
      <c r="A940" s="29"/>
      <c r="B940" s="29"/>
      <c r="C940" s="67" t="str">
        <f>IFERROR(__xludf.DUMMYFUNCTION("""COMPUTED_VALUE"""),"")</f>
        <v/>
      </c>
      <c r="D940" s="29"/>
      <c r="G940" s="67"/>
    </row>
    <row r="941">
      <c r="A941" s="29"/>
      <c r="B941" s="29"/>
      <c r="C941" s="67" t="str">
        <f>IFERROR(__xludf.DUMMYFUNCTION("""COMPUTED_VALUE"""),"")</f>
        <v/>
      </c>
      <c r="D941" s="29"/>
      <c r="G941" s="67"/>
    </row>
    <row r="942">
      <c r="A942" s="29"/>
      <c r="B942" s="29"/>
      <c r="C942" s="67" t="str">
        <f>IFERROR(__xludf.DUMMYFUNCTION("""COMPUTED_VALUE"""),"")</f>
        <v/>
      </c>
      <c r="D942" s="29"/>
      <c r="G942" s="67"/>
    </row>
    <row r="943">
      <c r="A943" s="29"/>
      <c r="B943" s="29"/>
      <c r="C943" s="67" t="str">
        <f>IFERROR(__xludf.DUMMYFUNCTION("""COMPUTED_VALUE"""),"")</f>
        <v/>
      </c>
      <c r="D943" s="29"/>
      <c r="G943" s="67"/>
    </row>
    <row r="944">
      <c r="A944" s="29"/>
      <c r="B944" s="29"/>
      <c r="C944" s="67" t="str">
        <f>IFERROR(__xludf.DUMMYFUNCTION("""COMPUTED_VALUE"""),"")</f>
        <v/>
      </c>
      <c r="D944" s="29"/>
      <c r="G944" s="67"/>
    </row>
    <row r="945">
      <c r="A945" s="29"/>
      <c r="B945" s="29"/>
      <c r="C945" s="67" t="str">
        <f>IFERROR(__xludf.DUMMYFUNCTION("""COMPUTED_VALUE"""),"")</f>
        <v/>
      </c>
      <c r="D945" s="29"/>
      <c r="G945" s="67"/>
    </row>
    <row r="946">
      <c r="A946" s="29"/>
      <c r="B946" s="29"/>
      <c r="C946" s="67" t="str">
        <f>IFERROR(__xludf.DUMMYFUNCTION("""COMPUTED_VALUE"""),"")</f>
        <v/>
      </c>
      <c r="D946" s="29"/>
      <c r="G946" s="67"/>
    </row>
    <row r="947">
      <c r="A947" s="29"/>
      <c r="B947" s="29"/>
      <c r="C947" s="67" t="str">
        <f>IFERROR(__xludf.DUMMYFUNCTION("""COMPUTED_VALUE"""),"")</f>
        <v/>
      </c>
      <c r="D947" s="29"/>
      <c r="G947" s="67"/>
    </row>
    <row r="948">
      <c r="A948" s="29"/>
      <c r="B948" s="29"/>
      <c r="C948" s="67" t="str">
        <f>IFERROR(__xludf.DUMMYFUNCTION("""COMPUTED_VALUE"""),"")</f>
        <v/>
      </c>
      <c r="D948" s="29"/>
      <c r="G948" s="67"/>
    </row>
    <row r="949">
      <c r="A949" s="29"/>
      <c r="B949" s="29"/>
      <c r="C949" s="67" t="str">
        <f>IFERROR(__xludf.DUMMYFUNCTION("""COMPUTED_VALUE"""),"")</f>
        <v/>
      </c>
      <c r="D949" s="29"/>
      <c r="G949" s="67"/>
    </row>
    <row r="950">
      <c r="A950" s="29"/>
      <c r="B950" s="29"/>
      <c r="C950" s="67" t="str">
        <f>IFERROR(__xludf.DUMMYFUNCTION("""COMPUTED_VALUE"""),"")</f>
        <v/>
      </c>
      <c r="D950" s="29"/>
      <c r="G950" s="67"/>
    </row>
    <row r="951">
      <c r="A951" s="29"/>
      <c r="B951" s="29"/>
      <c r="C951" s="67" t="str">
        <f>IFERROR(__xludf.DUMMYFUNCTION("""COMPUTED_VALUE"""),"")</f>
        <v/>
      </c>
      <c r="D951" s="29"/>
      <c r="G951" s="67"/>
    </row>
    <row r="952">
      <c r="A952" s="29"/>
      <c r="B952" s="29"/>
      <c r="C952" s="67" t="str">
        <f>IFERROR(__xludf.DUMMYFUNCTION("""COMPUTED_VALUE"""),"")</f>
        <v/>
      </c>
      <c r="D952" s="29"/>
      <c r="G952" s="67"/>
    </row>
    <row r="953">
      <c r="A953" s="29"/>
      <c r="B953" s="29"/>
      <c r="C953" s="67" t="str">
        <f>IFERROR(__xludf.DUMMYFUNCTION("""COMPUTED_VALUE"""),"")</f>
        <v/>
      </c>
      <c r="D953" s="29"/>
      <c r="G953" s="67"/>
    </row>
    <row r="954">
      <c r="A954" s="29"/>
      <c r="B954" s="29"/>
      <c r="C954" s="67" t="str">
        <f>IFERROR(__xludf.DUMMYFUNCTION("""COMPUTED_VALUE"""),"")</f>
        <v/>
      </c>
      <c r="D954" s="29"/>
      <c r="G954" s="67"/>
    </row>
    <row r="955">
      <c r="A955" s="29"/>
      <c r="B955" s="29"/>
      <c r="C955" s="67" t="str">
        <f>IFERROR(__xludf.DUMMYFUNCTION("""COMPUTED_VALUE"""),"")</f>
        <v/>
      </c>
      <c r="D955" s="29"/>
      <c r="G955" s="67"/>
    </row>
    <row r="956">
      <c r="A956" s="29"/>
      <c r="B956" s="29"/>
      <c r="C956" s="67" t="str">
        <f>IFERROR(__xludf.DUMMYFUNCTION("""COMPUTED_VALUE"""),"")</f>
        <v/>
      </c>
      <c r="D956" s="29"/>
      <c r="G956" s="67"/>
    </row>
    <row r="957">
      <c r="A957" s="29"/>
      <c r="B957" s="29"/>
      <c r="C957" s="67" t="str">
        <f>IFERROR(__xludf.DUMMYFUNCTION("""COMPUTED_VALUE"""),"")</f>
        <v/>
      </c>
      <c r="D957" s="29"/>
      <c r="G957" s="67"/>
    </row>
    <row r="958">
      <c r="A958" s="29"/>
      <c r="B958" s="29"/>
      <c r="C958" s="67" t="str">
        <f>IFERROR(__xludf.DUMMYFUNCTION("""COMPUTED_VALUE"""),"")</f>
        <v/>
      </c>
      <c r="D958" s="29"/>
      <c r="G958" s="67"/>
    </row>
    <row r="959">
      <c r="A959" s="29"/>
      <c r="B959" s="29"/>
      <c r="C959" s="67" t="str">
        <f>IFERROR(__xludf.DUMMYFUNCTION("""COMPUTED_VALUE"""),"")</f>
        <v/>
      </c>
      <c r="D959" s="29"/>
      <c r="G959" s="67"/>
    </row>
    <row r="960">
      <c r="A960" s="29"/>
      <c r="B960" s="29"/>
      <c r="C960" s="67" t="str">
        <f>IFERROR(__xludf.DUMMYFUNCTION("""COMPUTED_VALUE"""),"")</f>
        <v/>
      </c>
      <c r="D960" s="29"/>
      <c r="G960" s="67"/>
    </row>
    <row r="961">
      <c r="A961" s="29"/>
      <c r="B961" s="29"/>
      <c r="C961" s="67" t="str">
        <f>IFERROR(__xludf.DUMMYFUNCTION("""COMPUTED_VALUE"""),"")</f>
        <v/>
      </c>
      <c r="D961" s="29"/>
      <c r="G961" s="67"/>
    </row>
    <row r="962">
      <c r="A962" s="29"/>
      <c r="B962" s="29"/>
      <c r="C962" s="67" t="str">
        <f>IFERROR(__xludf.DUMMYFUNCTION("""COMPUTED_VALUE"""),"")</f>
        <v/>
      </c>
      <c r="D962" s="29"/>
      <c r="G962" s="67"/>
    </row>
    <row r="963">
      <c r="A963" s="29"/>
      <c r="B963" s="29"/>
      <c r="C963" s="67" t="str">
        <f>IFERROR(__xludf.DUMMYFUNCTION("""COMPUTED_VALUE"""),"")</f>
        <v/>
      </c>
      <c r="D963" s="29"/>
      <c r="G963" s="67"/>
    </row>
    <row r="964">
      <c r="A964" s="29"/>
      <c r="B964" s="29"/>
      <c r="C964" s="67" t="str">
        <f>IFERROR(__xludf.DUMMYFUNCTION("""COMPUTED_VALUE"""),"")</f>
        <v/>
      </c>
      <c r="D964" s="29"/>
      <c r="G964" s="67"/>
    </row>
    <row r="965">
      <c r="A965" s="29"/>
      <c r="B965" s="29"/>
      <c r="C965" s="67" t="str">
        <f>IFERROR(__xludf.DUMMYFUNCTION("""COMPUTED_VALUE"""),"")</f>
        <v/>
      </c>
      <c r="D965" s="29"/>
      <c r="G965" s="67"/>
    </row>
    <row r="966">
      <c r="A966" s="29"/>
      <c r="B966" s="29"/>
      <c r="C966" s="67" t="str">
        <f>IFERROR(__xludf.DUMMYFUNCTION("""COMPUTED_VALUE"""),"")</f>
        <v/>
      </c>
      <c r="D966" s="29"/>
      <c r="G966" s="67"/>
    </row>
    <row r="967">
      <c r="A967" s="29"/>
      <c r="B967" s="29"/>
      <c r="C967" s="67" t="str">
        <f>IFERROR(__xludf.DUMMYFUNCTION("""COMPUTED_VALUE"""),"")</f>
        <v/>
      </c>
      <c r="D967" s="29"/>
      <c r="G967" s="67"/>
    </row>
    <row r="968">
      <c r="A968" s="29"/>
      <c r="B968" s="29"/>
      <c r="C968" s="67" t="str">
        <f>IFERROR(__xludf.DUMMYFUNCTION("""COMPUTED_VALUE"""),"")</f>
        <v/>
      </c>
      <c r="D968" s="29"/>
      <c r="G968" s="67"/>
    </row>
    <row r="969">
      <c r="A969" s="29"/>
      <c r="B969" s="29"/>
      <c r="C969" s="67" t="str">
        <f>IFERROR(__xludf.DUMMYFUNCTION("""COMPUTED_VALUE"""),"")</f>
        <v/>
      </c>
      <c r="D969" s="29"/>
      <c r="G969" s="67"/>
    </row>
    <row r="970">
      <c r="A970" s="29"/>
      <c r="B970" s="29"/>
      <c r="C970" s="67" t="str">
        <f>IFERROR(__xludf.DUMMYFUNCTION("""COMPUTED_VALUE"""),"")</f>
        <v/>
      </c>
      <c r="D970" s="29"/>
      <c r="G970" s="67"/>
    </row>
    <row r="971">
      <c r="A971" s="29"/>
      <c r="B971" s="29"/>
      <c r="C971" s="67" t="str">
        <f>IFERROR(__xludf.DUMMYFUNCTION("""COMPUTED_VALUE"""),"")</f>
        <v/>
      </c>
      <c r="D971" s="29"/>
      <c r="G971" s="67"/>
    </row>
    <row r="972">
      <c r="A972" s="29"/>
      <c r="B972" s="29"/>
      <c r="C972" s="67" t="str">
        <f>IFERROR(__xludf.DUMMYFUNCTION("""COMPUTED_VALUE"""),"")</f>
        <v/>
      </c>
      <c r="D972" s="29"/>
      <c r="G972" s="67"/>
    </row>
    <row r="973">
      <c r="A973" s="29"/>
      <c r="B973" s="29"/>
      <c r="C973" s="67" t="str">
        <f>IFERROR(__xludf.DUMMYFUNCTION("""COMPUTED_VALUE"""),"")</f>
        <v/>
      </c>
      <c r="D973" s="29"/>
      <c r="G973" s="67"/>
    </row>
    <row r="974">
      <c r="A974" s="29"/>
      <c r="B974" s="29"/>
      <c r="C974" s="67" t="str">
        <f>IFERROR(__xludf.DUMMYFUNCTION("""COMPUTED_VALUE"""),"")</f>
        <v/>
      </c>
      <c r="D974" s="29"/>
      <c r="G974" s="67"/>
    </row>
    <row r="975">
      <c r="A975" s="29"/>
      <c r="B975" s="29"/>
      <c r="C975" s="67" t="str">
        <f>IFERROR(__xludf.DUMMYFUNCTION("""COMPUTED_VALUE"""),"")</f>
        <v/>
      </c>
      <c r="D975" s="29"/>
      <c r="G975" s="67"/>
    </row>
    <row r="976">
      <c r="A976" s="29"/>
      <c r="B976" s="29"/>
      <c r="C976" s="67" t="str">
        <f>IFERROR(__xludf.DUMMYFUNCTION("""COMPUTED_VALUE"""),"")</f>
        <v/>
      </c>
      <c r="D976" s="29"/>
      <c r="G976" s="67"/>
    </row>
    <row r="977">
      <c r="A977" s="29"/>
      <c r="B977" s="29"/>
      <c r="C977" s="67" t="str">
        <f>IFERROR(__xludf.DUMMYFUNCTION("""COMPUTED_VALUE"""),"")</f>
        <v/>
      </c>
      <c r="D977" s="29"/>
      <c r="G977" s="67"/>
    </row>
    <row r="978">
      <c r="A978" s="29"/>
      <c r="B978" s="29"/>
      <c r="C978" s="67" t="str">
        <f>IFERROR(__xludf.DUMMYFUNCTION("""COMPUTED_VALUE"""),"")</f>
        <v/>
      </c>
      <c r="D978" s="29"/>
      <c r="G978" s="67"/>
    </row>
    <row r="979">
      <c r="A979" s="29"/>
      <c r="B979" s="29"/>
      <c r="C979" s="67" t="str">
        <f>IFERROR(__xludf.DUMMYFUNCTION("""COMPUTED_VALUE"""),"")</f>
        <v/>
      </c>
      <c r="D979" s="29"/>
      <c r="G979" s="67"/>
    </row>
    <row r="980">
      <c r="A980" s="29"/>
      <c r="B980" s="29"/>
      <c r="C980" s="67" t="str">
        <f>IFERROR(__xludf.DUMMYFUNCTION("""COMPUTED_VALUE"""),"")</f>
        <v/>
      </c>
      <c r="D980" s="29"/>
      <c r="G980" s="67"/>
    </row>
    <row r="981">
      <c r="A981" s="29"/>
      <c r="B981" s="29"/>
      <c r="C981" s="67" t="str">
        <f>IFERROR(__xludf.DUMMYFUNCTION("""COMPUTED_VALUE"""),"")</f>
        <v/>
      </c>
      <c r="D981" s="29"/>
      <c r="G981" s="67"/>
    </row>
    <row r="982">
      <c r="A982" s="29"/>
      <c r="B982" s="29"/>
      <c r="C982" s="67" t="str">
        <f>IFERROR(__xludf.DUMMYFUNCTION("""COMPUTED_VALUE"""),"")</f>
        <v/>
      </c>
      <c r="D982" s="29"/>
      <c r="G982" s="67"/>
    </row>
    <row r="983">
      <c r="A983" s="29"/>
      <c r="B983" s="29"/>
      <c r="C983" s="67" t="str">
        <f>IFERROR(__xludf.DUMMYFUNCTION("""COMPUTED_VALUE"""),"")</f>
        <v/>
      </c>
      <c r="D983" s="29"/>
      <c r="G983" s="67"/>
    </row>
    <row r="984">
      <c r="A984" s="29"/>
      <c r="B984" s="29"/>
      <c r="C984" s="67" t="str">
        <f>IFERROR(__xludf.DUMMYFUNCTION("""COMPUTED_VALUE"""),"")</f>
        <v/>
      </c>
      <c r="D984" s="29"/>
      <c r="G984" s="67"/>
    </row>
    <row r="985">
      <c r="A985" s="29"/>
      <c r="B985" s="29"/>
      <c r="C985" s="67" t="str">
        <f>IFERROR(__xludf.DUMMYFUNCTION("""COMPUTED_VALUE"""),"")</f>
        <v/>
      </c>
      <c r="D985" s="29"/>
      <c r="G985" s="67"/>
    </row>
    <row r="986">
      <c r="A986" s="29"/>
      <c r="B986" s="29"/>
      <c r="C986" s="67" t="str">
        <f>IFERROR(__xludf.DUMMYFUNCTION("""COMPUTED_VALUE"""),"")</f>
        <v/>
      </c>
      <c r="D986" s="29"/>
      <c r="G986" s="67"/>
    </row>
    <row r="987">
      <c r="A987" s="29"/>
      <c r="B987" s="29"/>
      <c r="C987" s="67" t="str">
        <f>IFERROR(__xludf.DUMMYFUNCTION("""COMPUTED_VALUE"""),"")</f>
        <v/>
      </c>
      <c r="D987" s="29"/>
      <c r="G987" s="67"/>
    </row>
    <row r="988">
      <c r="A988" s="29"/>
      <c r="B988" s="29"/>
      <c r="C988" s="67" t="str">
        <f>IFERROR(__xludf.DUMMYFUNCTION("""COMPUTED_VALUE"""),"")</f>
        <v/>
      </c>
      <c r="D988" s="29"/>
      <c r="G988" s="67"/>
    </row>
    <row r="989">
      <c r="A989" s="29"/>
      <c r="B989" s="29"/>
      <c r="C989" s="67" t="str">
        <f>IFERROR(__xludf.DUMMYFUNCTION("""COMPUTED_VALUE"""),"")</f>
        <v/>
      </c>
      <c r="D989" s="29"/>
      <c r="G989" s="67"/>
    </row>
    <row r="990">
      <c r="A990" s="29"/>
      <c r="B990" s="29"/>
      <c r="C990" s="67" t="str">
        <f>IFERROR(__xludf.DUMMYFUNCTION("""COMPUTED_VALUE"""),"")</f>
        <v/>
      </c>
      <c r="D990" s="29"/>
      <c r="G990" s="67"/>
    </row>
    <row r="991">
      <c r="A991" s="29"/>
      <c r="B991" s="29"/>
      <c r="C991" s="67" t="str">
        <f>IFERROR(__xludf.DUMMYFUNCTION("""COMPUTED_VALUE"""),"")</f>
        <v/>
      </c>
      <c r="D991" s="29"/>
      <c r="G991" s="67"/>
    </row>
    <row r="992">
      <c r="A992" s="29"/>
      <c r="B992" s="29"/>
      <c r="C992" s="67" t="str">
        <f>IFERROR(__xludf.DUMMYFUNCTION("""COMPUTED_VALUE"""),"")</f>
        <v/>
      </c>
      <c r="D992" s="29"/>
      <c r="G992" s="67"/>
    </row>
    <row r="993">
      <c r="A993" s="29"/>
      <c r="B993" s="29"/>
      <c r="C993" s="67" t="str">
        <f>IFERROR(__xludf.DUMMYFUNCTION("""COMPUTED_VALUE"""),"")</f>
        <v/>
      </c>
      <c r="D993" s="29"/>
      <c r="G993" s="67"/>
    </row>
    <row r="994">
      <c r="A994" s="29"/>
      <c r="B994" s="29"/>
      <c r="C994" s="67" t="str">
        <f>IFERROR(__xludf.DUMMYFUNCTION("""COMPUTED_VALUE"""),"")</f>
        <v/>
      </c>
      <c r="D994" s="29"/>
      <c r="G994" s="67"/>
    </row>
    <row r="995">
      <c r="A995" s="29"/>
      <c r="B995" s="29"/>
      <c r="C995" s="67" t="str">
        <f>IFERROR(__xludf.DUMMYFUNCTION("""COMPUTED_VALUE"""),"")</f>
        <v/>
      </c>
      <c r="D995" s="29"/>
      <c r="G995" s="67"/>
    </row>
    <row r="996">
      <c r="A996" s="29"/>
      <c r="B996" s="29"/>
      <c r="C996" s="67" t="str">
        <f>IFERROR(__xludf.DUMMYFUNCTION("""COMPUTED_VALUE"""),"")</f>
        <v/>
      </c>
      <c r="D996" s="29"/>
      <c r="G996" s="67"/>
    </row>
    <row r="997">
      <c r="A997" s="29"/>
      <c r="B997" s="29"/>
      <c r="C997" s="67" t="str">
        <f>IFERROR(__xludf.DUMMYFUNCTION("""COMPUTED_VALUE"""),"")</f>
        <v/>
      </c>
      <c r="D997" s="29"/>
      <c r="G997" s="67"/>
    </row>
    <row r="998">
      <c r="A998" s="29"/>
      <c r="B998" s="29"/>
      <c r="C998" s="67" t="str">
        <f>IFERROR(__xludf.DUMMYFUNCTION("""COMPUTED_VALUE"""),"")</f>
        <v/>
      </c>
      <c r="D998" s="29"/>
      <c r="G998" s="67"/>
    </row>
    <row r="999">
      <c r="A999" s="29"/>
      <c r="B999" s="29"/>
      <c r="C999" s="67" t="str">
        <f>IFERROR(__xludf.DUMMYFUNCTION("""COMPUTED_VALUE"""),"")</f>
        <v/>
      </c>
      <c r="D999" s="29"/>
      <c r="G999" s="67"/>
    </row>
    <row r="1000">
      <c r="A1000" s="29"/>
      <c r="B1000" s="29"/>
      <c r="C1000" s="67" t="str">
        <f>IFERROR(__xludf.DUMMYFUNCTION("""COMPUTED_VALUE"""),"")</f>
        <v/>
      </c>
      <c r="D1000" s="29"/>
      <c r="G1000" s="6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tr">
        <f>IFERROR(__xludf.DUMMYFUNCTION("IMPORTRANGE(""https://docs.google.com/spreadsheets/d/11T3QCvm1KgW6THRDEack4lDxO4QN3BI-8Q0At5dCy7A"",""Juniper!A1:D1000"")"),"Devices")</f>
        <v>Devices</v>
      </c>
      <c r="B1" s="68" t="str">
        <f>IFERROR(__xludf.DUMMYFUNCTION("""COMPUTED_VALUE"""),"List Price")</f>
        <v>List Price</v>
      </c>
      <c r="C1" s="7" t="str">
        <f>IFERROR(__xludf.DUMMYFUNCTION("""COMPUTED_VALUE"""),"Giá AM nhập")</f>
        <v>Giá AM nhập</v>
      </c>
      <c r="D1" s="7" t="str">
        <f>IFERROR(__xludf.DUMMYFUNCTION("""COMPUTED_VALUE"""),"Final Price")</f>
        <v>Final Price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29" t="str">
        <f>IFERROR(__xludf.DUMMYFUNCTION("""COMPUTED_VALUE"""),"EX4200-24T")</f>
        <v>EX4200-24T</v>
      </c>
      <c r="B2" s="67">
        <f>IFERROR(__xludf.DUMMYFUNCTION("""COMPUTED_VALUE"""),10000.0)</f>
        <v>10000</v>
      </c>
      <c r="C2" s="67">
        <f>IFERROR(__xludf.DUMMYFUNCTION("""COMPUTED_VALUE"""),26500.0)</f>
        <v>26500</v>
      </c>
      <c r="D2" s="67">
        <f>IFERROR(__xludf.DUMMYFUNCTION("""COMPUTED_VALUE"""),26500.0)</f>
        <v>26500</v>
      </c>
    </row>
    <row r="3">
      <c r="A3" s="29" t="str">
        <f>IFERROR(__xludf.DUMMYFUNCTION("""COMPUTED_VALUE"""),"EX4300-48S")</f>
        <v>EX4300-48S</v>
      </c>
      <c r="B3" s="67">
        <f>IFERROR(__xludf.DUMMYFUNCTION("""COMPUTED_VALUE"""),20000.0)</f>
        <v>20000</v>
      </c>
      <c r="C3" s="67">
        <f>IFERROR(__xludf.DUMMYFUNCTION("""COMPUTED_VALUE"""),32500.0)</f>
        <v>32500</v>
      </c>
      <c r="D3" s="67">
        <f>IFERROR(__xludf.DUMMYFUNCTION("""COMPUTED_VALUE"""),32500.0)</f>
        <v>32500</v>
      </c>
    </row>
    <row r="4">
      <c r="A4" s="29" t="str">
        <f>IFERROR(__xludf.DUMMYFUNCTION("""COMPUTED_VALUE"""),"EX4600")</f>
        <v>EX4600</v>
      </c>
      <c r="B4" s="67">
        <f>IFERROR(__xludf.DUMMYFUNCTION("""COMPUTED_VALUE"""),30000.0)</f>
        <v>30000</v>
      </c>
      <c r="C4" s="67">
        <f>IFERROR(__xludf.DUMMYFUNCTION("""COMPUTED_VALUE"""),192000.0)</f>
        <v>192000</v>
      </c>
      <c r="D4" s="67">
        <f>IFERROR(__xludf.DUMMYFUNCTION("""COMPUTED_VALUE"""),192000.0)</f>
        <v>192000</v>
      </c>
    </row>
    <row r="5">
      <c r="A5" s="29"/>
      <c r="B5" s="29"/>
      <c r="C5" s="29"/>
      <c r="D5" s="29"/>
    </row>
    <row r="6">
      <c r="A6" s="29"/>
      <c r="B6" s="29"/>
      <c r="C6" s="29"/>
      <c r="D6" s="29"/>
    </row>
    <row r="7">
      <c r="A7" s="29"/>
      <c r="B7" s="29"/>
      <c r="C7" s="29"/>
      <c r="D7" s="29"/>
    </row>
    <row r="8">
      <c r="A8" s="29"/>
      <c r="B8" s="29"/>
      <c r="C8" s="29"/>
      <c r="D8" s="29"/>
    </row>
    <row r="9">
      <c r="A9" s="29"/>
      <c r="B9" s="29"/>
      <c r="C9" s="29"/>
      <c r="D9" s="29"/>
    </row>
    <row r="10">
      <c r="A10" s="29"/>
      <c r="B10" s="29"/>
      <c r="C10" s="29"/>
      <c r="D10" s="29"/>
    </row>
    <row r="11">
      <c r="A11" s="29"/>
      <c r="B11" s="29"/>
      <c r="C11" s="29"/>
      <c r="D11" s="29"/>
    </row>
    <row r="12">
      <c r="A12" s="29"/>
      <c r="B12" s="29"/>
      <c r="C12" s="29"/>
      <c r="D12" s="29"/>
    </row>
    <row r="13">
      <c r="A13" s="29"/>
      <c r="B13" s="29"/>
      <c r="C13" s="29"/>
      <c r="D13" s="29"/>
    </row>
    <row r="14">
      <c r="A14" s="29"/>
      <c r="B14" s="29"/>
      <c r="C14" s="29"/>
      <c r="D14" s="29"/>
    </row>
    <row r="15">
      <c r="A15" s="29"/>
      <c r="B15" s="29"/>
      <c r="C15" s="29"/>
      <c r="D15" s="29"/>
    </row>
    <row r="16">
      <c r="A16" s="29"/>
      <c r="B16" s="29"/>
      <c r="C16" s="29"/>
      <c r="D16" s="29"/>
    </row>
    <row r="17">
      <c r="A17" s="29"/>
      <c r="B17" s="29"/>
      <c r="C17" s="29"/>
      <c r="D17" s="29"/>
    </row>
    <row r="18">
      <c r="A18" s="29"/>
      <c r="B18" s="29"/>
      <c r="C18" s="29"/>
      <c r="D18" s="29"/>
    </row>
    <row r="19">
      <c r="A19" s="29"/>
      <c r="B19" s="29"/>
      <c r="C19" s="29"/>
      <c r="D19" s="29"/>
    </row>
    <row r="20">
      <c r="A20" s="29"/>
      <c r="B20" s="29"/>
      <c r="C20" s="29"/>
      <c r="D20" s="29"/>
    </row>
    <row r="21">
      <c r="A21" s="29"/>
      <c r="B21" s="29"/>
      <c r="C21" s="29"/>
      <c r="D21" s="29"/>
    </row>
    <row r="22">
      <c r="A22" s="29"/>
      <c r="B22" s="29"/>
      <c r="C22" s="29"/>
      <c r="D22" s="29"/>
    </row>
    <row r="23">
      <c r="A23" s="29"/>
      <c r="B23" s="29"/>
      <c r="C23" s="29"/>
      <c r="D23" s="29"/>
    </row>
    <row r="24">
      <c r="A24" s="29"/>
      <c r="B24" s="29"/>
      <c r="C24" s="29"/>
      <c r="D24" s="29"/>
    </row>
    <row r="25">
      <c r="A25" s="29"/>
      <c r="B25" s="29"/>
      <c r="C25" s="29"/>
      <c r="D25" s="29"/>
    </row>
    <row r="26">
      <c r="A26" s="29"/>
      <c r="B26" s="29"/>
      <c r="C26" s="29"/>
      <c r="D26" s="29"/>
    </row>
    <row r="27">
      <c r="A27" s="29"/>
      <c r="B27" s="29"/>
      <c r="C27" s="29"/>
      <c r="D27" s="29"/>
    </row>
    <row r="28">
      <c r="A28" s="29"/>
      <c r="B28" s="29"/>
      <c r="C28" s="29"/>
      <c r="D28" s="29"/>
    </row>
    <row r="29">
      <c r="A29" s="29"/>
      <c r="B29" s="29"/>
      <c r="C29" s="29"/>
      <c r="D29" s="29"/>
    </row>
    <row r="30">
      <c r="A30" s="29"/>
      <c r="B30" s="29"/>
      <c r="C30" s="29"/>
      <c r="D30" s="29"/>
    </row>
    <row r="31">
      <c r="A31" s="29"/>
      <c r="B31" s="29"/>
      <c r="C31" s="29"/>
      <c r="D31" s="29"/>
    </row>
    <row r="32">
      <c r="A32" s="29"/>
      <c r="B32" s="29"/>
      <c r="C32" s="29"/>
      <c r="D32" s="29"/>
    </row>
    <row r="33">
      <c r="A33" s="29"/>
      <c r="B33" s="29"/>
      <c r="C33" s="29"/>
      <c r="D33" s="29"/>
    </row>
    <row r="34">
      <c r="A34" s="29"/>
      <c r="B34" s="29"/>
      <c r="C34" s="29"/>
      <c r="D34" s="29"/>
    </row>
    <row r="35">
      <c r="A35" s="29"/>
      <c r="B35" s="29"/>
      <c r="C35" s="29"/>
      <c r="D35" s="29"/>
    </row>
    <row r="36">
      <c r="A36" s="29"/>
      <c r="B36" s="29"/>
      <c r="C36" s="29"/>
      <c r="D36" s="29"/>
    </row>
    <row r="37">
      <c r="A37" s="29"/>
      <c r="B37" s="29"/>
      <c r="C37" s="29"/>
      <c r="D37" s="29"/>
    </row>
    <row r="38">
      <c r="A38" s="29"/>
      <c r="B38" s="29"/>
      <c r="C38" s="29"/>
      <c r="D38" s="29"/>
    </row>
    <row r="39">
      <c r="A39" s="29"/>
      <c r="B39" s="29"/>
      <c r="C39" s="29"/>
      <c r="D39" s="29"/>
    </row>
    <row r="40">
      <c r="A40" s="29"/>
      <c r="B40" s="29"/>
      <c r="C40" s="29"/>
      <c r="D40" s="29"/>
    </row>
    <row r="41">
      <c r="A41" s="29"/>
      <c r="B41" s="29"/>
      <c r="C41" s="29"/>
      <c r="D41" s="29"/>
    </row>
    <row r="42">
      <c r="A42" s="29"/>
      <c r="B42" s="29"/>
      <c r="C42" s="29"/>
      <c r="D42" s="29"/>
    </row>
    <row r="43">
      <c r="A43" s="29"/>
      <c r="B43" s="29"/>
      <c r="C43" s="29"/>
      <c r="D43" s="29"/>
    </row>
    <row r="44">
      <c r="A44" s="29"/>
      <c r="B44" s="29"/>
      <c r="C44" s="29"/>
      <c r="D44" s="29"/>
    </row>
    <row r="45">
      <c r="A45" s="29"/>
      <c r="B45" s="29"/>
      <c r="C45" s="29"/>
      <c r="D45" s="29"/>
    </row>
    <row r="46">
      <c r="A46" s="29"/>
      <c r="B46" s="29"/>
      <c r="C46" s="29"/>
      <c r="D46" s="29"/>
    </row>
    <row r="47">
      <c r="A47" s="29"/>
      <c r="B47" s="29"/>
      <c r="C47" s="29"/>
      <c r="D47" s="29"/>
    </row>
    <row r="48">
      <c r="A48" s="29"/>
      <c r="B48" s="29"/>
      <c r="C48" s="29"/>
      <c r="D48" s="29"/>
    </row>
    <row r="49">
      <c r="A49" s="29"/>
      <c r="B49" s="29"/>
      <c r="C49" s="29"/>
      <c r="D49" s="29"/>
    </row>
    <row r="50">
      <c r="A50" s="29"/>
      <c r="B50" s="29"/>
      <c r="C50" s="29"/>
      <c r="D50" s="29"/>
    </row>
    <row r="51">
      <c r="A51" s="29"/>
      <c r="B51" s="29"/>
      <c r="C51" s="29"/>
      <c r="D51" s="29"/>
    </row>
    <row r="52">
      <c r="A52" s="29"/>
      <c r="B52" s="29"/>
      <c r="C52" s="29"/>
      <c r="D52" s="29"/>
    </row>
    <row r="53">
      <c r="A53" s="29"/>
      <c r="B53" s="29"/>
      <c r="C53" s="29"/>
      <c r="D53" s="29"/>
    </row>
    <row r="54">
      <c r="A54" s="29"/>
      <c r="B54" s="29"/>
      <c r="C54" s="29"/>
      <c r="D54" s="29"/>
    </row>
    <row r="55">
      <c r="A55" s="29"/>
      <c r="B55" s="29"/>
      <c r="C55" s="29"/>
      <c r="D55" s="29"/>
    </row>
    <row r="56">
      <c r="A56" s="29"/>
      <c r="B56" s="29"/>
      <c r="C56" s="29"/>
      <c r="D56" s="29"/>
    </row>
    <row r="57">
      <c r="A57" s="29"/>
      <c r="B57" s="29"/>
      <c r="C57" s="29"/>
      <c r="D57" s="29"/>
    </row>
    <row r="58">
      <c r="A58" s="29"/>
      <c r="B58" s="29"/>
      <c r="C58" s="29"/>
      <c r="D58" s="29"/>
    </row>
    <row r="59">
      <c r="A59" s="29"/>
      <c r="B59" s="29"/>
      <c r="C59" s="29"/>
      <c r="D59" s="29"/>
    </row>
    <row r="60">
      <c r="A60" s="29"/>
      <c r="B60" s="29"/>
      <c r="C60" s="29"/>
      <c r="D60" s="29"/>
    </row>
    <row r="61">
      <c r="A61" s="29"/>
      <c r="B61" s="29"/>
      <c r="C61" s="29"/>
      <c r="D61" s="29"/>
    </row>
    <row r="62">
      <c r="A62" s="29"/>
      <c r="B62" s="29"/>
      <c r="C62" s="29"/>
      <c r="D62" s="29"/>
    </row>
    <row r="63">
      <c r="A63" s="29"/>
      <c r="B63" s="29"/>
      <c r="C63" s="29"/>
      <c r="D63" s="29"/>
    </row>
    <row r="64">
      <c r="A64" s="29"/>
      <c r="B64" s="29"/>
      <c r="C64" s="29"/>
      <c r="D64" s="29"/>
    </row>
    <row r="65">
      <c r="A65" s="29"/>
      <c r="B65" s="29"/>
      <c r="C65" s="29"/>
      <c r="D65" s="29"/>
    </row>
    <row r="66">
      <c r="A66" s="29"/>
      <c r="B66" s="29"/>
      <c r="C66" s="29"/>
      <c r="D66" s="29"/>
    </row>
    <row r="67">
      <c r="A67" s="29"/>
      <c r="B67" s="29"/>
      <c r="C67" s="29"/>
      <c r="D67" s="29"/>
    </row>
    <row r="68">
      <c r="A68" s="29"/>
      <c r="B68" s="29"/>
      <c r="C68" s="29"/>
      <c r="D68" s="29"/>
    </row>
    <row r="69">
      <c r="A69" s="29"/>
      <c r="B69" s="29"/>
      <c r="C69" s="29"/>
      <c r="D69" s="29"/>
    </row>
    <row r="70">
      <c r="A70" s="29"/>
      <c r="B70" s="29"/>
      <c r="C70" s="29"/>
      <c r="D70" s="29"/>
    </row>
    <row r="71">
      <c r="A71" s="29"/>
      <c r="B71" s="29"/>
      <c r="C71" s="29"/>
      <c r="D71" s="29"/>
    </row>
    <row r="72">
      <c r="A72" s="29"/>
      <c r="B72" s="29"/>
      <c r="C72" s="29"/>
      <c r="D72" s="29"/>
    </row>
    <row r="73">
      <c r="A73" s="29"/>
      <c r="B73" s="29"/>
      <c r="C73" s="29"/>
      <c r="D73" s="29"/>
    </row>
    <row r="74">
      <c r="A74" s="29"/>
      <c r="B74" s="29"/>
      <c r="C74" s="29"/>
      <c r="D74" s="29"/>
    </row>
    <row r="75">
      <c r="A75" s="29"/>
      <c r="B75" s="29"/>
      <c r="C75" s="29"/>
      <c r="D75" s="29"/>
    </row>
    <row r="76">
      <c r="A76" s="29"/>
      <c r="B76" s="29"/>
      <c r="C76" s="29"/>
      <c r="D76" s="29"/>
    </row>
    <row r="77">
      <c r="A77" s="29"/>
      <c r="B77" s="29"/>
      <c r="C77" s="29"/>
      <c r="D77" s="29"/>
    </row>
    <row r="78">
      <c r="A78" s="29"/>
      <c r="B78" s="29"/>
      <c r="C78" s="29"/>
      <c r="D78" s="29"/>
    </row>
    <row r="79">
      <c r="A79" s="29"/>
      <c r="B79" s="29"/>
      <c r="C79" s="29"/>
      <c r="D79" s="29"/>
    </row>
    <row r="80">
      <c r="A80" s="29"/>
      <c r="B80" s="29"/>
      <c r="C80" s="29"/>
      <c r="D80" s="29"/>
    </row>
    <row r="81">
      <c r="A81" s="29"/>
      <c r="B81" s="29"/>
      <c r="C81" s="29"/>
      <c r="D81" s="29"/>
    </row>
    <row r="82">
      <c r="A82" s="29"/>
      <c r="B82" s="29"/>
      <c r="C82" s="29"/>
      <c r="D82" s="29"/>
    </row>
    <row r="83">
      <c r="A83" s="29"/>
      <c r="B83" s="29"/>
      <c r="C83" s="29"/>
      <c r="D83" s="29"/>
    </row>
    <row r="84">
      <c r="A84" s="29"/>
      <c r="B84" s="29"/>
      <c r="C84" s="29"/>
      <c r="D84" s="29"/>
    </row>
    <row r="85">
      <c r="A85" s="29"/>
      <c r="B85" s="29"/>
      <c r="C85" s="29"/>
      <c r="D85" s="29"/>
    </row>
    <row r="86">
      <c r="A86" s="29"/>
      <c r="B86" s="29"/>
      <c r="C86" s="29"/>
      <c r="D86" s="29"/>
    </row>
    <row r="87">
      <c r="A87" s="29"/>
      <c r="B87" s="29"/>
      <c r="C87" s="29"/>
      <c r="D87" s="29"/>
    </row>
    <row r="88">
      <c r="A88" s="29"/>
      <c r="B88" s="29"/>
      <c r="C88" s="29"/>
      <c r="D88" s="29"/>
    </row>
    <row r="89">
      <c r="A89" s="29"/>
      <c r="B89" s="29"/>
      <c r="C89" s="29"/>
      <c r="D89" s="29"/>
    </row>
    <row r="90">
      <c r="A90" s="29"/>
      <c r="B90" s="29"/>
      <c r="C90" s="29"/>
      <c r="D90" s="29"/>
    </row>
    <row r="91">
      <c r="A91" s="29"/>
      <c r="B91" s="29"/>
      <c r="C91" s="29"/>
      <c r="D91" s="29"/>
    </row>
    <row r="92">
      <c r="A92" s="29"/>
      <c r="B92" s="29"/>
      <c r="C92" s="29"/>
      <c r="D92" s="29"/>
    </row>
    <row r="93">
      <c r="A93" s="29"/>
      <c r="B93" s="29"/>
      <c r="C93" s="29"/>
      <c r="D93" s="29"/>
    </row>
    <row r="94">
      <c r="A94" s="29"/>
      <c r="B94" s="29"/>
      <c r="C94" s="29"/>
      <c r="D94" s="29"/>
    </row>
    <row r="95">
      <c r="A95" s="29"/>
      <c r="B95" s="29"/>
      <c r="C95" s="29"/>
      <c r="D95" s="29"/>
    </row>
    <row r="96">
      <c r="A96" s="29"/>
      <c r="B96" s="29"/>
      <c r="C96" s="29"/>
      <c r="D96" s="29"/>
    </row>
    <row r="97">
      <c r="A97" s="29"/>
      <c r="B97" s="29"/>
      <c r="C97" s="29"/>
      <c r="D97" s="29"/>
    </row>
    <row r="98">
      <c r="A98" s="29"/>
      <c r="B98" s="29"/>
      <c r="C98" s="29"/>
      <c r="D98" s="29"/>
    </row>
    <row r="99">
      <c r="A99" s="29"/>
      <c r="B99" s="29"/>
      <c r="C99" s="29"/>
      <c r="D99" s="29"/>
    </row>
    <row r="100">
      <c r="A100" s="29"/>
      <c r="B100" s="29"/>
      <c r="C100" s="29"/>
      <c r="D100" s="29"/>
    </row>
    <row r="101">
      <c r="A101" s="29"/>
      <c r="B101" s="29"/>
      <c r="C101" s="29"/>
      <c r="D101" s="29"/>
    </row>
    <row r="102">
      <c r="A102" s="29"/>
      <c r="B102" s="29"/>
      <c r="C102" s="29"/>
      <c r="D102" s="29"/>
    </row>
    <row r="103">
      <c r="A103" s="29"/>
      <c r="B103" s="29"/>
      <c r="C103" s="29"/>
      <c r="D103" s="29"/>
    </row>
    <row r="104">
      <c r="A104" s="29"/>
      <c r="B104" s="29"/>
      <c r="C104" s="29"/>
      <c r="D104" s="29"/>
    </row>
    <row r="105">
      <c r="A105" s="29"/>
      <c r="B105" s="29"/>
      <c r="C105" s="29"/>
      <c r="D105" s="29"/>
    </row>
    <row r="106">
      <c r="A106" s="29"/>
      <c r="B106" s="29"/>
      <c r="C106" s="29"/>
      <c r="D106" s="29"/>
    </row>
    <row r="107">
      <c r="A107" s="29"/>
      <c r="B107" s="29"/>
      <c r="C107" s="29"/>
      <c r="D107" s="29"/>
    </row>
    <row r="108">
      <c r="A108" s="29"/>
      <c r="B108" s="29"/>
      <c r="C108" s="29"/>
      <c r="D108" s="29"/>
    </row>
    <row r="109">
      <c r="A109" s="29"/>
      <c r="B109" s="29"/>
      <c r="C109" s="29"/>
      <c r="D109" s="29"/>
    </row>
    <row r="110">
      <c r="A110" s="29"/>
      <c r="B110" s="29"/>
      <c r="C110" s="29"/>
      <c r="D110" s="29"/>
    </row>
    <row r="111">
      <c r="A111" s="29"/>
      <c r="B111" s="29"/>
      <c r="C111" s="29"/>
      <c r="D111" s="29"/>
    </row>
    <row r="112">
      <c r="A112" s="29"/>
      <c r="B112" s="29"/>
      <c r="C112" s="29"/>
      <c r="D112" s="29"/>
    </row>
    <row r="113">
      <c r="A113" s="29"/>
      <c r="B113" s="29"/>
      <c r="C113" s="29"/>
      <c r="D113" s="29"/>
    </row>
    <row r="114">
      <c r="A114" s="29"/>
      <c r="B114" s="29"/>
      <c r="C114" s="29"/>
      <c r="D114" s="29"/>
    </row>
    <row r="115">
      <c r="A115" s="29"/>
      <c r="B115" s="29"/>
      <c r="C115" s="29"/>
      <c r="D115" s="29"/>
    </row>
    <row r="116">
      <c r="A116" s="29"/>
      <c r="B116" s="29"/>
      <c r="C116" s="29"/>
      <c r="D116" s="29"/>
    </row>
    <row r="117">
      <c r="A117" s="29"/>
      <c r="B117" s="29"/>
      <c r="C117" s="29"/>
      <c r="D117" s="29"/>
    </row>
    <row r="118">
      <c r="A118" s="29"/>
      <c r="B118" s="29"/>
      <c r="C118" s="29"/>
      <c r="D118" s="29"/>
    </row>
    <row r="119">
      <c r="A119" s="29"/>
      <c r="B119" s="29"/>
      <c r="C119" s="29"/>
      <c r="D119" s="29"/>
    </row>
    <row r="120">
      <c r="A120" s="29"/>
      <c r="B120" s="29"/>
      <c r="C120" s="29"/>
      <c r="D120" s="29"/>
    </row>
    <row r="121">
      <c r="A121" s="29"/>
      <c r="B121" s="29"/>
      <c r="C121" s="29"/>
      <c r="D121" s="29"/>
    </row>
    <row r="122">
      <c r="A122" s="29"/>
      <c r="B122" s="29"/>
      <c r="C122" s="29"/>
      <c r="D122" s="29"/>
    </row>
    <row r="123">
      <c r="A123" s="29"/>
      <c r="B123" s="29"/>
      <c r="C123" s="29"/>
      <c r="D123" s="29"/>
    </row>
    <row r="124">
      <c r="A124" s="29"/>
      <c r="B124" s="29"/>
      <c r="C124" s="29"/>
      <c r="D124" s="29"/>
    </row>
    <row r="125">
      <c r="A125" s="29"/>
      <c r="B125" s="29"/>
      <c r="C125" s="29"/>
      <c r="D125" s="29"/>
    </row>
    <row r="126">
      <c r="A126" s="29"/>
      <c r="B126" s="29"/>
      <c r="C126" s="29"/>
      <c r="D126" s="29"/>
    </row>
    <row r="127">
      <c r="A127" s="29"/>
      <c r="B127" s="29"/>
      <c r="C127" s="29"/>
      <c r="D127" s="29"/>
    </row>
    <row r="128">
      <c r="A128" s="29"/>
      <c r="B128" s="29"/>
      <c r="C128" s="29"/>
      <c r="D128" s="29"/>
    </row>
    <row r="129">
      <c r="A129" s="29"/>
      <c r="B129" s="29"/>
      <c r="C129" s="29"/>
      <c r="D129" s="29"/>
    </row>
    <row r="130">
      <c r="A130" s="29"/>
      <c r="B130" s="29"/>
      <c r="C130" s="29"/>
      <c r="D130" s="29"/>
    </row>
    <row r="131">
      <c r="A131" s="29"/>
      <c r="B131" s="29"/>
      <c r="C131" s="29"/>
      <c r="D131" s="29"/>
    </row>
    <row r="132">
      <c r="A132" s="29"/>
      <c r="B132" s="29"/>
      <c r="C132" s="29"/>
      <c r="D132" s="29"/>
    </row>
    <row r="133">
      <c r="A133" s="29"/>
      <c r="B133" s="29"/>
      <c r="C133" s="29"/>
      <c r="D133" s="29"/>
    </row>
    <row r="134">
      <c r="A134" s="29"/>
      <c r="B134" s="29"/>
      <c r="C134" s="29"/>
      <c r="D134" s="29"/>
    </row>
    <row r="135">
      <c r="A135" s="29"/>
      <c r="B135" s="29"/>
      <c r="C135" s="29"/>
      <c r="D135" s="29"/>
    </row>
    <row r="136">
      <c r="A136" s="29"/>
      <c r="B136" s="29"/>
      <c r="C136" s="29"/>
      <c r="D136" s="29"/>
    </row>
    <row r="137">
      <c r="A137" s="29"/>
      <c r="B137" s="29"/>
      <c r="C137" s="29"/>
      <c r="D137" s="29"/>
    </row>
    <row r="138">
      <c r="A138" s="29"/>
      <c r="B138" s="29"/>
      <c r="C138" s="29"/>
      <c r="D138" s="29"/>
    </row>
    <row r="139">
      <c r="A139" s="29"/>
      <c r="B139" s="29"/>
      <c r="C139" s="29"/>
      <c r="D139" s="29"/>
    </row>
    <row r="140">
      <c r="A140" s="29"/>
      <c r="B140" s="29"/>
      <c r="C140" s="29"/>
      <c r="D140" s="29"/>
    </row>
    <row r="141">
      <c r="A141" s="29"/>
      <c r="B141" s="29"/>
      <c r="C141" s="29"/>
      <c r="D141" s="29"/>
    </row>
    <row r="142">
      <c r="A142" s="29"/>
      <c r="B142" s="29"/>
      <c r="C142" s="29"/>
      <c r="D142" s="29"/>
    </row>
    <row r="143">
      <c r="A143" s="29"/>
      <c r="B143" s="29"/>
      <c r="C143" s="29"/>
      <c r="D143" s="29"/>
    </row>
    <row r="144">
      <c r="A144" s="29"/>
      <c r="B144" s="29"/>
      <c r="C144" s="29"/>
      <c r="D144" s="29"/>
    </row>
    <row r="145">
      <c r="A145" s="29"/>
      <c r="B145" s="29"/>
      <c r="C145" s="29"/>
      <c r="D145" s="29"/>
    </row>
    <row r="146">
      <c r="A146" s="29"/>
      <c r="B146" s="29"/>
      <c r="C146" s="29"/>
      <c r="D146" s="29"/>
    </row>
    <row r="147">
      <c r="A147" s="29"/>
      <c r="B147" s="29"/>
      <c r="C147" s="29"/>
      <c r="D147" s="29"/>
    </row>
    <row r="148">
      <c r="A148" s="29"/>
      <c r="B148" s="29"/>
      <c r="C148" s="29"/>
      <c r="D148" s="29"/>
    </row>
    <row r="149">
      <c r="A149" s="29"/>
      <c r="B149" s="29"/>
      <c r="C149" s="29"/>
      <c r="D149" s="29"/>
    </row>
    <row r="150">
      <c r="A150" s="29"/>
      <c r="B150" s="29"/>
      <c r="C150" s="29"/>
      <c r="D150" s="29"/>
    </row>
    <row r="151">
      <c r="A151" s="29"/>
      <c r="B151" s="29"/>
      <c r="C151" s="29"/>
      <c r="D151" s="29"/>
    </row>
    <row r="152">
      <c r="A152" s="29"/>
      <c r="B152" s="29"/>
      <c r="C152" s="29"/>
      <c r="D152" s="29"/>
    </row>
    <row r="153">
      <c r="A153" s="29"/>
      <c r="B153" s="29"/>
      <c r="C153" s="29"/>
      <c r="D153" s="29"/>
    </row>
    <row r="154">
      <c r="A154" s="29"/>
      <c r="B154" s="29"/>
      <c r="C154" s="29"/>
      <c r="D154" s="29"/>
    </row>
    <row r="155">
      <c r="A155" s="29"/>
      <c r="B155" s="29"/>
      <c r="C155" s="29"/>
      <c r="D155" s="29"/>
    </row>
    <row r="156">
      <c r="A156" s="29"/>
      <c r="B156" s="29"/>
      <c r="C156" s="29"/>
      <c r="D156" s="29"/>
    </row>
    <row r="157">
      <c r="A157" s="29"/>
      <c r="B157" s="29"/>
      <c r="C157" s="29"/>
      <c r="D157" s="29"/>
    </row>
    <row r="158">
      <c r="A158" s="29"/>
      <c r="B158" s="29"/>
      <c r="C158" s="29"/>
      <c r="D158" s="29"/>
    </row>
    <row r="159">
      <c r="A159" s="29"/>
      <c r="B159" s="29"/>
      <c r="C159" s="29"/>
      <c r="D159" s="29"/>
    </row>
    <row r="160">
      <c r="A160" s="29"/>
      <c r="B160" s="29"/>
      <c r="C160" s="29"/>
      <c r="D160" s="29"/>
    </row>
    <row r="161">
      <c r="A161" s="29"/>
      <c r="B161" s="29"/>
      <c r="C161" s="29"/>
      <c r="D161" s="29"/>
    </row>
    <row r="162">
      <c r="A162" s="29"/>
      <c r="B162" s="29"/>
      <c r="C162" s="29"/>
      <c r="D162" s="29"/>
    </row>
    <row r="163">
      <c r="A163" s="29"/>
      <c r="B163" s="29"/>
      <c r="C163" s="29"/>
      <c r="D163" s="29"/>
    </row>
    <row r="164">
      <c r="A164" s="29"/>
      <c r="B164" s="29"/>
      <c r="C164" s="29"/>
      <c r="D164" s="29"/>
    </row>
    <row r="165">
      <c r="A165" s="29"/>
      <c r="B165" s="29"/>
      <c r="C165" s="29"/>
      <c r="D165" s="29"/>
    </row>
    <row r="166">
      <c r="A166" s="29"/>
      <c r="B166" s="29"/>
      <c r="C166" s="29"/>
      <c r="D166" s="29"/>
    </row>
    <row r="167">
      <c r="A167" s="29"/>
      <c r="B167" s="29"/>
      <c r="C167" s="29"/>
      <c r="D167" s="29"/>
    </row>
    <row r="168">
      <c r="A168" s="29"/>
      <c r="B168" s="29"/>
      <c r="C168" s="29"/>
      <c r="D168" s="29"/>
    </row>
    <row r="169">
      <c r="A169" s="29"/>
      <c r="B169" s="29"/>
      <c r="C169" s="29"/>
      <c r="D169" s="29"/>
    </row>
    <row r="170">
      <c r="A170" s="29"/>
      <c r="B170" s="29"/>
      <c r="C170" s="29"/>
      <c r="D170" s="29"/>
    </row>
    <row r="171">
      <c r="A171" s="29"/>
      <c r="B171" s="29"/>
      <c r="C171" s="29"/>
      <c r="D171" s="29"/>
    </row>
    <row r="172">
      <c r="A172" s="29"/>
      <c r="B172" s="29"/>
      <c r="C172" s="29"/>
      <c r="D172" s="29"/>
    </row>
    <row r="173">
      <c r="A173" s="29"/>
      <c r="B173" s="29"/>
      <c r="C173" s="29"/>
      <c r="D173" s="29"/>
    </row>
    <row r="174">
      <c r="A174" s="29"/>
      <c r="B174" s="29"/>
      <c r="C174" s="29"/>
      <c r="D174" s="29"/>
    </row>
    <row r="175">
      <c r="A175" s="29"/>
      <c r="B175" s="29"/>
      <c r="C175" s="29"/>
      <c r="D175" s="29"/>
    </row>
    <row r="176">
      <c r="A176" s="29"/>
      <c r="B176" s="29"/>
      <c r="C176" s="29"/>
      <c r="D176" s="29"/>
    </row>
    <row r="177">
      <c r="A177" s="29"/>
      <c r="B177" s="29"/>
      <c r="C177" s="29"/>
      <c r="D177" s="29"/>
    </row>
    <row r="178">
      <c r="A178" s="29"/>
      <c r="B178" s="29"/>
      <c r="C178" s="29"/>
      <c r="D178" s="29"/>
    </row>
    <row r="179">
      <c r="A179" s="29"/>
      <c r="B179" s="29"/>
      <c r="C179" s="29"/>
      <c r="D179" s="29"/>
    </row>
    <row r="180">
      <c r="A180" s="29"/>
      <c r="B180" s="29"/>
      <c r="C180" s="29"/>
      <c r="D180" s="29"/>
    </row>
    <row r="181">
      <c r="A181" s="29"/>
      <c r="B181" s="29"/>
      <c r="C181" s="29"/>
      <c r="D181" s="29"/>
    </row>
    <row r="182">
      <c r="A182" s="29"/>
      <c r="B182" s="29"/>
      <c r="C182" s="29"/>
      <c r="D182" s="29"/>
    </row>
    <row r="183">
      <c r="A183" s="29"/>
      <c r="B183" s="29"/>
      <c r="C183" s="29"/>
      <c r="D183" s="29"/>
    </row>
    <row r="184">
      <c r="A184" s="29"/>
      <c r="B184" s="29"/>
      <c r="C184" s="29"/>
      <c r="D184" s="29"/>
    </row>
    <row r="185">
      <c r="A185" s="29"/>
      <c r="B185" s="29"/>
      <c r="C185" s="29"/>
      <c r="D185" s="29"/>
    </row>
    <row r="186">
      <c r="A186" s="29"/>
      <c r="B186" s="29"/>
      <c r="C186" s="29"/>
      <c r="D186" s="29"/>
    </row>
    <row r="187">
      <c r="A187" s="29"/>
      <c r="B187" s="29"/>
      <c r="C187" s="29"/>
      <c r="D187" s="29"/>
    </row>
    <row r="188">
      <c r="A188" s="29"/>
      <c r="B188" s="29"/>
      <c r="C188" s="29"/>
      <c r="D188" s="29"/>
    </row>
    <row r="189">
      <c r="A189" s="29"/>
      <c r="B189" s="29"/>
      <c r="C189" s="29"/>
      <c r="D189" s="29"/>
    </row>
    <row r="190">
      <c r="A190" s="29"/>
      <c r="B190" s="29"/>
      <c r="C190" s="29"/>
      <c r="D190" s="29"/>
    </row>
    <row r="191">
      <c r="A191" s="29"/>
      <c r="B191" s="29"/>
      <c r="C191" s="29"/>
      <c r="D191" s="29"/>
    </row>
    <row r="192">
      <c r="A192" s="29"/>
      <c r="B192" s="29"/>
      <c r="C192" s="29"/>
      <c r="D192" s="29"/>
    </row>
    <row r="193">
      <c r="A193" s="29"/>
      <c r="B193" s="29"/>
      <c r="C193" s="29"/>
      <c r="D193" s="29"/>
    </row>
    <row r="194">
      <c r="A194" s="29"/>
      <c r="B194" s="29"/>
      <c r="C194" s="29"/>
      <c r="D194" s="29"/>
    </row>
    <row r="195">
      <c r="A195" s="29"/>
      <c r="B195" s="29"/>
      <c r="C195" s="29"/>
      <c r="D195" s="29"/>
    </row>
    <row r="196">
      <c r="A196" s="29"/>
      <c r="B196" s="29"/>
      <c r="C196" s="29"/>
      <c r="D196" s="29"/>
    </row>
    <row r="197">
      <c r="A197" s="29"/>
      <c r="B197" s="29"/>
      <c r="C197" s="29"/>
      <c r="D197" s="29"/>
    </row>
    <row r="198">
      <c r="A198" s="29"/>
      <c r="B198" s="29"/>
      <c r="C198" s="29"/>
      <c r="D198" s="29"/>
    </row>
    <row r="199">
      <c r="A199" s="29"/>
      <c r="B199" s="29"/>
      <c r="C199" s="29"/>
      <c r="D199" s="29"/>
    </row>
    <row r="200">
      <c r="A200" s="29"/>
      <c r="B200" s="29"/>
      <c r="C200" s="29"/>
      <c r="D200" s="29"/>
    </row>
    <row r="201">
      <c r="A201" s="29"/>
      <c r="B201" s="29"/>
      <c r="C201" s="29"/>
      <c r="D201" s="29"/>
    </row>
    <row r="202">
      <c r="A202" s="29"/>
      <c r="B202" s="29"/>
      <c r="C202" s="29"/>
      <c r="D202" s="29"/>
    </row>
    <row r="203">
      <c r="A203" s="29"/>
      <c r="B203" s="29"/>
      <c r="C203" s="29"/>
      <c r="D203" s="29"/>
    </row>
    <row r="204">
      <c r="A204" s="29"/>
      <c r="B204" s="29"/>
      <c r="C204" s="29"/>
      <c r="D204" s="29"/>
    </row>
    <row r="205">
      <c r="A205" s="29"/>
      <c r="B205" s="29"/>
      <c r="C205" s="29"/>
      <c r="D205" s="29"/>
    </row>
    <row r="206">
      <c r="A206" s="29"/>
      <c r="B206" s="29"/>
      <c r="C206" s="29"/>
      <c r="D206" s="29"/>
    </row>
    <row r="207">
      <c r="A207" s="29"/>
      <c r="B207" s="29"/>
      <c r="C207" s="29"/>
      <c r="D207" s="29"/>
    </row>
    <row r="208">
      <c r="A208" s="29"/>
      <c r="B208" s="29"/>
      <c r="C208" s="29"/>
      <c r="D208" s="29"/>
    </row>
    <row r="209">
      <c r="A209" s="29"/>
      <c r="B209" s="29"/>
      <c r="C209" s="29"/>
      <c r="D209" s="29"/>
    </row>
    <row r="210">
      <c r="A210" s="29"/>
      <c r="B210" s="29"/>
      <c r="C210" s="29"/>
      <c r="D210" s="29"/>
    </row>
    <row r="211">
      <c r="A211" s="29"/>
      <c r="B211" s="29"/>
      <c r="C211" s="29"/>
      <c r="D211" s="29"/>
    </row>
    <row r="212">
      <c r="A212" s="29"/>
      <c r="B212" s="29"/>
      <c r="C212" s="29"/>
      <c r="D212" s="29"/>
    </row>
    <row r="213">
      <c r="A213" s="29"/>
      <c r="B213" s="29"/>
      <c r="C213" s="29"/>
      <c r="D213" s="29"/>
    </row>
    <row r="214">
      <c r="A214" s="29"/>
      <c r="B214" s="29"/>
      <c r="C214" s="29"/>
      <c r="D214" s="29"/>
    </row>
    <row r="215">
      <c r="A215" s="29"/>
      <c r="B215" s="29"/>
      <c r="C215" s="29"/>
      <c r="D215" s="29"/>
    </row>
    <row r="216">
      <c r="A216" s="29"/>
      <c r="B216" s="29"/>
      <c r="C216" s="29"/>
      <c r="D216" s="29"/>
    </row>
    <row r="217">
      <c r="A217" s="29"/>
      <c r="B217" s="29"/>
      <c r="C217" s="29"/>
      <c r="D217" s="29"/>
    </row>
    <row r="218">
      <c r="A218" s="29"/>
      <c r="B218" s="29"/>
      <c r="C218" s="29"/>
      <c r="D218" s="29"/>
    </row>
    <row r="219">
      <c r="A219" s="29"/>
      <c r="B219" s="29"/>
      <c r="C219" s="29"/>
      <c r="D219" s="29"/>
    </row>
    <row r="220">
      <c r="A220" s="29"/>
      <c r="B220" s="29"/>
      <c r="C220" s="29"/>
      <c r="D220" s="29"/>
    </row>
    <row r="221">
      <c r="A221" s="29"/>
      <c r="B221" s="29"/>
      <c r="C221" s="29"/>
      <c r="D221" s="29"/>
    </row>
    <row r="222">
      <c r="A222" s="29"/>
      <c r="B222" s="29"/>
      <c r="C222" s="29"/>
      <c r="D222" s="29"/>
    </row>
    <row r="223">
      <c r="A223" s="29"/>
      <c r="B223" s="29"/>
      <c r="C223" s="29"/>
      <c r="D223" s="29"/>
    </row>
    <row r="224">
      <c r="A224" s="29"/>
      <c r="B224" s="29"/>
      <c r="C224" s="29"/>
      <c r="D224" s="29"/>
    </row>
    <row r="225">
      <c r="A225" s="29"/>
      <c r="B225" s="29"/>
      <c r="C225" s="29"/>
      <c r="D225" s="29"/>
    </row>
    <row r="226">
      <c r="A226" s="29"/>
      <c r="B226" s="29"/>
      <c r="C226" s="29"/>
      <c r="D226" s="29"/>
    </row>
    <row r="227">
      <c r="A227" s="29"/>
      <c r="B227" s="29"/>
      <c r="C227" s="29"/>
      <c r="D227" s="29"/>
    </row>
    <row r="228">
      <c r="A228" s="29"/>
      <c r="B228" s="29"/>
      <c r="C228" s="29"/>
      <c r="D228" s="29"/>
    </row>
    <row r="229">
      <c r="A229" s="29"/>
      <c r="B229" s="29"/>
      <c r="C229" s="29"/>
      <c r="D229" s="29"/>
    </row>
    <row r="230">
      <c r="A230" s="29"/>
      <c r="B230" s="29"/>
      <c r="C230" s="29"/>
      <c r="D230" s="29"/>
    </row>
    <row r="231">
      <c r="A231" s="29"/>
      <c r="B231" s="29"/>
      <c r="C231" s="29"/>
      <c r="D231" s="29"/>
    </row>
    <row r="232">
      <c r="A232" s="29"/>
      <c r="B232" s="29"/>
      <c r="C232" s="29"/>
      <c r="D232" s="29"/>
    </row>
    <row r="233">
      <c r="A233" s="29"/>
      <c r="B233" s="29"/>
      <c r="C233" s="29"/>
      <c r="D233" s="29"/>
    </row>
    <row r="234">
      <c r="A234" s="29"/>
      <c r="B234" s="29"/>
      <c r="C234" s="29"/>
      <c r="D234" s="29"/>
    </row>
    <row r="235">
      <c r="A235" s="29"/>
      <c r="B235" s="29"/>
      <c r="C235" s="29"/>
      <c r="D235" s="29"/>
    </row>
    <row r="236">
      <c r="A236" s="29"/>
      <c r="B236" s="29"/>
      <c r="C236" s="29"/>
      <c r="D236" s="29"/>
    </row>
    <row r="237">
      <c r="A237" s="29"/>
      <c r="B237" s="29"/>
      <c r="C237" s="29"/>
      <c r="D237" s="29"/>
    </row>
    <row r="238">
      <c r="A238" s="29"/>
      <c r="B238" s="29"/>
      <c r="C238" s="29"/>
      <c r="D238" s="29"/>
    </row>
    <row r="239">
      <c r="A239" s="29"/>
      <c r="B239" s="29"/>
      <c r="C239" s="29"/>
      <c r="D239" s="29"/>
    </row>
    <row r="240">
      <c r="A240" s="29"/>
      <c r="B240" s="29"/>
      <c r="C240" s="29"/>
      <c r="D240" s="29"/>
    </row>
    <row r="241">
      <c r="A241" s="29"/>
      <c r="B241" s="29"/>
      <c r="C241" s="29"/>
      <c r="D241" s="29"/>
    </row>
    <row r="242">
      <c r="A242" s="29"/>
      <c r="B242" s="29"/>
      <c r="C242" s="29"/>
      <c r="D242" s="29"/>
    </row>
    <row r="243">
      <c r="A243" s="29"/>
      <c r="B243" s="29"/>
      <c r="C243" s="29"/>
      <c r="D243" s="29"/>
    </row>
    <row r="244">
      <c r="A244" s="29"/>
      <c r="B244" s="29"/>
      <c r="C244" s="29"/>
      <c r="D244" s="29"/>
    </row>
    <row r="245">
      <c r="A245" s="29"/>
      <c r="B245" s="29"/>
      <c r="C245" s="29"/>
      <c r="D245" s="29"/>
    </row>
    <row r="246">
      <c r="A246" s="29"/>
      <c r="B246" s="29"/>
      <c r="C246" s="29"/>
      <c r="D246" s="29"/>
    </row>
    <row r="247">
      <c r="A247" s="29"/>
      <c r="B247" s="29"/>
      <c r="C247" s="29"/>
      <c r="D247" s="29"/>
    </row>
    <row r="248">
      <c r="A248" s="29"/>
      <c r="B248" s="29"/>
      <c r="C248" s="29"/>
      <c r="D248" s="29"/>
    </row>
    <row r="249">
      <c r="A249" s="29"/>
      <c r="B249" s="29"/>
      <c r="C249" s="29"/>
      <c r="D249" s="29"/>
    </row>
    <row r="250">
      <c r="A250" s="29"/>
      <c r="B250" s="29"/>
      <c r="C250" s="29"/>
      <c r="D250" s="29"/>
    </row>
    <row r="251">
      <c r="A251" s="29"/>
      <c r="B251" s="29"/>
      <c r="C251" s="29"/>
      <c r="D251" s="29"/>
    </row>
    <row r="252">
      <c r="A252" s="29"/>
      <c r="B252" s="29"/>
      <c r="C252" s="29"/>
      <c r="D252" s="29"/>
    </row>
    <row r="253">
      <c r="A253" s="29"/>
      <c r="B253" s="29"/>
      <c r="C253" s="29"/>
      <c r="D253" s="29"/>
    </row>
    <row r="254">
      <c r="A254" s="29"/>
      <c r="B254" s="29"/>
      <c r="C254" s="29"/>
      <c r="D254" s="29"/>
    </row>
    <row r="255">
      <c r="A255" s="29"/>
      <c r="B255" s="29"/>
      <c r="C255" s="29"/>
      <c r="D255" s="29"/>
    </row>
    <row r="256">
      <c r="A256" s="29"/>
      <c r="B256" s="29"/>
      <c r="C256" s="29"/>
      <c r="D256" s="29"/>
    </row>
    <row r="257">
      <c r="A257" s="29"/>
      <c r="B257" s="29"/>
      <c r="C257" s="29"/>
      <c r="D257" s="29"/>
    </row>
    <row r="258">
      <c r="A258" s="29"/>
      <c r="B258" s="29"/>
      <c r="C258" s="29"/>
      <c r="D258" s="29"/>
    </row>
    <row r="259">
      <c r="A259" s="29"/>
      <c r="B259" s="29"/>
      <c r="C259" s="29"/>
      <c r="D259" s="29"/>
    </row>
    <row r="260">
      <c r="A260" s="29"/>
      <c r="B260" s="29"/>
      <c r="C260" s="29"/>
      <c r="D260" s="29"/>
    </row>
    <row r="261">
      <c r="A261" s="29"/>
      <c r="B261" s="29"/>
      <c r="C261" s="29"/>
      <c r="D261" s="29"/>
    </row>
    <row r="262">
      <c r="A262" s="29"/>
      <c r="B262" s="29"/>
      <c r="C262" s="29"/>
      <c r="D262" s="29"/>
    </row>
    <row r="263">
      <c r="A263" s="29"/>
      <c r="B263" s="29"/>
      <c r="C263" s="29"/>
      <c r="D263" s="29"/>
    </row>
    <row r="264">
      <c r="A264" s="29"/>
      <c r="B264" s="29"/>
      <c r="C264" s="29"/>
      <c r="D264" s="29"/>
    </row>
    <row r="265">
      <c r="A265" s="29"/>
      <c r="B265" s="29"/>
      <c r="C265" s="29"/>
      <c r="D265" s="29"/>
    </row>
    <row r="266">
      <c r="A266" s="29"/>
      <c r="B266" s="29"/>
      <c r="C266" s="29"/>
      <c r="D266" s="29"/>
    </row>
    <row r="267">
      <c r="A267" s="29"/>
      <c r="B267" s="29"/>
      <c r="C267" s="29"/>
      <c r="D267" s="29"/>
    </row>
    <row r="268">
      <c r="A268" s="29"/>
      <c r="B268" s="29"/>
      <c r="C268" s="29"/>
      <c r="D268" s="29"/>
    </row>
    <row r="269">
      <c r="A269" s="29"/>
      <c r="B269" s="29"/>
      <c r="C269" s="29"/>
      <c r="D269" s="29"/>
    </row>
    <row r="270">
      <c r="A270" s="29"/>
      <c r="B270" s="29"/>
      <c r="C270" s="29"/>
      <c r="D270" s="29"/>
    </row>
    <row r="271">
      <c r="A271" s="29"/>
      <c r="B271" s="29"/>
      <c r="C271" s="29"/>
      <c r="D271" s="29"/>
    </row>
    <row r="272">
      <c r="A272" s="29"/>
      <c r="B272" s="29"/>
      <c r="C272" s="29"/>
      <c r="D272" s="29"/>
    </row>
    <row r="273">
      <c r="A273" s="29"/>
      <c r="B273" s="29"/>
      <c r="C273" s="29"/>
      <c r="D273" s="29"/>
    </row>
    <row r="274">
      <c r="A274" s="29"/>
      <c r="B274" s="29"/>
      <c r="C274" s="29"/>
      <c r="D274" s="29"/>
    </row>
    <row r="275">
      <c r="A275" s="29"/>
      <c r="B275" s="29"/>
      <c r="C275" s="29"/>
      <c r="D275" s="29"/>
    </row>
    <row r="276">
      <c r="A276" s="29"/>
      <c r="B276" s="29"/>
      <c r="C276" s="29"/>
      <c r="D276" s="29"/>
    </row>
    <row r="277">
      <c r="A277" s="29"/>
      <c r="B277" s="29"/>
      <c r="C277" s="29"/>
      <c r="D277" s="29"/>
    </row>
    <row r="278">
      <c r="A278" s="29"/>
      <c r="B278" s="29"/>
      <c r="C278" s="29"/>
      <c r="D278" s="29"/>
    </row>
    <row r="279">
      <c r="A279" s="29"/>
      <c r="B279" s="29"/>
      <c r="C279" s="29"/>
      <c r="D279" s="29"/>
    </row>
    <row r="280">
      <c r="A280" s="29"/>
      <c r="B280" s="29"/>
      <c r="C280" s="29"/>
      <c r="D280" s="29"/>
    </row>
    <row r="281">
      <c r="A281" s="29"/>
      <c r="B281" s="29"/>
      <c r="C281" s="29"/>
      <c r="D281" s="29"/>
    </row>
    <row r="282">
      <c r="A282" s="29"/>
      <c r="B282" s="29"/>
      <c r="C282" s="29"/>
      <c r="D282" s="29"/>
    </row>
    <row r="283">
      <c r="A283" s="29"/>
      <c r="B283" s="29"/>
      <c r="C283" s="29"/>
      <c r="D283" s="29"/>
    </row>
    <row r="284">
      <c r="A284" s="29"/>
      <c r="B284" s="29"/>
      <c r="C284" s="29"/>
      <c r="D284" s="29"/>
    </row>
    <row r="285">
      <c r="A285" s="29"/>
      <c r="B285" s="29"/>
      <c r="C285" s="29"/>
      <c r="D285" s="29"/>
    </row>
    <row r="286">
      <c r="A286" s="29"/>
      <c r="B286" s="29"/>
      <c r="C286" s="29"/>
      <c r="D286" s="29"/>
    </row>
    <row r="287">
      <c r="A287" s="29"/>
      <c r="B287" s="29"/>
      <c r="C287" s="29"/>
      <c r="D287" s="29"/>
    </row>
    <row r="288">
      <c r="A288" s="29"/>
      <c r="B288" s="29"/>
      <c r="C288" s="29"/>
      <c r="D288" s="29"/>
    </row>
    <row r="289">
      <c r="A289" s="29"/>
      <c r="B289" s="29"/>
      <c r="C289" s="29"/>
      <c r="D289" s="29"/>
    </row>
    <row r="290">
      <c r="A290" s="29"/>
      <c r="B290" s="29"/>
      <c r="C290" s="29"/>
      <c r="D290" s="29"/>
    </row>
    <row r="291">
      <c r="A291" s="29"/>
      <c r="B291" s="29"/>
      <c r="C291" s="29"/>
      <c r="D291" s="29"/>
    </row>
    <row r="292">
      <c r="A292" s="29"/>
      <c r="B292" s="29"/>
      <c r="C292" s="29"/>
      <c r="D292" s="29"/>
    </row>
    <row r="293">
      <c r="A293" s="29"/>
      <c r="B293" s="29"/>
      <c r="C293" s="29"/>
      <c r="D293" s="29"/>
    </row>
    <row r="294">
      <c r="A294" s="29"/>
      <c r="B294" s="29"/>
      <c r="C294" s="29"/>
      <c r="D294" s="29"/>
    </row>
    <row r="295">
      <c r="A295" s="29"/>
      <c r="B295" s="29"/>
      <c r="C295" s="29"/>
      <c r="D295" s="29"/>
    </row>
    <row r="296">
      <c r="A296" s="29"/>
      <c r="B296" s="29"/>
      <c r="C296" s="29"/>
      <c r="D296" s="29"/>
    </row>
    <row r="297">
      <c r="A297" s="29"/>
      <c r="B297" s="29"/>
      <c r="C297" s="29"/>
      <c r="D297" s="29"/>
    </row>
    <row r="298">
      <c r="A298" s="29"/>
      <c r="B298" s="29"/>
      <c r="C298" s="29"/>
      <c r="D298" s="29"/>
    </row>
    <row r="299">
      <c r="A299" s="29"/>
      <c r="B299" s="29"/>
      <c r="C299" s="29"/>
      <c r="D299" s="29"/>
    </row>
    <row r="300">
      <c r="A300" s="29"/>
      <c r="B300" s="29"/>
      <c r="C300" s="29"/>
      <c r="D300" s="29"/>
    </row>
    <row r="301">
      <c r="A301" s="29"/>
      <c r="B301" s="29"/>
      <c r="C301" s="29"/>
      <c r="D301" s="29"/>
    </row>
    <row r="302">
      <c r="A302" s="29"/>
      <c r="B302" s="29"/>
      <c r="C302" s="29"/>
      <c r="D302" s="29"/>
    </row>
    <row r="303">
      <c r="A303" s="29"/>
      <c r="B303" s="29"/>
      <c r="C303" s="29"/>
      <c r="D303" s="29"/>
    </row>
    <row r="304">
      <c r="A304" s="29"/>
      <c r="B304" s="29"/>
      <c r="C304" s="29"/>
      <c r="D304" s="29"/>
    </row>
    <row r="305">
      <c r="A305" s="29"/>
      <c r="B305" s="29"/>
      <c r="C305" s="29"/>
      <c r="D305" s="29"/>
    </row>
    <row r="306">
      <c r="A306" s="29"/>
      <c r="B306" s="29"/>
      <c r="C306" s="29"/>
      <c r="D306" s="29"/>
    </row>
    <row r="307">
      <c r="A307" s="29"/>
      <c r="B307" s="29"/>
      <c r="C307" s="29"/>
      <c r="D307" s="29"/>
    </row>
    <row r="308">
      <c r="A308" s="29"/>
      <c r="B308" s="29"/>
      <c r="C308" s="29"/>
      <c r="D308" s="29"/>
    </row>
    <row r="309">
      <c r="A309" s="29"/>
      <c r="B309" s="29"/>
      <c r="C309" s="29"/>
      <c r="D309" s="29"/>
    </row>
    <row r="310">
      <c r="A310" s="29"/>
      <c r="B310" s="29"/>
      <c r="C310" s="29"/>
      <c r="D310" s="29"/>
    </row>
    <row r="311">
      <c r="A311" s="29"/>
      <c r="B311" s="29"/>
      <c r="C311" s="29"/>
      <c r="D311" s="29"/>
    </row>
    <row r="312">
      <c r="A312" s="29"/>
      <c r="B312" s="29"/>
      <c r="C312" s="29"/>
      <c r="D312" s="29"/>
    </row>
    <row r="313">
      <c r="A313" s="29"/>
      <c r="B313" s="29"/>
      <c r="C313" s="29"/>
      <c r="D313" s="29"/>
    </row>
    <row r="314">
      <c r="A314" s="29"/>
      <c r="B314" s="29"/>
      <c r="C314" s="29"/>
      <c r="D314" s="29"/>
    </row>
    <row r="315">
      <c r="A315" s="29"/>
      <c r="B315" s="29"/>
      <c r="C315" s="29"/>
      <c r="D315" s="29"/>
    </row>
    <row r="316">
      <c r="A316" s="29"/>
      <c r="B316" s="29"/>
      <c r="C316" s="29"/>
      <c r="D316" s="29"/>
    </row>
    <row r="317">
      <c r="A317" s="29"/>
      <c r="B317" s="29"/>
      <c r="C317" s="29"/>
      <c r="D317" s="29"/>
    </row>
    <row r="318">
      <c r="A318" s="29"/>
      <c r="B318" s="29"/>
      <c r="C318" s="29"/>
      <c r="D318" s="29"/>
    </row>
    <row r="319">
      <c r="A319" s="29"/>
      <c r="B319" s="29"/>
      <c r="C319" s="29"/>
      <c r="D319" s="29"/>
    </row>
    <row r="320">
      <c r="A320" s="29"/>
      <c r="B320" s="29"/>
      <c r="C320" s="29"/>
      <c r="D320" s="29"/>
    </row>
    <row r="321">
      <c r="A321" s="29"/>
      <c r="B321" s="29"/>
      <c r="C321" s="29"/>
      <c r="D321" s="29"/>
    </row>
    <row r="322">
      <c r="A322" s="29"/>
      <c r="B322" s="29"/>
      <c r="C322" s="29"/>
      <c r="D322" s="29"/>
    </row>
    <row r="323">
      <c r="A323" s="29"/>
      <c r="B323" s="29"/>
      <c r="C323" s="29"/>
      <c r="D323" s="29"/>
    </row>
    <row r="324">
      <c r="A324" s="29"/>
      <c r="B324" s="29"/>
      <c r="C324" s="29"/>
      <c r="D324" s="29"/>
    </row>
    <row r="325">
      <c r="A325" s="29"/>
      <c r="B325" s="29"/>
      <c r="C325" s="29"/>
      <c r="D325" s="29"/>
    </row>
    <row r="326">
      <c r="A326" s="29"/>
      <c r="B326" s="29"/>
      <c r="C326" s="29"/>
      <c r="D326" s="29"/>
    </row>
    <row r="327">
      <c r="A327" s="29"/>
      <c r="B327" s="29"/>
      <c r="C327" s="29"/>
      <c r="D327" s="29"/>
    </row>
    <row r="328">
      <c r="A328" s="29"/>
      <c r="B328" s="29"/>
      <c r="C328" s="29"/>
      <c r="D328" s="29"/>
    </row>
    <row r="329">
      <c r="A329" s="29"/>
      <c r="B329" s="29"/>
      <c r="C329" s="29"/>
      <c r="D329" s="29"/>
    </row>
    <row r="330">
      <c r="A330" s="29"/>
      <c r="B330" s="29"/>
      <c r="C330" s="29"/>
      <c r="D330" s="29"/>
    </row>
    <row r="331">
      <c r="A331" s="29"/>
      <c r="B331" s="29"/>
      <c r="C331" s="29"/>
      <c r="D331" s="29"/>
    </row>
    <row r="332">
      <c r="A332" s="29"/>
      <c r="B332" s="29"/>
      <c r="C332" s="29"/>
      <c r="D332" s="29"/>
    </row>
    <row r="333">
      <c r="A333" s="29"/>
      <c r="B333" s="29"/>
      <c r="C333" s="29"/>
      <c r="D333" s="29"/>
    </row>
    <row r="334">
      <c r="A334" s="29"/>
      <c r="B334" s="29"/>
      <c r="C334" s="29"/>
      <c r="D334" s="29"/>
    </row>
    <row r="335">
      <c r="A335" s="29"/>
      <c r="B335" s="29"/>
      <c r="C335" s="29"/>
      <c r="D335" s="29"/>
    </row>
    <row r="336">
      <c r="A336" s="29"/>
      <c r="B336" s="29"/>
      <c r="C336" s="29"/>
      <c r="D336" s="29"/>
    </row>
    <row r="337">
      <c r="A337" s="29"/>
      <c r="B337" s="29"/>
      <c r="C337" s="29"/>
      <c r="D337" s="29"/>
    </row>
    <row r="338">
      <c r="A338" s="29"/>
      <c r="B338" s="29"/>
      <c r="C338" s="29"/>
      <c r="D338" s="29"/>
    </row>
    <row r="339">
      <c r="A339" s="29"/>
      <c r="B339" s="29"/>
      <c r="C339" s="29"/>
      <c r="D339" s="29"/>
    </row>
    <row r="340">
      <c r="A340" s="29"/>
      <c r="B340" s="29"/>
      <c r="C340" s="29"/>
      <c r="D340" s="29"/>
    </row>
    <row r="341">
      <c r="A341" s="29"/>
      <c r="B341" s="29"/>
      <c r="C341" s="29"/>
      <c r="D341" s="29"/>
    </row>
    <row r="342">
      <c r="A342" s="29"/>
      <c r="B342" s="29"/>
      <c r="C342" s="29"/>
      <c r="D342" s="29"/>
    </row>
    <row r="343">
      <c r="A343" s="29"/>
      <c r="B343" s="29"/>
      <c r="C343" s="29"/>
      <c r="D343" s="29"/>
    </row>
    <row r="344">
      <c r="A344" s="29"/>
      <c r="B344" s="29"/>
      <c r="C344" s="29"/>
      <c r="D344" s="29"/>
    </row>
    <row r="345">
      <c r="A345" s="29"/>
      <c r="B345" s="29"/>
      <c r="C345" s="29"/>
      <c r="D345" s="29"/>
    </row>
    <row r="346">
      <c r="A346" s="29"/>
      <c r="B346" s="29"/>
      <c r="C346" s="29"/>
      <c r="D346" s="29"/>
    </row>
    <row r="347">
      <c r="A347" s="29"/>
      <c r="B347" s="29"/>
      <c r="C347" s="29"/>
      <c r="D347" s="29"/>
    </row>
    <row r="348">
      <c r="A348" s="29"/>
      <c r="B348" s="29"/>
      <c r="C348" s="29"/>
      <c r="D348" s="29"/>
    </row>
    <row r="349">
      <c r="A349" s="29"/>
      <c r="B349" s="29"/>
      <c r="C349" s="29"/>
      <c r="D349" s="29"/>
    </row>
    <row r="350">
      <c r="A350" s="29"/>
      <c r="B350" s="29"/>
      <c r="C350" s="29"/>
      <c r="D350" s="29"/>
    </row>
    <row r="351">
      <c r="A351" s="29"/>
      <c r="B351" s="29"/>
      <c r="C351" s="29"/>
      <c r="D351" s="29"/>
    </row>
    <row r="352">
      <c r="A352" s="29"/>
      <c r="B352" s="29"/>
      <c r="C352" s="29"/>
      <c r="D352" s="29"/>
    </row>
    <row r="353">
      <c r="A353" s="29"/>
      <c r="B353" s="29"/>
      <c r="C353" s="29"/>
      <c r="D353" s="29"/>
    </row>
    <row r="354">
      <c r="A354" s="29"/>
      <c r="B354" s="29"/>
      <c r="C354" s="29"/>
      <c r="D354" s="29"/>
    </row>
    <row r="355">
      <c r="A355" s="29"/>
      <c r="B355" s="29"/>
      <c r="C355" s="29"/>
      <c r="D355" s="29"/>
    </row>
    <row r="356">
      <c r="A356" s="29"/>
      <c r="B356" s="29"/>
      <c r="C356" s="29"/>
      <c r="D356" s="29"/>
    </row>
    <row r="357">
      <c r="A357" s="29"/>
      <c r="B357" s="29"/>
      <c r="C357" s="29"/>
      <c r="D357" s="29"/>
    </row>
    <row r="358">
      <c r="A358" s="29"/>
      <c r="B358" s="29"/>
      <c r="C358" s="29"/>
      <c r="D358" s="29"/>
    </row>
    <row r="359">
      <c r="A359" s="29"/>
      <c r="B359" s="29"/>
      <c r="C359" s="29"/>
      <c r="D359" s="29"/>
    </row>
    <row r="360">
      <c r="A360" s="29"/>
      <c r="B360" s="29"/>
      <c r="C360" s="29"/>
      <c r="D360" s="29"/>
    </row>
    <row r="361">
      <c r="A361" s="29"/>
      <c r="B361" s="29"/>
      <c r="C361" s="29"/>
      <c r="D361" s="29"/>
    </row>
    <row r="362">
      <c r="A362" s="29"/>
      <c r="B362" s="29"/>
      <c r="C362" s="29"/>
      <c r="D362" s="29"/>
    </row>
    <row r="363">
      <c r="A363" s="29"/>
      <c r="B363" s="29"/>
      <c r="C363" s="29"/>
      <c r="D363" s="29"/>
    </row>
    <row r="364">
      <c r="A364" s="29"/>
      <c r="B364" s="29"/>
      <c r="C364" s="29"/>
      <c r="D364" s="29"/>
    </row>
    <row r="365">
      <c r="A365" s="29"/>
      <c r="B365" s="29"/>
      <c r="C365" s="29"/>
      <c r="D365" s="29"/>
    </row>
    <row r="366">
      <c r="A366" s="29"/>
      <c r="B366" s="29"/>
      <c r="C366" s="29"/>
      <c r="D366" s="29"/>
    </row>
    <row r="367">
      <c r="A367" s="29"/>
      <c r="B367" s="29"/>
      <c r="C367" s="29"/>
      <c r="D367" s="29"/>
    </row>
    <row r="368">
      <c r="A368" s="29"/>
      <c r="B368" s="29"/>
      <c r="C368" s="29"/>
      <c r="D368" s="29"/>
    </row>
    <row r="369">
      <c r="A369" s="29"/>
      <c r="B369" s="29"/>
      <c r="C369" s="29"/>
      <c r="D369" s="29"/>
    </row>
    <row r="370">
      <c r="A370" s="29"/>
      <c r="B370" s="29"/>
      <c r="C370" s="29"/>
      <c r="D370" s="29"/>
    </row>
    <row r="371">
      <c r="A371" s="29"/>
      <c r="B371" s="29"/>
      <c r="C371" s="29"/>
      <c r="D371" s="29"/>
    </row>
    <row r="372">
      <c r="A372" s="29"/>
      <c r="B372" s="29"/>
      <c r="C372" s="29"/>
      <c r="D372" s="29"/>
    </row>
    <row r="373">
      <c r="A373" s="29"/>
      <c r="B373" s="29"/>
      <c r="C373" s="29"/>
      <c r="D373" s="29"/>
    </row>
    <row r="374">
      <c r="A374" s="29"/>
      <c r="B374" s="29"/>
      <c r="C374" s="29"/>
      <c r="D374" s="29"/>
    </row>
    <row r="375">
      <c r="A375" s="29"/>
      <c r="B375" s="29"/>
      <c r="C375" s="29"/>
      <c r="D375" s="29"/>
    </row>
    <row r="376">
      <c r="A376" s="29"/>
      <c r="B376" s="29"/>
      <c r="C376" s="29"/>
      <c r="D376" s="29"/>
    </row>
    <row r="377">
      <c r="A377" s="29"/>
      <c r="B377" s="29"/>
      <c r="C377" s="29"/>
      <c r="D377" s="29"/>
    </row>
    <row r="378">
      <c r="A378" s="29"/>
      <c r="B378" s="29"/>
      <c r="C378" s="29"/>
      <c r="D378" s="29"/>
    </row>
    <row r="379">
      <c r="A379" s="29"/>
      <c r="B379" s="29"/>
      <c r="C379" s="29"/>
      <c r="D379" s="29"/>
    </row>
    <row r="380">
      <c r="A380" s="29"/>
      <c r="B380" s="29"/>
      <c r="C380" s="29"/>
      <c r="D380" s="29"/>
    </row>
    <row r="381">
      <c r="A381" s="29"/>
      <c r="B381" s="29"/>
      <c r="C381" s="29"/>
      <c r="D381" s="29"/>
    </row>
    <row r="382">
      <c r="A382" s="29"/>
      <c r="B382" s="29"/>
      <c r="C382" s="29"/>
      <c r="D382" s="29"/>
    </row>
    <row r="383">
      <c r="A383" s="29"/>
      <c r="B383" s="29"/>
      <c r="C383" s="29"/>
      <c r="D383" s="29"/>
    </row>
    <row r="384">
      <c r="A384" s="29"/>
      <c r="B384" s="29"/>
      <c r="C384" s="29"/>
      <c r="D384" s="29"/>
    </row>
    <row r="385">
      <c r="A385" s="29"/>
      <c r="B385" s="29"/>
      <c r="C385" s="29"/>
      <c r="D385" s="29"/>
    </row>
    <row r="386">
      <c r="A386" s="29"/>
      <c r="B386" s="29"/>
      <c r="C386" s="29"/>
      <c r="D386" s="29"/>
    </row>
    <row r="387">
      <c r="A387" s="29"/>
      <c r="B387" s="29"/>
      <c r="C387" s="29"/>
      <c r="D387" s="29"/>
    </row>
    <row r="388">
      <c r="A388" s="29"/>
      <c r="B388" s="29"/>
      <c r="C388" s="29"/>
      <c r="D388" s="29"/>
    </row>
    <row r="389">
      <c r="A389" s="29"/>
      <c r="B389" s="29"/>
      <c r="C389" s="29"/>
      <c r="D389" s="29"/>
    </row>
    <row r="390">
      <c r="A390" s="29"/>
      <c r="B390" s="29"/>
      <c r="C390" s="29"/>
      <c r="D390" s="29"/>
    </row>
    <row r="391">
      <c r="A391" s="29"/>
      <c r="B391" s="29"/>
      <c r="C391" s="29"/>
      <c r="D391" s="29"/>
    </row>
    <row r="392">
      <c r="A392" s="29"/>
      <c r="B392" s="29"/>
      <c r="C392" s="29"/>
      <c r="D392" s="29"/>
    </row>
    <row r="393">
      <c r="A393" s="29"/>
      <c r="B393" s="29"/>
      <c r="C393" s="29"/>
      <c r="D393" s="29"/>
    </row>
    <row r="394">
      <c r="A394" s="29"/>
      <c r="B394" s="29"/>
      <c r="C394" s="29"/>
      <c r="D394" s="29"/>
    </row>
    <row r="395">
      <c r="A395" s="29"/>
      <c r="B395" s="29"/>
      <c r="C395" s="29"/>
      <c r="D395" s="29"/>
    </row>
    <row r="396">
      <c r="A396" s="29"/>
      <c r="B396" s="29"/>
      <c r="C396" s="29"/>
      <c r="D396" s="29"/>
    </row>
    <row r="397">
      <c r="A397" s="29"/>
      <c r="B397" s="29"/>
      <c r="C397" s="29"/>
      <c r="D397" s="29"/>
    </row>
    <row r="398">
      <c r="A398" s="29"/>
      <c r="B398" s="29"/>
      <c r="C398" s="29"/>
      <c r="D398" s="29"/>
    </row>
    <row r="399">
      <c r="A399" s="29"/>
      <c r="B399" s="29"/>
      <c r="C399" s="29"/>
      <c r="D399" s="29"/>
    </row>
    <row r="400">
      <c r="A400" s="29"/>
      <c r="B400" s="29"/>
      <c r="C400" s="29"/>
      <c r="D400" s="29"/>
    </row>
    <row r="401">
      <c r="A401" s="29"/>
      <c r="B401" s="29"/>
      <c r="C401" s="29"/>
      <c r="D401" s="29"/>
    </row>
    <row r="402">
      <c r="A402" s="29"/>
      <c r="B402" s="29"/>
      <c r="C402" s="29"/>
      <c r="D402" s="29"/>
    </row>
    <row r="403">
      <c r="A403" s="29"/>
      <c r="B403" s="29"/>
      <c r="C403" s="29"/>
      <c r="D403" s="29"/>
    </row>
    <row r="404">
      <c r="A404" s="29"/>
      <c r="B404" s="29"/>
      <c r="C404" s="29"/>
      <c r="D404" s="29"/>
    </row>
    <row r="405">
      <c r="A405" s="29"/>
      <c r="B405" s="29"/>
      <c r="C405" s="29"/>
      <c r="D405" s="29"/>
    </row>
    <row r="406">
      <c r="A406" s="29"/>
      <c r="B406" s="29"/>
      <c r="C406" s="29"/>
      <c r="D406" s="29"/>
    </row>
    <row r="407">
      <c r="A407" s="29"/>
      <c r="B407" s="29"/>
      <c r="C407" s="29"/>
      <c r="D407" s="29"/>
    </row>
    <row r="408">
      <c r="A408" s="29"/>
      <c r="B408" s="29"/>
      <c r="C408" s="29"/>
      <c r="D408" s="29"/>
    </row>
    <row r="409">
      <c r="A409" s="29"/>
      <c r="B409" s="29"/>
      <c r="C409" s="29"/>
      <c r="D409" s="29"/>
    </row>
    <row r="410">
      <c r="A410" s="29"/>
      <c r="B410" s="29"/>
      <c r="C410" s="29"/>
      <c r="D410" s="29"/>
    </row>
    <row r="411">
      <c r="A411" s="29"/>
      <c r="B411" s="29"/>
      <c r="C411" s="29"/>
      <c r="D411" s="29"/>
    </row>
    <row r="412">
      <c r="A412" s="29"/>
      <c r="B412" s="29"/>
      <c r="C412" s="29"/>
      <c r="D412" s="29"/>
    </row>
    <row r="413">
      <c r="A413" s="29"/>
      <c r="B413" s="29"/>
      <c r="C413" s="29"/>
      <c r="D413" s="29"/>
    </row>
    <row r="414">
      <c r="A414" s="29"/>
      <c r="B414" s="29"/>
      <c r="C414" s="29"/>
      <c r="D414" s="29"/>
    </row>
    <row r="415">
      <c r="A415" s="29"/>
      <c r="B415" s="29"/>
      <c r="C415" s="29"/>
      <c r="D415" s="29"/>
    </row>
    <row r="416">
      <c r="A416" s="29"/>
      <c r="B416" s="29"/>
      <c r="C416" s="29"/>
      <c r="D416" s="29"/>
    </row>
    <row r="417">
      <c r="A417" s="29"/>
      <c r="B417" s="29"/>
      <c r="C417" s="29"/>
      <c r="D417" s="29"/>
    </row>
    <row r="418">
      <c r="A418" s="29"/>
      <c r="B418" s="29"/>
      <c r="C418" s="29"/>
      <c r="D418" s="29"/>
    </row>
    <row r="419">
      <c r="A419" s="29"/>
      <c r="B419" s="29"/>
      <c r="C419" s="29"/>
      <c r="D419" s="29"/>
    </row>
    <row r="420">
      <c r="A420" s="29"/>
      <c r="B420" s="29"/>
      <c r="C420" s="29"/>
      <c r="D420" s="29"/>
    </row>
    <row r="421">
      <c r="A421" s="29"/>
      <c r="B421" s="29"/>
      <c r="C421" s="29"/>
      <c r="D421" s="29"/>
    </row>
    <row r="422">
      <c r="A422" s="29"/>
      <c r="B422" s="29"/>
      <c r="C422" s="29"/>
      <c r="D422" s="29"/>
    </row>
    <row r="423">
      <c r="A423" s="29"/>
      <c r="B423" s="29"/>
      <c r="C423" s="29"/>
      <c r="D423" s="29"/>
    </row>
    <row r="424">
      <c r="A424" s="29"/>
      <c r="B424" s="29"/>
      <c r="C424" s="29"/>
      <c r="D424" s="29"/>
    </row>
    <row r="425">
      <c r="A425" s="29"/>
      <c r="B425" s="29"/>
      <c r="C425" s="29"/>
      <c r="D425" s="29"/>
    </row>
    <row r="426">
      <c r="A426" s="29"/>
      <c r="B426" s="29"/>
      <c r="C426" s="29"/>
      <c r="D426" s="29"/>
    </row>
    <row r="427">
      <c r="A427" s="29"/>
      <c r="B427" s="29"/>
      <c r="C427" s="29"/>
      <c r="D427" s="29"/>
    </row>
    <row r="428">
      <c r="A428" s="29"/>
      <c r="B428" s="29"/>
      <c r="C428" s="29"/>
      <c r="D428" s="29"/>
    </row>
    <row r="429">
      <c r="A429" s="29"/>
      <c r="B429" s="29"/>
      <c r="C429" s="29"/>
      <c r="D429" s="29"/>
    </row>
    <row r="430">
      <c r="A430" s="29"/>
      <c r="B430" s="29"/>
      <c r="C430" s="29"/>
      <c r="D430" s="29"/>
    </row>
    <row r="431">
      <c r="A431" s="29"/>
      <c r="B431" s="29"/>
      <c r="C431" s="29"/>
      <c r="D431" s="29"/>
    </row>
    <row r="432">
      <c r="A432" s="29"/>
      <c r="B432" s="29"/>
      <c r="C432" s="29"/>
      <c r="D432" s="29"/>
    </row>
    <row r="433">
      <c r="A433" s="29"/>
      <c r="B433" s="29"/>
      <c r="C433" s="29"/>
      <c r="D433" s="29"/>
    </row>
    <row r="434">
      <c r="A434" s="29"/>
      <c r="B434" s="29"/>
      <c r="C434" s="29"/>
      <c r="D434" s="29"/>
    </row>
    <row r="435">
      <c r="A435" s="29"/>
      <c r="B435" s="29"/>
      <c r="C435" s="29"/>
      <c r="D435" s="29"/>
    </row>
    <row r="436">
      <c r="A436" s="29"/>
      <c r="B436" s="29"/>
      <c r="C436" s="29"/>
      <c r="D436" s="29"/>
    </row>
    <row r="437">
      <c r="A437" s="29"/>
      <c r="B437" s="29"/>
      <c r="C437" s="29"/>
      <c r="D437" s="29"/>
    </row>
    <row r="438">
      <c r="A438" s="29"/>
      <c r="B438" s="29"/>
      <c r="C438" s="29"/>
      <c r="D438" s="29"/>
    </row>
    <row r="439">
      <c r="A439" s="29"/>
      <c r="B439" s="29"/>
      <c r="C439" s="29"/>
      <c r="D439" s="29"/>
    </row>
    <row r="440">
      <c r="A440" s="29"/>
      <c r="B440" s="29"/>
      <c r="C440" s="29"/>
      <c r="D440" s="29"/>
    </row>
    <row r="441">
      <c r="A441" s="29"/>
      <c r="B441" s="29"/>
      <c r="C441" s="29"/>
      <c r="D441" s="29"/>
    </row>
    <row r="442">
      <c r="A442" s="29"/>
      <c r="B442" s="29"/>
      <c r="C442" s="29"/>
      <c r="D442" s="29"/>
    </row>
    <row r="443">
      <c r="A443" s="29"/>
      <c r="B443" s="29"/>
      <c r="C443" s="29"/>
      <c r="D443" s="29"/>
    </row>
    <row r="444">
      <c r="A444" s="29"/>
      <c r="B444" s="29"/>
      <c r="C444" s="29"/>
      <c r="D444" s="29"/>
    </row>
    <row r="445">
      <c r="A445" s="29"/>
      <c r="B445" s="29"/>
      <c r="C445" s="29"/>
      <c r="D445" s="29"/>
    </row>
    <row r="446">
      <c r="A446" s="29"/>
      <c r="B446" s="29"/>
      <c r="C446" s="29"/>
      <c r="D446" s="29"/>
    </row>
    <row r="447">
      <c r="A447" s="29"/>
      <c r="B447" s="29"/>
      <c r="C447" s="29"/>
      <c r="D447" s="29"/>
    </row>
    <row r="448">
      <c r="A448" s="29"/>
      <c r="B448" s="29"/>
      <c r="C448" s="29"/>
      <c r="D448" s="29"/>
    </row>
    <row r="449">
      <c r="A449" s="29"/>
      <c r="B449" s="29"/>
      <c r="C449" s="29"/>
      <c r="D449" s="29"/>
    </row>
    <row r="450">
      <c r="A450" s="29"/>
      <c r="B450" s="29"/>
      <c r="C450" s="29"/>
      <c r="D450" s="29"/>
    </row>
    <row r="451">
      <c r="A451" s="29"/>
      <c r="B451" s="29"/>
      <c r="C451" s="29"/>
      <c r="D451" s="29"/>
    </row>
    <row r="452">
      <c r="A452" s="29"/>
      <c r="B452" s="29"/>
      <c r="C452" s="29"/>
      <c r="D452" s="29"/>
    </row>
    <row r="453">
      <c r="A453" s="29"/>
      <c r="B453" s="29"/>
      <c r="C453" s="29"/>
      <c r="D453" s="29"/>
    </row>
    <row r="454">
      <c r="A454" s="29"/>
      <c r="B454" s="29"/>
      <c r="C454" s="29"/>
      <c r="D454" s="29"/>
    </row>
    <row r="455">
      <c r="A455" s="29"/>
      <c r="B455" s="29"/>
      <c r="C455" s="29"/>
      <c r="D455" s="29"/>
    </row>
    <row r="456">
      <c r="A456" s="29"/>
      <c r="B456" s="29"/>
      <c r="C456" s="29"/>
      <c r="D456" s="29"/>
    </row>
    <row r="457">
      <c r="A457" s="29"/>
      <c r="B457" s="29"/>
      <c r="C457" s="29"/>
      <c r="D457" s="29"/>
    </row>
    <row r="458">
      <c r="A458" s="29"/>
      <c r="B458" s="29"/>
      <c r="C458" s="29"/>
      <c r="D458" s="29"/>
    </row>
    <row r="459">
      <c r="A459" s="29"/>
      <c r="B459" s="29"/>
      <c r="C459" s="29"/>
      <c r="D459" s="29"/>
    </row>
    <row r="460">
      <c r="A460" s="29"/>
      <c r="B460" s="29"/>
      <c r="C460" s="29"/>
      <c r="D460" s="29"/>
    </row>
    <row r="461">
      <c r="A461" s="29"/>
      <c r="B461" s="29"/>
      <c r="C461" s="29"/>
      <c r="D461" s="29"/>
    </row>
    <row r="462">
      <c r="A462" s="29"/>
      <c r="B462" s="29"/>
      <c r="C462" s="29"/>
      <c r="D462" s="29"/>
    </row>
    <row r="463">
      <c r="A463" s="29"/>
      <c r="B463" s="29"/>
      <c r="C463" s="29"/>
      <c r="D463" s="29"/>
    </row>
    <row r="464">
      <c r="A464" s="29"/>
      <c r="B464" s="29"/>
      <c r="C464" s="29"/>
      <c r="D464" s="29"/>
    </row>
    <row r="465">
      <c r="A465" s="29"/>
      <c r="B465" s="29"/>
      <c r="C465" s="29"/>
      <c r="D465" s="29"/>
    </row>
    <row r="466">
      <c r="A466" s="29"/>
      <c r="B466" s="29"/>
      <c r="C466" s="29"/>
      <c r="D466" s="29"/>
    </row>
    <row r="467">
      <c r="A467" s="29"/>
      <c r="B467" s="29"/>
      <c r="C467" s="29"/>
      <c r="D467" s="29"/>
    </row>
    <row r="468">
      <c r="A468" s="29"/>
      <c r="B468" s="29"/>
      <c r="C468" s="29"/>
      <c r="D468" s="29"/>
    </row>
    <row r="469">
      <c r="A469" s="29"/>
      <c r="B469" s="29"/>
      <c r="C469" s="29"/>
      <c r="D469" s="29"/>
    </row>
    <row r="470">
      <c r="A470" s="29"/>
      <c r="B470" s="29"/>
      <c r="C470" s="29"/>
      <c r="D470" s="29"/>
    </row>
    <row r="471">
      <c r="A471" s="29"/>
      <c r="B471" s="29"/>
      <c r="C471" s="29"/>
      <c r="D471" s="29"/>
    </row>
    <row r="472">
      <c r="A472" s="29"/>
      <c r="B472" s="29"/>
      <c r="C472" s="29"/>
      <c r="D472" s="29"/>
    </row>
    <row r="473">
      <c r="A473" s="29"/>
      <c r="B473" s="29"/>
      <c r="C473" s="29"/>
      <c r="D473" s="29"/>
    </row>
    <row r="474">
      <c r="A474" s="29"/>
      <c r="B474" s="29"/>
      <c r="C474" s="29"/>
      <c r="D474" s="29"/>
    </row>
    <row r="475">
      <c r="A475" s="29"/>
      <c r="B475" s="29"/>
      <c r="C475" s="29"/>
      <c r="D475" s="29"/>
    </row>
    <row r="476">
      <c r="A476" s="29"/>
      <c r="B476" s="29"/>
      <c r="C476" s="29"/>
      <c r="D476" s="29"/>
    </row>
    <row r="477">
      <c r="A477" s="29"/>
      <c r="B477" s="29"/>
      <c r="C477" s="29"/>
      <c r="D477" s="29"/>
    </row>
    <row r="478">
      <c r="A478" s="29"/>
      <c r="B478" s="29"/>
      <c r="C478" s="29"/>
      <c r="D478" s="29"/>
    </row>
    <row r="479">
      <c r="A479" s="29"/>
      <c r="B479" s="29"/>
      <c r="C479" s="29"/>
      <c r="D479" s="29"/>
    </row>
    <row r="480">
      <c r="A480" s="29"/>
      <c r="B480" s="29"/>
      <c r="C480" s="29"/>
      <c r="D480" s="29"/>
    </row>
    <row r="481">
      <c r="A481" s="29"/>
      <c r="B481" s="29"/>
      <c r="C481" s="29"/>
      <c r="D481" s="29"/>
    </row>
    <row r="482">
      <c r="A482" s="29"/>
      <c r="B482" s="29"/>
      <c r="C482" s="29"/>
      <c r="D482" s="29"/>
    </row>
    <row r="483">
      <c r="A483" s="29"/>
      <c r="B483" s="29"/>
      <c r="C483" s="29"/>
      <c r="D483" s="29"/>
    </row>
    <row r="484">
      <c r="A484" s="29"/>
      <c r="B484" s="29"/>
      <c r="C484" s="29"/>
      <c r="D484" s="29"/>
    </row>
    <row r="485">
      <c r="A485" s="29"/>
      <c r="B485" s="29"/>
      <c r="C485" s="29"/>
      <c r="D485" s="29"/>
    </row>
    <row r="486">
      <c r="A486" s="29"/>
      <c r="B486" s="29"/>
      <c r="C486" s="29"/>
      <c r="D486" s="29"/>
    </row>
    <row r="487">
      <c r="A487" s="29"/>
      <c r="B487" s="29"/>
      <c r="C487" s="29"/>
      <c r="D487" s="29"/>
    </row>
    <row r="488">
      <c r="A488" s="29"/>
      <c r="B488" s="29"/>
      <c r="C488" s="29"/>
      <c r="D488" s="29"/>
    </row>
    <row r="489">
      <c r="A489" s="29"/>
      <c r="B489" s="29"/>
      <c r="C489" s="29"/>
      <c r="D489" s="29"/>
    </row>
    <row r="490">
      <c r="A490" s="29"/>
      <c r="B490" s="29"/>
      <c r="C490" s="29"/>
      <c r="D490" s="29"/>
    </row>
    <row r="491">
      <c r="A491" s="29"/>
      <c r="B491" s="29"/>
      <c r="C491" s="29"/>
      <c r="D491" s="29"/>
    </row>
    <row r="492">
      <c r="A492" s="29"/>
      <c r="B492" s="29"/>
      <c r="C492" s="29"/>
      <c r="D492" s="29"/>
    </row>
    <row r="493">
      <c r="A493" s="29"/>
      <c r="B493" s="29"/>
      <c r="C493" s="29"/>
      <c r="D493" s="29"/>
    </row>
    <row r="494">
      <c r="A494" s="29"/>
      <c r="B494" s="29"/>
      <c r="C494" s="29"/>
      <c r="D494" s="29"/>
    </row>
    <row r="495">
      <c r="A495" s="29"/>
      <c r="B495" s="29"/>
      <c r="C495" s="29"/>
      <c r="D495" s="29"/>
    </row>
    <row r="496">
      <c r="A496" s="29"/>
      <c r="B496" s="29"/>
      <c r="C496" s="29"/>
      <c r="D496" s="29"/>
    </row>
    <row r="497">
      <c r="A497" s="29"/>
      <c r="B497" s="29"/>
      <c r="C497" s="29"/>
      <c r="D497" s="29"/>
    </row>
    <row r="498">
      <c r="A498" s="29"/>
      <c r="B498" s="29"/>
      <c r="C498" s="29"/>
      <c r="D498" s="29"/>
    </row>
    <row r="499">
      <c r="A499" s="29"/>
      <c r="B499" s="29"/>
      <c r="C499" s="29"/>
      <c r="D499" s="29"/>
    </row>
    <row r="500">
      <c r="A500" s="29"/>
      <c r="B500" s="29"/>
      <c r="C500" s="29"/>
      <c r="D500" s="29"/>
    </row>
    <row r="501">
      <c r="A501" s="29"/>
      <c r="B501" s="29"/>
      <c r="C501" s="29"/>
      <c r="D501" s="29"/>
    </row>
    <row r="502">
      <c r="A502" s="29"/>
      <c r="B502" s="29"/>
      <c r="C502" s="29"/>
      <c r="D502" s="29"/>
    </row>
    <row r="503">
      <c r="A503" s="29"/>
      <c r="B503" s="29"/>
      <c r="C503" s="29"/>
      <c r="D503" s="29"/>
    </row>
    <row r="504">
      <c r="A504" s="29"/>
      <c r="B504" s="29"/>
      <c r="C504" s="29"/>
      <c r="D504" s="29"/>
    </row>
    <row r="505">
      <c r="A505" s="29"/>
      <c r="B505" s="29"/>
      <c r="C505" s="29"/>
      <c r="D505" s="29"/>
    </row>
    <row r="506">
      <c r="A506" s="29"/>
      <c r="B506" s="29"/>
      <c r="C506" s="29"/>
      <c r="D506" s="29"/>
    </row>
    <row r="507">
      <c r="A507" s="29"/>
      <c r="B507" s="29"/>
      <c r="C507" s="29"/>
      <c r="D507" s="29"/>
    </row>
    <row r="508">
      <c r="A508" s="29"/>
      <c r="B508" s="29"/>
      <c r="C508" s="29"/>
      <c r="D508" s="29"/>
    </row>
    <row r="509">
      <c r="A509" s="29"/>
      <c r="B509" s="29"/>
      <c r="C509" s="29"/>
      <c r="D509" s="29"/>
    </row>
    <row r="510">
      <c r="A510" s="29"/>
      <c r="B510" s="29"/>
      <c r="C510" s="29"/>
      <c r="D510" s="29"/>
    </row>
    <row r="511">
      <c r="A511" s="29"/>
      <c r="B511" s="29"/>
      <c r="C511" s="29"/>
      <c r="D511" s="29"/>
    </row>
    <row r="512">
      <c r="A512" s="29"/>
      <c r="B512" s="29"/>
      <c r="C512" s="29"/>
      <c r="D512" s="29"/>
    </row>
    <row r="513">
      <c r="A513" s="29"/>
      <c r="B513" s="29"/>
      <c r="C513" s="29"/>
      <c r="D513" s="29"/>
    </row>
    <row r="514">
      <c r="A514" s="29"/>
      <c r="B514" s="29"/>
      <c r="C514" s="29"/>
      <c r="D514" s="29"/>
    </row>
    <row r="515">
      <c r="A515" s="29"/>
      <c r="B515" s="29"/>
      <c r="C515" s="29"/>
      <c r="D515" s="29"/>
    </row>
    <row r="516">
      <c r="A516" s="29"/>
      <c r="B516" s="29"/>
      <c r="C516" s="29"/>
      <c r="D516" s="29"/>
    </row>
    <row r="517">
      <c r="A517" s="29"/>
      <c r="B517" s="29"/>
      <c r="C517" s="29"/>
      <c r="D517" s="29"/>
    </row>
    <row r="518">
      <c r="A518" s="29"/>
      <c r="B518" s="29"/>
      <c r="C518" s="29"/>
      <c r="D518" s="29"/>
    </row>
    <row r="519">
      <c r="A519" s="29"/>
      <c r="B519" s="29"/>
      <c r="C519" s="29"/>
      <c r="D519" s="29"/>
    </row>
    <row r="520">
      <c r="A520" s="29"/>
      <c r="B520" s="29"/>
      <c r="C520" s="29"/>
      <c r="D520" s="29"/>
    </row>
    <row r="521">
      <c r="A521" s="29"/>
      <c r="B521" s="29"/>
      <c r="C521" s="29"/>
      <c r="D521" s="29"/>
    </row>
    <row r="522">
      <c r="A522" s="29"/>
      <c r="B522" s="29"/>
      <c r="C522" s="29"/>
      <c r="D522" s="29"/>
    </row>
    <row r="523">
      <c r="A523" s="29"/>
      <c r="B523" s="29"/>
      <c r="C523" s="29"/>
      <c r="D523" s="29"/>
    </row>
    <row r="524">
      <c r="A524" s="29"/>
      <c r="B524" s="29"/>
      <c r="C524" s="29"/>
      <c r="D524" s="29"/>
    </row>
    <row r="525">
      <c r="A525" s="29"/>
      <c r="B525" s="29"/>
      <c r="C525" s="29"/>
      <c r="D525" s="29"/>
    </row>
    <row r="526">
      <c r="A526" s="29"/>
      <c r="B526" s="29"/>
      <c r="C526" s="29"/>
      <c r="D526" s="29"/>
    </row>
    <row r="527">
      <c r="A527" s="29"/>
      <c r="B527" s="29"/>
      <c r="C527" s="29"/>
      <c r="D527" s="29"/>
    </row>
    <row r="528">
      <c r="A528" s="29"/>
      <c r="B528" s="29"/>
      <c r="C528" s="29"/>
      <c r="D528" s="29"/>
    </row>
    <row r="529">
      <c r="A529" s="29"/>
      <c r="B529" s="29"/>
      <c r="C529" s="29"/>
      <c r="D529" s="29"/>
    </row>
    <row r="530">
      <c r="A530" s="29"/>
      <c r="B530" s="29"/>
      <c r="C530" s="29"/>
      <c r="D530" s="29"/>
    </row>
    <row r="531">
      <c r="A531" s="29"/>
      <c r="B531" s="29"/>
      <c r="C531" s="29"/>
      <c r="D531" s="29"/>
    </row>
    <row r="532">
      <c r="A532" s="29"/>
      <c r="B532" s="29"/>
      <c r="C532" s="29"/>
      <c r="D532" s="29"/>
    </row>
    <row r="533">
      <c r="A533" s="29"/>
      <c r="B533" s="29"/>
      <c r="C533" s="29"/>
      <c r="D533" s="29"/>
    </row>
    <row r="534">
      <c r="A534" s="29"/>
      <c r="B534" s="29"/>
      <c r="C534" s="29"/>
      <c r="D534" s="29"/>
    </row>
    <row r="535">
      <c r="A535" s="29"/>
      <c r="B535" s="29"/>
      <c r="C535" s="29"/>
      <c r="D535" s="29"/>
    </row>
    <row r="536">
      <c r="A536" s="29"/>
      <c r="B536" s="29"/>
      <c r="C536" s="29"/>
      <c r="D536" s="29"/>
    </row>
    <row r="537">
      <c r="A537" s="29"/>
      <c r="B537" s="29"/>
      <c r="C537" s="29"/>
      <c r="D537" s="29"/>
    </row>
    <row r="538">
      <c r="A538" s="29"/>
      <c r="B538" s="29"/>
      <c r="C538" s="29"/>
      <c r="D538" s="29"/>
    </row>
    <row r="539">
      <c r="A539" s="29"/>
      <c r="B539" s="29"/>
      <c r="C539" s="29"/>
      <c r="D539" s="29"/>
    </row>
    <row r="540">
      <c r="A540" s="29"/>
      <c r="B540" s="29"/>
      <c r="C540" s="29"/>
      <c r="D540" s="29"/>
    </row>
    <row r="541">
      <c r="A541" s="29"/>
      <c r="B541" s="29"/>
      <c r="C541" s="29"/>
      <c r="D541" s="29"/>
    </row>
    <row r="542">
      <c r="A542" s="29"/>
      <c r="B542" s="29"/>
      <c r="C542" s="29"/>
      <c r="D542" s="29"/>
    </row>
    <row r="543">
      <c r="A543" s="29"/>
      <c r="B543" s="29"/>
      <c r="C543" s="29"/>
      <c r="D543" s="29"/>
    </row>
    <row r="544">
      <c r="A544" s="29"/>
      <c r="B544" s="29"/>
      <c r="C544" s="29"/>
      <c r="D544" s="29"/>
    </row>
    <row r="545">
      <c r="A545" s="29"/>
      <c r="B545" s="29"/>
      <c r="C545" s="29"/>
      <c r="D545" s="29"/>
    </row>
    <row r="546">
      <c r="A546" s="29"/>
      <c r="B546" s="29"/>
      <c r="C546" s="29"/>
      <c r="D546" s="29"/>
    </row>
    <row r="547">
      <c r="A547" s="29"/>
      <c r="B547" s="29"/>
      <c r="C547" s="29"/>
      <c r="D547" s="29"/>
    </row>
    <row r="548">
      <c r="A548" s="29"/>
      <c r="B548" s="29"/>
      <c r="C548" s="29"/>
      <c r="D548" s="29"/>
    </row>
    <row r="549">
      <c r="A549" s="29"/>
      <c r="B549" s="29"/>
      <c r="C549" s="29"/>
      <c r="D549" s="29"/>
    </row>
    <row r="550">
      <c r="A550" s="29"/>
      <c r="B550" s="29"/>
      <c r="C550" s="29"/>
      <c r="D550" s="29"/>
    </row>
    <row r="551">
      <c r="A551" s="29"/>
      <c r="B551" s="29"/>
      <c r="C551" s="29"/>
      <c r="D551" s="29"/>
    </row>
    <row r="552">
      <c r="A552" s="29"/>
      <c r="B552" s="29"/>
      <c r="C552" s="29"/>
      <c r="D552" s="29"/>
    </row>
    <row r="553">
      <c r="A553" s="29"/>
      <c r="B553" s="29"/>
      <c r="C553" s="29"/>
      <c r="D553" s="29"/>
    </row>
    <row r="554">
      <c r="A554" s="29"/>
      <c r="B554" s="29"/>
      <c r="C554" s="29"/>
      <c r="D554" s="29"/>
    </row>
    <row r="555">
      <c r="A555" s="29"/>
      <c r="B555" s="29"/>
      <c r="C555" s="29"/>
      <c r="D555" s="29"/>
    </row>
    <row r="556">
      <c r="A556" s="29"/>
      <c r="B556" s="29"/>
      <c r="C556" s="29"/>
      <c r="D556" s="29"/>
    </row>
    <row r="557">
      <c r="A557" s="29"/>
      <c r="B557" s="29"/>
      <c r="C557" s="29"/>
      <c r="D557" s="29"/>
    </row>
    <row r="558">
      <c r="A558" s="29"/>
      <c r="B558" s="29"/>
      <c r="C558" s="29"/>
      <c r="D558" s="29"/>
    </row>
    <row r="559">
      <c r="A559" s="29"/>
      <c r="B559" s="29"/>
      <c r="C559" s="29"/>
      <c r="D559" s="29"/>
    </row>
    <row r="560">
      <c r="A560" s="29"/>
      <c r="B560" s="29"/>
      <c r="C560" s="29"/>
      <c r="D560" s="29"/>
    </row>
    <row r="561">
      <c r="A561" s="29"/>
      <c r="B561" s="29"/>
      <c r="C561" s="29"/>
      <c r="D561" s="29"/>
    </row>
    <row r="562">
      <c r="A562" s="29"/>
      <c r="B562" s="29"/>
      <c r="C562" s="29"/>
      <c r="D562" s="29"/>
    </row>
    <row r="563">
      <c r="A563" s="29"/>
      <c r="B563" s="29"/>
      <c r="C563" s="29"/>
      <c r="D563" s="29"/>
    </row>
    <row r="564">
      <c r="A564" s="29"/>
      <c r="B564" s="29"/>
      <c r="C564" s="29"/>
      <c r="D564" s="29"/>
    </row>
    <row r="565">
      <c r="A565" s="29"/>
      <c r="B565" s="29"/>
      <c r="C565" s="29"/>
      <c r="D565" s="29"/>
    </row>
    <row r="566">
      <c r="A566" s="29"/>
      <c r="B566" s="29"/>
      <c r="C566" s="29"/>
      <c r="D566" s="29"/>
    </row>
    <row r="567">
      <c r="A567" s="29"/>
      <c r="B567" s="29"/>
      <c r="C567" s="29"/>
      <c r="D567" s="29"/>
    </row>
    <row r="568">
      <c r="A568" s="29"/>
      <c r="B568" s="29"/>
      <c r="C568" s="29"/>
      <c r="D568" s="29"/>
    </row>
    <row r="569">
      <c r="A569" s="29"/>
      <c r="B569" s="29"/>
      <c r="C569" s="29"/>
      <c r="D569" s="29"/>
    </row>
    <row r="570">
      <c r="A570" s="29"/>
      <c r="B570" s="29"/>
      <c r="C570" s="29"/>
      <c r="D570" s="29"/>
    </row>
    <row r="571">
      <c r="A571" s="29"/>
      <c r="B571" s="29"/>
      <c r="C571" s="29"/>
      <c r="D571" s="29"/>
    </row>
    <row r="572">
      <c r="A572" s="29"/>
      <c r="B572" s="29"/>
      <c r="C572" s="29"/>
      <c r="D572" s="29"/>
    </row>
    <row r="573">
      <c r="A573" s="29"/>
      <c r="B573" s="29"/>
      <c r="C573" s="29"/>
      <c r="D573" s="29"/>
    </row>
    <row r="574">
      <c r="A574" s="29"/>
      <c r="B574" s="29"/>
      <c r="C574" s="29"/>
      <c r="D574" s="29"/>
    </row>
    <row r="575">
      <c r="A575" s="29"/>
      <c r="B575" s="29"/>
      <c r="C575" s="29"/>
      <c r="D575" s="29"/>
    </row>
    <row r="576">
      <c r="A576" s="29"/>
      <c r="B576" s="29"/>
      <c r="C576" s="29"/>
      <c r="D576" s="29"/>
    </row>
    <row r="577">
      <c r="A577" s="29"/>
      <c r="B577" s="29"/>
      <c r="C577" s="29"/>
      <c r="D577" s="29"/>
    </row>
    <row r="578">
      <c r="A578" s="29"/>
      <c r="B578" s="29"/>
      <c r="C578" s="29"/>
      <c r="D578" s="29"/>
    </row>
    <row r="579">
      <c r="A579" s="29"/>
      <c r="B579" s="29"/>
      <c r="C579" s="29"/>
      <c r="D579" s="29"/>
    </row>
    <row r="580">
      <c r="A580" s="29"/>
      <c r="B580" s="29"/>
      <c r="C580" s="29"/>
      <c r="D580" s="29"/>
    </row>
    <row r="581">
      <c r="A581" s="29"/>
      <c r="B581" s="29"/>
      <c r="C581" s="29"/>
      <c r="D581" s="29"/>
    </row>
    <row r="582">
      <c r="A582" s="29"/>
      <c r="B582" s="29"/>
      <c r="C582" s="29"/>
      <c r="D582" s="29"/>
    </row>
    <row r="583">
      <c r="A583" s="29"/>
      <c r="B583" s="29"/>
      <c r="C583" s="29"/>
      <c r="D583" s="29"/>
    </row>
    <row r="584">
      <c r="A584" s="29"/>
      <c r="B584" s="29"/>
      <c r="C584" s="29"/>
      <c r="D584" s="29"/>
    </row>
    <row r="585">
      <c r="A585" s="29"/>
      <c r="B585" s="29"/>
      <c r="C585" s="29"/>
      <c r="D585" s="29"/>
    </row>
    <row r="586">
      <c r="A586" s="29"/>
      <c r="B586" s="29"/>
      <c r="C586" s="29"/>
      <c r="D586" s="29"/>
    </row>
    <row r="587">
      <c r="A587" s="29"/>
      <c r="B587" s="29"/>
      <c r="C587" s="29"/>
      <c r="D587" s="29"/>
    </row>
    <row r="588">
      <c r="A588" s="29"/>
      <c r="B588" s="29"/>
      <c r="C588" s="29"/>
      <c r="D588" s="29"/>
    </row>
    <row r="589">
      <c r="A589" s="29"/>
      <c r="B589" s="29"/>
      <c r="C589" s="29"/>
      <c r="D589" s="29"/>
    </row>
    <row r="590">
      <c r="A590" s="29"/>
      <c r="B590" s="29"/>
      <c r="C590" s="29"/>
      <c r="D590" s="29"/>
    </row>
    <row r="591">
      <c r="A591" s="29"/>
      <c r="B591" s="29"/>
      <c r="C591" s="29"/>
      <c r="D591" s="29"/>
    </row>
    <row r="592">
      <c r="A592" s="29"/>
      <c r="B592" s="29"/>
      <c r="C592" s="29"/>
      <c r="D592" s="29"/>
    </row>
    <row r="593">
      <c r="A593" s="29"/>
      <c r="B593" s="29"/>
      <c r="C593" s="29"/>
      <c r="D593" s="29"/>
    </row>
    <row r="594">
      <c r="A594" s="29"/>
      <c r="B594" s="29"/>
      <c r="C594" s="29"/>
      <c r="D594" s="29"/>
    </row>
    <row r="595">
      <c r="A595" s="29"/>
      <c r="B595" s="29"/>
      <c r="C595" s="29"/>
      <c r="D595" s="29"/>
    </row>
    <row r="596">
      <c r="A596" s="29"/>
      <c r="B596" s="29"/>
      <c r="C596" s="29"/>
      <c r="D596" s="29"/>
    </row>
    <row r="597">
      <c r="A597" s="29"/>
      <c r="B597" s="29"/>
      <c r="C597" s="29"/>
      <c r="D597" s="29"/>
    </row>
    <row r="598">
      <c r="A598" s="29"/>
      <c r="B598" s="29"/>
      <c r="C598" s="29"/>
      <c r="D598" s="29"/>
    </row>
    <row r="599">
      <c r="A599" s="29"/>
      <c r="B599" s="29"/>
      <c r="C599" s="29"/>
      <c r="D599" s="29"/>
    </row>
    <row r="600">
      <c r="A600" s="29"/>
      <c r="B600" s="29"/>
      <c r="C600" s="29"/>
      <c r="D600" s="29"/>
    </row>
    <row r="601">
      <c r="A601" s="29"/>
      <c r="B601" s="29"/>
      <c r="C601" s="29"/>
      <c r="D601" s="29"/>
    </row>
    <row r="602">
      <c r="A602" s="29"/>
      <c r="B602" s="29"/>
      <c r="C602" s="29"/>
      <c r="D602" s="29"/>
    </row>
    <row r="603">
      <c r="A603" s="29"/>
      <c r="B603" s="29"/>
      <c r="C603" s="29"/>
      <c r="D603" s="29"/>
    </row>
    <row r="604">
      <c r="A604" s="29"/>
      <c r="B604" s="29"/>
      <c r="C604" s="29"/>
      <c r="D604" s="29"/>
    </row>
    <row r="605">
      <c r="A605" s="29"/>
      <c r="B605" s="29"/>
      <c r="C605" s="29"/>
      <c r="D605" s="29"/>
    </row>
    <row r="606">
      <c r="A606" s="29"/>
      <c r="B606" s="29"/>
      <c r="C606" s="29"/>
      <c r="D606" s="29"/>
    </row>
    <row r="607">
      <c r="A607" s="29"/>
      <c r="B607" s="29"/>
      <c r="C607" s="29"/>
      <c r="D607" s="29"/>
    </row>
    <row r="608">
      <c r="A608" s="29"/>
      <c r="B608" s="29"/>
      <c r="C608" s="29"/>
      <c r="D608" s="29"/>
    </row>
    <row r="609">
      <c r="A609" s="29"/>
      <c r="B609" s="29"/>
      <c r="C609" s="29"/>
      <c r="D609" s="29"/>
    </row>
    <row r="610">
      <c r="A610" s="29"/>
      <c r="B610" s="29"/>
      <c r="C610" s="29"/>
      <c r="D610" s="29"/>
    </row>
    <row r="611">
      <c r="A611" s="29"/>
      <c r="B611" s="29"/>
      <c r="C611" s="29"/>
      <c r="D611" s="29"/>
    </row>
    <row r="612">
      <c r="A612" s="29"/>
      <c r="B612" s="29"/>
      <c r="C612" s="29"/>
      <c r="D612" s="29"/>
    </row>
    <row r="613">
      <c r="A613" s="29"/>
      <c r="B613" s="29"/>
      <c r="C613" s="29"/>
      <c r="D613" s="29"/>
    </row>
    <row r="614">
      <c r="A614" s="29"/>
      <c r="B614" s="29"/>
      <c r="C614" s="29"/>
      <c r="D614" s="29"/>
    </row>
    <row r="615">
      <c r="A615" s="29"/>
      <c r="B615" s="29"/>
      <c r="C615" s="29"/>
      <c r="D615" s="29"/>
    </row>
    <row r="616">
      <c r="A616" s="29"/>
      <c r="B616" s="29"/>
      <c r="C616" s="29"/>
      <c r="D616" s="29"/>
    </row>
    <row r="617">
      <c r="A617" s="29"/>
      <c r="B617" s="29"/>
      <c r="C617" s="29"/>
      <c r="D617" s="29"/>
    </row>
    <row r="618">
      <c r="A618" s="29"/>
      <c r="B618" s="29"/>
      <c r="C618" s="29"/>
      <c r="D618" s="29"/>
    </row>
    <row r="619">
      <c r="A619" s="29"/>
      <c r="B619" s="29"/>
      <c r="C619" s="29"/>
      <c r="D619" s="29"/>
    </row>
    <row r="620">
      <c r="A620" s="29"/>
      <c r="B620" s="29"/>
      <c r="C620" s="29"/>
      <c r="D620" s="29"/>
    </row>
    <row r="621">
      <c r="A621" s="29"/>
      <c r="B621" s="29"/>
      <c r="C621" s="29"/>
      <c r="D621" s="29"/>
    </row>
    <row r="622">
      <c r="A622" s="29"/>
      <c r="B622" s="29"/>
      <c r="C622" s="29"/>
      <c r="D622" s="29"/>
    </row>
    <row r="623">
      <c r="A623" s="29"/>
      <c r="B623" s="29"/>
      <c r="C623" s="29"/>
      <c r="D623" s="29"/>
    </row>
    <row r="624">
      <c r="A624" s="29"/>
      <c r="B624" s="29"/>
      <c r="C624" s="29"/>
      <c r="D624" s="29"/>
    </row>
    <row r="625">
      <c r="A625" s="29"/>
      <c r="B625" s="29"/>
      <c r="C625" s="29"/>
      <c r="D625" s="29"/>
    </row>
    <row r="626">
      <c r="A626" s="29"/>
      <c r="B626" s="29"/>
      <c r="C626" s="29"/>
      <c r="D626" s="29"/>
    </row>
    <row r="627">
      <c r="A627" s="29"/>
      <c r="B627" s="29"/>
      <c r="C627" s="29"/>
      <c r="D627" s="29"/>
    </row>
    <row r="628">
      <c r="A628" s="29"/>
      <c r="B628" s="29"/>
      <c r="C628" s="29"/>
      <c r="D628" s="29"/>
    </row>
    <row r="629">
      <c r="A629" s="29"/>
      <c r="B629" s="29"/>
      <c r="C629" s="29"/>
      <c r="D629" s="29"/>
    </row>
    <row r="630">
      <c r="A630" s="29"/>
      <c r="B630" s="29"/>
      <c r="C630" s="29"/>
      <c r="D630" s="29"/>
    </row>
    <row r="631">
      <c r="A631" s="29"/>
      <c r="B631" s="29"/>
      <c r="C631" s="29"/>
      <c r="D631" s="29"/>
    </row>
    <row r="632">
      <c r="A632" s="29"/>
      <c r="B632" s="29"/>
      <c r="C632" s="29"/>
      <c r="D632" s="29"/>
    </row>
    <row r="633">
      <c r="A633" s="29"/>
      <c r="B633" s="29"/>
      <c r="C633" s="29"/>
      <c r="D633" s="29"/>
    </row>
    <row r="634">
      <c r="A634" s="29"/>
      <c r="B634" s="29"/>
      <c r="C634" s="29"/>
      <c r="D634" s="29"/>
    </row>
    <row r="635">
      <c r="A635" s="29"/>
      <c r="B635" s="29"/>
      <c r="C635" s="29"/>
      <c r="D635" s="29"/>
    </row>
    <row r="636">
      <c r="A636" s="29"/>
      <c r="B636" s="29"/>
      <c r="C636" s="29"/>
      <c r="D636" s="29"/>
    </row>
    <row r="637">
      <c r="A637" s="29"/>
      <c r="B637" s="29"/>
      <c r="C637" s="29"/>
      <c r="D637" s="29"/>
    </row>
    <row r="638">
      <c r="A638" s="29"/>
      <c r="B638" s="29"/>
      <c r="C638" s="29"/>
      <c r="D638" s="29"/>
    </row>
    <row r="639">
      <c r="A639" s="29"/>
      <c r="B639" s="29"/>
      <c r="C639" s="29"/>
      <c r="D639" s="29"/>
    </row>
    <row r="640">
      <c r="A640" s="29"/>
      <c r="B640" s="29"/>
      <c r="C640" s="29"/>
      <c r="D640" s="29"/>
    </row>
    <row r="641">
      <c r="A641" s="29"/>
      <c r="B641" s="29"/>
      <c r="C641" s="29"/>
      <c r="D641" s="29"/>
    </row>
    <row r="642">
      <c r="A642" s="29"/>
      <c r="B642" s="29"/>
      <c r="C642" s="29"/>
      <c r="D642" s="29"/>
    </row>
    <row r="643">
      <c r="A643" s="29"/>
      <c r="B643" s="29"/>
      <c r="C643" s="29"/>
      <c r="D643" s="29"/>
    </row>
    <row r="644">
      <c r="A644" s="29"/>
      <c r="B644" s="29"/>
      <c r="C644" s="29"/>
      <c r="D644" s="29"/>
    </row>
    <row r="645">
      <c r="A645" s="29"/>
      <c r="B645" s="29"/>
      <c r="C645" s="29"/>
      <c r="D645" s="29"/>
    </row>
    <row r="646">
      <c r="A646" s="29"/>
      <c r="B646" s="29"/>
      <c r="C646" s="29"/>
      <c r="D646" s="29"/>
    </row>
    <row r="647">
      <c r="A647" s="29"/>
      <c r="B647" s="29"/>
      <c r="C647" s="29"/>
      <c r="D647" s="29"/>
    </row>
    <row r="648">
      <c r="A648" s="29"/>
      <c r="B648" s="29"/>
      <c r="C648" s="29"/>
      <c r="D648" s="29"/>
    </row>
    <row r="649">
      <c r="A649" s="29"/>
      <c r="B649" s="29"/>
      <c r="C649" s="29"/>
      <c r="D649" s="29"/>
    </row>
    <row r="650">
      <c r="A650" s="29"/>
      <c r="B650" s="29"/>
      <c r="C650" s="29"/>
      <c r="D650" s="29"/>
    </row>
    <row r="651">
      <c r="A651" s="29"/>
      <c r="B651" s="29"/>
      <c r="C651" s="29"/>
      <c r="D651" s="29"/>
    </row>
    <row r="652">
      <c r="A652" s="29"/>
      <c r="B652" s="29"/>
      <c r="C652" s="29"/>
      <c r="D652" s="29"/>
    </row>
    <row r="653">
      <c r="A653" s="29"/>
      <c r="B653" s="29"/>
      <c r="C653" s="29"/>
      <c r="D653" s="29"/>
    </row>
    <row r="654">
      <c r="A654" s="29"/>
      <c r="B654" s="29"/>
      <c r="C654" s="29"/>
      <c r="D654" s="29"/>
    </row>
    <row r="655">
      <c r="A655" s="29"/>
      <c r="B655" s="29"/>
      <c r="C655" s="29"/>
      <c r="D655" s="29"/>
    </row>
    <row r="656">
      <c r="A656" s="29"/>
      <c r="B656" s="29"/>
      <c r="C656" s="29"/>
      <c r="D656" s="29"/>
    </row>
    <row r="657">
      <c r="A657" s="29"/>
      <c r="B657" s="29"/>
      <c r="C657" s="29"/>
      <c r="D657" s="29"/>
    </row>
    <row r="658">
      <c r="A658" s="29"/>
      <c r="B658" s="29"/>
      <c r="C658" s="29"/>
      <c r="D658" s="29"/>
    </row>
    <row r="659">
      <c r="A659" s="29"/>
      <c r="B659" s="29"/>
      <c r="C659" s="29"/>
      <c r="D659" s="29"/>
    </row>
    <row r="660">
      <c r="A660" s="29"/>
      <c r="B660" s="29"/>
      <c r="C660" s="29"/>
      <c r="D660" s="29"/>
    </row>
    <row r="661">
      <c r="A661" s="29"/>
      <c r="B661" s="29"/>
      <c r="C661" s="29"/>
      <c r="D661" s="29"/>
    </row>
    <row r="662">
      <c r="A662" s="29"/>
      <c r="B662" s="29"/>
      <c r="C662" s="29"/>
      <c r="D662" s="29"/>
    </row>
    <row r="663">
      <c r="A663" s="29"/>
      <c r="B663" s="29"/>
      <c r="C663" s="29"/>
      <c r="D663" s="29"/>
    </row>
    <row r="664">
      <c r="A664" s="29"/>
      <c r="B664" s="29"/>
      <c r="C664" s="29"/>
      <c r="D664" s="29"/>
    </row>
    <row r="665">
      <c r="A665" s="29"/>
      <c r="B665" s="29"/>
      <c r="C665" s="29"/>
      <c r="D665" s="29"/>
    </row>
    <row r="666">
      <c r="A666" s="29"/>
      <c r="B666" s="29"/>
      <c r="C666" s="29"/>
      <c r="D666" s="29"/>
    </row>
    <row r="667">
      <c r="A667" s="29"/>
      <c r="B667" s="29"/>
      <c r="C667" s="29"/>
      <c r="D667" s="29"/>
    </row>
    <row r="668">
      <c r="A668" s="29"/>
      <c r="B668" s="29"/>
      <c r="C668" s="29"/>
      <c r="D668" s="29"/>
    </row>
    <row r="669">
      <c r="A669" s="29"/>
      <c r="B669" s="29"/>
      <c r="C669" s="29"/>
      <c r="D669" s="29"/>
    </row>
    <row r="670">
      <c r="A670" s="29"/>
      <c r="B670" s="29"/>
      <c r="C670" s="29"/>
      <c r="D670" s="29"/>
    </row>
    <row r="671">
      <c r="A671" s="29"/>
      <c r="B671" s="29"/>
      <c r="C671" s="29"/>
      <c r="D671" s="29"/>
    </row>
    <row r="672">
      <c r="A672" s="29"/>
      <c r="B672" s="29"/>
      <c r="C672" s="29"/>
      <c r="D672" s="29"/>
    </row>
    <row r="673">
      <c r="A673" s="29"/>
      <c r="B673" s="29"/>
      <c r="C673" s="29"/>
      <c r="D673" s="29"/>
    </row>
    <row r="674">
      <c r="A674" s="29"/>
      <c r="B674" s="29"/>
      <c r="C674" s="29"/>
      <c r="D674" s="29"/>
    </row>
    <row r="675">
      <c r="A675" s="29"/>
      <c r="B675" s="29"/>
      <c r="C675" s="29"/>
      <c r="D675" s="29"/>
    </row>
    <row r="676">
      <c r="A676" s="29"/>
      <c r="B676" s="29"/>
      <c r="C676" s="29"/>
      <c r="D676" s="29"/>
    </row>
    <row r="677">
      <c r="A677" s="29"/>
      <c r="B677" s="29"/>
      <c r="C677" s="29"/>
      <c r="D677" s="29"/>
    </row>
    <row r="678">
      <c r="A678" s="29"/>
      <c r="B678" s="29"/>
      <c r="C678" s="29"/>
      <c r="D678" s="29"/>
    </row>
    <row r="679">
      <c r="A679" s="29"/>
      <c r="B679" s="29"/>
      <c r="C679" s="29"/>
      <c r="D679" s="29"/>
    </row>
    <row r="680">
      <c r="A680" s="29"/>
      <c r="B680" s="29"/>
      <c r="C680" s="29"/>
      <c r="D680" s="29"/>
    </row>
    <row r="681">
      <c r="A681" s="29"/>
      <c r="B681" s="29"/>
      <c r="C681" s="29"/>
      <c r="D681" s="29"/>
    </row>
    <row r="682">
      <c r="A682" s="29"/>
      <c r="B682" s="29"/>
      <c r="C682" s="29"/>
      <c r="D682" s="29"/>
    </row>
    <row r="683">
      <c r="A683" s="29"/>
      <c r="B683" s="29"/>
      <c r="C683" s="29"/>
      <c r="D683" s="29"/>
    </row>
    <row r="684">
      <c r="A684" s="29"/>
      <c r="B684" s="29"/>
      <c r="C684" s="29"/>
      <c r="D684" s="29"/>
    </row>
    <row r="685">
      <c r="A685" s="29"/>
      <c r="B685" s="29"/>
      <c r="C685" s="29"/>
      <c r="D685" s="29"/>
    </row>
    <row r="686">
      <c r="A686" s="29"/>
      <c r="B686" s="29"/>
      <c r="C686" s="29"/>
      <c r="D686" s="29"/>
    </row>
    <row r="687">
      <c r="A687" s="29"/>
      <c r="B687" s="29"/>
      <c r="C687" s="29"/>
      <c r="D687" s="29"/>
    </row>
    <row r="688">
      <c r="A688" s="29"/>
      <c r="B688" s="29"/>
      <c r="C688" s="29"/>
      <c r="D688" s="29"/>
    </row>
    <row r="689">
      <c r="A689" s="29"/>
      <c r="B689" s="29"/>
      <c r="C689" s="29"/>
      <c r="D689" s="29"/>
    </row>
    <row r="690">
      <c r="A690" s="29"/>
      <c r="B690" s="29"/>
      <c r="C690" s="29"/>
      <c r="D690" s="29"/>
    </row>
    <row r="691">
      <c r="A691" s="29"/>
      <c r="B691" s="29"/>
      <c r="C691" s="29"/>
      <c r="D691" s="29"/>
    </row>
    <row r="692">
      <c r="A692" s="29"/>
      <c r="B692" s="29"/>
      <c r="C692" s="29"/>
      <c r="D692" s="29"/>
    </row>
    <row r="693">
      <c r="A693" s="29"/>
      <c r="B693" s="29"/>
      <c r="C693" s="29"/>
      <c r="D693" s="29"/>
    </row>
    <row r="694">
      <c r="A694" s="29"/>
      <c r="B694" s="29"/>
      <c r="C694" s="29"/>
      <c r="D694" s="29"/>
    </row>
    <row r="695">
      <c r="A695" s="29"/>
      <c r="B695" s="29"/>
      <c r="C695" s="29"/>
      <c r="D695" s="29"/>
    </row>
    <row r="696">
      <c r="A696" s="29"/>
      <c r="B696" s="29"/>
      <c r="C696" s="29"/>
      <c r="D696" s="29"/>
    </row>
    <row r="697">
      <c r="A697" s="29"/>
      <c r="B697" s="29"/>
      <c r="C697" s="29"/>
      <c r="D697" s="29"/>
    </row>
    <row r="698">
      <c r="A698" s="29"/>
      <c r="B698" s="29"/>
      <c r="C698" s="29"/>
      <c r="D698" s="29"/>
    </row>
    <row r="699">
      <c r="A699" s="29"/>
      <c r="B699" s="29"/>
      <c r="C699" s="29"/>
      <c r="D699" s="29"/>
    </row>
    <row r="700">
      <c r="A700" s="29"/>
      <c r="B700" s="29"/>
      <c r="C700" s="29"/>
      <c r="D700" s="29"/>
    </row>
    <row r="701">
      <c r="A701" s="29"/>
      <c r="B701" s="29"/>
      <c r="C701" s="29"/>
      <c r="D701" s="29"/>
    </row>
    <row r="702">
      <c r="A702" s="29"/>
      <c r="B702" s="29"/>
      <c r="C702" s="29"/>
      <c r="D702" s="29"/>
    </row>
    <row r="703">
      <c r="A703" s="29"/>
      <c r="B703" s="29"/>
      <c r="C703" s="29"/>
      <c r="D703" s="29"/>
    </row>
    <row r="704">
      <c r="A704" s="29"/>
      <c r="B704" s="29"/>
      <c r="C704" s="29"/>
      <c r="D704" s="29"/>
    </row>
    <row r="705">
      <c r="A705" s="29"/>
      <c r="B705" s="29"/>
      <c r="C705" s="29"/>
      <c r="D705" s="29"/>
    </row>
    <row r="706">
      <c r="A706" s="29"/>
      <c r="B706" s="29"/>
      <c r="C706" s="29"/>
      <c r="D706" s="29"/>
    </row>
    <row r="707">
      <c r="A707" s="29"/>
      <c r="B707" s="29"/>
      <c r="C707" s="29"/>
      <c r="D707" s="29"/>
    </row>
    <row r="708">
      <c r="A708" s="29"/>
      <c r="B708" s="29"/>
      <c r="C708" s="29"/>
      <c r="D708" s="29"/>
    </row>
    <row r="709">
      <c r="A709" s="29"/>
      <c r="B709" s="29"/>
      <c r="C709" s="29"/>
      <c r="D709" s="29"/>
    </row>
    <row r="710">
      <c r="A710" s="29"/>
      <c r="B710" s="29"/>
      <c r="C710" s="29"/>
      <c r="D710" s="29"/>
    </row>
    <row r="711">
      <c r="A711" s="29"/>
      <c r="B711" s="29"/>
      <c r="C711" s="29"/>
      <c r="D711" s="29"/>
    </row>
    <row r="712">
      <c r="A712" s="29"/>
      <c r="B712" s="29"/>
      <c r="C712" s="29"/>
      <c r="D712" s="29"/>
    </row>
    <row r="713">
      <c r="A713" s="29"/>
      <c r="B713" s="29"/>
      <c r="C713" s="29"/>
      <c r="D713" s="29"/>
    </row>
    <row r="714">
      <c r="A714" s="29"/>
      <c r="B714" s="29"/>
      <c r="C714" s="29"/>
      <c r="D714" s="29"/>
    </row>
    <row r="715">
      <c r="A715" s="29"/>
      <c r="B715" s="29"/>
      <c r="C715" s="29"/>
      <c r="D715" s="29"/>
    </row>
    <row r="716">
      <c r="A716" s="29"/>
      <c r="B716" s="29"/>
      <c r="C716" s="29"/>
      <c r="D716" s="29"/>
    </row>
    <row r="717">
      <c r="A717" s="29"/>
      <c r="B717" s="29"/>
      <c r="C717" s="29"/>
      <c r="D717" s="29"/>
    </row>
    <row r="718">
      <c r="A718" s="29"/>
      <c r="B718" s="29"/>
      <c r="C718" s="29"/>
      <c r="D718" s="29"/>
    </row>
    <row r="719">
      <c r="A719" s="29"/>
      <c r="B719" s="29"/>
      <c r="C719" s="29"/>
      <c r="D719" s="29"/>
    </row>
    <row r="720">
      <c r="A720" s="29"/>
      <c r="B720" s="29"/>
      <c r="C720" s="29"/>
      <c r="D720" s="29"/>
    </row>
    <row r="721">
      <c r="A721" s="29"/>
      <c r="B721" s="29"/>
      <c r="C721" s="29"/>
      <c r="D721" s="29"/>
    </row>
    <row r="722">
      <c r="A722" s="29"/>
      <c r="B722" s="29"/>
      <c r="C722" s="29"/>
      <c r="D722" s="29"/>
    </row>
    <row r="723">
      <c r="A723" s="29"/>
      <c r="B723" s="29"/>
      <c r="C723" s="29"/>
      <c r="D723" s="29"/>
    </row>
    <row r="724">
      <c r="A724" s="29"/>
      <c r="B724" s="29"/>
      <c r="C724" s="29"/>
      <c r="D724" s="29"/>
    </row>
    <row r="725">
      <c r="A725" s="29"/>
      <c r="B725" s="29"/>
      <c r="C725" s="29"/>
      <c r="D725" s="29"/>
    </row>
    <row r="726">
      <c r="A726" s="29"/>
      <c r="B726" s="29"/>
      <c r="C726" s="29"/>
      <c r="D726" s="29"/>
    </row>
    <row r="727">
      <c r="A727" s="29"/>
      <c r="B727" s="29"/>
      <c r="C727" s="29"/>
      <c r="D727" s="29"/>
    </row>
    <row r="728">
      <c r="A728" s="29"/>
      <c r="B728" s="29"/>
      <c r="C728" s="29"/>
      <c r="D728" s="29"/>
    </row>
    <row r="729">
      <c r="A729" s="29"/>
      <c r="B729" s="29"/>
      <c r="C729" s="29"/>
      <c r="D729" s="29"/>
    </row>
    <row r="730">
      <c r="A730" s="29"/>
      <c r="B730" s="29"/>
      <c r="C730" s="29"/>
      <c r="D730" s="29"/>
    </row>
    <row r="731">
      <c r="A731" s="29"/>
      <c r="B731" s="29"/>
      <c r="C731" s="29"/>
      <c r="D731" s="29"/>
    </row>
    <row r="732">
      <c r="A732" s="29"/>
      <c r="B732" s="29"/>
      <c r="C732" s="29"/>
      <c r="D732" s="29"/>
    </row>
    <row r="733">
      <c r="A733" s="29"/>
      <c r="B733" s="29"/>
      <c r="C733" s="29"/>
      <c r="D733" s="29"/>
    </row>
    <row r="734">
      <c r="A734" s="29"/>
      <c r="B734" s="29"/>
      <c r="C734" s="29"/>
      <c r="D734" s="29"/>
    </row>
    <row r="735">
      <c r="A735" s="29"/>
      <c r="B735" s="29"/>
      <c r="C735" s="29"/>
      <c r="D735" s="29"/>
    </row>
    <row r="736">
      <c r="A736" s="29"/>
      <c r="B736" s="29"/>
      <c r="C736" s="29"/>
      <c r="D736" s="29"/>
    </row>
    <row r="737">
      <c r="A737" s="29"/>
      <c r="B737" s="29"/>
      <c r="C737" s="29"/>
      <c r="D737" s="29"/>
    </row>
    <row r="738">
      <c r="A738" s="29"/>
      <c r="B738" s="29"/>
      <c r="C738" s="29"/>
      <c r="D738" s="29"/>
    </row>
    <row r="739">
      <c r="A739" s="29"/>
      <c r="B739" s="29"/>
      <c r="C739" s="29"/>
      <c r="D739" s="29"/>
    </row>
    <row r="740">
      <c r="A740" s="29"/>
      <c r="B740" s="29"/>
      <c r="C740" s="29"/>
      <c r="D740" s="29"/>
    </row>
    <row r="741">
      <c r="A741" s="29"/>
      <c r="B741" s="29"/>
      <c r="C741" s="29"/>
      <c r="D741" s="29"/>
    </row>
    <row r="742">
      <c r="A742" s="29"/>
      <c r="B742" s="29"/>
      <c r="C742" s="29"/>
      <c r="D742" s="29"/>
    </row>
    <row r="743">
      <c r="A743" s="29"/>
      <c r="B743" s="29"/>
      <c r="C743" s="29"/>
      <c r="D743" s="29"/>
    </row>
    <row r="744">
      <c r="A744" s="29"/>
      <c r="B744" s="29"/>
      <c r="C744" s="29"/>
      <c r="D744" s="29"/>
    </row>
    <row r="745">
      <c r="A745" s="29"/>
      <c r="B745" s="29"/>
      <c r="C745" s="29"/>
      <c r="D745" s="29"/>
    </row>
    <row r="746">
      <c r="A746" s="29"/>
      <c r="B746" s="29"/>
      <c r="C746" s="29"/>
      <c r="D746" s="29"/>
    </row>
    <row r="747">
      <c r="A747" s="29"/>
      <c r="B747" s="29"/>
      <c r="C747" s="29"/>
      <c r="D747" s="29"/>
    </row>
    <row r="748">
      <c r="A748" s="29"/>
      <c r="B748" s="29"/>
      <c r="C748" s="29"/>
      <c r="D748" s="29"/>
    </row>
    <row r="749">
      <c r="A749" s="29"/>
      <c r="B749" s="29"/>
      <c r="C749" s="29"/>
      <c r="D749" s="29"/>
    </row>
    <row r="750">
      <c r="A750" s="29"/>
      <c r="B750" s="29"/>
      <c r="C750" s="29"/>
      <c r="D750" s="29"/>
    </row>
    <row r="751">
      <c r="A751" s="29"/>
      <c r="B751" s="29"/>
      <c r="C751" s="29"/>
      <c r="D751" s="29"/>
    </row>
    <row r="752">
      <c r="A752" s="29"/>
      <c r="B752" s="29"/>
      <c r="C752" s="29"/>
      <c r="D752" s="29"/>
    </row>
    <row r="753">
      <c r="A753" s="29"/>
      <c r="B753" s="29"/>
      <c r="C753" s="29"/>
      <c r="D753" s="29"/>
    </row>
    <row r="754">
      <c r="A754" s="29"/>
      <c r="B754" s="29"/>
      <c r="C754" s="29"/>
      <c r="D754" s="29"/>
    </row>
    <row r="755">
      <c r="A755" s="29"/>
      <c r="B755" s="29"/>
      <c r="C755" s="29"/>
      <c r="D755" s="29"/>
    </row>
    <row r="756">
      <c r="A756" s="29"/>
      <c r="B756" s="29"/>
      <c r="C756" s="29"/>
      <c r="D756" s="29"/>
    </row>
    <row r="757">
      <c r="A757" s="29"/>
      <c r="B757" s="29"/>
      <c r="C757" s="29"/>
      <c r="D757" s="29"/>
    </row>
    <row r="758">
      <c r="A758" s="29"/>
      <c r="B758" s="29"/>
      <c r="C758" s="29"/>
      <c r="D758" s="29"/>
    </row>
    <row r="759">
      <c r="A759" s="29"/>
      <c r="B759" s="29"/>
      <c r="C759" s="29"/>
      <c r="D759" s="29"/>
    </row>
    <row r="760">
      <c r="A760" s="29"/>
      <c r="B760" s="29"/>
      <c r="C760" s="29"/>
      <c r="D760" s="29"/>
    </row>
    <row r="761">
      <c r="A761" s="29"/>
      <c r="B761" s="29"/>
      <c r="C761" s="29"/>
      <c r="D761" s="29"/>
    </row>
    <row r="762">
      <c r="A762" s="29"/>
      <c r="B762" s="29"/>
      <c r="C762" s="29"/>
      <c r="D762" s="29"/>
    </row>
    <row r="763">
      <c r="A763" s="29"/>
      <c r="B763" s="29"/>
      <c r="C763" s="29"/>
      <c r="D763" s="29"/>
    </row>
    <row r="764">
      <c r="A764" s="29"/>
      <c r="B764" s="29"/>
      <c r="C764" s="29"/>
      <c r="D764" s="29"/>
    </row>
    <row r="765">
      <c r="A765" s="29"/>
      <c r="B765" s="29"/>
      <c r="C765" s="29"/>
      <c r="D765" s="29"/>
    </row>
    <row r="766">
      <c r="A766" s="29"/>
      <c r="B766" s="29"/>
      <c r="C766" s="29"/>
      <c r="D766" s="29"/>
    </row>
    <row r="767">
      <c r="A767" s="29"/>
      <c r="B767" s="29"/>
      <c r="C767" s="29"/>
      <c r="D767" s="29"/>
    </row>
    <row r="768">
      <c r="A768" s="29"/>
      <c r="B768" s="29"/>
      <c r="C768" s="29"/>
      <c r="D768" s="29"/>
    </row>
    <row r="769">
      <c r="A769" s="29"/>
      <c r="B769" s="29"/>
      <c r="C769" s="29"/>
      <c r="D769" s="29"/>
    </row>
    <row r="770">
      <c r="A770" s="29"/>
      <c r="B770" s="29"/>
      <c r="C770" s="29"/>
      <c r="D770" s="29"/>
    </row>
    <row r="771">
      <c r="A771" s="29"/>
      <c r="B771" s="29"/>
      <c r="C771" s="29"/>
      <c r="D771" s="29"/>
    </row>
    <row r="772">
      <c r="A772" s="29"/>
      <c r="B772" s="29"/>
      <c r="C772" s="29"/>
      <c r="D772" s="29"/>
    </row>
    <row r="773">
      <c r="A773" s="29"/>
      <c r="B773" s="29"/>
      <c r="C773" s="29"/>
      <c r="D773" s="29"/>
    </row>
    <row r="774">
      <c r="A774" s="29"/>
      <c r="B774" s="29"/>
      <c r="C774" s="29"/>
      <c r="D774" s="29"/>
    </row>
    <row r="775">
      <c r="A775" s="29"/>
      <c r="B775" s="29"/>
      <c r="C775" s="29"/>
      <c r="D775" s="29"/>
    </row>
    <row r="776">
      <c r="A776" s="29"/>
      <c r="B776" s="29"/>
      <c r="C776" s="29"/>
      <c r="D776" s="29"/>
    </row>
    <row r="777">
      <c r="A777" s="29"/>
      <c r="B777" s="29"/>
      <c r="C777" s="29"/>
      <c r="D777" s="29"/>
    </row>
    <row r="778">
      <c r="A778" s="29"/>
      <c r="B778" s="29"/>
      <c r="C778" s="29"/>
      <c r="D778" s="29"/>
    </row>
    <row r="779">
      <c r="A779" s="29"/>
      <c r="B779" s="29"/>
      <c r="C779" s="29"/>
      <c r="D779" s="29"/>
    </row>
    <row r="780">
      <c r="A780" s="29"/>
      <c r="B780" s="29"/>
      <c r="C780" s="29"/>
      <c r="D780" s="29"/>
    </row>
    <row r="781">
      <c r="A781" s="29"/>
      <c r="B781" s="29"/>
      <c r="C781" s="29"/>
      <c r="D781" s="29"/>
    </row>
    <row r="782">
      <c r="A782" s="29"/>
      <c r="B782" s="29"/>
      <c r="C782" s="29"/>
      <c r="D782" s="29"/>
    </row>
    <row r="783">
      <c r="A783" s="29"/>
      <c r="B783" s="29"/>
      <c r="C783" s="29"/>
      <c r="D783" s="29"/>
    </row>
    <row r="784">
      <c r="A784" s="29"/>
      <c r="B784" s="29"/>
      <c r="C784" s="29"/>
      <c r="D784" s="29"/>
    </row>
    <row r="785">
      <c r="A785" s="29"/>
      <c r="B785" s="29"/>
      <c r="C785" s="29"/>
      <c r="D785" s="29"/>
    </row>
    <row r="786">
      <c r="A786" s="29"/>
      <c r="B786" s="29"/>
      <c r="C786" s="29"/>
      <c r="D786" s="29"/>
    </row>
    <row r="787">
      <c r="A787" s="29"/>
      <c r="B787" s="29"/>
      <c r="C787" s="29"/>
      <c r="D787" s="29"/>
    </row>
    <row r="788">
      <c r="A788" s="29"/>
      <c r="B788" s="29"/>
      <c r="C788" s="29"/>
      <c r="D788" s="29"/>
    </row>
    <row r="789">
      <c r="A789" s="29"/>
      <c r="B789" s="29"/>
      <c r="C789" s="29"/>
      <c r="D789" s="29"/>
    </row>
    <row r="790">
      <c r="A790" s="29"/>
      <c r="B790" s="29"/>
      <c r="C790" s="29"/>
      <c r="D790" s="29"/>
    </row>
    <row r="791">
      <c r="A791" s="29"/>
      <c r="B791" s="29"/>
      <c r="C791" s="29"/>
      <c r="D791" s="29"/>
    </row>
    <row r="792">
      <c r="A792" s="29"/>
      <c r="B792" s="29"/>
      <c r="C792" s="29"/>
      <c r="D792" s="29"/>
    </row>
    <row r="793">
      <c r="A793" s="29"/>
      <c r="B793" s="29"/>
      <c r="C793" s="29"/>
      <c r="D793" s="29"/>
    </row>
    <row r="794">
      <c r="A794" s="29"/>
      <c r="B794" s="29"/>
      <c r="C794" s="29"/>
      <c r="D794" s="29"/>
    </row>
    <row r="795">
      <c r="A795" s="29"/>
      <c r="B795" s="29"/>
      <c r="C795" s="29"/>
      <c r="D795" s="29"/>
    </row>
    <row r="796">
      <c r="A796" s="29"/>
      <c r="B796" s="29"/>
      <c r="C796" s="29"/>
      <c r="D796" s="29"/>
    </row>
    <row r="797">
      <c r="A797" s="29"/>
      <c r="B797" s="29"/>
      <c r="C797" s="29"/>
      <c r="D797" s="29"/>
    </row>
    <row r="798">
      <c r="A798" s="29"/>
      <c r="B798" s="29"/>
      <c r="C798" s="29"/>
      <c r="D798" s="29"/>
    </row>
    <row r="799">
      <c r="A799" s="29"/>
      <c r="B799" s="29"/>
      <c r="C799" s="29"/>
      <c r="D799" s="29"/>
    </row>
    <row r="800">
      <c r="A800" s="29"/>
      <c r="B800" s="29"/>
      <c r="C800" s="29"/>
      <c r="D800" s="29"/>
    </row>
    <row r="801">
      <c r="A801" s="29"/>
      <c r="B801" s="29"/>
      <c r="C801" s="29"/>
      <c r="D801" s="29"/>
    </row>
    <row r="802">
      <c r="A802" s="29"/>
      <c r="B802" s="29"/>
      <c r="C802" s="29"/>
      <c r="D802" s="29"/>
    </row>
    <row r="803">
      <c r="A803" s="29"/>
      <c r="B803" s="29"/>
      <c r="C803" s="29"/>
      <c r="D803" s="29"/>
    </row>
    <row r="804">
      <c r="A804" s="29"/>
      <c r="B804" s="29"/>
      <c r="C804" s="29"/>
      <c r="D804" s="29"/>
    </row>
    <row r="805">
      <c r="A805" s="29"/>
      <c r="B805" s="29"/>
      <c r="C805" s="29"/>
      <c r="D805" s="29"/>
    </row>
    <row r="806">
      <c r="A806" s="29"/>
      <c r="B806" s="29"/>
      <c r="C806" s="29"/>
      <c r="D806" s="29"/>
    </row>
    <row r="807">
      <c r="A807" s="29"/>
      <c r="B807" s="29"/>
      <c r="C807" s="29"/>
      <c r="D807" s="29"/>
    </row>
    <row r="808">
      <c r="A808" s="29"/>
      <c r="B808" s="29"/>
      <c r="C808" s="29"/>
      <c r="D808" s="29"/>
    </row>
    <row r="809">
      <c r="A809" s="29"/>
      <c r="B809" s="29"/>
      <c r="C809" s="29"/>
      <c r="D809" s="29"/>
    </row>
    <row r="810">
      <c r="A810" s="29"/>
      <c r="B810" s="29"/>
      <c r="C810" s="29"/>
      <c r="D810" s="29"/>
    </row>
    <row r="811">
      <c r="A811" s="29"/>
      <c r="B811" s="29"/>
      <c r="C811" s="29"/>
      <c r="D811" s="29"/>
    </row>
    <row r="812">
      <c r="A812" s="29"/>
      <c r="B812" s="29"/>
      <c r="C812" s="29"/>
      <c r="D812" s="29"/>
    </row>
    <row r="813">
      <c r="A813" s="29"/>
      <c r="B813" s="29"/>
      <c r="C813" s="29"/>
      <c r="D813" s="29"/>
    </row>
    <row r="814">
      <c r="A814" s="29"/>
      <c r="B814" s="29"/>
      <c r="C814" s="29"/>
      <c r="D814" s="29"/>
    </row>
    <row r="815">
      <c r="A815" s="29"/>
      <c r="B815" s="29"/>
      <c r="C815" s="29"/>
      <c r="D815" s="29"/>
    </row>
    <row r="816">
      <c r="A816" s="29"/>
      <c r="B816" s="29"/>
      <c r="C816" s="29"/>
      <c r="D816" s="29"/>
    </row>
    <row r="817">
      <c r="A817" s="29"/>
      <c r="B817" s="29"/>
      <c r="C817" s="29"/>
      <c r="D817" s="29"/>
    </row>
    <row r="818">
      <c r="A818" s="29"/>
      <c r="B818" s="29"/>
      <c r="C818" s="29"/>
      <c r="D818" s="29"/>
    </row>
    <row r="819">
      <c r="A819" s="29"/>
      <c r="B819" s="29"/>
      <c r="C819" s="29"/>
      <c r="D819" s="29"/>
    </row>
    <row r="820">
      <c r="A820" s="29"/>
      <c r="B820" s="29"/>
      <c r="C820" s="29"/>
      <c r="D820" s="29"/>
    </row>
    <row r="821">
      <c r="A821" s="29"/>
      <c r="B821" s="29"/>
      <c r="C821" s="29"/>
      <c r="D821" s="29"/>
    </row>
    <row r="822">
      <c r="A822" s="29"/>
      <c r="B822" s="29"/>
      <c r="C822" s="29"/>
      <c r="D822" s="29"/>
    </row>
    <row r="823">
      <c r="A823" s="29"/>
      <c r="B823" s="29"/>
      <c r="C823" s="29"/>
      <c r="D823" s="29"/>
    </row>
    <row r="824">
      <c r="A824" s="29"/>
      <c r="B824" s="29"/>
      <c r="C824" s="29"/>
      <c r="D824" s="29"/>
    </row>
    <row r="825">
      <c r="A825" s="29"/>
      <c r="B825" s="29"/>
      <c r="C825" s="29"/>
      <c r="D825" s="29"/>
    </row>
    <row r="826">
      <c r="A826" s="29"/>
      <c r="B826" s="29"/>
      <c r="C826" s="29"/>
      <c r="D826" s="29"/>
    </row>
    <row r="827">
      <c r="A827" s="29"/>
      <c r="B827" s="29"/>
      <c r="C827" s="29"/>
      <c r="D827" s="29"/>
    </row>
    <row r="828">
      <c r="A828" s="29"/>
      <c r="B828" s="29"/>
      <c r="C828" s="29"/>
      <c r="D828" s="29"/>
    </row>
    <row r="829">
      <c r="A829" s="29"/>
      <c r="B829" s="29"/>
      <c r="C829" s="29"/>
      <c r="D829" s="29"/>
    </row>
    <row r="830">
      <c r="A830" s="29"/>
      <c r="B830" s="29"/>
      <c r="C830" s="29"/>
      <c r="D830" s="29"/>
    </row>
    <row r="831">
      <c r="A831" s="29"/>
      <c r="B831" s="29"/>
      <c r="C831" s="29"/>
      <c r="D831" s="29"/>
    </row>
    <row r="832">
      <c r="A832" s="29"/>
      <c r="B832" s="29"/>
      <c r="C832" s="29"/>
      <c r="D832" s="29"/>
    </row>
    <row r="833">
      <c r="A833" s="29"/>
      <c r="B833" s="29"/>
      <c r="C833" s="29"/>
      <c r="D833" s="29"/>
    </row>
    <row r="834">
      <c r="A834" s="29"/>
      <c r="B834" s="29"/>
      <c r="C834" s="29"/>
      <c r="D834" s="29"/>
    </row>
    <row r="835">
      <c r="A835" s="29"/>
      <c r="B835" s="29"/>
      <c r="C835" s="29"/>
      <c r="D835" s="29"/>
    </row>
    <row r="836">
      <c r="A836" s="29"/>
      <c r="B836" s="29"/>
      <c r="C836" s="29"/>
      <c r="D836" s="29"/>
    </row>
    <row r="837">
      <c r="A837" s="29"/>
      <c r="B837" s="29"/>
      <c r="C837" s="29"/>
      <c r="D837" s="29"/>
    </row>
    <row r="838">
      <c r="A838" s="29"/>
      <c r="B838" s="29"/>
      <c r="C838" s="29"/>
      <c r="D838" s="29"/>
    </row>
    <row r="839">
      <c r="A839" s="29"/>
      <c r="B839" s="29"/>
      <c r="C839" s="29"/>
      <c r="D839" s="29"/>
    </row>
    <row r="840">
      <c r="A840" s="29"/>
      <c r="B840" s="29"/>
      <c r="C840" s="29"/>
      <c r="D840" s="29"/>
    </row>
    <row r="841">
      <c r="A841" s="29"/>
      <c r="B841" s="29"/>
      <c r="C841" s="29"/>
      <c r="D841" s="29"/>
    </row>
    <row r="842">
      <c r="A842" s="29"/>
      <c r="B842" s="29"/>
      <c r="C842" s="29"/>
      <c r="D842" s="29"/>
    </row>
    <row r="843">
      <c r="A843" s="29"/>
      <c r="B843" s="29"/>
      <c r="C843" s="29"/>
      <c r="D843" s="29"/>
    </row>
    <row r="844">
      <c r="A844" s="29"/>
      <c r="B844" s="29"/>
      <c r="C844" s="29"/>
      <c r="D844" s="29"/>
    </row>
    <row r="845">
      <c r="A845" s="29"/>
      <c r="B845" s="29"/>
      <c r="C845" s="29"/>
      <c r="D845" s="29"/>
    </row>
    <row r="846">
      <c r="A846" s="29"/>
      <c r="B846" s="29"/>
      <c r="C846" s="29"/>
      <c r="D846" s="29"/>
    </row>
    <row r="847">
      <c r="A847" s="29"/>
      <c r="B847" s="29"/>
      <c r="C847" s="29"/>
      <c r="D847" s="29"/>
    </row>
    <row r="848">
      <c r="A848" s="29"/>
      <c r="B848" s="29"/>
      <c r="C848" s="29"/>
      <c r="D848" s="29"/>
    </row>
    <row r="849">
      <c r="A849" s="29"/>
      <c r="B849" s="29"/>
      <c r="C849" s="29"/>
      <c r="D849" s="29"/>
    </row>
    <row r="850">
      <c r="A850" s="29"/>
      <c r="B850" s="29"/>
      <c r="C850" s="29"/>
      <c r="D850" s="29"/>
    </row>
    <row r="851">
      <c r="A851" s="29"/>
      <c r="B851" s="29"/>
      <c r="C851" s="29"/>
      <c r="D851" s="29"/>
    </row>
    <row r="852">
      <c r="A852" s="29"/>
      <c r="B852" s="29"/>
      <c r="C852" s="29"/>
      <c r="D852" s="29"/>
    </row>
    <row r="853">
      <c r="A853" s="29"/>
      <c r="B853" s="29"/>
      <c r="C853" s="29"/>
      <c r="D853" s="29"/>
    </row>
    <row r="854">
      <c r="A854" s="29"/>
      <c r="B854" s="29"/>
      <c r="C854" s="29"/>
      <c r="D854" s="29"/>
    </row>
    <row r="855">
      <c r="A855" s="29"/>
      <c r="B855" s="29"/>
      <c r="C855" s="29"/>
      <c r="D855" s="29"/>
    </row>
    <row r="856">
      <c r="A856" s="29"/>
      <c r="B856" s="29"/>
      <c r="C856" s="29"/>
      <c r="D856" s="29"/>
    </row>
    <row r="857">
      <c r="A857" s="29"/>
      <c r="B857" s="29"/>
      <c r="C857" s="29"/>
      <c r="D857" s="29"/>
    </row>
    <row r="858">
      <c r="A858" s="29"/>
      <c r="B858" s="29"/>
      <c r="C858" s="29"/>
      <c r="D858" s="29"/>
    </row>
    <row r="859">
      <c r="A859" s="29"/>
      <c r="B859" s="29"/>
      <c r="C859" s="29"/>
      <c r="D859" s="29"/>
    </row>
    <row r="860">
      <c r="A860" s="29"/>
      <c r="B860" s="29"/>
      <c r="C860" s="29"/>
      <c r="D860" s="29"/>
    </row>
    <row r="861">
      <c r="A861" s="29"/>
      <c r="B861" s="29"/>
      <c r="C861" s="29"/>
      <c r="D861" s="29"/>
    </row>
    <row r="862">
      <c r="A862" s="29"/>
      <c r="B862" s="29"/>
      <c r="C862" s="29"/>
      <c r="D862" s="29"/>
    </row>
    <row r="863">
      <c r="A863" s="29"/>
      <c r="B863" s="29"/>
      <c r="C863" s="29"/>
      <c r="D863" s="29"/>
    </row>
    <row r="864">
      <c r="A864" s="29"/>
      <c r="B864" s="29"/>
      <c r="C864" s="29"/>
      <c r="D864" s="29"/>
    </row>
    <row r="865">
      <c r="A865" s="29"/>
      <c r="B865" s="29"/>
      <c r="C865" s="29"/>
      <c r="D865" s="29"/>
    </row>
    <row r="866">
      <c r="A866" s="29"/>
      <c r="B866" s="29"/>
      <c r="C866" s="29"/>
      <c r="D866" s="29"/>
    </row>
    <row r="867">
      <c r="A867" s="29"/>
      <c r="B867" s="29"/>
      <c r="C867" s="29"/>
      <c r="D867" s="29"/>
    </row>
    <row r="868">
      <c r="A868" s="29"/>
      <c r="B868" s="29"/>
      <c r="C868" s="29"/>
      <c r="D868" s="29"/>
    </row>
    <row r="869">
      <c r="A869" s="29"/>
      <c r="B869" s="29"/>
      <c r="C869" s="29"/>
      <c r="D869" s="29"/>
    </row>
    <row r="870">
      <c r="A870" s="29"/>
      <c r="B870" s="29"/>
      <c r="C870" s="29"/>
      <c r="D870" s="29"/>
    </row>
    <row r="871">
      <c r="A871" s="29"/>
      <c r="B871" s="29"/>
      <c r="C871" s="29"/>
      <c r="D871" s="29"/>
    </row>
    <row r="872">
      <c r="A872" s="29"/>
      <c r="B872" s="29"/>
      <c r="C872" s="29"/>
      <c r="D872" s="29"/>
    </row>
    <row r="873">
      <c r="A873" s="29"/>
      <c r="B873" s="29"/>
      <c r="C873" s="29"/>
      <c r="D873" s="29"/>
    </row>
    <row r="874">
      <c r="A874" s="29"/>
      <c r="B874" s="29"/>
      <c r="C874" s="29"/>
      <c r="D874" s="29"/>
    </row>
    <row r="875">
      <c r="A875" s="29"/>
      <c r="B875" s="29"/>
      <c r="C875" s="29"/>
      <c r="D875" s="29"/>
    </row>
    <row r="876">
      <c r="A876" s="29"/>
      <c r="B876" s="29"/>
      <c r="C876" s="29"/>
      <c r="D876" s="29"/>
    </row>
    <row r="877">
      <c r="A877" s="29"/>
      <c r="B877" s="29"/>
      <c r="C877" s="29"/>
      <c r="D877" s="29"/>
    </row>
    <row r="878">
      <c r="A878" s="29"/>
      <c r="B878" s="29"/>
      <c r="C878" s="29"/>
      <c r="D878" s="29"/>
    </row>
    <row r="879">
      <c r="A879" s="29"/>
      <c r="B879" s="29"/>
      <c r="C879" s="29"/>
      <c r="D879" s="29"/>
    </row>
    <row r="880">
      <c r="A880" s="29"/>
      <c r="B880" s="29"/>
      <c r="C880" s="29"/>
      <c r="D880" s="29"/>
    </row>
    <row r="881">
      <c r="A881" s="29"/>
      <c r="B881" s="29"/>
      <c r="C881" s="29"/>
      <c r="D881" s="29"/>
    </row>
    <row r="882">
      <c r="A882" s="29"/>
      <c r="B882" s="29"/>
      <c r="C882" s="29"/>
      <c r="D882" s="29"/>
    </row>
    <row r="883">
      <c r="A883" s="29"/>
      <c r="B883" s="29"/>
      <c r="C883" s="29"/>
      <c r="D883" s="29"/>
    </row>
    <row r="884">
      <c r="A884" s="29"/>
      <c r="B884" s="29"/>
      <c r="C884" s="29"/>
      <c r="D884" s="29"/>
    </row>
    <row r="885">
      <c r="A885" s="29"/>
      <c r="B885" s="29"/>
      <c r="C885" s="29"/>
      <c r="D885" s="29"/>
    </row>
    <row r="886">
      <c r="A886" s="29"/>
      <c r="B886" s="29"/>
      <c r="C886" s="29"/>
      <c r="D886" s="29"/>
    </row>
    <row r="887">
      <c r="A887" s="29"/>
      <c r="B887" s="29"/>
      <c r="C887" s="29"/>
      <c r="D887" s="29"/>
    </row>
    <row r="888">
      <c r="A888" s="29"/>
      <c r="B888" s="29"/>
      <c r="C888" s="29"/>
      <c r="D888" s="29"/>
    </row>
    <row r="889">
      <c r="A889" s="29"/>
      <c r="B889" s="29"/>
      <c r="C889" s="29"/>
      <c r="D889" s="29"/>
    </row>
    <row r="890">
      <c r="A890" s="29"/>
      <c r="B890" s="29"/>
      <c r="C890" s="29"/>
      <c r="D890" s="29"/>
    </row>
    <row r="891">
      <c r="A891" s="29"/>
      <c r="B891" s="29"/>
      <c r="C891" s="29"/>
      <c r="D891" s="29"/>
    </row>
    <row r="892">
      <c r="A892" s="29"/>
      <c r="B892" s="29"/>
      <c r="C892" s="29"/>
      <c r="D892" s="29"/>
    </row>
    <row r="893">
      <c r="A893" s="29"/>
      <c r="B893" s="29"/>
      <c r="C893" s="29"/>
      <c r="D893" s="29"/>
    </row>
    <row r="894">
      <c r="A894" s="29"/>
      <c r="B894" s="29"/>
      <c r="C894" s="29"/>
      <c r="D894" s="29"/>
    </row>
    <row r="895">
      <c r="A895" s="29"/>
      <c r="B895" s="29"/>
      <c r="C895" s="29"/>
      <c r="D895" s="29"/>
    </row>
    <row r="896">
      <c r="A896" s="29"/>
      <c r="B896" s="29"/>
      <c r="C896" s="29"/>
      <c r="D896" s="29"/>
    </row>
    <row r="897">
      <c r="A897" s="29"/>
      <c r="B897" s="29"/>
      <c r="C897" s="29"/>
      <c r="D897" s="29"/>
    </row>
    <row r="898">
      <c r="A898" s="29"/>
      <c r="B898" s="29"/>
      <c r="C898" s="29"/>
      <c r="D898" s="29"/>
    </row>
    <row r="899">
      <c r="A899" s="29"/>
      <c r="B899" s="29"/>
      <c r="C899" s="29"/>
      <c r="D899" s="29"/>
    </row>
    <row r="900">
      <c r="A900" s="29"/>
      <c r="B900" s="29"/>
      <c r="C900" s="29"/>
      <c r="D900" s="29"/>
    </row>
    <row r="901">
      <c r="A901" s="29"/>
      <c r="B901" s="29"/>
      <c r="C901" s="29"/>
      <c r="D901" s="29"/>
    </row>
    <row r="902">
      <c r="A902" s="29"/>
      <c r="B902" s="29"/>
      <c r="C902" s="29"/>
      <c r="D902" s="29"/>
    </row>
    <row r="903">
      <c r="A903" s="29"/>
      <c r="B903" s="29"/>
      <c r="C903" s="29"/>
      <c r="D903" s="29"/>
    </row>
    <row r="904">
      <c r="A904" s="29"/>
      <c r="B904" s="29"/>
      <c r="C904" s="29"/>
      <c r="D904" s="29"/>
    </row>
    <row r="905">
      <c r="A905" s="29"/>
      <c r="B905" s="29"/>
      <c r="C905" s="29"/>
      <c r="D905" s="29"/>
    </row>
    <row r="906">
      <c r="A906" s="29"/>
      <c r="B906" s="29"/>
      <c r="C906" s="29"/>
      <c r="D906" s="29"/>
    </row>
    <row r="907">
      <c r="A907" s="29"/>
      <c r="B907" s="29"/>
      <c r="C907" s="29"/>
      <c r="D907" s="29"/>
    </row>
    <row r="908">
      <c r="A908" s="29"/>
      <c r="B908" s="29"/>
      <c r="C908" s="29"/>
      <c r="D908" s="29"/>
    </row>
    <row r="909">
      <c r="A909" s="29"/>
      <c r="B909" s="29"/>
      <c r="C909" s="29"/>
      <c r="D909" s="29"/>
    </row>
    <row r="910">
      <c r="A910" s="29"/>
      <c r="B910" s="29"/>
      <c r="C910" s="29"/>
      <c r="D910" s="29"/>
    </row>
    <row r="911">
      <c r="A911" s="29"/>
      <c r="B911" s="29"/>
      <c r="C911" s="29"/>
      <c r="D911" s="29"/>
    </row>
    <row r="912">
      <c r="A912" s="29"/>
      <c r="B912" s="29"/>
      <c r="C912" s="29"/>
      <c r="D912" s="29"/>
    </row>
    <row r="913">
      <c r="A913" s="29"/>
      <c r="B913" s="29"/>
      <c r="C913" s="29"/>
      <c r="D913" s="29"/>
    </row>
    <row r="914">
      <c r="A914" s="29"/>
      <c r="B914" s="29"/>
      <c r="C914" s="29"/>
      <c r="D914" s="29"/>
    </row>
    <row r="915">
      <c r="A915" s="29"/>
      <c r="B915" s="29"/>
      <c r="C915" s="29"/>
      <c r="D915" s="29"/>
    </row>
    <row r="916">
      <c r="A916" s="29"/>
      <c r="B916" s="29"/>
      <c r="C916" s="29"/>
      <c r="D916" s="29"/>
    </row>
    <row r="917">
      <c r="A917" s="29"/>
      <c r="B917" s="29"/>
      <c r="C917" s="29"/>
      <c r="D917" s="29"/>
    </row>
    <row r="918">
      <c r="A918" s="29"/>
      <c r="B918" s="29"/>
      <c r="C918" s="29"/>
      <c r="D918" s="29"/>
    </row>
    <row r="919">
      <c r="A919" s="29"/>
      <c r="B919" s="29"/>
      <c r="C919" s="29"/>
      <c r="D919" s="29"/>
    </row>
    <row r="920">
      <c r="A920" s="29"/>
      <c r="B920" s="29"/>
      <c r="C920" s="29"/>
      <c r="D920" s="29"/>
    </row>
    <row r="921">
      <c r="A921" s="29"/>
      <c r="B921" s="29"/>
      <c r="C921" s="29"/>
      <c r="D921" s="29"/>
    </row>
    <row r="922">
      <c r="A922" s="29"/>
      <c r="B922" s="29"/>
      <c r="C922" s="29"/>
      <c r="D922" s="29"/>
    </row>
    <row r="923">
      <c r="A923" s="29"/>
      <c r="B923" s="29"/>
      <c r="C923" s="29"/>
      <c r="D923" s="29"/>
    </row>
    <row r="924">
      <c r="A924" s="29"/>
      <c r="B924" s="29"/>
      <c r="C924" s="29"/>
      <c r="D924" s="29"/>
    </row>
    <row r="925">
      <c r="A925" s="29"/>
      <c r="B925" s="29"/>
      <c r="C925" s="29"/>
      <c r="D925" s="29"/>
    </row>
    <row r="926">
      <c r="A926" s="29"/>
      <c r="B926" s="29"/>
      <c r="C926" s="29"/>
      <c r="D926" s="29"/>
    </row>
    <row r="927">
      <c r="A927" s="29"/>
      <c r="B927" s="29"/>
      <c r="C927" s="29"/>
      <c r="D927" s="29"/>
    </row>
    <row r="928">
      <c r="A928" s="29"/>
      <c r="B928" s="29"/>
      <c r="C928" s="29"/>
      <c r="D928" s="29"/>
    </row>
    <row r="929">
      <c r="A929" s="29"/>
      <c r="B929" s="29"/>
      <c r="C929" s="29"/>
      <c r="D929" s="29"/>
    </row>
    <row r="930">
      <c r="A930" s="29"/>
      <c r="B930" s="29"/>
      <c r="C930" s="29"/>
      <c r="D930" s="29"/>
    </row>
    <row r="931">
      <c r="A931" s="29"/>
      <c r="B931" s="29"/>
      <c r="C931" s="29"/>
      <c r="D931" s="29"/>
    </row>
    <row r="932">
      <c r="A932" s="29"/>
      <c r="B932" s="29"/>
      <c r="C932" s="29"/>
      <c r="D932" s="29"/>
    </row>
    <row r="933">
      <c r="A933" s="29"/>
      <c r="B933" s="29"/>
      <c r="C933" s="29"/>
      <c r="D933" s="29"/>
    </row>
    <row r="934">
      <c r="A934" s="29"/>
      <c r="B934" s="29"/>
      <c r="C934" s="29"/>
      <c r="D934" s="29"/>
    </row>
    <row r="935">
      <c r="A935" s="29"/>
      <c r="B935" s="29"/>
      <c r="C935" s="29"/>
      <c r="D935" s="29"/>
    </row>
    <row r="936">
      <c r="A936" s="29"/>
      <c r="B936" s="29"/>
      <c r="C936" s="29"/>
      <c r="D936" s="29"/>
    </row>
    <row r="937">
      <c r="A937" s="29"/>
      <c r="B937" s="29"/>
      <c r="C937" s="29"/>
      <c r="D937" s="29"/>
    </row>
    <row r="938">
      <c r="A938" s="29"/>
      <c r="B938" s="29"/>
      <c r="C938" s="29"/>
      <c r="D938" s="29"/>
    </row>
    <row r="939">
      <c r="A939" s="29"/>
      <c r="B939" s="29"/>
      <c r="C939" s="29"/>
      <c r="D939" s="29"/>
    </row>
    <row r="940">
      <c r="A940" s="29"/>
      <c r="B940" s="29"/>
      <c r="C940" s="29"/>
      <c r="D940" s="29"/>
    </row>
    <row r="941">
      <c r="A941" s="29"/>
      <c r="B941" s="29"/>
      <c r="C941" s="29"/>
      <c r="D941" s="29"/>
    </row>
    <row r="942">
      <c r="A942" s="29"/>
      <c r="B942" s="29"/>
      <c r="C942" s="29"/>
      <c r="D942" s="29"/>
    </row>
    <row r="943">
      <c r="A943" s="29"/>
      <c r="B943" s="29"/>
      <c r="C943" s="29"/>
      <c r="D943" s="29"/>
    </row>
    <row r="944">
      <c r="A944" s="29"/>
      <c r="B944" s="29"/>
      <c r="C944" s="29"/>
      <c r="D944" s="29"/>
    </row>
    <row r="945">
      <c r="A945" s="29"/>
      <c r="B945" s="29"/>
      <c r="C945" s="29"/>
      <c r="D945" s="29"/>
    </row>
    <row r="946">
      <c r="A946" s="29"/>
      <c r="B946" s="29"/>
      <c r="C946" s="29"/>
      <c r="D946" s="29"/>
    </row>
    <row r="947">
      <c r="A947" s="29"/>
      <c r="B947" s="29"/>
      <c r="C947" s="29"/>
      <c r="D947" s="29"/>
    </row>
    <row r="948">
      <c r="A948" s="29"/>
      <c r="B948" s="29"/>
      <c r="C948" s="29"/>
      <c r="D948" s="29"/>
    </row>
    <row r="949">
      <c r="A949" s="29"/>
      <c r="B949" s="29"/>
      <c r="C949" s="29"/>
      <c r="D949" s="29"/>
    </row>
    <row r="950">
      <c r="A950" s="29"/>
      <c r="B950" s="29"/>
      <c r="C950" s="29"/>
      <c r="D950" s="29"/>
    </row>
    <row r="951">
      <c r="A951" s="29"/>
      <c r="B951" s="29"/>
      <c r="C951" s="29"/>
      <c r="D951" s="29"/>
    </row>
    <row r="952">
      <c r="A952" s="29"/>
      <c r="B952" s="29"/>
      <c r="C952" s="29"/>
      <c r="D952" s="29"/>
    </row>
    <row r="953">
      <c r="A953" s="29"/>
      <c r="B953" s="29"/>
      <c r="C953" s="29"/>
      <c r="D953" s="29"/>
    </row>
    <row r="954">
      <c r="A954" s="29"/>
      <c r="B954" s="29"/>
      <c r="C954" s="29"/>
      <c r="D954" s="29"/>
    </row>
    <row r="955">
      <c r="A955" s="29"/>
      <c r="B955" s="29"/>
      <c r="C955" s="29"/>
      <c r="D955" s="29"/>
    </row>
    <row r="956">
      <c r="A956" s="29"/>
      <c r="B956" s="29"/>
      <c r="C956" s="29"/>
      <c r="D956" s="29"/>
    </row>
    <row r="957">
      <c r="A957" s="29"/>
      <c r="B957" s="29"/>
      <c r="C957" s="29"/>
      <c r="D957" s="29"/>
    </row>
    <row r="958">
      <c r="A958" s="29"/>
      <c r="B958" s="29"/>
      <c r="C958" s="29"/>
      <c r="D958" s="29"/>
    </row>
    <row r="959">
      <c r="A959" s="29"/>
      <c r="B959" s="29"/>
      <c r="C959" s="29"/>
      <c r="D959" s="29"/>
    </row>
    <row r="960">
      <c r="A960" s="29"/>
      <c r="B960" s="29"/>
      <c r="C960" s="29"/>
      <c r="D960" s="29"/>
    </row>
    <row r="961">
      <c r="A961" s="29"/>
      <c r="B961" s="29"/>
      <c r="C961" s="29"/>
      <c r="D961" s="29"/>
    </row>
    <row r="962">
      <c r="A962" s="29"/>
      <c r="B962" s="29"/>
      <c r="C962" s="29"/>
      <c r="D962" s="29"/>
    </row>
    <row r="963">
      <c r="A963" s="29"/>
      <c r="B963" s="29"/>
      <c r="C963" s="29"/>
      <c r="D963" s="29"/>
    </row>
    <row r="964">
      <c r="A964" s="29"/>
      <c r="B964" s="29"/>
      <c r="C964" s="29"/>
      <c r="D964" s="29"/>
    </row>
    <row r="965">
      <c r="A965" s="29"/>
      <c r="B965" s="29"/>
      <c r="C965" s="29"/>
      <c r="D965" s="29"/>
    </row>
    <row r="966">
      <c r="A966" s="29"/>
      <c r="B966" s="29"/>
      <c r="C966" s="29"/>
      <c r="D966" s="29"/>
    </row>
    <row r="967">
      <c r="A967" s="29"/>
      <c r="B967" s="29"/>
      <c r="C967" s="29"/>
      <c r="D967" s="29"/>
    </row>
    <row r="968">
      <c r="A968" s="29"/>
      <c r="B968" s="29"/>
      <c r="C968" s="29"/>
      <c r="D968" s="29"/>
    </row>
    <row r="969">
      <c r="A969" s="29"/>
      <c r="B969" s="29"/>
      <c r="C969" s="29"/>
      <c r="D969" s="29"/>
    </row>
    <row r="970">
      <c r="A970" s="29"/>
      <c r="B970" s="29"/>
      <c r="C970" s="29"/>
      <c r="D970" s="29"/>
    </row>
    <row r="971">
      <c r="A971" s="29"/>
      <c r="B971" s="29"/>
      <c r="C971" s="29"/>
      <c r="D971" s="29"/>
    </row>
    <row r="972">
      <c r="A972" s="29"/>
      <c r="B972" s="29"/>
      <c r="C972" s="29"/>
      <c r="D972" s="29"/>
    </row>
    <row r="973">
      <c r="A973" s="29"/>
      <c r="B973" s="29"/>
      <c r="C973" s="29"/>
      <c r="D973" s="29"/>
    </row>
    <row r="974">
      <c r="A974" s="29"/>
      <c r="B974" s="29"/>
      <c r="C974" s="29"/>
      <c r="D974" s="29"/>
    </row>
    <row r="975">
      <c r="A975" s="29"/>
      <c r="B975" s="29"/>
      <c r="C975" s="29"/>
      <c r="D975" s="29"/>
    </row>
    <row r="976">
      <c r="A976" s="29"/>
      <c r="B976" s="29"/>
      <c r="C976" s="29"/>
      <c r="D976" s="29"/>
    </row>
    <row r="977">
      <c r="A977" s="29"/>
      <c r="B977" s="29"/>
      <c r="C977" s="29"/>
      <c r="D977" s="29"/>
    </row>
    <row r="978">
      <c r="A978" s="29"/>
      <c r="B978" s="29"/>
      <c r="C978" s="29"/>
      <c r="D978" s="29"/>
    </row>
    <row r="979">
      <c r="A979" s="29"/>
      <c r="B979" s="29"/>
      <c r="C979" s="29"/>
      <c r="D979" s="29"/>
    </row>
    <row r="980">
      <c r="A980" s="29"/>
      <c r="B980" s="29"/>
      <c r="C980" s="29"/>
      <c r="D980" s="29"/>
    </row>
    <row r="981">
      <c r="A981" s="29"/>
      <c r="B981" s="29"/>
      <c r="C981" s="29"/>
      <c r="D981" s="29"/>
    </row>
    <row r="982">
      <c r="A982" s="29"/>
      <c r="B982" s="29"/>
      <c r="C982" s="29"/>
      <c r="D982" s="29"/>
    </row>
    <row r="983">
      <c r="A983" s="29"/>
      <c r="B983" s="29"/>
      <c r="C983" s="29"/>
      <c r="D983" s="29"/>
    </row>
    <row r="984">
      <c r="A984" s="29"/>
      <c r="B984" s="29"/>
      <c r="C984" s="29"/>
      <c r="D984" s="29"/>
    </row>
    <row r="985">
      <c r="A985" s="29"/>
      <c r="B985" s="29"/>
      <c r="C985" s="29"/>
      <c r="D985" s="29"/>
    </row>
    <row r="986">
      <c r="A986" s="29"/>
      <c r="B986" s="29"/>
      <c r="C986" s="29"/>
      <c r="D986" s="29"/>
    </row>
    <row r="987">
      <c r="A987" s="29"/>
      <c r="B987" s="29"/>
      <c r="C987" s="29"/>
      <c r="D987" s="29"/>
    </row>
    <row r="988">
      <c r="A988" s="29"/>
      <c r="B988" s="29"/>
      <c r="C988" s="29"/>
      <c r="D988" s="29"/>
    </row>
    <row r="989">
      <c r="A989" s="29"/>
      <c r="B989" s="29"/>
      <c r="C989" s="29"/>
      <c r="D989" s="29"/>
    </row>
    <row r="990">
      <c r="A990" s="29"/>
      <c r="B990" s="29"/>
      <c r="C990" s="29"/>
      <c r="D990" s="29"/>
    </row>
    <row r="991">
      <c r="A991" s="29"/>
      <c r="B991" s="29"/>
      <c r="C991" s="29"/>
      <c r="D991" s="29"/>
    </row>
    <row r="992">
      <c r="A992" s="29"/>
      <c r="B992" s="29"/>
      <c r="C992" s="29"/>
      <c r="D992" s="29"/>
    </row>
    <row r="993">
      <c r="A993" s="29"/>
      <c r="B993" s="29"/>
      <c r="C993" s="29"/>
      <c r="D993" s="29"/>
    </row>
    <row r="994">
      <c r="A994" s="29"/>
      <c r="B994" s="29"/>
      <c r="C994" s="29"/>
      <c r="D994" s="29"/>
    </row>
    <row r="995">
      <c r="A995" s="29"/>
      <c r="B995" s="29"/>
      <c r="C995" s="29"/>
      <c r="D995" s="29"/>
    </row>
    <row r="996">
      <c r="A996" s="29"/>
      <c r="B996" s="29"/>
      <c r="C996" s="29"/>
      <c r="D996" s="29"/>
    </row>
    <row r="997">
      <c r="A997" s="29"/>
      <c r="B997" s="29"/>
      <c r="C997" s="29"/>
      <c r="D997" s="29"/>
    </row>
    <row r="998">
      <c r="A998" s="29"/>
      <c r="B998" s="29"/>
      <c r="C998" s="29"/>
      <c r="D998" s="29"/>
    </row>
    <row r="999">
      <c r="A999" s="29"/>
      <c r="B999" s="29"/>
      <c r="C999" s="29"/>
      <c r="D999" s="29"/>
    </row>
    <row r="1000">
      <c r="A1000" s="29"/>
      <c r="B1000" s="29"/>
      <c r="C1000" s="29"/>
      <c r="D1000" s="2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25"/>
  </cols>
  <sheetData>
    <row r="1">
      <c r="A1" s="69" t="s">
        <v>162</v>
      </c>
      <c r="B1" s="70" t="s">
        <v>163</v>
      </c>
      <c r="C1" s="69" t="s">
        <v>164</v>
      </c>
      <c r="D1" s="69" t="s">
        <v>165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</row>
    <row r="2">
      <c r="A2" s="29" t="str">
        <f>IFERROR(__xludf.DUMMYFUNCTION("VSTACK(
FILTER(Cisco!A2:D1000,Cisco!A2:A1000&lt;&gt;""""),
FILTER(Juniper!A2:D1000,Cisco!A2:A1000&lt;&gt;"""")
)"),"C8200L-1N-4T")</f>
        <v>C8200L-1N-4T</v>
      </c>
      <c r="B2" s="67">
        <f>IFERROR(__xludf.DUMMYFUNCTION("""COMPUTED_VALUE"""),20055.59)</f>
        <v>20055.59</v>
      </c>
      <c r="C2" s="67">
        <f>IFERROR(__xludf.DUMMYFUNCTION("""COMPUTED_VALUE"""),18000.0)</f>
        <v>18000</v>
      </c>
      <c r="D2" s="67">
        <f>IFERROR(__xludf.DUMMYFUNCTION("""COMPUTED_VALUE"""),18000.0)</f>
        <v>18000</v>
      </c>
    </row>
    <row r="3">
      <c r="A3" s="29" t="str">
        <f>IFERROR(__xludf.DUMMYFUNCTION("""COMPUTED_VALUE"""),"C8200-1N-4T")</f>
        <v>C8200-1N-4T</v>
      </c>
      <c r="B3" s="67">
        <f>IFERROR(__xludf.DUMMYFUNCTION("""COMPUTED_VALUE"""),26751.42)</f>
        <v>26751.42</v>
      </c>
      <c r="C3" s="67">
        <f>IFERROR(__xludf.DUMMYFUNCTION("""COMPUTED_VALUE"""),15000.0)</f>
        <v>15000</v>
      </c>
      <c r="D3" s="67">
        <f>IFERROR(__xludf.DUMMYFUNCTION("""COMPUTED_VALUE"""),15000.0)</f>
        <v>15000</v>
      </c>
    </row>
    <row r="4">
      <c r="A4" s="29" t="str">
        <f>IFERROR(__xludf.DUMMYFUNCTION("""COMPUTED_VALUE"""),"C8300-2N2S-4T2X")</f>
        <v>C8300-2N2S-4T2X</v>
      </c>
      <c r="B4" s="67">
        <f>IFERROR(__xludf.DUMMYFUNCTION("""COMPUTED_VALUE"""),87564.41)</f>
        <v>87564.41</v>
      </c>
      <c r="C4" s="29"/>
      <c r="D4" s="67">
        <f>IFERROR(__xludf.DUMMYFUNCTION("""COMPUTED_VALUE"""),87564.41)</f>
        <v>87564.41</v>
      </c>
    </row>
    <row r="5">
      <c r="A5" s="29" t="str">
        <f>IFERROR(__xludf.DUMMYFUNCTION("""COMPUTED_VALUE"""),"C8300-1N1S-4T2X")</f>
        <v>C8300-1N1S-4T2X</v>
      </c>
      <c r="B5" s="67">
        <f>IFERROR(__xludf.DUMMYFUNCTION("""COMPUTED_VALUE"""),71768.03)</f>
        <v>71768.03</v>
      </c>
      <c r="C5" s="29"/>
      <c r="D5" s="67">
        <f>IFERROR(__xludf.DUMMYFUNCTION("""COMPUTED_VALUE"""),71768.03)</f>
        <v>71768.03</v>
      </c>
    </row>
    <row r="6">
      <c r="A6" s="29" t="str">
        <f>IFERROR(__xludf.DUMMYFUNCTION("""COMPUTED_VALUE"""),"C8300-2N2S-6T")</f>
        <v>C8300-2N2S-6T</v>
      </c>
      <c r="B6" s="67">
        <f>IFERROR(__xludf.DUMMYFUNCTION("""COMPUTED_VALUE"""),46344.92)</f>
        <v>46344.92</v>
      </c>
      <c r="C6" s="29"/>
      <c r="D6" s="67">
        <f>IFERROR(__xludf.DUMMYFUNCTION("""COMPUTED_VALUE"""),46344.92)</f>
        <v>46344.92</v>
      </c>
    </row>
    <row r="7">
      <c r="A7" s="29" t="str">
        <f>IFERROR(__xludf.DUMMYFUNCTION("""COMPUTED_VALUE"""),"C8300-1N1S-6T")</f>
        <v>C8300-1N1S-6T</v>
      </c>
      <c r="B7" s="67">
        <f>IFERROR(__xludf.DUMMYFUNCTION("""COMPUTED_VALUE"""),36965.33)</f>
        <v>36965.33</v>
      </c>
      <c r="C7" s="29"/>
      <c r="D7" s="67">
        <f>IFERROR(__xludf.DUMMYFUNCTION("""COMPUTED_VALUE"""),36965.33)</f>
        <v>36965.33</v>
      </c>
    </row>
    <row r="8">
      <c r="A8" s="29" t="str">
        <f>IFERROR(__xludf.DUMMYFUNCTION("""COMPUTED_VALUE"""),"C8500-20X6C")</f>
        <v>C8500-20X6C</v>
      </c>
      <c r="B8" s="67">
        <f>IFERROR(__xludf.DUMMYFUNCTION("""COMPUTED_VALUE"""),534067.23)</f>
        <v>534067.23</v>
      </c>
      <c r="C8" s="29"/>
      <c r="D8" s="67">
        <f>IFERROR(__xludf.DUMMYFUNCTION("""COMPUTED_VALUE"""),534067.23)</f>
        <v>534067.23</v>
      </c>
    </row>
    <row r="9">
      <c r="A9" s="29" t="str">
        <f>IFERROR(__xludf.DUMMYFUNCTION("""COMPUTED_VALUE"""),"C8500-12X4QC")</f>
        <v>C8500-12X4QC</v>
      </c>
      <c r="B9" s="67">
        <f>IFERROR(__xludf.DUMMYFUNCTION("""COMPUTED_VALUE"""),284449.0)</f>
        <v>284449</v>
      </c>
      <c r="C9" s="29"/>
      <c r="D9" s="67">
        <f>IFERROR(__xludf.DUMMYFUNCTION("""COMPUTED_VALUE"""),284449.0)</f>
        <v>284449</v>
      </c>
    </row>
    <row r="10">
      <c r="A10" s="29" t="str">
        <f>IFERROR(__xludf.DUMMYFUNCTION("""COMPUTED_VALUE"""),"C8500-12X")</f>
        <v>C8500-12X</v>
      </c>
      <c r="B10" s="67">
        <f>IFERROR(__xludf.DUMMYFUNCTION("""COMPUTED_VALUE"""),198921.55)</f>
        <v>198921.55</v>
      </c>
      <c r="C10" s="29"/>
      <c r="D10" s="67">
        <f>IFERROR(__xludf.DUMMYFUNCTION("""COMPUTED_VALUE"""),198921.55)</f>
        <v>198921.55</v>
      </c>
    </row>
    <row r="11">
      <c r="A11" s="29" t="str">
        <f>IFERROR(__xludf.DUMMYFUNCTION("""COMPUTED_VALUE"""),"C8500L-8S4X")</f>
        <v>C8500L-8S4X</v>
      </c>
      <c r="B11" s="67">
        <f>IFERROR(__xludf.DUMMYFUNCTION("""COMPUTED_VALUE"""),92549.95)</f>
        <v>92549.95</v>
      </c>
      <c r="C11" s="29"/>
      <c r="D11" s="67">
        <f>IFERROR(__xludf.DUMMYFUNCTION("""COMPUTED_VALUE"""),92549.95)</f>
        <v>92549.95</v>
      </c>
    </row>
    <row r="12">
      <c r="A12" s="29" t="str">
        <f>IFERROR(__xludf.DUMMYFUNCTION("""COMPUTED_VALUE"""),"C9200-24T")</f>
        <v>C9200-24T</v>
      </c>
      <c r="B12" s="67">
        <f>IFERROR(__xludf.DUMMYFUNCTION("""COMPUTED_VALUE"""),10084.98)</f>
        <v>10084.98</v>
      </c>
      <c r="C12" s="29"/>
      <c r="D12" s="67">
        <f>IFERROR(__xludf.DUMMYFUNCTION("""COMPUTED_VALUE"""),10084.98)</f>
        <v>10084.98</v>
      </c>
    </row>
    <row r="13">
      <c r="A13" s="29" t="str">
        <f>IFERROR(__xludf.DUMMYFUNCTION("""COMPUTED_VALUE"""),"C9200-24P")</f>
        <v>C9200-24P</v>
      </c>
      <c r="B13" s="67">
        <f>IFERROR(__xludf.DUMMYFUNCTION("""COMPUTED_VALUE"""),11213.65)</f>
        <v>11213.65</v>
      </c>
      <c r="C13" s="29"/>
      <c r="D13" s="67">
        <f>IFERROR(__xludf.DUMMYFUNCTION("""COMPUTED_VALUE"""),11213.65)</f>
        <v>11213.65</v>
      </c>
    </row>
    <row r="14">
      <c r="A14" s="29" t="str">
        <f>IFERROR(__xludf.DUMMYFUNCTION("""COMPUTED_VALUE"""),"C9200-48T")</f>
        <v>C9200-48T</v>
      </c>
      <c r="B14" s="67">
        <f>IFERROR(__xludf.DUMMYFUNCTION("""COMPUTED_VALUE"""),15922.14)</f>
        <v>15922.14</v>
      </c>
      <c r="C14" s="29"/>
      <c r="D14" s="67">
        <f>IFERROR(__xludf.DUMMYFUNCTION("""COMPUTED_VALUE"""),15922.14)</f>
        <v>15922.14</v>
      </c>
    </row>
    <row r="15">
      <c r="A15" s="29" t="str">
        <f>IFERROR(__xludf.DUMMYFUNCTION("""COMPUTED_VALUE"""),"C9200-48P")</f>
        <v>C9200-48P</v>
      </c>
      <c r="B15" s="67">
        <f>IFERROR(__xludf.DUMMYFUNCTION("""COMPUTED_VALUE"""),20161.2)</f>
        <v>20161.2</v>
      </c>
      <c r="C15" s="29"/>
      <c r="D15" s="67">
        <f>IFERROR(__xludf.DUMMYFUNCTION("""COMPUTED_VALUE"""),20161.2)</f>
        <v>20161.2</v>
      </c>
    </row>
    <row r="16">
      <c r="A16" s="29" t="str">
        <f>IFERROR(__xludf.DUMMYFUNCTION("""COMPUTED_VALUE"""),"C9200L-24T-4G")</f>
        <v>C9200L-24T-4G</v>
      </c>
      <c r="B16" s="67">
        <f>IFERROR(__xludf.DUMMYFUNCTION("""COMPUTED_VALUE"""),6262.27)</f>
        <v>6262.27</v>
      </c>
      <c r="C16" s="29"/>
      <c r="D16" s="67">
        <f>IFERROR(__xludf.DUMMYFUNCTION("""COMPUTED_VALUE"""),6262.27)</f>
        <v>6262.27</v>
      </c>
    </row>
    <row r="17">
      <c r="A17" s="29" t="str">
        <f>IFERROR(__xludf.DUMMYFUNCTION("""COMPUTED_VALUE"""),"C9200L-24P-4G")</f>
        <v>C9200L-24P-4G</v>
      </c>
      <c r="B17" s="67">
        <f>IFERROR(__xludf.DUMMYFUNCTION("""COMPUTED_VALUE"""),7688.05)</f>
        <v>7688.05</v>
      </c>
      <c r="C17" s="29"/>
      <c r="D17" s="67">
        <f>IFERROR(__xludf.DUMMYFUNCTION("""COMPUTED_VALUE"""),7688.05)</f>
        <v>7688.05</v>
      </c>
    </row>
    <row r="18">
      <c r="A18" s="29" t="str">
        <f>IFERROR(__xludf.DUMMYFUNCTION("""COMPUTED_VALUE"""),"C9200L-48T-4G")</f>
        <v>C9200L-48T-4G</v>
      </c>
      <c r="B18" s="67">
        <f>IFERROR(__xludf.DUMMYFUNCTION("""COMPUTED_VALUE"""),11166.4)</f>
        <v>11166.4</v>
      </c>
      <c r="C18" s="29"/>
      <c r="D18" s="67">
        <f>IFERROR(__xludf.DUMMYFUNCTION("""COMPUTED_VALUE"""),11166.4)</f>
        <v>11166.4</v>
      </c>
    </row>
    <row r="19">
      <c r="A19" s="29" t="str">
        <f>IFERROR(__xludf.DUMMYFUNCTION("""COMPUTED_VALUE"""),"C9200L-48P-4G")</f>
        <v>C9200L-48P-4G</v>
      </c>
      <c r="B19" s="67">
        <f>IFERROR(__xludf.DUMMYFUNCTION("""COMPUTED_VALUE"""),15455.34)</f>
        <v>15455.34</v>
      </c>
      <c r="C19" s="29"/>
      <c r="D19" s="67">
        <f>IFERROR(__xludf.DUMMYFUNCTION("""COMPUTED_VALUE"""),15455.34)</f>
        <v>15455.34</v>
      </c>
    </row>
    <row r="20">
      <c r="A20" s="29" t="str">
        <f>IFERROR(__xludf.DUMMYFUNCTION("""COMPUTED_VALUE"""),"C9200L-24T-4X")</f>
        <v>C9200L-24T-4X</v>
      </c>
      <c r="B20" s="67">
        <f>IFERROR(__xludf.DUMMYFUNCTION("""COMPUTED_VALUE"""),8762.44)</f>
        <v>8762.44</v>
      </c>
      <c r="C20" s="29"/>
      <c r="D20" s="67">
        <f>IFERROR(__xludf.DUMMYFUNCTION("""COMPUTED_VALUE"""),8762.44)</f>
        <v>8762.44</v>
      </c>
    </row>
    <row r="21">
      <c r="A21" s="29" t="str">
        <f>IFERROR(__xludf.DUMMYFUNCTION("""COMPUTED_VALUE"""),"C9200L-24P-4X")</f>
        <v>C9200L-24P-4X</v>
      </c>
      <c r="B21" s="67">
        <f>IFERROR(__xludf.DUMMYFUNCTION("""COMPUTED_VALUE"""),10192.33)</f>
        <v>10192.33</v>
      </c>
      <c r="C21" s="29"/>
      <c r="D21" s="67">
        <f>IFERROR(__xludf.DUMMYFUNCTION("""COMPUTED_VALUE"""),10192.33)</f>
        <v>10192.33</v>
      </c>
    </row>
    <row r="22">
      <c r="A22" s="29" t="str">
        <f>IFERROR(__xludf.DUMMYFUNCTION("""COMPUTED_VALUE"""),"C9200L-48T-4X")</f>
        <v>C9200L-48T-4X</v>
      </c>
      <c r="B22" s="67">
        <f>IFERROR(__xludf.DUMMYFUNCTION("""COMPUTED_VALUE"""),13666.57)</f>
        <v>13666.57</v>
      </c>
      <c r="C22" s="29"/>
      <c r="D22" s="67">
        <f>IFERROR(__xludf.DUMMYFUNCTION("""COMPUTED_VALUE"""),13666.57)</f>
        <v>13666.57</v>
      </c>
    </row>
    <row r="23">
      <c r="A23" s="29" t="str">
        <f>IFERROR(__xludf.DUMMYFUNCTION("""COMPUTED_VALUE"""),"C9200L-48P-4X")</f>
        <v>C9200L-48P-4X</v>
      </c>
      <c r="B23" s="67">
        <f>IFERROR(__xludf.DUMMYFUNCTION("""COMPUTED_VALUE"""),17955.51)</f>
        <v>17955.51</v>
      </c>
      <c r="C23" s="29"/>
      <c r="D23" s="67">
        <f>IFERROR(__xludf.DUMMYFUNCTION("""COMPUTED_VALUE"""),17955.51)</f>
        <v>17955.51</v>
      </c>
    </row>
    <row r="24">
      <c r="A24" s="29" t="str">
        <f>IFERROR(__xludf.DUMMYFUNCTION("""COMPUTED_VALUE"""),"C9200CX-8P-2X2G")</f>
        <v>C9200CX-8P-2X2G</v>
      </c>
      <c r="B24" s="67">
        <f>IFERROR(__xludf.DUMMYFUNCTION("""COMPUTED_VALUE"""),5144.72)</f>
        <v>5144.72</v>
      </c>
      <c r="C24" s="29"/>
      <c r="D24" s="67">
        <f>IFERROR(__xludf.DUMMYFUNCTION("""COMPUTED_VALUE"""),5144.72)</f>
        <v>5144.72</v>
      </c>
    </row>
    <row r="25">
      <c r="A25" s="29" t="str">
        <f>IFERROR(__xludf.DUMMYFUNCTION("""COMPUTED_VALUE"""),"C9200CX-12T-2X2G")</f>
        <v>C9200CX-12T-2X2G</v>
      </c>
      <c r="B25" s="67">
        <f>IFERROR(__xludf.DUMMYFUNCTION("""COMPUTED_VALUE"""),4714.31)</f>
        <v>4714.31</v>
      </c>
      <c r="C25" s="29"/>
      <c r="D25" s="67">
        <f>IFERROR(__xludf.DUMMYFUNCTION("""COMPUTED_VALUE"""),4714.31)</f>
        <v>4714.31</v>
      </c>
    </row>
    <row r="26">
      <c r="A26" s="29" t="str">
        <f>IFERROR(__xludf.DUMMYFUNCTION("""COMPUTED_VALUE"""),"C9200CX-12P-2X2G")</f>
        <v>C9200CX-12P-2X2G</v>
      </c>
      <c r="B26" s="67">
        <f>IFERROR(__xludf.DUMMYFUNCTION("""COMPUTED_VALUE"""),5606.95)</f>
        <v>5606.95</v>
      </c>
      <c r="C26" s="29"/>
      <c r="D26" s="67">
        <f>IFERROR(__xludf.DUMMYFUNCTION("""COMPUTED_VALUE"""),5606.95)</f>
        <v>5606.95</v>
      </c>
    </row>
    <row r="27">
      <c r="A27" s="29" t="str">
        <f>IFERROR(__xludf.DUMMYFUNCTION("""COMPUTED_VALUE"""),"C9300L-24T-4G")</f>
        <v>C9300L-24T-4G</v>
      </c>
      <c r="B27" s="67">
        <f>IFERROR(__xludf.DUMMYFUNCTION("""COMPUTED_VALUE"""),13274.37)</f>
        <v>13274.37</v>
      </c>
      <c r="C27" s="29"/>
      <c r="D27" s="67">
        <f>IFERROR(__xludf.DUMMYFUNCTION("""COMPUTED_VALUE"""),13274.37)</f>
        <v>13274.37</v>
      </c>
    </row>
    <row r="28">
      <c r="A28" s="29" t="str">
        <f>IFERROR(__xludf.DUMMYFUNCTION("""COMPUTED_VALUE"""),"C9300L-24P-4G")</f>
        <v>C9300L-24P-4G</v>
      </c>
      <c r="B28" s="67">
        <f>IFERROR(__xludf.DUMMYFUNCTION("""COMPUTED_VALUE"""),14219.2)</f>
        <v>14219.2</v>
      </c>
      <c r="C28" s="29"/>
      <c r="D28" s="67">
        <f>IFERROR(__xludf.DUMMYFUNCTION("""COMPUTED_VALUE"""),14219.2)</f>
        <v>14219.2</v>
      </c>
    </row>
    <row r="29">
      <c r="A29" s="29" t="str">
        <f>IFERROR(__xludf.DUMMYFUNCTION("""COMPUTED_VALUE"""),"C9300L-24T-4X")</f>
        <v>C9300L-24T-4X</v>
      </c>
      <c r="B29" s="67">
        <f>IFERROR(__xludf.DUMMYFUNCTION("""COMPUTED_VALUE"""),16104.69)</f>
        <v>16104.69</v>
      </c>
      <c r="C29" s="29"/>
      <c r="D29" s="67">
        <f>IFERROR(__xludf.DUMMYFUNCTION("""COMPUTED_VALUE"""),16104.69)</f>
        <v>16104.69</v>
      </c>
    </row>
    <row r="30">
      <c r="A30" s="29" t="str">
        <f>IFERROR(__xludf.DUMMYFUNCTION("""COMPUTED_VALUE"""),"C9300L-24P-4X")</f>
        <v>C9300L-24P-4X</v>
      </c>
      <c r="B30" s="67">
        <f>IFERROR(__xludf.DUMMYFUNCTION("""COMPUTED_VALUE"""),17045.38)</f>
        <v>17045.38</v>
      </c>
      <c r="C30" s="29"/>
      <c r="D30" s="67">
        <f>IFERROR(__xludf.DUMMYFUNCTION("""COMPUTED_VALUE"""),17045.38)</f>
        <v>17045.38</v>
      </c>
    </row>
    <row r="31">
      <c r="A31" s="29" t="str">
        <f>IFERROR(__xludf.DUMMYFUNCTION("""COMPUTED_VALUE"""),"C9300L-48T-4G")</f>
        <v>C9300L-48T-4G</v>
      </c>
      <c r="B31" s="67">
        <f>IFERROR(__xludf.DUMMYFUNCTION("""COMPUTED_VALUE"""),19434.02)</f>
        <v>19434.02</v>
      </c>
      <c r="C31" s="29"/>
      <c r="D31" s="67">
        <f>IFERROR(__xludf.DUMMYFUNCTION("""COMPUTED_VALUE"""),19434.02)</f>
        <v>19434.02</v>
      </c>
    </row>
    <row r="32">
      <c r="A32" s="29" t="str">
        <f>IFERROR(__xludf.DUMMYFUNCTION("""COMPUTED_VALUE"""),"C9300L-48P-4G")</f>
        <v>C9300L-48P-4G</v>
      </c>
      <c r="B32" s="67">
        <f>IFERROR(__xludf.DUMMYFUNCTION("""COMPUTED_VALUE"""),22071.94)</f>
        <v>22071.94</v>
      </c>
      <c r="C32" s="29"/>
      <c r="D32" s="67">
        <f>IFERROR(__xludf.DUMMYFUNCTION("""COMPUTED_VALUE"""),22071.94)</f>
        <v>22071.94</v>
      </c>
    </row>
    <row r="33">
      <c r="A33" s="29" t="str">
        <f>IFERROR(__xludf.DUMMYFUNCTION("""COMPUTED_VALUE"""),"C9300L-48T-4X")</f>
        <v>C9300L-48T-4X</v>
      </c>
      <c r="B33" s="67">
        <f>IFERROR(__xludf.DUMMYFUNCTION("""COMPUTED_VALUE"""),22260.23)</f>
        <v>22260.23</v>
      </c>
      <c r="C33" s="29"/>
      <c r="D33" s="67">
        <f>IFERROR(__xludf.DUMMYFUNCTION("""COMPUTED_VALUE"""),22260.23)</f>
        <v>22260.23</v>
      </c>
    </row>
    <row r="34">
      <c r="A34" s="29" t="str">
        <f>IFERROR(__xludf.DUMMYFUNCTION("""COMPUTED_VALUE"""),"C9300L-48P-4X")</f>
        <v>C9300L-48P-4X</v>
      </c>
      <c r="B34" s="67">
        <f>IFERROR(__xludf.DUMMYFUNCTION("""COMPUTED_VALUE"""),24901.12)</f>
        <v>24901.12</v>
      </c>
      <c r="C34" s="29"/>
      <c r="D34" s="67">
        <f>IFERROR(__xludf.DUMMYFUNCTION("""COMPUTED_VALUE"""),24901.12)</f>
        <v>24901.12</v>
      </c>
    </row>
    <row r="35">
      <c r="A35" s="29" t="str">
        <f>IFERROR(__xludf.DUMMYFUNCTION("""COMPUTED_VALUE"""),"C9300-24T")</f>
        <v>C9300-24T</v>
      </c>
      <c r="B35" s="67">
        <f>IFERROR(__xludf.DUMMYFUNCTION("""COMPUTED_VALUE"""),17547.66)</f>
        <v>17547.66</v>
      </c>
      <c r="C35" s="29"/>
      <c r="D35" s="67">
        <f>IFERROR(__xludf.DUMMYFUNCTION("""COMPUTED_VALUE"""),17547.66)</f>
        <v>17547.66</v>
      </c>
    </row>
    <row r="36">
      <c r="A36" s="29" t="str">
        <f>IFERROR(__xludf.DUMMYFUNCTION("""COMPUTED_VALUE"""),"C9300-24P")</f>
        <v>C9300-24P</v>
      </c>
      <c r="B36" s="67">
        <f>IFERROR(__xludf.DUMMYFUNCTION("""COMPUTED_VALUE"""),19038.33)</f>
        <v>19038.33</v>
      </c>
      <c r="C36" s="29"/>
      <c r="D36" s="67">
        <f>IFERROR(__xludf.DUMMYFUNCTION("""COMPUTED_VALUE"""),19038.33)</f>
        <v>19038.33</v>
      </c>
    </row>
    <row r="37">
      <c r="A37" s="29" t="str">
        <f>IFERROR(__xludf.DUMMYFUNCTION("""COMPUTED_VALUE"""),"C9300-24U")</f>
        <v>C9300-24U</v>
      </c>
      <c r="B37" s="67">
        <f>IFERROR(__xludf.DUMMYFUNCTION("""COMPUTED_VALUE"""),19965.21)</f>
        <v>19965.21</v>
      </c>
      <c r="C37" s="29"/>
      <c r="D37" s="67">
        <f>IFERROR(__xludf.DUMMYFUNCTION("""COMPUTED_VALUE"""),19965.21)</f>
        <v>19965.21</v>
      </c>
    </row>
    <row r="38">
      <c r="A38" s="29" t="str">
        <f>IFERROR(__xludf.DUMMYFUNCTION("""COMPUTED_VALUE"""),"C9300-24H")</f>
        <v>C9300-24H</v>
      </c>
      <c r="B38" s="67">
        <f>IFERROR(__xludf.DUMMYFUNCTION("""COMPUTED_VALUE"""),20515.29)</f>
        <v>20515.29</v>
      </c>
      <c r="C38" s="29"/>
      <c r="D38" s="67">
        <f>IFERROR(__xludf.DUMMYFUNCTION("""COMPUTED_VALUE"""),20515.29)</f>
        <v>20515.29</v>
      </c>
    </row>
    <row r="39">
      <c r="A39" s="29" t="str">
        <f>IFERROR(__xludf.DUMMYFUNCTION("""COMPUTED_VALUE"""),"C9300-24S")</f>
        <v>C9300-24S</v>
      </c>
      <c r="B39" s="67">
        <f>IFERROR(__xludf.DUMMYFUNCTION("""COMPUTED_VALUE"""),48735.58)</f>
        <v>48735.58</v>
      </c>
      <c r="C39" s="29"/>
      <c r="D39" s="67">
        <f>IFERROR(__xludf.DUMMYFUNCTION("""COMPUTED_VALUE"""),48735.58)</f>
        <v>48735.58</v>
      </c>
    </row>
    <row r="40">
      <c r="A40" s="29" t="str">
        <f>IFERROR(__xludf.DUMMYFUNCTION("""COMPUTED_VALUE"""),"C9300-24UB")</f>
        <v>C9300-24UB</v>
      </c>
      <c r="B40" s="67">
        <f>IFERROR(__xludf.DUMMYFUNCTION("""COMPUTED_VALUE"""),24477.78)</f>
        <v>24477.78</v>
      </c>
      <c r="C40" s="29"/>
      <c r="D40" s="67">
        <f>IFERROR(__xludf.DUMMYFUNCTION("""COMPUTED_VALUE"""),24477.78)</f>
        <v>24477.78</v>
      </c>
    </row>
    <row r="41">
      <c r="A41" s="29" t="str">
        <f>IFERROR(__xludf.DUMMYFUNCTION("""COMPUTED_VALUE"""),"C9300-48T")</f>
        <v>C9300-48T</v>
      </c>
      <c r="B41" s="67">
        <f>IFERROR(__xludf.DUMMYFUNCTION("""COMPUTED_VALUE"""),25854.11)</f>
        <v>25854.11</v>
      </c>
      <c r="C41" s="29"/>
      <c r="D41" s="67">
        <f>IFERROR(__xludf.DUMMYFUNCTION("""COMPUTED_VALUE"""),25854.11)</f>
        <v>25854.11</v>
      </c>
    </row>
    <row r="42">
      <c r="A42" s="29" t="str">
        <f>IFERROR(__xludf.DUMMYFUNCTION("""COMPUTED_VALUE"""),"C9300-48P")</f>
        <v>C9300-48P</v>
      </c>
      <c r="B42" s="67">
        <f>IFERROR(__xludf.DUMMYFUNCTION("""COMPUTED_VALUE"""),28776.34)</f>
        <v>28776.34</v>
      </c>
      <c r="C42" s="29"/>
      <c r="D42" s="67">
        <f>IFERROR(__xludf.DUMMYFUNCTION("""COMPUTED_VALUE"""),28776.34)</f>
        <v>28776.34</v>
      </c>
    </row>
    <row r="43">
      <c r="A43" s="29" t="str">
        <f>IFERROR(__xludf.DUMMYFUNCTION("""COMPUTED_VALUE"""),"C9300-48U")</f>
        <v>C9300-48U</v>
      </c>
      <c r="B43" s="67">
        <f>IFERROR(__xludf.DUMMYFUNCTION("""COMPUTED_VALUE"""),30632.82)</f>
        <v>30632.82</v>
      </c>
      <c r="C43" s="29"/>
      <c r="D43" s="67">
        <f>IFERROR(__xludf.DUMMYFUNCTION("""COMPUTED_VALUE"""),30632.82)</f>
        <v>30632.82</v>
      </c>
    </row>
    <row r="44">
      <c r="A44" s="29" t="str">
        <f>IFERROR(__xludf.DUMMYFUNCTION("""COMPUTED_VALUE"""),"C9300-48H")</f>
        <v>C9300-48H</v>
      </c>
      <c r="B44" s="67">
        <f>IFERROR(__xludf.DUMMYFUNCTION("""COMPUTED_VALUE"""),31600.93)</f>
        <v>31600.93</v>
      </c>
      <c r="C44" s="29"/>
      <c r="D44" s="67">
        <f>IFERROR(__xludf.DUMMYFUNCTION("""COMPUTED_VALUE"""),31600.93)</f>
        <v>31600.93</v>
      </c>
    </row>
    <row r="45">
      <c r="A45" s="29" t="str">
        <f>IFERROR(__xludf.DUMMYFUNCTION("""COMPUTED_VALUE"""),"C9300-48S")</f>
        <v>C9300-48S</v>
      </c>
      <c r="B45" s="67">
        <f>IFERROR(__xludf.DUMMYFUNCTION("""COMPUTED_VALUE"""),55867.65)</f>
        <v>55867.65</v>
      </c>
      <c r="C45" s="29"/>
      <c r="D45" s="67">
        <f>IFERROR(__xludf.DUMMYFUNCTION("""COMPUTED_VALUE"""),55867.65)</f>
        <v>55867.65</v>
      </c>
    </row>
    <row r="46">
      <c r="A46" s="29" t="str">
        <f>IFERROR(__xludf.DUMMYFUNCTION("""COMPUTED_VALUE"""),"C9300-48UB")</f>
        <v>C9300-48UB</v>
      </c>
      <c r="B46" s="67">
        <f>IFERROR(__xludf.DUMMYFUNCTION("""COMPUTED_VALUE"""),36714.46)</f>
        <v>36714.46</v>
      </c>
      <c r="C46" s="29"/>
      <c r="D46" s="67">
        <f>IFERROR(__xludf.DUMMYFUNCTION("""COMPUTED_VALUE"""),36714.46)</f>
        <v>36714.46</v>
      </c>
    </row>
    <row r="47">
      <c r="A47" s="29" t="str">
        <f>IFERROR(__xludf.DUMMYFUNCTION("""COMPUTED_VALUE"""),"C1300-8T-E-2G")</f>
        <v>C1300-8T-E-2G</v>
      </c>
      <c r="B47" s="67">
        <f>IFERROR(__xludf.DUMMYFUNCTION("""COMPUTED_VALUE"""),466.11)</f>
        <v>466.11</v>
      </c>
      <c r="C47" s="29"/>
      <c r="D47" s="67">
        <f>IFERROR(__xludf.DUMMYFUNCTION("""COMPUTED_VALUE"""),466.11)</f>
        <v>466.11</v>
      </c>
    </row>
    <row r="48">
      <c r="A48" s="29" t="str">
        <f>IFERROR(__xludf.DUMMYFUNCTION("""COMPUTED_VALUE"""),"C1300-8P-E-2G")</f>
        <v>C1300-8P-E-2G</v>
      </c>
      <c r="B48" s="67">
        <f>IFERROR(__xludf.DUMMYFUNCTION("""COMPUTED_VALUE"""),576.42)</f>
        <v>576.42</v>
      </c>
      <c r="C48" s="29"/>
      <c r="D48" s="67">
        <f>IFERROR(__xludf.DUMMYFUNCTION("""COMPUTED_VALUE"""),576.42)</f>
        <v>576.42</v>
      </c>
    </row>
    <row r="49">
      <c r="A49" s="29" t="str">
        <f>IFERROR(__xludf.DUMMYFUNCTION("""COMPUTED_VALUE"""),"C1300-8FP-2G")</f>
        <v>C1300-8FP-2G</v>
      </c>
      <c r="B49" s="67">
        <f>IFERROR(__xludf.DUMMYFUNCTION("""COMPUTED_VALUE"""),765.31)</f>
        <v>765.31</v>
      </c>
      <c r="C49" s="29"/>
      <c r="D49" s="67">
        <f>IFERROR(__xludf.DUMMYFUNCTION("""COMPUTED_VALUE"""),765.31)</f>
        <v>765.31</v>
      </c>
    </row>
    <row r="50">
      <c r="A50" s="29" t="str">
        <f>IFERROR(__xludf.DUMMYFUNCTION("""COMPUTED_VALUE"""),"C1300-16T-2G")</f>
        <v>C1300-16T-2G</v>
      </c>
      <c r="B50" s="67">
        <f>IFERROR(__xludf.DUMMYFUNCTION("""COMPUTED_VALUE"""),663.67)</f>
        <v>663.67</v>
      </c>
      <c r="C50" s="29"/>
      <c r="D50" s="67">
        <f>IFERROR(__xludf.DUMMYFUNCTION("""COMPUTED_VALUE"""),663.67)</f>
        <v>663.67</v>
      </c>
    </row>
    <row r="51">
      <c r="A51" s="29" t="str">
        <f>IFERROR(__xludf.DUMMYFUNCTION("""COMPUTED_VALUE"""),"C1300-16P-2G")</f>
        <v>C1300-16P-2G</v>
      </c>
      <c r="B51" s="67">
        <f>IFERROR(__xludf.DUMMYFUNCTION("""COMPUTED_VALUE"""),962.86)</f>
        <v>962.86</v>
      </c>
      <c r="C51" s="29"/>
      <c r="D51" s="67">
        <f>IFERROR(__xludf.DUMMYFUNCTION("""COMPUTED_VALUE"""),962.86)</f>
        <v>962.86</v>
      </c>
    </row>
    <row r="52">
      <c r="A52" s="29" t="str">
        <f>IFERROR(__xludf.DUMMYFUNCTION("""COMPUTED_VALUE"""),"C1300-16FP-2G")</f>
        <v>C1300-16FP-2G</v>
      </c>
      <c r="B52" s="67">
        <f>IFERROR(__xludf.DUMMYFUNCTION("""COMPUTED_VALUE"""),1364.85)</f>
        <v>1364.85</v>
      </c>
      <c r="C52" s="29"/>
      <c r="D52" s="67">
        <f>IFERROR(__xludf.DUMMYFUNCTION("""COMPUTED_VALUE"""),1364.85)</f>
        <v>1364.85</v>
      </c>
    </row>
    <row r="53">
      <c r="A53" s="29" t="str">
        <f>IFERROR(__xludf.DUMMYFUNCTION("""COMPUTED_VALUE"""),"C1300-24T-4G")</f>
        <v>C1300-24T-4G</v>
      </c>
      <c r="B53" s="67">
        <f>IFERROR(__xludf.DUMMYFUNCTION("""COMPUTED_VALUE"""),925.31)</f>
        <v>925.31</v>
      </c>
      <c r="C53" s="29"/>
      <c r="D53" s="67">
        <f>IFERROR(__xludf.DUMMYFUNCTION("""COMPUTED_VALUE"""),925.31)</f>
        <v>925.31</v>
      </c>
    </row>
    <row r="54">
      <c r="A54" s="29" t="str">
        <f>IFERROR(__xludf.DUMMYFUNCTION("""COMPUTED_VALUE"""),"C1300-24P-4G")</f>
        <v>C1300-24P-4G</v>
      </c>
      <c r="B54" s="67">
        <f>IFERROR(__xludf.DUMMYFUNCTION("""COMPUTED_VALUE"""),1316.32)</f>
        <v>1316.32</v>
      </c>
      <c r="C54" s="29"/>
      <c r="D54" s="67">
        <f>IFERROR(__xludf.DUMMYFUNCTION("""COMPUTED_VALUE"""),1316.32)</f>
        <v>1316.32</v>
      </c>
    </row>
    <row r="55">
      <c r="A55" s="29" t="str">
        <f>IFERROR(__xludf.DUMMYFUNCTION("""COMPUTED_VALUE"""),"C1300-24FP-4G")</f>
        <v>C1300-24FP-4G</v>
      </c>
      <c r="B55" s="67">
        <f>IFERROR(__xludf.DUMMYFUNCTION("""COMPUTED_VALUE"""),1785.82)</f>
        <v>1785.82</v>
      </c>
      <c r="C55" s="29"/>
      <c r="D55" s="67">
        <f>IFERROR(__xludf.DUMMYFUNCTION("""COMPUTED_VALUE"""),1785.82)</f>
        <v>1785.82</v>
      </c>
    </row>
    <row r="56">
      <c r="A56" s="29" t="str">
        <f>IFERROR(__xludf.DUMMYFUNCTION("""COMPUTED_VALUE"""),"C1300-48T-4G")</f>
        <v>C1300-48T-4G</v>
      </c>
      <c r="B56" s="67">
        <f>IFERROR(__xludf.DUMMYFUNCTION("""COMPUTED_VALUE"""),1446.81)</f>
        <v>1446.81</v>
      </c>
      <c r="C56" s="29"/>
      <c r="D56" s="67">
        <f>IFERROR(__xludf.DUMMYFUNCTION("""COMPUTED_VALUE"""),1446.81)</f>
        <v>1446.81</v>
      </c>
    </row>
    <row r="57">
      <c r="A57" s="29" t="str">
        <f>IFERROR(__xludf.DUMMYFUNCTION("""COMPUTED_VALUE"""),"C1300-48P-4G")</f>
        <v>C1300-48P-4G</v>
      </c>
      <c r="B57" s="67">
        <f>IFERROR(__xludf.DUMMYFUNCTION("""COMPUTED_VALUE"""),2394.09)</f>
        <v>2394.09</v>
      </c>
      <c r="C57" s="29"/>
      <c r="D57" s="67">
        <f>IFERROR(__xludf.DUMMYFUNCTION("""COMPUTED_VALUE"""),2394.09)</f>
        <v>2394.09</v>
      </c>
    </row>
    <row r="58">
      <c r="A58" s="29" t="str">
        <f>IFERROR(__xludf.DUMMYFUNCTION("""COMPUTED_VALUE"""),"C1300-48FP-4G")</f>
        <v>C1300-48FP-4G</v>
      </c>
      <c r="B58" s="67">
        <f>IFERROR(__xludf.DUMMYFUNCTION("""COMPUTED_VALUE"""),2990.63)</f>
        <v>2990.63</v>
      </c>
      <c r="C58" s="29"/>
      <c r="D58" s="67">
        <f>IFERROR(__xludf.DUMMYFUNCTION("""COMPUTED_VALUE"""),2990.63)</f>
        <v>2990.63</v>
      </c>
    </row>
    <row r="59">
      <c r="A59" s="29" t="str">
        <f>IFERROR(__xludf.DUMMYFUNCTION("""COMPUTED_VALUE"""),"C1300-16P-4X")</f>
        <v>C1300-16P-4X</v>
      </c>
      <c r="B59" s="67">
        <f>IFERROR(__xludf.DUMMYFUNCTION("""COMPUTED_VALUE"""),1047.05)</f>
        <v>1047.05</v>
      </c>
      <c r="C59" s="29"/>
      <c r="D59" s="67">
        <f>IFERROR(__xludf.DUMMYFUNCTION("""COMPUTED_VALUE"""),1047.05)</f>
        <v>1047.05</v>
      </c>
    </row>
    <row r="60">
      <c r="A60" s="29" t="str">
        <f>IFERROR(__xludf.DUMMYFUNCTION("""COMPUTED_VALUE"""),"C1300-24T-4X")</f>
        <v>C1300-24T-4X</v>
      </c>
      <c r="B60" s="67">
        <f>IFERROR(__xludf.DUMMYFUNCTION("""COMPUTED_VALUE"""),1403.2)</f>
        <v>1403.2</v>
      </c>
      <c r="C60" s="29"/>
      <c r="D60" s="67">
        <f>IFERROR(__xludf.DUMMYFUNCTION("""COMPUTED_VALUE"""),1403.2)</f>
        <v>1403.2</v>
      </c>
    </row>
    <row r="61">
      <c r="A61" s="29" t="str">
        <f>IFERROR(__xludf.DUMMYFUNCTION("""COMPUTED_VALUE"""),"C1300-24P-4X")</f>
        <v>C1300-24P-4X</v>
      </c>
      <c r="B61" s="67">
        <f>IFERROR(__xludf.DUMMYFUNCTION("""COMPUTED_VALUE"""),1674.32)</f>
        <v>1674.32</v>
      </c>
      <c r="C61" s="29"/>
      <c r="D61" s="67">
        <f>IFERROR(__xludf.DUMMYFUNCTION("""COMPUTED_VALUE"""),1674.32)</f>
        <v>1674.32</v>
      </c>
    </row>
    <row r="62">
      <c r="A62" s="29" t="str">
        <f>IFERROR(__xludf.DUMMYFUNCTION("""COMPUTED_VALUE"""),"C1300-24FP-4X")</f>
        <v>C1300-24FP-4X</v>
      </c>
      <c r="B62" s="67">
        <f>IFERROR(__xludf.DUMMYFUNCTION("""COMPUTED_VALUE"""),2278.26)</f>
        <v>2278.26</v>
      </c>
      <c r="C62" s="29"/>
      <c r="D62" s="67">
        <f>IFERROR(__xludf.DUMMYFUNCTION("""COMPUTED_VALUE"""),2278.26)</f>
        <v>2278.26</v>
      </c>
    </row>
    <row r="63">
      <c r="A63" s="29" t="str">
        <f>IFERROR(__xludf.DUMMYFUNCTION("""COMPUTED_VALUE"""),"C1300-48T-4X")</f>
        <v>C1300-48T-4X</v>
      </c>
      <c r="B63" s="67">
        <f>IFERROR(__xludf.DUMMYFUNCTION("""COMPUTED_VALUE"""),2202.72)</f>
        <v>2202.72</v>
      </c>
      <c r="C63" s="29"/>
      <c r="D63" s="67">
        <f>IFERROR(__xludf.DUMMYFUNCTION("""COMPUTED_VALUE"""),2202.72)</f>
        <v>2202.72</v>
      </c>
    </row>
    <row r="64">
      <c r="A64" s="29" t="str">
        <f>IFERROR(__xludf.DUMMYFUNCTION("""COMPUTED_VALUE"""),"C1300-48P-4X")</f>
        <v>C1300-48P-4X</v>
      </c>
      <c r="B64" s="67">
        <f>IFERROR(__xludf.DUMMYFUNCTION("""COMPUTED_VALUE"""),2733.04)</f>
        <v>2733.04</v>
      </c>
      <c r="C64" s="29"/>
      <c r="D64" s="67">
        <f>IFERROR(__xludf.DUMMYFUNCTION("""COMPUTED_VALUE"""),2733.04)</f>
        <v>2733.04</v>
      </c>
    </row>
    <row r="65">
      <c r="A65" s="29" t="str">
        <f>IFERROR(__xludf.DUMMYFUNCTION("""COMPUTED_VALUE"""),"C1300-48FP-4X")</f>
        <v>C1300-48FP-4X</v>
      </c>
      <c r="B65" s="67">
        <f>IFERROR(__xludf.DUMMYFUNCTION("""COMPUTED_VALUE"""),3526.47)</f>
        <v>3526.47</v>
      </c>
      <c r="C65" s="29"/>
      <c r="D65" s="67">
        <f>IFERROR(__xludf.DUMMYFUNCTION("""COMPUTED_VALUE"""),3526.47)</f>
        <v>3526.47</v>
      </c>
    </row>
    <row r="66">
      <c r="A66" s="29" t="str">
        <f>IFERROR(__xludf.DUMMYFUNCTION("""COMPUTED_VALUE"""),"C1300-12XT-2X")</f>
        <v>C1300-12XT-2X</v>
      </c>
      <c r="B66" s="67">
        <f>IFERROR(__xludf.DUMMYFUNCTION("""COMPUTED_VALUE"""),2418.18)</f>
        <v>2418.18</v>
      </c>
      <c r="C66" s="29"/>
      <c r="D66" s="67">
        <f>IFERROR(__xludf.DUMMYFUNCTION("""COMPUTED_VALUE"""),2418.18)</f>
        <v>2418.18</v>
      </c>
    </row>
    <row r="67">
      <c r="A67" s="29" t="str">
        <f>IFERROR(__xludf.DUMMYFUNCTION("""COMPUTED_VALUE"""),"C1300-12XS")</f>
        <v>C1300-12XS</v>
      </c>
      <c r="B67" s="67">
        <f>IFERROR(__xludf.DUMMYFUNCTION("""COMPUTED_VALUE"""),2462.89)</f>
        <v>2462.89</v>
      </c>
      <c r="C67" s="29"/>
      <c r="D67" s="67">
        <f>IFERROR(__xludf.DUMMYFUNCTION("""COMPUTED_VALUE"""),2462.89)</f>
        <v>2462.89</v>
      </c>
    </row>
    <row r="68">
      <c r="A68" s="29" t="str">
        <f>IFERROR(__xludf.DUMMYFUNCTION("""COMPUTED_VALUE"""),"C1300-16XTS")</f>
        <v>C1300-16XTS</v>
      </c>
      <c r="B68" s="67">
        <f>IFERROR(__xludf.DUMMYFUNCTION("""COMPUTED_VALUE"""),3849.34)</f>
        <v>3849.34</v>
      </c>
      <c r="C68" s="29"/>
      <c r="D68" s="67">
        <f>IFERROR(__xludf.DUMMYFUNCTION("""COMPUTED_VALUE"""),3849.34)</f>
        <v>3849.34</v>
      </c>
    </row>
    <row r="69">
      <c r="A69" s="29" t="str">
        <f>IFERROR(__xludf.DUMMYFUNCTION("""COMPUTED_VALUE"""),"C1300-24XS")</f>
        <v>C1300-24XS</v>
      </c>
      <c r="B69" s="67">
        <f>IFERROR(__xludf.DUMMYFUNCTION("""COMPUTED_VALUE"""),3983.44)</f>
        <v>3983.44</v>
      </c>
      <c r="C69" s="29"/>
      <c r="D69" s="67">
        <f>IFERROR(__xludf.DUMMYFUNCTION("""COMPUTED_VALUE"""),3983.44)</f>
        <v>3983.44</v>
      </c>
    </row>
    <row r="70">
      <c r="A70" s="29" t="str">
        <f>IFERROR(__xludf.DUMMYFUNCTION("""COMPUTED_VALUE"""),"C1300-24XT")</f>
        <v>C1300-24XT</v>
      </c>
      <c r="B70" s="67">
        <f>IFERROR(__xludf.DUMMYFUNCTION("""COMPUTED_VALUE"""),5118.44)</f>
        <v>5118.44</v>
      </c>
      <c r="C70" s="29"/>
      <c r="D70" s="67">
        <f>IFERROR(__xludf.DUMMYFUNCTION("""COMPUTED_VALUE"""),5118.44)</f>
        <v>5118.44</v>
      </c>
    </row>
    <row r="71">
      <c r="A71" s="29" t="str">
        <f>IFERROR(__xludf.DUMMYFUNCTION("""COMPUTED_VALUE"""),"C1300-24XTS")</f>
        <v>C1300-24XTS</v>
      </c>
      <c r="B71" s="67">
        <f>IFERROR(__xludf.DUMMYFUNCTION("""COMPUTED_VALUE"""),4937.7)</f>
        <v>4937.7</v>
      </c>
      <c r="C71" s="29"/>
      <c r="D71" s="67">
        <f>IFERROR(__xludf.DUMMYFUNCTION("""COMPUTED_VALUE"""),4937.7)</f>
        <v>4937.7</v>
      </c>
    </row>
    <row r="72">
      <c r="A72" s="29" t="str">
        <f>IFERROR(__xludf.DUMMYFUNCTION("""COMPUTED_VALUE"""),"C1300X-24T-4X")</f>
        <v>C1300X-24T-4X</v>
      </c>
      <c r="B72" s="67">
        <f>IFERROR(__xludf.DUMMYFUNCTION("""COMPUTED_VALUE"""),1187.92)</f>
        <v>1187.92</v>
      </c>
      <c r="C72" s="29"/>
      <c r="D72" s="67">
        <f>IFERROR(__xludf.DUMMYFUNCTION("""COMPUTED_VALUE"""),1187.92)</f>
        <v>1187.92</v>
      </c>
    </row>
    <row r="73">
      <c r="A73" s="29" t="str">
        <f>IFERROR(__xludf.DUMMYFUNCTION("""COMPUTED_VALUE"""),"C1300X-48T-4X")</f>
        <v>C1300X-48T-4X</v>
      </c>
      <c r="B73" s="67">
        <f>IFERROR(__xludf.DUMMYFUNCTION("""COMPUTED_VALUE"""),1723.05)</f>
        <v>1723.05</v>
      </c>
      <c r="C73" s="29"/>
      <c r="D73" s="67">
        <f>IFERROR(__xludf.DUMMYFUNCTION("""COMPUTED_VALUE"""),1723.05)</f>
        <v>1723.05</v>
      </c>
    </row>
    <row r="74">
      <c r="A74" s="29" t="str">
        <f>IFERROR(__xludf.DUMMYFUNCTION("""COMPUTED_VALUE"""),"C1300X-24P-4X")</f>
        <v>C1300X-24P-4X</v>
      </c>
      <c r="B74" s="67">
        <f>IFERROR(__xludf.DUMMYFUNCTION("""COMPUTED_VALUE"""),1925.65)</f>
        <v>1925.65</v>
      </c>
      <c r="C74" s="29"/>
      <c r="D74" s="67">
        <f>IFERROR(__xludf.DUMMYFUNCTION("""COMPUTED_VALUE"""),1925.65)</f>
        <v>1925.65</v>
      </c>
    </row>
    <row r="75">
      <c r="A75" s="29" t="str">
        <f>IFERROR(__xludf.DUMMYFUNCTION("""COMPUTED_VALUE"""),"C1300X-48P-4X")</f>
        <v>C1300X-48P-4X</v>
      </c>
      <c r="B75" s="67">
        <f>IFERROR(__xludf.DUMMYFUNCTION("""COMPUTED_VALUE"""),2982.58)</f>
        <v>2982.58</v>
      </c>
      <c r="C75" s="29"/>
      <c r="D75" s="67">
        <f>IFERROR(__xludf.DUMMYFUNCTION("""COMPUTED_VALUE"""),2982.58)</f>
        <v>2982.58</v>
      </c>
    </row>
    <row r="76">
      <c r="A76" s="29" t="str">
        <f>IFERROR(__xludf.DUMMYFUNCTION("""COMPUTED_VALUE"""),"C9500-32C")</f>
        <v>C9500-32C</v>
      </c>
      <c r="B76" s="67">
        <f>IFERROR(__xludf.DUMMYFUNCTION("""COMPUTED_VALUE"""),85280.32)</f>
        <v>85280.32</v>
      </c>
      <c r="C76" s="29"/>
      <c r="D76" s="67">
        <f>IFERROR(__xludf.DUMMYFUNCTION("""COMPUTED_VALUE"""),85280.32)</f>
        <v>85280.32</v>
      </c>
    </row>
    <row r="77">
      <c r="A77" s="29" t="str">
        <f>IFERROR(__xludf.DUMMYFUNCTION("""COMPUTED_VALUE"""),"C9500-32QC")</f>
        <v>C9500-32QC</v>
      </c>
      <c r="B77" s="67">
        <f>IFERROR(__xludf.DUMMYFUNCTION("""COMPUTED_VALUE"""),76987.18)</f>
        <v>76987.18</v>
      </c>
      <c r="C77" s="29"/>
      <c r="D77" s="67">
        <f>IFERROR(__xludf.DUMMYFUNCTION("""COMPUTED_VALUE"""),76987.18)</f>
        <v>76987.18</v>
      </c>
    </row>
    <row r="78">
      <c r="A78" s="29" t="str">
        <f>IFERROR(__xludf.DUMMYFUNCTION("""COMPUTED_VALUE"""),"C9500-48Y4C")</f>
        <v>C9500-48Y4C</v>
      </c>
      <c r="B78" s="67">
        <f>IFERROR(__xludf.DUMMYFUNCTION("""COMPUTED_VALUE"""),65076.01)</f>
        <v>65076.01</v>
      </c>
      <c r="C78" s="29"/>
      <c r="D78" s="67">
        <f>IFERROR(__xludf.DUMMYFUNCTION("""COMPUTED_VALUE"""),65076.01)</f>
        <v>65076.01</v>
      </c>
    </row>
    <row r="79">
      <c r="A79" s="29" t="str">
        <f>IFERROR(__xludf.DUMMYFUNCTION("""COMPUTED_VALUE"""),"C9500-24Y4C")</f>
        <v>C9500-24Y4C</v>
      </c>
      <c r="B79" s="67">
        <f>IFERROR(__xludf.DUMMYFUNCTION("""COMPUTED_VALUE"""),54433.3)</f>
        <v>54433.3</v>
      </c>
      <c r="C79" s="29"/>
      <c r="D79" s="67">
        <f>IFERROR(__xludf.DUMMYFUNCTION("""COMPUTED_VALUE"""),54433.3)</f>
        <v>54433.3</v>
      </c>
    </row>
    <row r="80">
      <c r="A80" s="29" t="str">
        <f>IFERROR(__xludf.DUMMYFUNCTION("""COMPUTED_VALUE"""),"C9500X-28C8D")</f>
        <v>C9500X-28C8D</v>
      </c>
      <c r="B80" s="67">
        <f>IFERROR(__xludf.DUMMYFUNCTION("""COMPUTED_VALUE"""),166221.42)</f>
        <v>166221.42</v>
      </c>
      <c r="C80" s="29"/>
      <c r="D80" s="67">
        <f>IFERROR(__xludf.DUMMYFUNCTION("""COMPUTED_VALUE"""),166221.42)</f>
        <v>166221.42</v>
      </c>
    </row>
    <row r="81">
      <c r="A81" s="29" t="str">
        <f>IFERROR(__xludf.DUMMYFUNCTION("""COMPUTED_VALUE"""),"C9500X-60L4D")</f>
        <v>C9500X-60L4D</v>
      </c>
      <c r="B81" s="67">
        <f>IFERROR(__xludf.DUMMYFUNCTION("""COMPUTED_VALUE"""),127832.66)</f>
        <v>127832.66</v>
      </c>
      <c r="C81" s="29"/>
      <c r="D81" s="67">
        <f>IFERROR(__xludf.DUMMYFUNCTION("""COMPUTED_VALUE"""),127832.66)</f>
        <v>127832.66</v>
      </c>
    </row>
    <row r="82">
      <c r="A82" s="29" t="str">
        <f>IFERROR(__xludf.DUMMYFUNCTION("""COMPUTED_VALUE"""),"APIC-CLUSTERG5")</f>
        <v>APIC-CLUSTERG5</v>
      </c>
      <c r="B82" s="67">
        <f>IFERROR(__xludf.DUMMYFUNCTION("""COMPUTED_VALUE"""),161856.78)</f>
        <v>161856.78</v>
      </c>
      <c r="C82" s="29"/>
      <c r="D82" s="67">
        <f>IFERROR(__xludf.DUMMYFUNCTION("""COMPUTED_VALUE"""),161856.78)</f>
        <v>161856.78</v>
      </c>
    </row>
    <row r="83">
      <c r="A83" s="29" t="str">
        <f>IFERROR(__xludf.DUMMYFUNCTION("""COMPUTED_VALUE"""),"N9K-C9504")</f>
        <v>N9K-C9504</v>
      </c>
      <c r="B83" s="67">
        <f>IFERROR(__xludf.DUMMYFUNCTION("""COMPUTED_VALUE"""),361526.13)</f>
        <v>361526.13</v>
      </c>
      <c r="C83" s="29"/>
      <c r="D83" s="67">
        <f>IFERROR(__xludf.DUMMYFUNCTION("""COMPUTED_VALUE"""),361526.13)</f>
        <v>361526.13</v>
      </c>
    </row>
    <row r="84">
      <c r="A84" s="29" t="str">
        <f>IFERROR(__xludf.DUMMYFUNCTION("""COMPUTED_VALUE"""),"N9K-X9736C-FX3=")</f>
        <v>N9K-X9736C-FX3=</v>
      </c>
      <c r="B84" s="67">
        <f>IFERROR(__xludf.DUMMYFUNCTION("""COMPUTED_VALUE"""),56066.35)</f>
        <v>56066.35</v>
      </c>
      <c r="C84" s="29"/>
      <c r="D84" s="67">
        <f>IFERROR(__xludf.DUMMYFUNCTION("""COMPUTED_VALUE"""),56066.35)</f>
        <v>56066.35</v>
      </c>
    </row>
    <row r="85">
      <c r="A85" s="29" t="str">
        <f>IFERROR(__xludf.DUMMYFUNCTION("""COMPUTED_VALUE"""),"N9K-C93600CD-GX")</f>
        <v>N9K-C93600CD-GX</v>
      </c>
      <c r="B85" s="67">
        <f>IFERROR(__xludf.DUMMYFUNCTION("""COMPUTED_VALUE"""),118659.89)</f>
        <v>118659.89</v>
      </c>
      <c r="C85" s="29"/>
      <c r="D85" s="67">
        <f>IFERROR(__xludf.DUMMYFUNCTION("""COMPUTED_VALUE"""),118659.89)</f>
        <v>118659.89</v>
      </c>
    </row>
    <row r="86">
      <c r="A86" s="29" t="str">
        <f>IFERROR(__xludf.DUMMYFUNCTION("""COMPUTED_VALUE"""),"N9K-C93180YC-FX3")</f>
        <v>N9K-C93180YC-FX3</v>
      </c>
      <c r="B86" s="67">
        <f>IFERROR(__xludf.DUMMYFUNCTION("""COMPUTED_VALUE"""),69697.92)</f>
        <v>69697.92</v>
      </c>
      <c r="C86" s="29"/>
      <c r="D86" s="67">
        <f>IFERROR(__xludf.DUMMYFUNCTION("""COMPUTED_VALUE"""),69697.92)</f>
        <v>69697.92</v>
      </c>
    </row>
    <row r="87">
      <c r="A87" s="29" t="str">
        <f>IFERROR(__xludf.DUMMYFUNCTION("""COMPUTED_VALUE"""),"N9K-C9348GC-FX3")</f>
        <v>N9K-C9348GC-FX3</v>
      </c>
      <c r="B87" s="67">
        <f>IFERROR(__xludf.DUMMYFUNCTION("""COMPUTED_VALUE"""),30084.92)</f>
        <v>30084.92</v>
      </c>
      <c r="C87" s="29"/>
      <c r="D87" s="67">
        <f>IFERROR(__xludf.DUMMYFUNCTION("""COMPUTED_VALUE"""),30084.92)</f>
        <v>30084.92</v>
      </c>
    </row>
    <row r="88">
      <c r="A88" s="29" t="str">
        <f>IFERROR(__xludf.DUMMYFUNCTION("""COMPUTED_VALUE"""),"QSFP-100G-LR-S=")</f>
        <v>QSFP-100G-LR-S=</v>
      </c>
      <c r="B88" s="67">
        <f>IFERROR(__xludf.DUMMYFUNCTION("""COMPUTED_VALUE"""),4130.83)</f>
        <v>4130.83</v>
      </c>
      <c r="C88" s="29"/>
      <c r="D88" s="67">
        <f>IFERROR(__xludf.DUMMYFUNCTION("""COMPUTED_VALUE"""),4130.83)</f>
        <v>4130.83</v>
      </c>
    </row>
    <row r="89">
      <c r="A89" s="29" t="str">
        <f>IFERROR(__xludf.DUMMYFUNCTION("""COMPUTED_VALUE"""),"C1161X-8P")</f>
        <v>C1161X-8P</v>
      </c>
      <c r="B89" s="67">
        <f>IFERROR(__xludf.DUMMYFUNCTION("""COMPUTED_VALUE"""),10544.189999999999)</f>
        <v>10544.19</v>
      </c>
      <c r="C89" s="67">
        <f>IFERROR(__xludf.DUMMYFUNCTION("""COMPUTED_VALUE"""),26500.0)</f>
        <v>26500</v>
      </c>
      <c r="D89" s="67">
        <f>IFERROR(__xludf.DUMMYFUNCTION("""COMPUTED_VALUE"""),26500.0)</f>
        <v>26500</v>
      </c>
    </row>
    <row r="90">
      <c r="A90" s="29" t="str">
        <f>IFERROR(__xludf.DUMMYFUNCTION("""COMPUTED_VALUE"""),"C1127-8PLTEP")</f>
        <v>C1127-8PLTEP</v>
      </c>
      <c r="B90" s="67">
        <f>IFERROR(__xludf.DUMMYFUNCTION("""COMPUTED_VALUE"""),9119.72)</f>
        <v>9119.72</v>
      </c>
      <c r="C90" s="67">
        <f>IFERROR(__xludf.DUMMYFUNCTION("""COMPUTED_VALUE"""),32500.0)</f>
        <v>32500</v>
      </c>
      <c r="D90" s="67">
        <f>IFERROR(__xludf.DUMMYFUNCTION("""COMPUTED_VALUE"""),32500.0)</f>
        <v>32500</v>
      </c>
    </row>
    <row r="91">
      <c r="A91" s="29" t="str">
        <f>IFERROR(__xludf.DUMMYFUNCTION("""COMPUTED_VALUE"""),"C1117-4P")</f>
        <v>C1117-4P</v>
      </c>
      <c r="B91" s="67">
        <f>IFERROR(__xludf.DUMMYFUNCTION("""COMPUTED_VALUE"""),8670.439999999999)</f>
        <v>8670.44</v>
      </c>
      <c r="C91" s="67">
        <f>IFERROR(__xludf.DUMMYFUNCTION("""COMPUTED_VALUE"""),192000.0)</f>
        <v>192000</v>
      </c>
      <c r="D91" s="67">
        <f>IFERROR(__xludf.DUMMYFUNCTION("""COMPUTED_VALUE"""),192000.0)</f>
        <v>192000</v>
      </c>
    </row>
    <row r="92">
      <c r="A92" s="29" t="str">
        <f>IFERROR(__xludf.DUMMYFUNCTION("""COMPUTED_VALUE"""),"C1109-4PLTE2P")</f>
        <v>C1109-4PLTE2P</v>
      </c>
      <c r="B92" s="67">
        <f>IFERROR(__xludf.DUMMYFUNCTION("""COMPUTED_VALUE"""),9255.74)</f>
        <v>9255.74</v>
      </c>
      <c r="C92" s="29"/>
      <c r="D92" s="67">
        <f>IFERROR(__xludf.DUMMYFUNCTION("""COMPUTED_VALUE"""),9255.74)</f>
        <v>9255.74</v>
      </c>
    </row>
    <row r="93">
      <c r="A93" s="29" t="str">
        <f>IFERROR(__xludf.DUMMYFUNCTION("""COMPUTED_VALUE"""),"C1161-8P")</f>
        <v>C1161-8P</v>
      </c>
      <c r="B93" s="67">
        <f>IFERROR(__xludf.DUMMYFUNCTION("""COMPUTED_VALUE"""),9295.63)</f>
        <v>9295.63</v>
      </c>
      <c r="C93" s="29"/>
      <c r="D93" s="67">
        <f>IFERROR(__xludf.DUMMYFUNCTION("""COMPUTED_VALUE"""),9295.63)</f>
        <v>9295.63</v>
      </c>
    </row>
    <row r="94">
      <c r="A94" s="29" t="str">
        <f>IFERROR(__xludf.DUMMYFUNCTION("""COMPUTED_VALUE"""),"C1131-8PWS")</f>
        <v>C1131-8PWS</v>
      </c>
      <c r="B94" s="67">
        <f>IFERROR(__xludf.DUMMYFUNCTION("""COMPUTED_VALUE"""),9167.72)</f>
        <v>9167.72</v>
      </c>
      <c r="C94" s="29"/>
      <c r="D94" s="67">
        <f>IFERROR(__xludf.DUMMYFUNCTION("""COMPUTED_VALUE"""),9167.72)</f>
        <v>9167.72</v>
      </c>
    </row>
    <row r="95">
      <c r="A95" s="29" t="str">
        <f>IFERROR(__xludf.DUMMYFUNCTION("""COMPUTED_VALUE"""),"C1131X-8PWS")</f>
        <v>C1131X-8PWS</v>
      </c>
      <c r="B95" s="67">
        <f>IFERROR(__xludf.DUMMYFUNCTION("""COMPUTED_VALUE"""),9409.5)</f>
        <v>9409.5</v>
      </c>
      <c r="C95" s="29"/>
      <c r="D95" s="67">
        <f>IFERROR(__xludf.DUMMYFUNCTION("""COMPUTED_VALUE"""),9409.5)</f>
        <v>9409.5</v>
      </c>
    </row>
    <row r="96">
      <c r="A96" s="29" t="str">
        <f>IFERROR(__xludf.DUMMYFUNCTION("""COMPUTED_VALUE"""),"C1121-4P")</f>
        <v>C1121-4P</v>
      </c>
      <c r="B96" s="67">
        <f>IFERROR(__xludf.DUMMYFUNCTION("""COMPUTED_VALUE"""),8116.299999999999)</f>
        <v>8116.3</v>
      </c>
      <c r="C96" s="29"/>
      <c r="D96" s="67">
        <f>IFERROR(__xludf.DUMMYFUNCTION("""COMPUTED_VALUE"""),8116.299999999999)</f>
        <v>8116.3</v>
      </c>
    </row>
    <row r="97">
      <c r="A97" s="29" t="str">
        <f>IFERROR(__xludf.DUMMYFUNCTION("""COMPUTED_VALUE"""),"C1121-8P")</f>
        <v>C1121-8P</v>
      </c>
      <c r="B97" s="67">
        <f>IFERROR(__xludf.DUMMYFUNCTION("""COMPUTED_VALUE"""),8446.06)</f>
        <v>8446.06</v>
      </c>
      <c r="C97" s="29"/>
      <c r="D97" s="67">
        <f>IFERROR(__xludf.DUMMYFUNCTION("""COMPUTED_VALUE"""),8446.06)</f>
        <v>8446.06</v>
      </c>
    </row>
    <row r="98">
      <c r="A98" s="29" t="str">
        <f>IFERROR(__xludf.DUMMYFUNCTION("""COMPUTED_VALUE"""),"C1116-4P")</f>
        <v>C1116-4P</v>
      </c>
      <c r="B98" s="67">
        <f>IFERROR(__xludf.DUMMYFUNCTION("""COMPUTED_VALUE"""),8670.439999999999)</f>
        <v>8670.44</v>
      </c>
      <c r="C98" s="29"/>
      <c r="D98" s="67">
        <f>IFERROR(__xludf.DUMMYFUNCTION("""COMPUTED_VALUE"""),8670.439999999999)</f>
        <v>8670.44</v>
      </c>
    </row>
    <row r="99">
      <c r="A99" s="29" t="str">
        <f>IFERROR(__xludf.DUMMYFUNCTION("""COMPUTED_VALUE"""),"C1112-8P")</f>
        <v>C1112-8P</v>
      </c>
      <c r="B99" s="67">
        <f>IFERROR(__xludf.DUMMYFUNCTION("""COMPUTED_VALUE"""),9786.58)</f>
        <v>9786.58</v>
      </c>
      <c r="C99" s="29"/>
      <c r="D99" s="67">
        <f>IFERROR(__xludf.DUMMYFUNCTION("""COMPUTED_VALUE"""),9786.58)</f>
        <v>9786.58</v>
      </c>
    </row>
    <row r="100">
      <c r="A100" s="29" t="str">
        <f>IFERROR(__xludf.DUMMYFUNCTION("""COMPUTED_VALUE"""),"C8355-G2 (Default Routing)")</f>
        <v>C8355-G2 (Default Routing)</v>
      </c>
      <c r="B100" s="67">
        <f>IFERROR(__xludf.DUMMYFUNCTION("""COMPUTED_VALUE"""),26043.76)</f>
        <v>26043.76</v>
      </c>
      <c r="C100" s="29"/>
      <c r="D100" s="67">
        <f>IFERROR(__xludf.DUMMYFUNCTION("""COMPUTED_VALUE"""),26043.76)</f>
        <v>26043.76</v>
      </c>
    </row>
    <row r="101">
      <c r="A101" s="29" t="str">
        <f>IFERROR(__xludf.DUMMYFUNCTION("""COMPUTED_VALUE"""),"C8355-G2 (Adv Routing)")</f>
        <v>C8355-G2 (Adv Routing)</v>
      </c>
      <c r="B101" s="67">
        <f>IFERROR(__xludf.DUMMYFUNCTION("""COMPUTED_VALUE"""),36123.759999999995)</f>
        <v>36123.76</v>
      </c>
      <c r="C101" s="29"/>
      <c r="D101" s="67">
        <f>IFERROR(__xludf.DUMMYFUNCTION("""COMPUTED_VALUE"""),36123.759999999995)</f>
        <v>36123.76</v>
      </c>
    </row>
    <row r="102">
      <c r="A102" s="29" t="str">
        <f>IFERROR(__xludf.DUMMYFUNCTION("""COMPUTED_VALUE"""),"C8355-G2 (SDWAN)")</f>
        <v>C8355-G2 (SDWAN)</v>
      </c>
      <c r="B102" s="67">
        <f>IFERROR(__xludf.DUMMYFUNCTION("""COMPUTED_VALUE"""),40227.759999999995)</f>
        <v>40227.76</v>
      </c>
      <c r="C102" s="29"/>
      <c r="D102" s="67">
        <f>IFERROR(__xludf.DUMMYFUNCTION("""COMPUTED_VALUE"""),40227.759999999995)</f>
        <v>40227.76</v>
      </c>
    </row>
    <row r="103">
      <c r="A103" s="29" t="str">
        <f>IFERROR(__xludf.DUMMYFUNCTION("""COMPUTED_VALUE"""),"C8355-G2 (Full Adds On)")</f>
        <v>C8355-G2 (Full Adds On)</v>
      </c>
      <c r="B103" s="67">
        <f>IFERROR(__xludf.DUMMYFUNCTION("""COMPUTED_VALUE"""),42063.759999999995)</f>
        <v>42063.76</v>
      </c>
      <c r="C103" s="29"/>
      <c r="D103" s="67">
        <f>IFERROR(__xludf.DUMMYFUNCTION("""COMPUTED_VALUE"""),42063.759999999995)</f>
        <v>42063.76</v>
      </c>
    </row>
    <row r="104">
      <c r="A104" s="29" t="str">
        <f>IFERROR(__xludf.DUMMYFUNCTION("""COMPUTED_VALUE"""),"C8375-E-G2 (Default Routing)")</f>
        <v>C8375-E-G2 (Default Routing)</v>
      </c>
      <c r="B104" s="67">
        <f>IFERROR(__xludf.DUMMYFUNCTION("""COMPUTED_VALUE"""),44396.56)</f>
        <v>44396.56</v>
      </c>
      <c r="C104" s="29"/>
      <c r="D104" s="67">
        <f>IFERROR(__xludf.DUMMYFUNCTION("""COMPUTED_VALUE"""),44396.56)</f>
        <v>44396.56</v>
      </c>
    </row>
    <row r="105">
      <c r="A105" s="29" t="str">
        <f>IFERROR(__xludf.DUMMYFUNCTION("""COMPUTED_VALUE"""),"C8375-E-G2 (Adv Routing)")</f>
        <v>C8375-E-G2 (Adv Routing)</v>
      </c>
      <c r="B105" s="67">
        <f>IFERROR(__xludf.DUMMYFUNCTION("""COMPUTED_VALUE"""),54476.56)</f>
        <v>54476.56</v>
      </c>
      <c r="C105" s="29"/>
      <c r="D105" s="67">
        <f>IFERROR(__xludf.DUMMYFUNCTION("""COMPUTED_VALUE"""),54476.56)</f>
        <v>54476.56</v>
      </c>
    </row>
    <row r="106">
      <c r="A106" s="29" t="str">
        <f>IFERROR(__xludf.DUMMYFUNCTION("""COMPUTED_VALUE"""),"C8375-E-G2 (SDWAN)")</f>
        <v>C8375-E-G2 (SDWAN)</v>
      </c>
      <c r="B106" s="67">
        <f>IFERROR(__xludf.DUMMYFUNCTION("""COMPUTED_VALUE"""),58580.56)</f>
        <v>58580.56</v>
      </c>
      <c r="C106" s="29"/>
      <c r="D106" s="67">
        <f>IFERROR(__xludf.DUMMYFUNCTION("""COMPUTED_VALUE"""),58580.56)</f>
        <v>58580.56</v>
      </c>
    </row>
    <row r="107">
      <c r="A107" s="29" t="str">
        <f>IFERROR(__xludf.DUMMYFUNCTION("""COMPUTED_VALUE"""),"C8375-E-G2 (Full Adds On)")</f>
        <v>C8375-E-G2 (Full Adds On)</v>
      </c>
      <c r="B107" s="67">
        <f>IFERROR(__xludf.DUMMYFUNCTION("""COMPUTED_VALUE"""),60416.56)</f>
        <v>60416.56</v>
      </c>
      <c r="C107" s="29"/>
      <c r="D107" s="67">
        <f>IFERROR(__xludf.DUMMYFUNCTION("""COMPUTED_VALUE"""),60416.56)</f>
        <v>60416.56</v>
      </c>
    </row>
    <row r="108">
      <c r="A108" s="29" t="str">
        <f>IFERROR(__xludf.DUMMYFUNCTION("""COMPUTED_VALUE"""),"C8550-G2 (Default Routing)")</f>
        <v>C8550-G2 (Default Routing)</v>
      </c>
      <c r="B108" s="67">
        <f>IFERROR(__xludf.DUMMYFUNCTION("""COMPUTED_VALUE"""),182038.62)</f>
        <v>182038.62</v>
      </c>
      <c r="C108" s="29"/>
      <c r="D108" s="67">
        <f>IFERROR(__xludf.DUMMYFUNCTION("""COMPUTED_VALUE"""),182038.62)</f>
        <v>182038.62</v>
      </c>
    </row>
    <row r="109">
      <c r="A109" s="29" t="str">
        <f>IFERROR(__xludf.DUMMYFUNCTION("""COMPUTED_VALUE"""),"C8550-G2 (Adv Routing)")</f>
        <v>C8550-G2 (Adv Routing)</v>
      </c>
      <c r="B109" s="67">
        <f>IFERROR(__xludf.DUMMYFUNCTION("""COMPUTED_VALUE"""),215638.62)</f>
        <v>215638.62</v>
      </c>
      <c r="C109" s="29"/>
      <c r="D109" s="67">
        <f>IFERROR(__xludf.DUMMYFUNCTION("""COMPUTED_VALUE"""),215638.62)</f>
        <v>215638.62</v>
      </c>
    </row>
    <row r="110">
      <c r="A110" s="29" t="str">
        <f>IFERROR(__xludf.DUMMYFUNCTION("""COMPUTED_VALUE"""),"C8550-G2 (SDWAN)")</f>
        <v>C8550-G2 (SDWAN)</v>
      </c>
      <c r="B110" s="67">
        <f>IFERROR(__xludf.DUMMYFUNCTION("""COMPUTED_VALUE"""),237226.62)</f>
        <v>237226.62</v>
      </c>
      <c r="C110" s="29"/>
      <c r="D110" s="67">
        <f>IFERROR(__xludf.DUMMYFUNCTION("""COMPUTED_VALUE"""),237226.62)</f>
        <v>237226.62</v>
      </c>
    </row>
    <row r="111">
      <c r="A111" s="29" t="str">
        <f>IFERROR(__xludf.DUMMYFUNCTION("""COMPUTED_VALUE"""),"C8570-G2 (Default Routing)")</f>
        <v>C8570-G2 (Default Routing)</v>
      </c>
      <c r="B111" s="67">
        <f>IFERROR(__xludf.DUMMYFUNCTION("""COMPUTED_VALUE"""),254910.54)</f>
        <v>254910.54</v>
      </c>
      <c r="C111" s="29"/>
      <c r="D111" s="67">
        <f>IFERROR(__xludf.DUMMYFUNCTION("""COMPUTED_VALUE"""),254910.54)</f>
        <v>254910.54</v>
      </c>
    </row>
    <row r="112">
      <c r="A112" s="29" t="str">
        <f>IFERROR(__xludf.DUMMYFUNCTION("""COMPUTED_VALUE"""),"C8570-G2 (Adv Routing)")</f>
        <v>C8570-G2 (Adv Routing)</v>
      </c>
      <c r="B112" s="67">
        <f>IFERROR(__xludf.DUMMYFUNCTION("""COMPUTED_VALUE"""),288510.54000000004)</f>
        <v>288510.54</v>
      </c>
      <c r="C112" s="29"/>
      <c r="D112" s="67">
        <f>IFERROR(__xludf.DUMMYFUNCTION("""COMPUTED_VALUE"""),288510.54000000004)</f>
        <v>288510.54</v>
      </c>
    </row>
    <row r="113">
      <c r="A113" s="29" t="str">
        <f>IFERROR(__xludf.DUMMYFUNCTION("""COMPUTED_VALUE"""),"C8570-G2 (SDWAN)")</f>
        <v>C8570-G2 (SDWAN)</v>
      </c>
      <c r="B113" s="67">
        <f>IFERROR(__xludf.DUMMYFUNCTION("""COMPUTED_VALUE"""),310098.54000000004)</f>
        <v>310098.54</v>
      </c>
      <c r="C113" s="29"/>
      <c r="D113" s="67">
        <f>IFERROR(__xludf.DUMMYFUNCTION("""COMPUTED_VALUE"""),310098.54000000004)</f>
        <v>310098.54</v>
      </c>
    </row>
    <row r="114">
      <c r="A114" s="29" t="str">
        <f>IFERROR(__xludf.DUMMYFUNCTION("""COMPUTED_VALUE"""),"C8455-G2 (Default Routing)")</f>
        <v>C8455-G2 (Default Routing)</v>
      </c>
      <c r="B114" s="67">
        <f>IFERROR(__xludf.DUMMYFUNCTION("""COMPUTED_VALUE"""),60581.28)</f>
        <v>60581.28</v>
      </c>
      <c r="C114" s="29"/>
      <c r="D114" s="67">
        <f>IFERROR(__xludf.DUMMYFUNCTION("""COMPUTED_VALUE"""),60581.28)</f>
        <v>60581.28</v>
      </c>
    </row>
    <row r="115">
      <c r="A115" s="29" t="str">
        <f>IFERROR(__xludf.DUMMYFUNCTION("""COMPUTED_VALUE"""),"C8455-G2 (Adv Routing)")</f>
        <v>C8455-G2 (Adv Routing)</v>
      </c>
      <c r="B115" s="67">
        <f>IFERROR(__xludf.DUMMYFUNCTION("""COMPUTED_VALUE"""),94181.28)</f>
        <v>94181.28</v>
      </c>
      <c r="C115" s="29"/>
      <c r="D115" s="67">
        <f>IFERROR(__xludf.DUMMYFUNCTION("""COMPUTED_VALUE"""),94181.28)</f>
        <v>94181.28</v>
      </c>
    </row>
    <row r="116">
      <c r="A116" s="29" t="str">
        <f>IFERROR(__xludf.DUMMYFUNCTION("""COMPUTED_VALUE"""),"C8455-G2 (SDWAN)")</f>
        <v>C8455-G2 (SDWAN)</v>
      </c>
      <c r="B116" s="67">
        <f>IFERROR(__xludf.DUMMYFUNCTION("""COMPUTED_VALUE"""),115769.28)</f>
        <v>115769.28</v>
      </c>
      <c r="C116" s="29"/>
      <c r="D116" s="67">
        <f>IFERROR(__xludf.DUMMYFUNCTION("""COMPUTED_VALUE"""),115769.28)</f>
        <v>115769.28</v>
      </c>
    </row>
    <row r="117">
      <c r="A117" s="29" t="str">
        <f>IFERROR(__xludf.DUMMYFUNCTION("""COMPUTED_VALUE"""),"C8455-G2 (Full Adds On)")</f>
        <v>C8455-G2 (Full Adds On)</v>
      </c>
      <c r="B117" s="67">
        <f>IFERROR(__xludf.DUMMYFUNCTION("""COMPUTED_VALUE"""),119441.28)</f>
        <v>119441.28</v>
      </c>
      <c r="C117" s="29"/>
      <c r="D117" s="67">
        <f>IFERROR(__xludf.DUMMYFUNCTION("""COMPUTED_VALUE"""),119441.28)</f>
        <v>119441.28</v>
      </c>
    </row>
    <row r="118">
      <c r="A118" s="29" t="str">
        <f>IFERROR(__xludf.DUMMYFUNCTION("""COMPUTED_VALUE"""),"C8475-G2 (Default Routing)")</f>
        <v>C8475-G2 (Default Routing)</v>
      </c>
      <c r="B118" s="67">
        <f>IFERROR(__xludf.DUMMYFUNCTION("""COMPUTED_VALUE"""),109166.7)</f>
        <v>109166.7</v>
      </c>
      <c r="C118" s="29"/>
      <c r="D118" s="67">
        <f>IFERROR(__xludf.DUMMYFUNCTION("""COMPUTED_VALUE"""),109166.7)</f>
        <v>109166.7</v>
      </c>
    </row>
    <row r="119">
      <c r="A119" s="29" t="str">
        <f>IFERROR(__xludf.DUMMYFUNCTION("""COMPUTED_VALUE"""),"C8475-G2 (Adv Routing)")</f>
        <v>C8475-G2 (Adv Routing)</v>
      </c>
      <c r="B119" s="67">
        <f>IFERROR(__xludf.DUMMYFUNCTION("""COMPUTED_VALUE"""),142766.7)</f>
        <v>142766.7</v>
      </c>
      <c r="C119" s="29"/>
      <c r="D119" s="67">
        <f>IFERROR(__xludf.DUMMYFUNCTION("""COMPUTED_VALUE"""),142766.7)</f>
        <v>142766.7</v>
      </c>
    </row>
    <row r="120">
      <c r="A120" s="29" t="str">
        <f>IFERROR(__xludf.DUMMYFUNCTION("""COMPUTED_VALUE"""),"C8475-G2 (SDWAN)")</f>
        <v>C8475-G2 (SDWAN)</v>
      </c>
      <c r="B120" s="67">
        <f>IFERROR(__xludf.DUMMYFUNCTION("""COMPUTED_VALUE"""),164354.7)</f>
        <v>164354.7</v>
      </c>
      <c r="C120" s="29"/>
      <c r="D120" s="67">
        <f>IFERROR(__xludf.DUMMYFUNCTION("""COMPUTED_VALUE"""),164354.7)</f>
        <v>164354.7</v>
      </c>
    </row>
    <row r="121">
      <c r="A121" s="29" t="str">
        <f>IFERROR(__xludf.DUMMYFUNCTION("""COMPUTED_VALUE"""),"C8475-G2 (Full Adds On)")</f>
        <v>C8475-G2 (Full Adds On)</v>
      </c>
      <c r="B121" s="67">
        <f>IFERROR(__xludf.DUMMYFUNCTION("""COMPUTED_VALUE"""),168026.7)</f>
        <v>168026.7</v>
      </c>
      <c r="C121" s="29"/>
      <c r="D121" s="67">
        <f>IFERROR(__xludf.DUMMYFUNCTION("""COMPUTED_VALUE"""),168026.7)</f>
        <v>168026.7</v>
      </c>
    </row>
    <row r="122">
      <c r="A122" s="29" t="str">
        <f>IFERROR(__xludf.DUMMYFUNCTION("""COMPUTED_VALUE"""),"C8235-E-G2 (Default Routing)")</f>
        <v>C8235-E-G2 (Default Routing)</v>
      </c>
      <c r="B122" s="67">
        <f>IFERROR(__xludf.DUMMYFUNCTION("""COMPUTED_VALUE"""),13967.14)</f>
        <v>13967.14</v>
      </c>
      <c r="C122" s="29"/>
      <c r="D122" s="67">
        <f>IFERROR(__xludf.DUMMYFUNCTION("""COMPUTED_VALUE"""),13967.14)</f>
        <v>13967.14</v>
      </c>
    </row>
    <row r="123">
      <c r="A123" s="29" t="str">
        <f>IFERROR(__xludf.DUMMYFUNCTION("""COMPUTED_VALUE"""),"C8235-E-G2 (Adv Routing)")</f>
        <v>C8235-E-G2 (Adv Routing)</v>
      </c>
      <c r="B123" s="67">
        <f>IFERROR(__xludf.DUMMYFUNCTION("""COMPUTED_VALUE"""),17999.14)</f>
        <v>17999.14</v>
      </c>
      <c r="C123" s="29"/>
      <c r="D123" s="67">
        <f>IFERROR(__xludf.DUMMYFUNCTION("""COMPUTED_VALUE"""),17999.14)</f>
        <v>17999.14</v>
      </c>
    </row>
    <row r="124">
      <c r="A124" s="29" t="str">
        <f>IFERROR(__xludf.DUMMYFUNCTION("""COMPUTED_VALUE"""),"C8235-E-G2 (SDWAN)")</f>
        <v>C8235-E-G2 (SDWAN)</v>
      </c>
      <c r="B124" s="67">
        <f>IFERROR(__xludf.DUMMYFUNCTION("""COMPUTED_VALUE"""),18647.14)</f>
        <v>18647.14</v>
      </c>
      <c r="C124" s="29"/>
      <c r="D124" s="67">
        <f>IFERROR(__xludf.DUMMYFUNCTION("""COMPUTED_VALUE"""),18647.14)</f>
        <v>18647.14</v>
      </c>
    </row>
    <row r="125">
      <c r="A125" s="29" t="str">
        <f>IFERROR(__xludf.DUMMYFUNCTION("""COMPUTED_VALUE"""),"C8235-E-G2 (Full Adds On)")</f>
        <v>C8235-E-G2 (Full Adds On)</v>
      </c>
      <c r="B125" s="67">
        <f>IFERROR(__xludf.DUMMYFUNCTION("""COMPUTED_VALUE"""),19295.14)</f>
        <v>19295.14</v>
      </c>
      <c r="C125" s="29"/>
      <c r="D125" s="67">
        <f>IFERROR(__xludf.DUMMYFUNCTION("""COMPUTED_VALUE"""),19295.14)</f>
        <v>19295.14</v>
      </c>
    </row>
    <row r="126">
      <c r="A126" s="29" t="str">
        <f>IFERROR(__xludf.DUMMYFUNCTION("""COMPUTED_VALUE"""),"C8231-E-G2 (Default Routing)")</f>
        <v>C8231-E-G2 (Default Routing)</v>
      </c>
      <c r="B126" s="67">
        <f>IFERROR(__xludf.DUMMYFUNCTION("""COMPUTED_VALUE"""),11093.35)</f>
        <v>11093.35</v>
      </c>
      <c r="C126" s="29"/>
      <c r="D126" s="67">
        <f>IFERROR(__xludf.DUMMYFUNCTION("""COMPUTED_VALUE"""),11093.35)</f>
        <v>11093.35</v>
      </c>
    </row>
    <row r="127">
      <c r="A127" s="29" t="str">
        <f>IFERROR(__xludf.DUMMYFUNCTION("""COMPUTED_VALUE"""),"C8231-E-G2 (Adv Routing)")</f>
        <v>C8231-E-G2 (Adv Routing)</v>
      </c>
      <c r="B127" s="67">
        <f>IFERROR(__xludf.DUMMYFUNCTION("""COMPUTED_VALUE"""),15125.35)</f>
        <v>15125.35</v>
      </c>
      <c r="C127" s="29"/>
      <c r="D127" s="67">
        <f>IFERROR(__xludf.DUMMYFUNCTION("""COMPUTED_VALUE"""),15125.35)</f>
        <v>15125.35</v>
      </c>
    </row>
    <row r="128">
      <c r="A128" s="29" t="str">
        <f>IFERROR(__xludf.DUMMYFUNCTION("""COMPUTED_VALUE"""),"C8231-E-G2 (SDWAN)")</f>
        <v>C8231-E-G2 (SDWAN)</v>
      </c>
      <c r="B128" s="67">
        <f>IFERROR(__xludf.DUMMYFUNCTION("""COMPUTED_VALUE"""),15773.35)</f>
        <v>15773.35</v>
      </c>
      <c r="C128" s="29"/>
      <c r="D128" s="67">
        <f>IFERROR(__xludf.DUMMYFUNCTION("""COMPUTED_VALUE"""),15773.35)</f>
        <v>15773.35</v>
      </c>
    </row>
    <row r="129">
      <c r="A129" s="29" t="str">
        <f>IFERROR(__xludf.DUMMYFUNCTION("""COMPUTED_VALUE"""),"C8231-E-G2 (Full Adds On)")</f>
        <v>C8231-E-G2 (Full Adds On)</v>
      </c>
      <c r="B129" s="67">
        <f>IFERROR(__xludf.DUMMYFUNCTION("""COMPUTED_VALUE"""),16421.35)</f>
        <v>16421.35</v>
      </c>
      <c r="C129" s="29"/>
      <c r="D129" s="67">
        <f>IFERROR(__xludf.DUMMYFUNCTION("""COMPUTED_VALUE"""),16421.35)</f>
        <v>16421.35</v>
      </c>
    </row>
    <row r="130">
      <c r="A130" s="29" t="str">
        <f>IFERROR(__xludf.DUMMYFUNCTION("""COMPUTED_VALUE"""),"C8235-G2 (Default Routing)")</f>
        <v>C8235-G2 (Default Routing)</v>
      </c>
      <c r="B130" s="67">
        <f>IFERROR(__xludf.DUMMYFUNCTION("""COMPUTED_VALUE"""),11149.27)</f>
        <v>11149.27</v>
      </c>
      <c r="C130" s="29"/>
      <c r="D130" s="67">
        <f>IFERROR(__xludf.DUMMYFUNCTION("""COMPUTED_VALUE"""),11149.27)</f>
        <v>11149.27</v>
      </c>
    </row>
    <row r="131">
      <c r="A131" s="29" t="str">
        <f>IFERROR(__xludf.DUMMYFUNCTION("""COMPUTED_VALUE"""),"C8235-G2 (Adv Routing)")</f>
        <v>C8235-G2 (Adv Routing)</v>
      </c>
      <c r="B131" s="67">
        <f>IFERROR(__xludf.DUMMYFUNCTION("""COMPUTED_VALUE"""),15181.27)</f>
        <v>15181.27</v>
      </c>
      <c r="C131" s="29"/>
      <c r="D131" s="67">
        <f>IFERROR(__xludf.DUMMYFUNCTION("""COMPUTED_VALUE"""),15181.27)</f>
        <v>15181.27</v>
      </c>
    </row>
    <row r="132">
      <c r="A132" s="29" t="str">
        <f>IFERROR(__xludf.DUMMYFUNCTION("""COMPUTED_VALUE"""),"C8235-G2 (SDWAN)")</f>
        <v>C8235-G2 (SDWAN)</v>
      </c>
      <c r="B132" s="67">
        <f>IFERROR(__xludf.DUMMYFUNCTION("""COMPUTED_VALUE"""),15829.27)</f>
        <v>15829.27</v>
      </c>
      <c r="C132" s="29"/>
      <c r="D132" s="67">
        <f>IFERROR(__xludf.DUMMYFUNCTION("""COMPUTED_VALUE"""),15829.27)</f>
        <v>15829.27</v>
      </c>
    </row>
    <row r="133">
      <c r="A133" s="29" t="str">
        <f>IFERROR(__xludf.DUMMYFUNCTION("""COMPUTED_VALUE"""),"C8235-G2 (Full Adds On)")</f>
        <v>C8235-G2 (Full Adds On)</v>
      </c>
      <c r="B133" s="67">
        <f>IFERROR(__xludf.DUMMYFUNCTION("""COMPUTED_VALUE"""),16477.27)</f>
        <v>16477.27</v>
      </c>
      <c r="C133" s="29"/>
      <c r="D133" s="67">
        <f>IFERROR(__xludf.DUMMYFUNCTION("""COMPUTED_VALUE"""),16477.27)</f>
        <v>16477.27</v>
      </c>
    </row>
    <row r="134">
      <c r="A134" s="29" t="str">
        <f>IFERROR(__xludf.DUMMYFUNCTION("""COMPUTED_VALUE"""),"C8231-G2 (Default Routing)")</f>
        <v>C8231-G2 (Default Routing)</v>
      </c>
      <c r="B134" s="67">
        <f>IFERROR(__xludf.DUMMYFUNCTION("""COMPUTED_VALUE"""),6976.88)</f>
        <v>6976.88</v>
      </c>
      <c r="C134" s="29"/>
      <c r="D134" s="67">
        <f>IFERROR(__xludf.DUMMYFUNCTION("""COMPUTED_VALUE"""),6976.88)</f>
        <v>6976.88</v>
      </c>
    </row>
    <row r="135">
      <c r="A135" s="29" t="str">
        <f>IFERROR(__xludf.DUMMYFUNCTION("""COMPUTED_VALUE"""),"C8231-G2 (Adv Routing)")</f>
        <v>C8231-G2 (Adv Routing)</v>
      </c>
      <c r="B135" s="67">
        <f>IFERROR(__xludf.DUMMYFUNCTION("""COMPUTED_VALUE"""),11008.880000000001)</f>
        <v>11008.88</v>
      </c>
      <c r="C135" s="29"/>
      <c r="D135" s="67">
        <f>IFERROR(__xludf.DUMMYFUNCTION("""COMPUTED_VALUE"""),11008.880000000001)</f>
        <v>11008.88</v>
      </c>
    </row>
    <row r="136">
      <c r="A136" s="29" t="str">
        <f>IFERROR(__xludf.DUMMYFUNCTION("""COMPUTED_VALUE"""),"C8231-G2 (SDWAN)")</f>
        <v>C8231-G2 (SDWAN)</v>
      </c>
      <c r="B136" s="67">
        <f>IFERROR(__xludf.DUMMYFUNCTION("""COMPUTED_VALUE"""),11656.880000000001)</f>
        <v>11656.88</v>
      </c>
      <c r="C136" s="29"/>
      <c r="D136" s="67">
        <f>IFERROR(__xludf.DUMMYFUNCTION("""COMPUTED_VALUE"""),11656.880000000001)</f>
        <v>11656.88</v>
      </c>
    </row>
    <row r="137">
      <c r="A137" s="29" t="str">
        <f>IFERROR(__xludf.DUMMYFUNCTION("""COMPUTED_VALUE"""),"C8231-G2 (Full Adds On)")</f>
        <v>C8231-G2 (Full Adds On)</v>
      </c>
      <c r="B137" s="67">
        <f>IFERROR(__xludf.DUMMYFUNCTION("""COMPUTED_VALUE"""),12304.880000000001)</f>
        <v>12304.88</v>
      </c>
      <c r="C137" s="29"/>
      <c r="D137" s="67">
        <f>IFERROR(__xludf.DUMMYFUNCTION("""COMPUTED_VALUE"""),12304.880000000001)</f>
        <v>12304.88</v>
      </c>
    </row>
    <row r="138">
      <c r="A138" s="29" t="str">
        <f>IFERROR(__xludf.DUMMYFUNCTION("""COMPUTED_VALUE"""),"C8130-G2 (Default Routing)")</f>
        <v>C8130-G2 (Default Routing)</v>
      </c>
      <c r="B138" s="67">
        <f>IFERROR(__xludf.DUMMYFUNCTION("""COMPUTED_VALUE"""),2222.15)</f>
        <v>2222.15</v>
      </c>
      <c r="C138" s="29"/>
      <c r="D138" s="67">
        <f>IFERROR(__xludf.DUMMYFUNCTION("""COMPUTED_VALUE"""),2222.15)</f>
        <v>2222.15</v>
      </c>
    </row>
    <row r="139">
      <c r="A139" s="29" t="str">
        <f>IFERROR(__xludf.DUMMYFUNCTION("""COMPUTED_VALUE"""),"C8130-G2 (Adv Routing)")</f>
        <v>C8130-G2 (Adv Routing)</v>
      </c>
      <c r="B139" s="67">
        <f>IFERROR(__xludf.DUMMYFUNCTION("""COMPUTED_VALUE"""),3902.15)</f>
        <v>3902.15</v>
      </c>
      <c r="C139" s="29"/>
      <c r="D139" s="67">
        <f>IFERROR(__xludf.DUMMYFUNCTION("""COMPUTED_VALUE"""),3902.15)</f>
        <v>3902.15</v>
      </c>
    </row>
    <row r="140">
      <c r="A140" s="29" t="str">
        <f>IFERROR(__xludf.DUMMYFUNCTION("""COMPUTED_VALUE"""),"C8131-G2 (Default Routing)")</f>
        <v>C8131-G2 (Default Routing)</v>
      </c>
      <c r="B140" s="67">
        <f>IFERROR(__xludf.DUMMYFUNCTION("""COMPUTED_VALUE"""),2688.89)</f>
        <v>2688.89</v>
      </c>
      <c r="C140" s="29"/>
      <c r="D140" s="67">
        <f>IFERROR(__xludf.DUMMYFUNCTION("""COMPUTED_VALUE"""),2688.89)</f>
        <v>2688.89</v>
      </c>
    </row>
    <row r="141">
      <c r="A141" s="29" t="str">
        <f>IFERROR(__xludf.DUMMYFUNCTION("""COMPUTED_VALUE"""),"C8131-G2 (Adv Routing)")</f>
        <v>C8131-G2 (Adv Routing)</v>
      </c>
      <c r="B141" s="67">
        <f>IFERROR(__xludf.DUMMYFUNCTION("""COMPUTED_VALUE"""),4368.889999999999)</f>
        <v>4368.89</v>
      </c>
      <c r="C141" s="29"/>
      <c r="D141" s="67">
        <f>IFERROR(__xludf.DUMMYFUNCTION("""COMPUTED_VALUE"""),4368.889999999999)</f>
        <v>4368.89</v>
      </c>
    </row>
    <row r="142">
      <c r="A142" s="29" t="str">
        <f>IFERROR(__xludf.DUMMYFUNCTION("""COMPUTED_VALUE"""),"C8131-G2 (SDWAN)")</f>
        <v>C8131-G2 (SDWAN)</v>
      </c>
      <c r="B142" s="67">
        <f>IFERROR(__xludf.DUMMYFUNCTION("""COMPUTED_VALUE"""),4704.889999999999)</f>
        <v>4704.89</v>
      </c>
      <c r="C142" s="29"/>
      <c r="D142" s="67">
        <f>IFERROR(__xludf.DUMMYFUNCTION("""COMPUTED_VALUE"""),4704.889999999999)</f>
        <v>4704.89</v>
      </c>
    </row>
    <row r="143">
      <c r="A143" s="29" t="str">
        <f>IFERROR(__xludf.DUMMYFUNCTION("""COMPUTED_VALUE"""),"C8131-G2 (Full Adds On)")</f>
        <v>C8131-G2 (Full Adds On)</v>
      </c>
      <c r="B143" s="67">
        <f>IFERROR(__xludf.DUMMYFUNCTION("""COMPUTED_VALUE"""),5028.889999999999)</f>
        <v>5028.89</v>
      </c>
      <c r="C143" s="29"/>
      <c r="D143" s="67">
        <f>IFERROR(__xludf.DUMMYFUNCTION("""COMPUTED_VALUE"""),5028.889999999999)</f>
        <v>5028.89</v>
      </c>
    </row>
    <row r="144">
      <c r="A144" s="29" t="str">
        <f>IFERROR(__xludf.DUMMYFUNCTION("""COMPUTED_VALUE"""),"C8140-G2 (Default Routing)")</f>
        <v>C8140-G2 (Default Routing)</v>
      </c>
      <c r="B144" s="67">
        <f>IFERROR(__xludf.DUMMYFUNCTION("""COMPUTED_VALUE"""),2692.95)</f>
        <v>2692.95</v>
      </c>
      <c r="C144" s="29"/>
      <c r="D144" s="67">
        <f>IFERROR(__xludf.DUMMYFUNCTION("""COMPUTED_VALUE"""),2692.95)</f>
        <v>2692.95</v>
      </c>
    </row>
    <row r="145">
      <c r="A145" s="29" t="str">
        <f>IFERROR(__xludf.DUMMYFUNCTION("""COMPUTED_VALUE"""),"C8140-G2 (Adv Routing)")</f>
        <v>C8140-G2 (Adv Routing)</v>
      </c>
      <c r="B145" s="67">
        <f>IFERROR(__xludf.DUMMYFUNCTION("""COMPUTED_VALUE"""),4372.95)</f>
        <v>4372.95</v>
      </c>
      <c r="C145" s="29"/>
      <c r="D145" s="67">
        <f>IFERROR(__xludf.DUMMYFUNCTION("""COMPUTED_VALUE"""),4372.95)</f>
        <v>4372.95</v>
      </c>
    </row>
    <row r="146">
      <c r="A146" s="29" t="str">
        <f>IFERROR(__xludf.DUMMYFUNCTION("""COMPUTED_VALUE"""),"C8151-G2 (Default Routing)")</f>
        <v>C8151-G2 (Default Routing)</v>
      </c>
      <c r="B146" s="67">
        <f>IFERROR(__xludf.DUMMYFUNCTION("""COMPUTED_VALUE"""),3477.61)</f>
        <v>3477.61</v>
      </c>
      <c r="C146" s="29"/>
      <c r="D146" s="67">
        <f>IFERROR(__xludf.DUMMYFUNCTION("""COMPUTED_VALUE"""),3477.61)</f>
        <v>3477.61</v>
      </c>
    </row>
    <row r="147">
      <c r="A147" s="29" t="str">
        <f>IFERROR(__xludf.DUMMYFUNCTION("""COMPUTED_VALUE"""),"C8151-G2 (Adv Routing)")</f>
        <v>C8151-G2 (Adv Routing)</v>
      </c>
      <c r="B147" s="67">
        <f>IFERROR(__xludf.DUMMYFUNCTION("""COMPUTED_VALUE"""),5157.610000000001)</f>
        <v>5157.61</v>
      </c>
      <c r="C147" s="29"/>
      <c r="D147" s="67">
        <f>IFERROR(__xludf.DUMMYFUNCTION("""COMPUTED_VALUE"""),5157.610000000001)</f>
        <v>5157.61</v>
      </c>
    </row>
    <row r="148">
      <c r="A148" s="29" t="str">
        <f>IFERROR(__xludf.DUMMYFUNCTION("""COMPUTED_VALUE"""),"C8151-G2 (SDWAN)")</f>
        <v>C8151-G2 (SDWAN)</v>
      </c>
      <c r="B148" s="67">
        <f>IFERROR(__xludf.DUMMYFUNCTION("""COMPUTED_VALUE"""),5493.610000000001)</f>
        <v>5493.61</v>
      </c>
      <c r="C148" s="29"/>
      <c r="D148" s="67">
        <f>IFERROR(__xludf.DUMMYFUNCTION("""COMPUTED_VALUE"""),5493.610000000001)</f>
        <v>5493.61</v>
      </c>
    </row>
    <row r="149">
      <c r="A149" s="29" t="str">
        <f>IFERROR(__xludf.DUMMYFUNCTION("""COMPUTED_VALUE"""),"C8151-G2 (Full Adds On)")</f>
        <v>C8151-G2 (Full Adds On)</v>
      </c>
      <c r="B149" s="67">
        <f>IFERROR(__xludf.DUMMYFUNCTION("""COMPUTED_VALUE"""),5817.610000000001)</f>
        <v>5817.61</v>
      </c>
      <c r="C149" s="29"/>
      <c r="D149" s="67">
        <f>IFERROR(__xludf.DUMMYFUNCTION("""COMPUTED_VALUE"""),5817.610000000001)</f>
        <v>5817.61</v>
      </c>
    </row>
    <row r="150">
      <c r="A150" s="29" t="str">
        <f>IFERROR(__xludf.DUMMYFUNCTION("""COMPUTED_VALUE"""),"C8161-G2 (Default Routing)")</f>
        <v>C8161-G2 (Default Routing)</v>
      </c>
      <c r="B150" s="67">
        <f>IFERROR(__xludf.DUMMYFUNCTION("""COMPUTED_VALUE"""),4101.2)</f>
        <v>4101.2</v>
      </c>
      <c r="C150" s="29"/>
      <c r="D150" s="67">
        <f>IFERROR(__xludf.DUMMYFUNCTION("""COMPUTED_VALUE"""),4101.2)</f>
        <v>4101.2</v>
      </c>
    </row>
    <row r="151">
      <c r="A151" s="29" t="str">
        <f>IFERROR(__xludf.DUMMYFUNCTION("""COMPUTED_VALUE"""),"C8161-G2 (Adv Routing)")</f>
        <v>C8161-G2 (Adv Routing)</v>
      </c>
      <c r="B151" s="67">
        <f>IFERROR(__xludf.DUMMYFUNCTION("""COMPUTED_VALUE"""),5781.2)</f>
        <v>5781.2</v>
      </c>
      <c r="C151" s="29"/>
      <c r="D151" s="67">
        <f>IFERROR(__xludf.DUMMYFUNCTION("""COMPUTED_VALUE"""),5781.2)</f>
        <v>5781.2</v>
      </c>
    </row>
    <row r="152">
      <c r="A152" s="29" t="str">
        <f>IFERROR(__xludf.DUMMYFUNCTION("""COMPUTED_VALUE"""),"C8161-G2 (SDWAN)")</f>
        <v>C8161-G2 (SDWAN)</v>
      </c>
      <c r="B152" s="67">
        <f>IFERROR(__xludf.DUMMYFUNCTION("""COMPUTED_VALUE"""),6117.2)</f>
        <v>6117.2</v>
      </c>
      <c r="C152" s="29"/>
      <c r="D152" s="67">
        <f>IFERROR(__xludf.DUMMYFUNCTION("""COMPUTED_VALUE"""),6117.2)</f>
        <v>6117.2</v>
      </c>
    </row>
    <row r="153">
      <c r="A153" s="29" t="str">
        <f>IFERROR(__xludf.DUMMYFUNCTION("""COMPUTED_VALUE"""),"C8161-G2 (Full Adds On)")</f>
        <v>C8161-G2 (Full Adds On)</v>
      </c>
      <c r="B153" s="67">
        <f>IFERROR(__xludf.DUMMYFUNCTION("""COMPUTED_VALUE"""),6441.2)</f>
        <v>6441.2</v>
      </c>
      <c r="C153" s="29"/>
      <c r="D153" s="67">
        <f>IFERROR(__xludf.DUMMYFUNCTION("""COMPUTED_VALUE"""),6441.2)</f>
        <v>6441.2</v>
      </c>
    </row>
    <row r="154">
      <c r="A154" s="29" t="str">
        <f>IFERROR(__xludf.DUMMYFUNCTION("""COMPUTED_VALUE"""),"100GQSFP-LR4-4=")</f>
        <v>100GQSFP-LR4-4=</v>
      </c>
      <c r="B154" s="67">
        <f>IFERROR(__xludf.DUMMYFUNCTION("""COMPUTED_VALUE"""),36510.54)</f>
        <v>36510.54</v>
      </c>
      <c r="C154" s="29"/>
      <c r="D154" s="67">
        <f>IFERROR(__xludf.DUMMYFUNCTION("""COMPUTED_VALUE"""),36510.54)</f>
        <v>36510.54</v>
      </c>
    </row>
    <row r="155">
      <c r="A155" s="29" t="str">
        <f>IFERROR(__xludf.DUMMYFUNCTION("""COMPUTED_VALUE"""),"QSFP-100G-ER4L-S=")</f>
        <v>QSFP-100G-ER4L-S=</v>
      </c>
      <c r="B155" s="67">
        <f>IFERROR(__xludf.DUMMYFUNCTION("""COMPUTED_VALUE"""),91270.27)</f>
        <v>91270.27</v>
      </c>
      <c r="C155" s="29"/>
      <c r="D155" s="67">
        <f>IFERROR(__xludf.DUMMYFUNCTION("""COMPUTED_VALUE"""),91270.27)</f>
        <v>91270.27</v>
      </c>
    </row>
    <row r="156">
      <c r="A156" s="29" t="str">
        <f>IFERROR(__xludf.DUMMYFUNCTION("""COMPUTED_VALUE"""),"QSFP-100G-ZR4-S=")</f>
        <v>QSFP-100G-ZR4-S=</v>
      </c>
      <c r="B156" s="67">
        <f>IFERROR(__xludf.DUMMYFUNCTION("""COMPUTED_VALUE"""),36190.0)</f>
        <v>36190</v>
      </c>
      <c r="C156" s="29"/>
      <c r="D156" s="67">
        <f>IFERROR(__xludf.DUMMYFUNCTION("""COMPUTED_VALUE"""),36190.0)</f>
        <v>36190</v>
      </c>
    </row>
    <row r="157">
      <c r="A157" s="29" t="str">
        <f>IFERROR(__xludf.DUMMYFUNCTION("""COMPUTED_VALUE"""),"SFP-10G-SR=")</f>
        <v>SFP-10G-SR=</v>
      </c>
      <c r="B157" s="67">
        <f>IFERROR(__xludf.DUMMYFUNCTION("""COMPUTED_VALUE"""),1210.94)</f>
        <v>1210.94</v>
      </c>
      <c r="C157" s="29"/>
      <c r="D157" s="67">
        <f>IFERROR(__xludf.DUMMYFUNCTION("""COMPUTED_VALUE"""),1210.94)</f>
        <v>1210.94</v>
      </c>
    </row>
    <row r="158">
      <c r="A158" s="29" t="str">
        <f>IFERROR(__xludf.DUMMYFUNCTION("""COMPUTED_VALUE"""),"SFP-10G-LR=")</f>
        <v>SFP-10G-LR=</v>
      </c>
      <c r="B158" s="67">
        <f>IFERROR(__xludf.DUMMYFUNCTION("""COMPUTED_VALUE"""),4861.99)</f>
        <v>4861.99</v>
      </c>
      <c r="C158" s="29"/>
      <c r="D158" s="67">
        <f>IFERROR(__xludf.DUMMYFUNCTION("""COMPUTED_VALUE"""),4861.99)</f>
        <v>4861.99</v>
      </c>
    </row>
    <row r="159">
      <c r="A159" s="29" t="str">
        <f>IFERROR(__xludf.DUMMYFUNCTION("""COMPUTED_VALUE"""),"SFP-10G-ER=")</f>
        <v>SFP-10G-ER=</v>
      </c>
      <c r="B159" s="67">
        <f>IFERROR(__xludf.DUMMYFUNCTION("""COMPUTED_VALUE"""),12170.18)</f>
        <v>12170.18</v>
      </c>
      <c r="C159" s="29"/>
      <c r="D159" s="67">
        <f>IFERROR(__xludf.DUMMYFUNCTION("""COMPUTED_VALUE"""),12170.18)</f>
        <v>12170.18</v>
      </c>
    </row>
    <row r="160">
      <c r="A160" s="29" t="str">
        <f>IFERROR(__xludf.DUMMYFUNCTION("""COMPUTED_VALUE"""),"SFP-10G-ZR=")</f>
        <v>SFP-10G-ZR=</v>
      </c>
      <c r="B160" s="67">
        <f>IFERROR(__xludf.DUMMYFUNCTION("""COMPUTED_VALUE"""),19472.29)</f>
        <v>19472.29</v>
      </c>
      <c r="C160" s="29"/>
      <c r="D160" s="67">
        <f>IFERROR(__xludf.DUMMYFUNCTION("""COMPUTED_VALUE"""),19472.29)</f>
        <v>19472.29</v>
      </c>
    </row>
    <row r="161">
      <c r="A161" s="29" t="str">
        <f>IFERROR(__xludf.DUMMYFUNCTION("""COMPUTED_VALUE"""),"GLC-LH-SMD=")</f>
        <v>GLC-LH-SMD=</v>
      </c>
      <c r="B161" s="67">
        <f>IFERROR(__xludf.DUMMYFUNCTION("""COMPUTED_VALUE"""),1210.94)</f>
        <v>1210.94</v>
      </c>
      <c r="C161" s="29"/>
      <c r="D161" s="67">
        <f>IFERROR(__xludf.DUMMYFUNCTION("""COMPUTED_VALUE"""),1210.94)</f>
        <v>1210.94</v>
      </c>
    </row>
    <row r="162">
      <c r="A162" s="29" t="str">
        <f>IFERROR(__xludf.DUMMYFUNCTION("""COMPUTED_VALUE"""),"GLC-EX-SMD=")</f>
        <v>GLC-EX-SMD=</v>
      </c>
      <c r="B162" s="67">
        <f>IFERROR(__xludf.DUMMYFUNCTION("""COMPUTED_VALUE"""),2427.96)</f>
        <v>2427.96</v>
      </c>
      <c r="C162" s="29"/>
      <c r="D162" s="67">
        <f>IFERROR(__xludf.DUMMYFUNCTION("""COMPUTED_VALUE"""),2427.96)</f>
        <v>2427.96</v>
      </c>
    </row>
    <row r="163">
      <c r="A163" s="29" t="str">
        <f>IFERROR(__xludf.DUMMYFUNCTION("""COMPUTED_VALUE"""),"GLC-ZX-SMD=")</f>
        <v>GLC-ZX-SMD=</v>
      </c>
      <c r="B163" s="67">
        <f>IFERROR(__xludf.DUMMYFUNCTION("""COMPUTED_VALUE"""),4861.99)</f>
        <v>4861.99</v>
      </c>
      <c r="C163" s="29"/>
      <c r="D163" s="67">
        <f>IFERROR(__xludf.DUMMYFUNCTION("""COMPUTED_VALUE"""),4861.99)</f>
        <v>4861.99</v>
      </c>
    </row>
    <row r="164">
      <c r="A164" s="29" t="str">
        <f>IFERROR(__xludf.DUMMYFUNCTION("""COMPUTED_VALUE"""),"GLC-TE=")</f>
        <v>GLC-TE=</v>
      </c>
      <c r="B164" s="67">
        <f>IFERROR(__xludf.DUMMYFUNCTION("""COMPUTED_VALUE"""),547.66)</f>
        <v>547.66</v>
      </c>
      <c r="C164" s="29"/>
      <c r="D164" s="67">
        <f>IFERROR(__xludf.DUMMYFUNCTION("""COMPUTED_VALUE"""),547.66)</f>
        <v>547.66</v>
      </c>
    </row>
    <row r="165">
      <c r="A165" s="29" t="str">
        <f>IFERROR(__xludf.DUMMYFUNCTION("""COMPUTED_VALUE"""),"SFP-10G-SR-S=")</f>
        <v>SFP-10G-SR-S=</v>
      </c>
      <c r="B165" s="67">
        <f>IFERROR(__xludf.DUMMYFUNCTION("""COMPUTED_VALUE"""),851.91)</f>
        <v>851.91</v>
      </c>
      <c r="C165" s="29"/>
      <c r="D165" s="67">
        <f>IFERROR(__xludf.DUMMYFUNCTION("""COMPUTED_VALUE"""),851.91)</f>
        <v>851.91</v>
      </c>
    </row>
    <row r="166">
      <c r="A166" s="29" t="str">
        <f>IFERROR(__xludf.DUMMYFUNCTION("""COMPUTED_VALUE"""),"SFP-10G-LR-S=")</f>
        <v>SFP-10G-LR-S=</v>
      </c>
      <c r="B166" s="67">
        <f>IFERROR(__xludf.DUMMYFUNCTION("""COMPUTED_VALUE"""),2434.04)</f>
        <v>2434.04</v>
      </c>
      <c r="C166" s="29"/>
      <c r="D166" s="67">
        <f>IFERROR(__xludf.DUMMYFUNCTION("""COMPUTED_VALUE"""),2434.04)</f>
        <v>2434.04</v>
      </c>
    </row>
    <row r="167">
      <c r="A167" s="29" t="str">
        <f>IFERROR(__xludf.DUMMYFUNCTION("""COMPUTED_VALUE"""),"SFP-10G-ER-S=")</f>
        <v>SFP-10G-ER-S=</v>
      </c>
      <c r="B167" s="67">
        <f>IFERROR(__xludf.DUMMYFUNCTION("""COMPUTED_VALUE"""),9614.44)</f>
        <v>9614.44</v>
      </c>
      <c r="C167" s="29"/>
      <c r="D167" s="67">
        <f>IFERROR(__xludf.DUMMYFUNCTION("""COMPUTED_VALUE"""),9614.44)</f>
        <v>9614.44</v>
      </c>
    </row>
    <row r="168">
      <c r="A168" s="29" t="str">
        <f>IFERROR(__xludf.DUMMYFUNCTION("""COMPUTED_VALUE"""),"SFP-10G-ZR-S=")</f>
        <v>SFP-10G-ZR-S=</v>
      </c>
      <c r="B168" s="67">
        <f>IFERROR(__xludf.DUMMYFUNCTION("""COMPUTED_VALUE"""),13265.5)</f>
        <v>13265.5</v>
      </c>
      <c r="C168" s="29"/>
      <c r="D168" s="67">
        <f>IFERROR(__xludf.DUMMYFUNCTION("""COMPUTED_VALUE"""),13265.5)</f>
        <v>13265.5</v>
      </c>
    </row>
    <row r="169">
      <c r="A169" s="29" t="str">
        <f>IFERROR(__xludf.DUMMYFUNCTION("""COMPUTED_VALUE"""),"GLC-SX-MMD=")</f>
        <v>GLC-SX-MMD=</v>
      </c>
      <c r="B169" s="67">
        <f>IFERROR(__xludf.DUMMYFUNCTION("""COMPUTED_VALUE"""),608.51)</f>
        <v>608.51</v>
      </c>
      <c r="C169" s="29"/>
      <c r="D169" s="67">
        <f>IFERROR(__xludf.DUMMYFUNCTION("""COMPUTED_VALUE"""),608.51)</f>
        <v>608.51</v>
      </c>
    </row>
    <row r="170">
      <c r="A170" s="29" t="str">
        <f>IFERROR(__xludf.DUMMYFUNCTION("""COMPUTED_VALUE"""),"C9136I")</f>
        <v>C9136I</v>
      </c>
      <c r="B170" s="67">
        <f>IFERROR(__xludf.DUMMYFUNCTION("""COMPUTED_VALUE"""),5585.79)</f>
        <v>5585.79</v>
      </c>
      <c r="C170" s="29"/>
      <c r="D170" s="67">
        <f>IFERROR(__xludf.DUMMYFUNCTION("""COMPUTED_VALUE"""),5585.79)</f>
        <v>5585.79</v>
      </c>
    </row>
    <row r="171">
      <c r="A171" s="29" t="str">
        <f>IFERROR(__xludf.DUMMYFUNCTION("""COMPUTED_VALUE"""),"CW9162I")</f>
        <v>CW9162I</v>
      </c>
      <c r="B171" s="67">
        <f>IFERROR(__xludf.DUMMYFUNCTION("""COMPUTED_VALUE"""),3076.63)</f>
        <v>3076.63</v>
      </c>
      <c r="C171" s="29"/>
      <c r="D171" s="67">
        <f>IFERROR(__xludf.DUMMYFUNCTION("""COMPUTED_VALUE"""),3076.63)</f>
        <v>3076.63</v>
      </c>
    </row>
    <row r="172">
      <c r="A172" s="29" t="str">
        <f>IFERROR(__xludf.DUMMYFUNCTION("""COMPUTED_VALUE"""),"CW9164I")</f>
        <v>CW9164I</v>
      </c>
      <c r="B172" s="67">
        <f>IFERROR(__xludf.DUMMYFUNCTION("""COMPUTED_VALUE"""),4438.98)</f>
        <v>4438.98</v>
      </c>
      <c r="C172" s="29"/>
      <c r="D172" s="67">
        <f>IFERROR(__xludf.DUMMYFUNCTION("""COMPUTED_VALUE"""),4438.98)</f>
        <v>4438.98</v>
      </c>
    </row>
    <row r="173">
      <c r="A173" s="29" t="str">
        <f>IFERROR(__xludf.DUMMYFUNCTION("""COMPUTED_VALUE"""),"CW9166I")</f>
        <v>CW9166I</v>
      </c>
      <c r="B173" s="67">
        <f>IFERROR(__xludf.DUMMYFUNCTION("""COMPUTED_VALUE"""),4870.07)</f>
        <v>4870.07</v>
      </c>
      <c r="C173" s="29"/>
      <c r="D173" s="67">
        <f>IFERROR(__xludf.DUMMYFUNCTION("""COMPUTED_VALUE"""),4870.07)</f>
        <v>4870.07</v>
      </c>
    </row>
    <row r="174">
      <c r="A174" s="29" t="str">
        <f>IFERROR(__xludf.DUMMYFUNCTION("""COMPUTED_VALUE"""),"CW9166D1")</f>
        <v>CW9166D1</v>
      </c>
      <c r="B174" s="67">
        <f>IFERROR(__xludf.DUMMYFUNCTION("""COMPUTED_VALUE"""),5301.15)</f>
        <v>5301.15</v>
      </c>
      <c r="C174" s="29"/>
      <c r="D174" s="67">
        <f>IFERROR(__xludf.DUMMYFUNCTION("""COMPUTED_VALUE"""),5301.15)</f>
        <v>5301.15</v>
      </c>
    </row>
    <row r="175">
      <c r="A175" s="29" t="str">
        <f>IFERROR(__xludf.DUMMYFUNCTION("""COMPUTED_VALUE"""),"CW9172I")</f>
        <v>CW9172I</v>
      </c>
      <c r="B175" s="67">
        <f>IFERROR(__xludf.DUMMYFUNCTION("""COMPUTED_VALUE"""),3173.83)</f>
        <v>3173.83</v>
      </c>
      <c r="C175" s="29"/>
      <c r="D175" s="67">
        <f>IFERROR(__xludf.DUMMYFUNCTION("""COMPUTED_VALUE"""),3173.83)</f>
        <v>3173.83</v>
      </c>
    </row>
    <row r="176">
      <c r="A176" s="29" t="str">
        <f>IFERROR(__xludf.DUMMYFUNCTION("""COMPUTED_VALUE"""),"CW9172H")</f>
        <v>CW9172H</v>
      </c>
      <c r="B176" s="67">
        <f>IFERROR(__xludf.DUMMYFUNCTION("""COMPUTED_VALUE"""),2870.81)</f>
        <v>2870.81</v>
      </c>
      <c r="C176" s="29"/>
      <c r="D176" s="67">
        <f>IFERROR(__xludf.DUMMYFUNCTION("""COMPUTED_VALUE"""),2870.81)</f>
        <v>2870.81</v>
      </c>
    </row>
    <row r="177">
      <c r="A177" s="29" t="str">
        <f>IFERROR(__xludf.DUMMYFUNCTION("""COMPUTED_VALUE"""),"CW9176I")</f>
        <v>CW9176I</v>
      </c>
      <c r="B177" s="67">
        <f>IFERROR(__xludf.DUMMYFUNCTION("""COMPUTED_VALUE"""),4982.709999999999)</f>
        <v>4982.71</v>
      </c>
      <c r="C177" s="29"/>
      <c r="D177" s="67">
        <f>IFERROR(__xludf.DUMMYFUNCTION("""COMPUTED_VALUE"""),4982.709999999999)</f>
        <v>4982.71</v>
      </c>
    </row>
    <row r="178">
      <c r="A178" s="29" t="str">
        <f>IFERROR(__xludf.DUMMYFUNCTION("""COMPUTED_VALUE"""),"CW9176D1")</f>
        <v>CW9176D1</v>
      </c>
      <c r="B178" s="67">
        <f>IFERROR(__xludf.DUMMYFUNCTION("""COMPUTED_VALUE"""),5437.05)</f>
        <v>5437.05</v>
      </c>
      <c r="C178" s="29"/>
      <c r="D178" s="67">
        <f>IFERROR(__xludf.DUMMYFUNCTION("""COMPUTED_VALUE"""),5437.05)</f>
        <v>5437.05</v>
      </c>
    </row>
    <row r="179">
      <c r="A179" s="29" t="str">
        <f>IFERROR(__xludf.DUMMYFUNCTION("""COMPUTED_VALUE"""),"CW9178I")</f>
        <v>CW9178I</v>
      </c>
      <c r="B179" s="67">
        <f>IFERROR(__xludf.DUMMYFUNCTION("""COMPUTED_VALUE"""),5737.19)</f>
        <v>5737.19</v>
      </c>
      <c r="C179" s="29"/>
      <c r="D179" s="67">
        <f>IFERROR(__xludf.DUMMYFUNCTION("""COMPUTED_VALUE"""),5737.19)</f>
        <v>5737.19</v>
      </c>
    </row>
    <row r="180">
      <c r="A180" s="29" t="str">
        <f>IFERROR(__xludf.DUMMYFUNCTION("""COMPUTED_VALUE"""),"C9124AXI")</f>
        <v>C9124AXI</v>
      </c>
      <c r="B180" s="67">
        <f>IFERROR(__xludf.DUMMYFUNCTION("""COMPUTED_VALUE"""),6120.74)</f>
        <v>6120.74</v>
      </c>
      <c r="C180" s="29"/>
      <c r="D180" s="67">
        <f>IFERROR(__xludf.DUMMYFUNCTION("""COMPUTED_VALUE"""),6120.74)</f>
        <v>6120.74</v>
      </c>
    </row>
    <row r="181">
      <c r="A181" s="29" t="str">
        <f>IFERROR(__xludf.DUMMYFUNCTION("""COMPUTED_VALUE"""),"C9124AXD")</f>
        <v>C9124AXD</v>
      </c>
      <c r="B181" s="67">
        <f>IFERROR(__xludf.DUMMYFUNCTION("""COMPUTED_VALUE"""),6448.469999999999)</f>
        <v>6448.47</v>
      </c>
      <c r="C181" s="29"/>
      <c r="D181" s="67">
        <f>IFERROR(__xludf.DUMMYFUNCTION("""COMPUTED_VALUE"""),6448.469999999999)</f>
        <v>6448.47</v>
      </c>
    </row>
    <row r="182">
      <c r="A182" s="29" t="str">
        <f>IFERROR(__xludf.DUMMYFUNCTION("""COMPUTED_VALUE"""),"C9124AXE")</f>
        <v>C9124AXE</v>
      </c>
      <c r="B182" s="67">
        <f>IFERROR(__xludf.DUMMYFUNCTION("""COMPUTED_VALUE"""),6448.469999999999)</f>
        <v>6448.47</v>
      </c>
      <c r="C182" s="29"/>
      <c r="D182" s="67">
        <f>IFERROR(__xludf.DUMMYFUNCTION("""COMPUTED_VALUE"""),6448.469999999999)</f>
        <v>6448.47</v>
      </c>
    </row>
    <row r="183">
      <c r="A183" s="29" t="str">
        <f>IFERROR(__xludf.DUMMYFUNCTION("""COMPUTED_VALUE"""),"CW9163E")</f>
        <v>CW9163E</v>
      </c>
      <c r="B183" s="67">
        <f>IFERROR(__xludf.DUMMYFUNCTION("""COMPUTED_VALUE"""),5659.86)</f>
        <v>5659.86</v>
      </c>
      <c r="C183" s="29"/>
      <c r="D183" s="67">
        <f>IFERROR(__xludf.DUMMYFUNCTION("""COMPUTED_VALUE"""),5659.86)</f>
        <v>5659.86</v>
      </c>
    </row>
    <row r="184">
      <c r="A184" s="29" t="str">
        <f>IFERROR(__xludf.DUMMYFUNCTION("""COMPUTED_VALUE"""),"EX4200-24T")</f>
        <v>EX4200-24T</v>
      </c>
      <c r="B184" s="67">
        <f>IFERROR(__xludf.DUMMYFUNCTION("""COMPUTED_VALUE"""),10000.0)</f>
        <v>10000</v>
      </c>
      <c r="C184" s="67">
        <f>IFERROR(__xludf.DUMMYFUNCTION("""COMPUTED_VALUE"""),26500.0)</f>
        <v>26500</v>
      </c>
      <c r="D184" s="67">
        <f>IFERROR(__xludf.DUMMYFUNCTION("""COMPUTED_VALUE"""),26500.0)</f>
        <v>26500</v>
      </c>
    </row>
    <row r="185">
      <c r="A185" s="29" t="str">
        <f>IFERROR(__xludf.DUMMYFUNCTION("""COMPUTED_VALUE"""),"EX4300-48S")</f>
        <v>EX4300-48S</v>
      </c>
      <c r="B185" s="67">
        <f>IFERROR(__xludf.DUMMYFUNCTION("""COMPUTED_VALUE"""),20000.0)</f>
        <v>20000</v>
      </c>
      <c r="C185" s="67">
        <f>IFERROR(__xludf.DUMMYFUNCTION("""COMPUTED_VALUE"""),32500.0)</f>
        <v>32500</v>
      </c>
      <c r="D185" s="67">
        <f>IFERROR(__xludf.DUMMYFUNCTION("""COMPUTED_VALUE"""),32500.0)</f>
        <v>32500</v>
      </c>
    </row>
    <row r="186">
      <c r="A186" s="29" t="str">
        <f>IFERROR(__xludf.DUMMYFUNCTION("""COMPUTED_VALUE"""),"EX4600")</f>
        <v>EX4600</v>
      </c>
      <c r="B186" s="67">
        <f>IFERROR(__xludf.DUMMYFUNCTION("""COMPUTED_VALUE"""),30000.0)</f>
        <v>30000</v>
      </c>
      <c r="C186" s="67">
        <f>IFERROR(__xludf.DUMMYFUNCTION("""COMPUTED_VALUE"""),192000.0)</f>
        <v>192000</v>
      </c>
      <c r="D186" s="67">
        <f>IFERROR(__xludf.DUMMYFUNCTION("""COMPUTED_VALUE"""),192000.0)</f>
        <v>192000</v>
      </c>
    </row>
    <row r="187">
      <c r="A187" s="29"/>
      <c r="B187" s="29"/>
      <c r="C187" s="29"/>
      <c r="D187" s="29"/>
    </row>
    <row r="188">
      <c r="A188" s="29"/>
      <c r="B188" s="29"/>
      <c r="C188" s="29"/>
      <c r="D188" s="29"/>
    </row>
    <row r="189">
      <c r="A189" s="29"/>
      <c r="B189" s="29"/>
      <c r="C189" s="29"/>
      <c r="D189" s="29"/>
    </row>
    <row r="190">
      <c r="A190" s="29"/>
      <c r="B190" s="29"/>
      <c r="C190" s="29"/>
      <c r="D190" s="29"/>
    </row>
    <row r="191">
      <c r="A191" s="29"/>
      <c r="B191" s="29"/>
      <c r="C191" s="29"/>
      <c r="D191" s="29"/>
    </row>
    <row r="192">
      <c r="A192" s="29"/>
      <c r="B192" s="29"/>
      <c r="C192" s="29"/>
      <c r="D192" s="29"/>
    </row>
    <row r="193">
      <c r="A193" s="29"/>
      <c r="B193" s="29"/>
      <c r="C193" s="29"/>
      <c r="D193" s="29"/>
    </row>
    <row r="194">
      <c r="A194" s="29"/>
      <c r="B194" s="29"/>
      <c r="C194" s="29"/>
      <c r="D194" s="29"/>
    </row>
    <row r="195">
      <c r="A195" s="29"/>
      <c r="B195" s="29"/>
      <c r="C195" s="29"/>
      <c r="D195" s="29"/>
    </row>
    <row r="196">
      <c r="A196" s="29"/>
      <c r="B196" s="29"/>
      <c r="C196" s="29"/>
      <c r="D196" s="29"/>
    </row>
    <row r="197">
      <c r="A197" s="29"/>
      <c r="B197" s="29"/>
      <c r="C197" s="29"/>
      <c r="D197" s="29"/>
    </row>
    <row r="198">
      <c r="A198" s="29"/>
      <c r="B198" s="29"/>
      <c r="C198" s="29"/>
      <c r="D198" s="29"/>
    </row>
    <row r="199">
      <c r="A199" s="29"/>
      <c r="B199" s="29"/>
      <c r="C199" s="29"/>
      <c r="D199" s="29"/>
    </row>
    <row r="200">
      <c r="A200" s="29"/>
      <c r="B200" s="29"/>
      <c r="C200" s="29"/>
      <c r="D200" s="29"/>
    </row>
    <row r="201">
      <c r="A201" s="29"/>
      <c r="B201" s="29"/>
      <c r="C201" s="29"/>
      <c r="D201" s="29"/>
    </row>
    <row r="202">
      <c r="A202" s="29"/>
      <c r="B202" s="29"/>
      <c r="C202" s="29"/>
      <c r="D202" s="29"/>
    </row>
    <row r="203">
      <c r="A203" s="29"/>
      <c r="B203" s="29"/>
      <c r="C203" s="29"/>
      <c r="D203" s="29"/>
    </row>
    <row r="204">
      <c r="A204" s="29"/>
      <c r="B204" s="29"/>
      <c r="C204" s="29"/>
      <c r="D204" s="29"/>
    </row>
    <row r="205">
      <c r="A205" s="29"/>
      <c r="B205" s="29"/>
      <c r="C205" s="29"/>
      <c r="D205" s="29"/>
    </row>
    <row r="206">
      <c r="A206" s="29"/>
      <c r="B206" s="29"/>
      <c r="C206" s="29"/>
      <c r="D206" s="29"/>
    </row>
    <row r="207">
      <c r="A207" s="29"/>
      <c r="B207" s="29"/>
      <c r="C207" s="29"/>
      <c r="D207" s="29"/>
    </row>
    <row r="208">
      <c r="A208" s="29"/>
      <c r="B208" s="29"/>
      <c r="C208" s="29"/>
      <c r="D208" s="29"/>
    </row>
    <row r="209">
      <c r="A209" s="29"/>
      <c r="B209" s="29"/>
      <c r="C209" s="29"/>
      <c r="D209" s="29"/>
    </row>
    <row r="210">
      <c r="A210" s="29"/>
      <c r="B210" s="29"/>
      <c r="C210" s="29"/>
      <c r="D210" s="29"/>
    </row>
    <row r="211">
      <c r="A211" s="29"/>
      <c r="B211" s="29"/>
      <c r="C211" s="29"/>
      <c r="D211" s="29"/>
    </row>
    <row r="212">
      <c r="A212" s="29"/>
      <c r="B212" s="29"/>
      <c r="C212" s="29"/>
      <c r="D212" s="29"/>
    </row>
    <row r="213">
      <c r="A213" s="29"/>
      <c r="B213" s="29"/>
      <c r="C213" s="29"/>
      <c r="D213" s="29"/>
    </row>
    <row r="214">
      <c r="A214" s="29"/>
      <c r="B214" s="29"/>
      <c r="C214" s="29"/>
      <c r="D214" s="29"/>
    </row>
    <row r="215">
      <c r="A215" s="29"/>
      <c r="B215" s="29"/>
      <c r="C215" s="29"/>
      <c r="D215" s="29"/>
    </row>
    <row r="216">
      <c r="A216" s="29"/>
      <c r="B216" s="29"/>
      <c r="C216" s="29"/>
      <c r="D216" s="29"/>
    </row>
    <row r="217">
      <c r="A217" s="29"/>
      <c r="B217" s="29"/>
      <c r="C217" s="29"/>
      <c r="D217" s="29"/>
    </row>
    <row r="218">
      <c r="A218" s="29"/>
      <c r="B218" s="29"/>
      <c r="C218" s="29"/>
      <c r="D218" s="29"/>
    </row>
    <row r="219">
      <c r="A219" s="29"/>
      <c r="B219" s="29"/>
      <c r="C219" s="29"/>
      <c r="D219" s="29"/>
    </row>
    <row r="220">
      <c r="A220" s="29"/>
      <c r="B220" s="29"/>
      <c r="C220" s="29"/>
      <c r="D220" s="29"/>
    </row>
    <row r="221">
      <c r="A221" s="29"/>
      <c r="B221" s="29"/>
      <c r="C221" s="29"/>
      <c r="D221" s="29"/>
    </row>
    <row r="222">
      <c r="A222" s="29"/>
      <c r="B222" s="29"/>
      <c r="C222" s="29"/>
      <c r="D222" s="29"/>
    </row>
    <row r="223">
      <c r="A223" s="29"/>
      <c r="B223" s="29"/>
      <c r="C223" s="29"/>
      <c r="D223" s="29"/>
    </row>
    <row r="224">
      <c r="A224" s="29"/>
      <c r="B224" s="29"/>
      <c r="C224" s="29"/>
      <c r="D224" s="29"/>
    </row>
    <row r="225">
      <c r="A225" s="29"/>
      <c r="B225" s="29"/>
      <c r="C225" s="29"/>
      <c r="D225" s="29"/>
    </row>
    <row r="226">
      <c r="A226" s="29"/>
      <c r="B226" s="29"/>
      <c r="C226" s="29"/>
      <c r="D226" s="29"/>
    </row>
    <row r="227">
      <c r="A227" s="29"/>
      <c r="B227" s="29"/>
      <c r="C227" s="29"/>
      <c r="D227" s="29"/>
    </row>
    <row r="228">
      <c r="A228" s="29"/>
      <c r="B228" s="29"/>
      <c r="C228" s="29"/>
      <c r="D228" s="29"/>
    </row>
    <row r="229">
      <c r="A229" s="29"/>
      <c r="B229" s="29"/>
      <c r="C229" s="29"/>
      <c r="D229" s="29"/>
    </row>
    <row r="230">
      <c r="A230" s="29"/>
      <c r="B230" s="29"/>
      <c r="C230" s="29"/>
      <c r="D230" s="29"/>
    </row>
    <row r="231">
      <c r="A231" s="29"/>
      <c r="B231" s="29"/>
      <c r="C231" s="29"/>
      <c r="D231" s="29"/>
    </row>
    <row r="232">
      <c r="A232" s="29"/>
      <c r="B232" s="29"/>
      <c r="C232" s="29"/>
      <c r="D232" s="29"/>
    </row>
    <row r="233">
      <c r="A233" s="29"/>
      <c r="B233" s="29"/>
      <c r="C233" s="29"/>
      <c r="D233" s="29"/>
    </row>
    <row r="234">
      <c r="A234" s="29"/>
      <c r="B234" s="29"/>
      <c r="C234" s="29"/>
      <c r="D234" s="29"/>
    </row>
    <row r="235">
      <c r="A235" s="29"/>
      <c r="B235" s="29"/>
      <c r="C235" s="29"/>
      <c r="D235" s="29"/>
    </row>
    <row r="236">
      <c r="A236" s="29"/>
      <c r="B236" s="29"/>
      <c r="C236" s="29"/>
      <c r="D236" s="29"/>
    </row>
    <row r="237">
      <c r="A237" s="29"/>
      <c r="B237" s="29"/>
      <c r="C237" s="29"/>
      <c r="D237" s="29"/>
    </row>
    <row r="238">
      <c r="A238" s="29"/>
      <c r="B238" s="29"/>
      <c r="C238" s="29"/>
      <c r="D238" s="29"/>
    </row>
    <row r="239">
      <c r="A239" s="29"/>
      <c r="B239" s="29"/>
      <c r="C239" s="29"/>
      <c r="D239" s="29"/>
    </row>
    <row r="240">
      <c r="A240" s="29"/>
      <c r="B240" s="29"/>
      <c r="C240" s="29"/>
      <c r="D240" s="29"/>
    </row>
    <row r="241">
      <c r="A241" s="29"/>
      <c r="B241" s="29"/>
      <c r="C241" s="29"/>
      <c r="D241" s="29"/>
    </row>
    <row r="242">
      <c r="A242" s="29"/>
      <c r="B242" s="29"/>
      <c r="C242" s="29"/>
      <c r="D242" s="29"/>
    </row>
    <row r="243">
      <c r="A243" s="29"/>
      <c r="B243" s="29"/>
      <c r="C243" s="29"/>
      <c r="D243" s="29"/>
    </row>
    <row r="244">
      <c r="A244" s="29"/>
      <c r="B244" s="29"/>
      <c r="C244" s="29"/>
      <c r="D244" s="29"/>
    </row>
    <row r="245">
      <c r="A245" s="29"/>
      <c r="B245" s="29"/>
      <c r="C245" s="29"/>
      <c r="D245" s="29"/>
    </row>
    <row r="246">
      <c r="A246" s="29"/>
      <c r="B246" s="29"/>
      <c r="C246" s="29"/>
      <c r="D246" s="29"/>
    </row>
    <row r="247">
      <c r="A247" s="29"/>
      <c r="B247" s="29"/>
      <c r="C247" s="29"/>
      <c r="D247" s="29"/>
    </row>
    <row r="248">
      <c r="A248" s="29"/>
      <c r="B248" s="29"/>
      <c r="C248" s="29"/>
      <c r="D248" s="29"/>
    </row>
    <row r="249">
      <c r="A249" s="29"/>
      <c r="B249" s="29"/>
      <c r="C249" s="29"/>
      <c r="D249" s="29"/>
    </row>
    <row r="250">
      <c r="A250" s="29"/>
      <c r="B250" s="29"/>
      <c r="C250" s="29"/>
      <c r="D250" s="29"/>
    </row>
    <row r="251">
      <c r="A251" s="29"/>
      <c r="B251" s="29"/>
      <c r="C251" s="29"/>
      <c r="D251" s="29"/>
    </row>
    <row r="252">
      <c r="A252" s="29"/>
      <c r="B252" s="29"/>
      <c r="C252" s="29"/>
      <c r="D252" s="29"/>
    </row>
    <row r="253">
      <c r="A253" s="29"/>
      <c r="B253" s="29"/>
      <c r="C253" s="29"/>
      <c r="D253" s="29"/>
    </row>
    <row r="254">
      <c r="A254" s="29"/>
      <c r="B254" s="29"/>
      <c r="C254" s="29"/>
      <c r="D254" s="29"/>
    </row>
    <row r="255">
      <c r="A255" s="29"/>
      <c r="B255" s="29"/>
      <c r="C255" s="29"/>
      <c r="D255" s="29"/>
    </row>
    <row r="256">
      <c r="A256" s="29"/>
      <c r="B256" s="29"/>
      <c r="C256" s="29"/>
      <c r="D256" s="29"/>
    </row>
    <row r="257">
      <c r="A257" s="29"/>
      <c r="B257" s="29"/>
      <c r="C257" s="29"/>
      <c r="D257" s="29"/>
    </row>
    <row r="258">
      <c r="A258" s="29"/>
      <c r="B258" s="29"/>
      <c r="C258" s="29"/>
      <c r="D258" s="29"/>
    </row>
    <row r="259">
      <c r="A259" s="29"/>
      <c r="B259" s="29"/>
      <c r="C259" s="29"/>
      <c r="D259" s="29"/>
    </row>
    <row r="260">
      <c r="A260" s="29"/>
      <c r="B260" s="29"/>
      <c r="C260" s="29"/>
      <c r="D260" s="29"/>
    </row>
    <row r="261">
      <c r="A261" s="29"/>
      <c r="B261" s="29"/>
      <c r="C261" s="29"/>
      <c r="D261" s="29"/>
    </row>
    <row r="262">
      <c r="A262" s="29"/>
      <c r="B262" s="29"/>
      <c r="C262" s="29"/>
      <c r="D262" s="29"/>
    </row>
    <row r="263">
      <c r="A263" s="29"/>
      <c r="B263" s="29"/>
      <c r="C263" s="29"/>
      <c r="D263" s="29"/>
    </row>
    <row r="264">
      <c r="A264" s="29"/>
      <c r="B264" s="29"/>
      <c r="C264" s="29"/>
      <c r="D264" s="29"/>
    </row>
    <row r="265">
      <c r="A265" s="29"/>
      <c r="B265" s="29"/>
      <c r="C265" s="29"/>
      <c r="D265" s="29"/>
    </row>
    <row r="266">
      <c r="A266" s="29"/>
      <c r="B266" s="29"/>
      <c r="C266" s="29"/>
      <c r="D266" s="29"/>
    </row>
    <row r="267">
      <c r="A267" s="29"/>
      <c r="B267" s="29"/>
      <c r="C267" s="29"/>
      <c r="D267" s="29"/>
    </row>
    <row r="268">
      <c r="A268" s="29"/>
      <c r="B268" s="29"/>
      <c r="C268" s="29"/>
      <c r="D268" s="29"/>
    </row>
    <row r="269">
      <c r="A269" s="29"/>
      <c r="B269" s="29"/>
      <c r="C269" s="29"/>
      <c r="D269" s="29"/>
    </row>
    <row r="270">
      <c r="A270" s="29"/>
      <c r="B270" s="29"/>
      <c r="C270" s="29"/>
      <c r="D270" s="29"/>
    </row>
    <row r="271">
      <c r="A271" s="29"/>
      <c r="B271" s="29"/>
      <c r="C271" s="29"/>
      <c r="D271" s="29"/>
    </row>
    <row r="272">
      <c r="A272" s="29"/>
      <c r="B272" s="29"/>
      <c r="C272" s="29"/>
      <c r="D272" s="29"/>
    </row>
    <row r="273">
      <c r="A273" s="29"/>
      <c r="B273" s="29"/>
      <c r="C273" s="29"/>
      <c r="D273" s="29"/>
    </row>
    <row r="274">
      <c r="A274" s="29"/>
      <c r="B274" s="29"/>
      <c r="C274" s="29"/>
      <c r="D274" s="29"/>
    </row>
    <row r="275">
      <c r="A275" s="29"/>
      <c r="B275" s="29"/>
      <c r="C275" s="29"/>
      <c r="D275" s="29"/>
    </row>
    <row r="276">
      <c r="A276" s="29"/>
      <c r="B276" s="29"/>
      <c r="C276" s="29"/>
      <c r="D276" s="29"/>
    </row>
    <row r="277">
      <c r="A277" s="29"/>
      <c r="B277" s="29"/>
      <c r="C277" s="29"/>
      <c r="D277" s="29"/>
    </row>
    <row r="278">
      <c r="A278" s="29"/>
      <c r="B278" s="29"/>
      <c r="C278" s="29"/>
      <c r="D278" s="29"/>
    </row>
    <row r="279">
      <c r="A279" s="29"/>
      <c r="B279" s="29"/>
      <c r="C279" s="29"/>
      <c r="D279" s="29"/>
    </row>
    <row r="280">
      <c r="A280" s="29"/>
      <c r="B280" s="29"/>
      <c r="C280" s="29"/>
      <c r="D280" s="29"/>
    </row>
    <row r="281">
      <c r="A281" s="29"/>
      <c r="B281" s="29"/>
      <c r="C281" s="29"/>
      <c r="D281" s="29"/>
    </row>
    <row r="282">
      <c r="A282" s="29"/>
      <c r="B282" s="29"/>
      <c r="C282" s="29"/>
      <c r="D282" s="29"/>
    </row>
    <row r="283">
      <c r="A283" s="29"/>
      <c r="B283" s="29"/>
      <c r="C283" s="29"/>
      <c r="D283" s="29"/>
    </row>
    <row r="284">
      <c r="A284" s="29"/>
      <c r="B284" s="29"/>
      <c r="C284" s="29"/>
      <c r="D284" s="29"/>
    </row>
    <row r="285">
      <c r="A285" s="29"/>
      <c r="B285" s="29"/>
      <c r="C285" s="29"/>
      <c r="D285" s="29"/>
    </row>
    <row r="286">
      <c r="A286" s="29"/>
      <c r="B286" s="29"/>
      <c r="C286" s="29"/>
      <c r="D286" s="29"/>
    </row>
    <row r="287">
      <c r="A287" s="29"/>
      <c r="B287" s="29"/>
      <c r="C287" s="29"/>
      <c r="D287" s="29"/>
    </row>
    <row r="288">
      <c r="A288" s="29"/>
      <c r="B288" s="29"/>
      <c r="C288" s="29"/>
      <c r="D288" s="29"/>
    </row>
    <row r="289">
      <c r="A289" s="29"/>
      <c r="B289" s="29"/>
      <c r="C289" s="29"/>
      <c r="D289" s="29"/>
    </row>
    <row r="290">
      <c r="A290" s="29"/>
      <c r="B290" s="29"/>
      <c r="C290" s="29"/>
      <c r="D290" s="29"/>
    </row>
    <row r="291">
      <c r="A291" s="29"/>
      <c r="B291" s="29"/>
      <c r="C291" s="29"/>
      <c r="D291" s="29"/>
    </row>
    <row r="292">
      <c r="A292" s="29"/>
      <c r="B292" s="29"/>
      <c r="C292" s="29"/>
      <c r="D292" s="29"/>
    </row>
    <row r="293">
      <c r="A293" s="29"/>
      <c r="B293" s="29"/>
      <c r="C293" s="29"/>
      <c r="D293" s="29"/>
    </row>
    <row r="294">
      <c r="A294" s="29"/>
      <c r="B294" s="29"/>
      <c r="C294" s="29"/>
      <c r="D294" s="29"/>
    </row>
    <row r="295">
      <c r="A295" s="29"/>
      <c r="B295" s="29"/>
      <c r="C295" s="29"/>
      <c r="D295" s="29"/>
    </row>
    <row r="296">
      <c r="A296" s="29"/>
      <c r="B296" s="29"/>
      <c r="C296" s="29"/>
      <c r="D296" s="29"/>
    </row>
    <row r="297">
      <c r="A297" s="29"/>
      <c r="B297" s="29"/>
      <c r="C297" s="29"/>
      <c r="D297" s="29"/>
    </row>
    <row r="298">
      <c r="A298" s="29"/>
      <c r="B298" s="29"/>
      <c r="C298" s="29"/>
      <c r="D298" s="29"/>
    </row>
    <row r="299">
      <c r="A299" s="29"/>
      <c r="B299" s="29"/>
      <c r="C299" s="29"/>
      <c r="D299" s="29"/>
    </row>
    <row r="300">
      <c r="A300" s="29"/>
      <c r="B300" s="29"/>
      <c r="C300" s="29"/>
      <c r="D300" s="29"/>
    </row>
    <row r="301">
      <c r="A301" s="29"/>
      <c r="B301" s="29"/>
      <c r="C301" s="29"/>
      <c r="D301" s="29"/>
    </row>
    <row r="302">
      <c r="A302" s="29"/>
      <c r="B302" s="29"/>
      <c r="C302" s="29"/>
      <c r="D302" s="29"/>
    </row>
    <row r="303">
      <c r="A303" s="29"/>
      <c r="B303" s="29"/>
      <c r="C303" s="29"/>
      <c r="D303" s="29"/>
    </row>
    <row r="304">
      <c r="A304" s="29"/>
      <c r="B304" s="29"/>
      <c r="C304" s="29"/>
      <c r="D304" s="29"/>
    </row>
    <row r="305">
      <c r="A305" s="29"/>
      <c r="B305" s="29"/>
      <c r="C305" s="29"/>
      <c r="D305" s="29"/>
    </row>
    <row r="306">
      <c r="A306" s="29"/>
      <c r="B306" s="29"/>
      <c r="C306" s="29"/>
      <c r="D306" s="29"/>
    </row>
    <row r="307">
      <c r="A307" s="29"/>
      <c r="B307" s="29"/>
      <c r="C307" s="29"/>
      <c r="D307" s="29"/>
    </row>
    <row r="308">
      <c r="A308" s="29"/>
      <c r="B308" s="29"/>
      <c r="C308" s="29"/>
      <c r="D308" s="29"/>
    </row>
    <row r="309">
      <c r="A309" s="29"/>
      <c r="B309" s="29"/>
      <c r="C309" s="29"/>
      <c r="D309" s="29"/>
    </row>
    <row r="310">
      <c r="A310" s="29"/>
      <c r="B310" s="29"/>
      <c r="C310" s="29"/>
      <c r="D310" s="29"/>
    </row>
    <row r="311">
      <c r="A311" s="29"/>
      <c r="B311" s="29"/>
      <c r="C311" s="29"/>
      <c r="D311" s="29"/>
    </row>
    <row r="312">
      <c r="A312" s="29"/>
      <c r="B312" s="29"/>
      <c r="C312" s="29"/>
      <c r="D312" s="29"/>
    </row>
    <row r="313">
      <c r="A313" s="29"/>
      <c r="B313" s="29"/>
      <c r="C313" s="29"/>
      <c r="D313" s="29"/>
    </row>
    <row r="314">
      <c r="A314" s="29"/>
      <c r="B314" s="29"/>
      <c r="C314" s="29"/>
      <c r="D314" s="29"/>
    </row>
    <row r="315">
      <c r="A315" s="29"/>
      <c r="B315" s="29"/>
      <c r="C315" s="29"/>
      <c r="D315" s="29"/>
    </row>
    <row r="316">
      <c r="A316" s="29"/>
      <c r="B316" s="29"/>
      <c r="C316" s="29"/>
      <c r="D316" s="29"/>
    </row>
    <row r="317">
      <c r="A317" s="29"/>
      <c r="B317" s="29"/>
      <c r="C317" s="29"/>
      <c r="D317" s="29"/>
    </row>
    <row r="318">
      <c r="A318" s="29"/>
      <c r="B318" s="29"/>
      <c r="C318" s="29"/>
      <c r="D318" s="29"/>
    </row>
    <row r="319">
      <c r="A319" s="29"/>
      <c r="B319" s="29"/>
      <c r="C319" s="29"/>
      <c r="D319" s="29"/>
    </row>
    <row r="320">
      <c r="A320" s="29"/>
      <c r="B320" s="29"/>
      <c r="C320" s="29"/>
      <c r="D320" s="29"/>
    </row>
    <row r="321">
      <c r="A321" s="29"/>
      <c r="B321" s="29"/>
      <c r="C321" s="29"/>
      <c r="D321" s="29"/>
    </row>
    <row r="322">
      <c r="A322" s="29"/>
      <c r="B322" s="29"/>
      <c r="C322" s="29"/>
      <c r="D322" s="29"/>
    </row>
    <row r="323">
      <c r="A323" s="29"/>
      <c r="B323" s="29"/>
      <c r="C323" s="29"/>
      <c r="D323" s="29"/>
    </row>
    <row r="324">
      <c r="A324" s="29"/>
      <c r="B324" s="29"/>
      <c r="C324" s="29"/>
      <c r="D324" s="29"/>
    </row>
    <row r="325">
      <c r="A325" s="29"/>
      <c r="B325" s="29"/>
      <c r="C325" s="29"/>
      <c r="D325" s="29"/>
    </row>
    <row r="326">
      <c r="A326" s="29"/>
      <c r="B326" s="29"/>
      <c r="C326" s="29"/>
      <c r="D326" s="29"/>
    </row>
    <row r="327">
      <c r="A327" s="29"/>
      <c r="B327" s="29"/>
      <c r="C327" s="29"/>
      <c r="D327" s="29"/>
    </row>
    <row r="328">
      <c r="A328" s="29"/>
      <c r="B328" s="29"/>
      <c r="C328" s="29"/>
      <c r="D328" s="29"/>
    </row>
    <row r="329">
      <c r="A329" s="29"/>
      <c r="B329" s="29"/>
      <c r="C329" s="29"/>
      <c r="D329" s="29"/>
    </row>
    <row r="330">
      <c r="A330" s="29"/>
      <c r="B330" s="29"/>
      <c r="C330" s="29"/>
      <c r="D330" s="29"/>
    </row>
    <row r="331">
      <c r="A331" s="29"/>
      <c r="B331" s="29"/>
      <c r="C331" s="29"/>
      <c r="D331" s="29"/>
    </row>
    <row r="332">
      <c r="A332" s="29"/>
      <c r="B332" s="29"/>
      <c r="C332" s="29"/>
      <c r="D332" s="29"/>
    </row>
    <row r="333">
      <c r="A333" s="29"/>
      <c r="B333" s="29"/>
      <c r="C333" s="29"/>
      <c r="D333" s="29"/>
    </row>
    <row r="334">
      <c r="A334" s="29"/>
      <c r="B334" s="29"/>
      <c r="C334" s="29"/>
      <c r="D334" s="29"/>
    </row>
    <row r="335">
      <c r="A335" s="29"/>
      <c r="B335" s="29"/>
      <c r="C335" s="29"/>
      <c r="D335" s="29"/>
    </row>
    <row r="336">
      <c r="A336" s="29"/>
      <c r="B336" s="29"/>
      <c r="C336" s="29"/>
      <c r="D336" s="29"/>
    </row>
    <row r="337">
      <c r="A337" s="29"/>
      <c r="B337" s="29"/>
      <c r="C337" s="29"/>
      <c r="D337" s="29"/>
    </row>
    <row r="338">
      <c r="A338" s="29"/>
      <c r="B338" s="29"/>
      <c r="C338" s="29"/>
      <c r="D338" s="29"/>
    </row>
    <row r="339">
      <c r="A339" s="29"/>
      <c r="B339" s="29"/>
      <c r="C339" s="29"/>
      <c r="D339" s="29"/>
    </row>
    <row r="340">
      <c r="A340" s="29"/>
      <c r="B340" s="29"/>
      <c r="C340" s="29"/>
      <c r="D340" s="29"/>
    </row>
    <row r="341">
      <c r="A341" s="29"/>
      <c r="B341" s="29"/>
      <c r="C341" s="29"/>
      <c r="D341" s="29"/>
    </row>
    <row r="342">
      <c r="A342" s="29"/>
      <c r="B342" s="29"/>
      <c r="C342" s="29"/>
      <c r="D342" s="29"/>
    </row>
    <row r="343">
      <c r="A343" s="29"/>
      <c r="B343" s="29"/>
      <c r="C343" s="29"/>
      <c r="D343" s="29"/>
    </row>
    <row r="344">
      <c r="A344" s="29"/>
      <c r="B344" s="29"/>
      <c r="C344" s="29"/>
      <c r="D344" s="29"/>
    </row>
    <row r="345">
      <c r="A345" s="29"/>
      <c r="B345" s="29"/>
      <c r="C345" s="29"/>
      <c r="D345" s="29"/>
    </row>
    <row r="346">
      <c r="A346" s="29"/>
      <c r="B346" s="29"/>
      <c r="C346" s="29"/>
      <c r="D346" s="29"/>
    </row>
    <row r="347">
      <c r="A347" s="29"/>
      <c r="B347" s="29"/>
      <c r="C347" s="29"/>
      <c r="D347" s="29"/>
    </row>
    <row r="348">
      <c r="A348" s="29"/>
      <c r="B348" s="29"/>
      <c r="C348" s="29"/>
      <c r="D348" s="29"/>
    </row>
    <row r="349">
      <c r="A349" s="29"/>
      <c r="B349" s="29"/>
      <c r="C349" s="29"/>
      <c r="D349" s="29"/>
    </row>
    <row r="350">
      <c r="A350" s="29"/>
      <c r="B350" s="29"/>
      <c r="C350" s="29"/>
      <c r="D350" s="29"/>
    </row>
    <row r="351">
      <c r="A351" s="29"/>
      <c r="B351" s="29"/>
      <c r="C351" s="29"/>
      <c r="D351" s="29"/>
    </row>
    <row r="352">
      <c r="A352" s="29"/>
      <c r="B352" s="29"/>
      <c r="C352" s="29"/>
      <c r="D352" s="29"/>
    </row>
    <row r="353">
      <c r="A353" s="29"/>
      <c r="B353" s="29"/>
      <c r="C353" s="29"/>
      <c r="D353" s="29"/>
    </row>
    <row r="354">
      <c r="A354" s="29"/>
      <c r="B354" s="29"/>
      <c r="C354" s="29"/>
      <c r="D354" s="29"/>
    </row>
    <row r="355">
      <c r="A355" s="29"/>
      <c r="B355" s="29"/>
      <c r="C355" s="29"/>
      <c r="D355" s="29"/>
    </row>
    <row r="356">
      <c r="A356" s="29"/>
      <c r="B356" s="29"/>
      <c r="C356" s="29"/>
      <c r="D356" s="29"/>
    </row>
    <row r="357">
      <c r="A357" s="29"/>
      <c r="B357" s="29"/>
      <c r="C357" s="29"/>
      <c r="D357" s="29"/>
    </row>
    <row r="358">
      <c r="A358" s="29"/>
      <c r="B358" s="29"/>
      <c r="C358" s="29"/>
      <c r="D358" s="29"/>
    </row>
    <row r="359">
      <c r="A359" s="29"/>
      <c r="B359" s="29"/>
      <c r="C359" s="29"/>
      <c r="D359" s="29"/>
    </row>
    <row r="360">
      <c r="A360" s="29"/>
      <c r="B360" s="29"/>
      <c r="C360" s="29"/>
      <c r="D360" s="29"/>
    </row>
    <row r="361">
      <c r="A361" s="29"/>
      <c r="B361" s="29"/>
      <c r="C361" s="29"/>
      <c r="D361" s="29"/>
    </row>
    <row r="362">
      <c r="A362" s="29"/>
      <c r="B362" s="29"/>
      <c r="C362" s="29"/>
      <c r="D362" s="29"/>
    </row>
    <row r="363">
      <c r="A363" s="29"/>
      <c r="B363" s="29"/>
      <c r="C363" s="29"/>
      <c r="D363" s="29"/>
    </row>
    <row r="364">
      <c r="A364" s="29"/>
      <c r="B364" s="29"/>
      <c r="C364" s="29"/>
      <c r="D364" s="29"/>
    </row>
    <row r="365">
      <c r="A365" s="29"/>
      <c r="B365" s="29"/>
      <c r="C365" s="29"/>
      <c r="D365" s="29"/>
    </row>
  </sheetData>
  <conditionalFormatting sqref="D2:D1000">
    <cfRule type="expression" dxfId="0" priority="1">
      <formula>B2&lt;&gt;D2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1" width="27.38"/>
  </cols>
  <sheetData>
    <row r="1">
      <c r="A1" s="71" t="s">
        <v>166</v>
      </c>
      <c r="B1" s="71" t="s">
        <v>167</v>
      </c>
      <c r="C1" s="72" t="s">
        <v>168</v>
      </c>
      <c r="D1" s="72" t="s">
        <v>169</v>
      </c>
      <c r="E1" s="71" t="s">
        <v>170</v>
      </c>
      <c r="F1" s="71" t="s">
        <v>171</v>
      </c>
      <c r="G1" s="72" t="s">
        <v>172</v>
      </c>
      <c r="H1" s="71" t="s">
        <v>173</v>
      </c>
      <c r="I1" s="71" t="s">
        <v>174</v>
      </c>
      <c r="J1" s="71" t="s">
        <v>175</v>
      </c>
      <c r="K1" s="71" t="s">
        <v>176</v>
      </c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</row>
    <row r="2">
      <c r="A2" s="74" t="s">
        <v>177</v>
      </c>
      <c r="B2" s="74" t="s">
        <v>177</v>
      </c>
      <c r="C2" s="74" t="s">
        <v>178</v>
      </c>
      <c r="D2" s="74" t="s">
        <v>178</v>
      </c>
      <c r="E2" s="74" t="s">
        <v>179</v>
      </c>
      <c r="F2" s="74" t="s">
        <v>180</v>
      </c>
      <c r="G2" s="74" t="s">
        <v>177</v>
      </c>
      <c r="H2" s="74" t="s">
        <v>181</v>
      </c>
      <c r="I2" s="74" t="s">
        <v>182</v>
      </c>
      <c r="J2" s="74" t="s">
        <v>183</v>
      </c>
      <c r="K2" s="74" t="s">
        <v>182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</row>
    <row r="3">
      <c r="A3" s="74" t="s">
        <v>184</v>
      </c>
      <c r="B3" s="74" t="s">
        <v>184</v>
      </c>
      <c r="C3" s="74" t="s">
        <v>185</v>
      </c>
      <c r="D3" s="74" t="s">
        <v>185</v>
      </c>
      <c r="E3" s="74" t="s">
        <v>186</v>
      </c>
      <c r="F3" s="74" t="s">
        <v>187</v>
      </c>
      <c r="G3" s="74" t="s">
        <v>184</v>
      </c>
      <c r="H3" s="74" t="s">
        <v>188</v>
      </c>
      <c r="I3" s="74" t="s">
        <v>189</v>
      </c>
      <c r="J3" s="74" t="s">
        <v>190</v>
      </c>
      <c r="K3" s="74" t="s">
        <v>189</v>
      </c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</row>
    <row r="4">
      <c r="A4" s="74" t="s">
        <v>191</v>
      </c>
      <c r="B4" s="74" t="s">
        <v>191</v>
      </c>
      <c r="C4" s="74" t="s">
        <v>192</v>
      </c>
      <c r="D4" s="74" t="s">
        <v>192</v>
      </c>
      <c r="E4" s="74" t="s">
        <v>193</v>
      </c>
      <c r="F4" s="74" t="s">
        <v>194</v>
      </c>
      <c r="G4" s="74" t="s">
        <v>191</v>
      </c>
      <c r="H4" s="74" t="s">
        <v>195</v>
      </c>
      <c r="I4" s="75"/>
      <c r="J4" s="74" t="s">
        <v>196</v>
      </c>
      <c r="K4" s="74" t="s">
        <v>197</v>
      </c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</row>
    <row r="5">
      <c r="A5" s="74" t="s">
        <v>198</v>
      </c>
      <c r="B5" s="74" t="s">
        <v>198</v>
      </c>
      <c r="C5" s="74" t="s">
        <v>199</v>
      </c>
      <c r="D5" s="74" t="s">
        <v>199</v>
      </c>
      <c r="E5" s="74" t="s">
        <v>200</v>
      </c>
      <c r="F5" s="75"/>
      <c r="G5" s="74" t="s">
        <v>198</v>
      </c>
      <c r="H5" s="74" t="s">
        <v>201</v>
      </c>
      <c r="I5" s="75"/>
      <c r="J5" s="74" t="s">
        <v>202</v>
      </c>
      <c r="K5" s="74" t="s">
        <v>203</v>
      </c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</row>
    <row r="6">
      <c r="A6" s="74" t="s">
        <v>204</v>
      </c>
      <c r="B6" s="75"/>
      <c r="C6" s="76" t="s">
        <v>205</v>
      </c>
      <c r="D6" s="76" t="s">
        <v>205</v>
      </c>
      <c r="E6" s="75"/>
      <c r="F6" s="75"/>
      <c r="G6" s="75"/>
      <c r="H6" s="74" t="s">
        <v>206</v>
      </c>
      <c r="I6" s="75"/>
      <c r="J6" s="74" t="s">
        <v>207</v>
      </c>
      <c r="K6" s="75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</row>
    <row r="7">
      <c r="A7" s="74" t="s">
        <v>208</v>
      </c>
      <c r="B7" s="75"/>
      <c r="C7" s="76" t="s">
        <v>209</v>
      </c>
      <c r="D7" s="76" t="s">
        <v>209</v>
      </c>
      <c r="E7" s="75"/>
      <c r="F7" s="75"/>
      <c r="G7" s="75"/>
      <c r="H7" s="74" t="s">
        <v>210</v>
      </c>
      <c r="I7" s="75"/>
      <c r="J7" s="74" t="s">
        <v>211</v>
      </c>
      <c r="K7" s="75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</row>
    <row r="8">
      <c r="A8" s="75"/>
      <c r="B8" s="75"/>
      <c r="C8" s="74" t="s">
        <v>210</v>
      </c>
      <c r="D8" s="74" t="s">
        <v>210</v>
      </c>
      <c r="E8" s="75"/>
      <c r="F8" s="75"/>
      <c r="G8" s="75"/>
      <c r="H8" s="75"/>
      <c r="I8" s="75"/>
      <c r="J8" s="75"/>
      <c r="K8" s="75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</row>
    <row r="9">
      <c r="A9" s="75"/>
      <c r="B9" s="75"/>
      <c r="C9" s="74" t="s">
        <v>212</v>
      </c>
      <c r="D9" s="74" t="s">
        <v>212</v>
      </c>
      <c r="E9" s="75"/>
      <c r="F9" s="75"/>
      <c r="G9" s="75"/>
      <c r="H9" s="75"/>
      <c r="I9" s="75"/>
      <c r="J9" s="75"/>
      <c r="K9" s="75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</row>
    <row r="10">
      <c r="A10" s="75"/>
      <c r="B10" s="75"/>
      <c r="C10" s="76" t="s">
        <v>213</v>
      </c>
      <c r="D10" s="76" t="s">
        <v>213</v>
      </c>
      <c r="E10" s="75"/>
      <c r="F10" s="75"/>
      <c r="G10" s="75"/>
      <c r="H10" s="75"/>
      <c r="I10" s="75"/>
      <c r="J10" s="75"/>
      <c r="K10" s="75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</row>
    <row r="11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</row>
    <row r="12">
      <c r="A12" s="73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</row>
    <row r="13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</row>
    <row r="14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</row>
    <row r="15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</row>
    <row r="16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</row>
    <row r="17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</row>
    <row r="18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</row>
    <row r="19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</row>
    <row r="20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</row>
    <row r="2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</row>
    <row r="22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</row>
    <row r="23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</row>
    <row r="24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</row>
    <row r="25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</row>
    <row r="26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</row>
    <row r="27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</row>
    <row r="28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</row>
    <row r="29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</row>
    <row r="30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</row>
    <row r="3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</row>
    <row r="32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</row>
    <row r="33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</row>
    <row r="34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</row>
    <row r="3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</row>
    <row r="36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</row>
    <row r="37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</row>
    <row r="38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</row>
    <row r="39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</row>
    <row r="40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</row>
    <row r="4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</row>
    <row r="42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</row>
    <row r="43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</row>
    <row r="44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</row>
    <row r="4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</row>
    <row r="46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</row>
    <row r="47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</row>
    <row r="48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</row>
    <row r="49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</row>
    <row r="50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</row>
    <row r="5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</row>
    <row r="53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</row>
    <row r="54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</row>
    <row r="5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</row>
    <row r="56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</row>
    <row r="58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</row>
    <row r="60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</row>
    <row r="6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</row>
    <row r="62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</row>
    <row r="63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</row>
    <row r="64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</row>
    <row r="6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</row>
    <row r="66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</row>
    <row r="67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</row>
    <row r="68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</row>
    <row r="69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</row>
    <row r="70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</row>
    <row r="7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</row>
    <row r="72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</row>
    <row r="73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</row>
    <row r="74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</row>
    <row r="7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</row>
    <row r="76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</row>
    <row r="77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</row>
    <row r="78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</row>
    <row r="79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</row>
    <row r="80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</row>
    <row r="8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</row>
    <row r="82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</row>
    <row r="83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</row>
    <row r="84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</row>
    <row r="8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</row>
    <row r="86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</row>
    <row r="87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</row>
    <row r="88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</row>
    <row r="89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</row>
    <row r="90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</row>
    <row r="9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</row>
    <row r="92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</row>
    <row r="93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</row>
    <row r="94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</row>
    <row r="9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</row>
    <row r="96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</row>
    <row r="97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</row>
    <row r="98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</row>
    <row r="99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</row>
    <row r="100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</row>
    <row r="10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</row>
    <row r="102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</row>
    <row r="103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</row>
    <row r="104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</row>
    <row r="10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</row>
    <row r="106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</row>
    <row r="107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</row>
    <row r="108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</row>
    <row r="109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</row>
    <row r="110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</row>
    <row r="11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</row>
    <row r="112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</row>
    <row r="113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</row>
    <row r="114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</row>
    <row r="11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</row>
    <row r="116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</row>
    <row r="117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</row>
    <row r="118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</row>
    <row r="119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</row>
    <row r="120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</row>
    <row r="12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</row>
    <row r="122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</row>
    <row r="123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</row>
    <row r="124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</row>
    <row r="1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</row>
    <row r="126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</row>
    <row r="127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</row>
    <row r="128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</row>
    <row r="129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</row>
    <row r="130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</row>
    <row r="13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</row>
    <row r="132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</row>
    <row r="133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</row>
    <row r="134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</row>
    <row r="13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</row>
    <row r="136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</row>
    <row r="137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</row>
    <row r="138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</row>
    <row r="139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</row>
    <row r="140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</row>
    <row r="14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</row>
    <row r="142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</row>
    <row r="143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</row>
    <row r="144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</row>
    <row r="14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</row>
    <row r="146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</row>
    <row r="147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</row>
    <row r="148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</row>
    <row r="149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</row>
    <row r="150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</row>
    <row r="15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</row>
    <row r="152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</row>
    <row r="153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</row>
    <row r="154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</row>
    <row r="15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</row>
    <row r="156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</row>
    <row r="157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</row>
    <row r="158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</row>
    <row r="159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</row>
    <row r="160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</row>
    <row r="16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</row>
    <row r="162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</row>
    <row r="163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</row>
    <row r="164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</row>
    <row r="16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</row>
    <row r="166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</row>
    <row r="167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</row>
    <row r="168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</row>
    <row r="169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</row>
    <row r="170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</row>
    <row r="17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</row>
    <row r="172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</row>
    <row r="173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</row>
    <row r="174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</row>
    <row r="175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</row>
    <row r="176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</row>
    <row r="177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</row>
    <row r="178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</row>
    <row r="179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</row>
    <row r="180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</row>
    <row r="18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</row>
    <row r="182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</row>
    <row r="183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</row>
    <row r="184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</row>
    <row r="185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</row>
    <row r="186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</row>
    <row r="187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</row>
    <row r="188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</row>
    <row r="189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</row>
    <row r="190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</row>
    <row r="19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</row>
    <row r="192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</row>
    <row r="193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</row>
    <row r="194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</row>
    <row r="195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</row>
    <row r="196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</row>
    <row r="197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</row>
    <row r="198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</row>
    <row r="199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</row>
    <row r="200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</row>
    <row r="20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</row>
    <row r="202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</row>
    <row r="203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</row>
    <row r="204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</row>
    <row r="205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</row>
    <row r="206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</row>
    <row r="207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</row>
    <row r="208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</row>
    <row r="209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</row>
    <row r="210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</row>
    <row r="21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</row>
    <row r="212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</row>
    <row r="213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</row>
    <row r="214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</row>
    <row r="215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</row>
    <row r="216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</row>
    <row r="217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</row>
    <row r="218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</row>
    <row r="219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</row>
    <row r="220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</row>
    <row r="22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  <c r="AA221" s="73"/>
    </row>
    <row r="222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  <c r="AA222" s="73"/>
    </row>
    <row r="223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  <c r="AA223" s="73"/>
    </row>
    <row r="224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  <c r="AA224" s="73"/>
    </row>
    <row r="225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  <c r="AA225" s="73"/>
    </row>
    <row r="226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</row>
    <row r="227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  <c r="AA227" s="73"/>
    </row>
    <row r="228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  <c r="AA228" s="73"/>
    </row>
    <row r="229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  <c r="AA229" s="73"/>
    </row>
    <row r="230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  <c r="AA230" s="73"/>
    </row>
    <row r="23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  <c r="AA231" s="73"/>
    </row>
    <row r="232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  <c r="AA232" s="73"/>
    </row>
    <row r="233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  <c r="AA233" s="73"/>
    </row>
    <row r="234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  <c r="AA234" s="73"/>
    </row>
    <row r="235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  <c r="AA235" s="73"/>
    </row>
    <row r="236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  <c r="AA236" s="73"/>
    </row>
    <row r="237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  <c r="AA237" s="73"/>
    </row>
    <row r="238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  <c r="AA238" s="73"/>
    </row>
    <row r="239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  <c r="AA239" s="73"/>
    </row>
    <row r="240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  <c r="AA240" s="73"/>
    </row>
    <row r="241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  <c r="AA241" s="73"/>
    </row>
    <row r="242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  <c r="AA242" s="73"/>
    </row>
    <row r="243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  <c r="AA243" s="73"/>
    </row>
    <row r="244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  <c r="AA244" s="73"/>
    </row>
    <row r="245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  <c r="AA245" s="73"/>
    </row>
    <row r="246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  <c r="AA246" s="73"/>
    </row>
    <row r="247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  <c r="AA247" s="73"/>
    </row>
    <row r="248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  <c r="AA248" s="73"/>
    </row>
    <row r="249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  <c r="AA249" s="73"/>
    </row>
    <row r="250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  <c r="AA250" s="73"/>
    </row>
    <row r="251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  <c r="AA251" s="73"/>
    </row>
    <row r="252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  <c r="AA252" s="73"/>
    </row>
    <row r="253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  <c r="AA253" s="73"/>
    </row>
    <row r="254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  <c r="AA254" s="73"/>
    </row>
    <row r="255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  <c r="AA255" s="73"/>
    </row>
    <row r="256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  <c r="AA256" s="73"/>
    </row>
    <row r="257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  <c r="AA257" s="73"/>
    </row>
    <row r="258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  <c r="AA258" s="73"/>
    </row>
    <row r="259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  <c r="AA259" s="73"/>
    </row>
    <row r="260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  <c r="AA260" s="73"/>
    </row>
    <row r="261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  <c r="AA261" s="73"/>
    </row>
    <row r="262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  <c r="AA262" s="73"/>
    </row>
    <row r="263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  <c r="AA263" s="73"/>
    </row>
    <row r="264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  <c r="AA264" s="73"/>
    </row>
    <row r="265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  <c r="AA265" s="73"/>
    </row>
    <row r="266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  <c r="AA266" s="73"/>
    </row>
    <row r="267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  <c r="AA267" s="73"/>
    </row>
    <row r="268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  <c r="AA268" s="73"/>
    </row>
    <row r="269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  <c r="AA269" s="73"/>
    </row>
    <row r="270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  <c r="AA270" s="73"/>
    </row>
    <row r="271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  <c r="AA271" s="73"/>
    </row>
    <row r="272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  <c r="AA272" s="73"/>
    </row>
    <row r="273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  <c r="AA273" s="73"/>
    </row>
    <row r="274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  <c r="AA274" s="73"/>
    </row>
    <row r="275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  <c r="AA275" s="73"/>
    </row>
    <row r="276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  <c r="AA276" s="73"/>
    </row>
    <row r="277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  <c r="AA277" s="73"/>
    </row>
    <row r="278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  <c r="AA278" s="73"/>
    </row>
    <row r="279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  <c r="AA279" s="73"/>
    </row>
    <row r="280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  <c r="AA280" s="73"/>
    </row>
    <row r="281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  <c r="AA281" s="73"/>
    </row>
    <row r="282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  <c r="AA282" s="73"/>
    </row>
    <row r="283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  <c r="AA283" s="73"/>
    </row>
    <row r="284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  <c r="AA284" s="73"/>
    </row>
    <row r="285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  <c r="AA285" s="73"/>
    </row>
    <row r="286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  <c r="AA286" s="73"/>
    </row>
    <row r="287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  <c r="AA287" s="73"/>
    </row>
    <row r="288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  <c r="AA288" s="73"/>
    </row>
    <row r="289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  <c r="AA289" s="73"/>
    </row>
    <row r="290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  <c r="AA290" s="73"/>
    </row>
    <row r="291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  <c r="AA291" s="73"/>
    </row>
    <row r="292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  <c r="AA292" s="73"/>
    </row>
    <row r="293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  <c r="AA293" s="73"/>
    </row>
    <row r="294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  <c r="AA294" s="73"/>
    </row>
    <row r="295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  <c r="AA295" s="73"/>
    </row>
    <row r="296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  <c r="AA296" s="73"/>
    </row>
    <row r="297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  <c r="AA297" s="73"/>
    </row>
    <row r="298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  <c r="AA298" s="73"/>
    </row>
    <row r="299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  <c r="AA299" s="73"/>
    </row>
    <row r="300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  <c r="AA300" s="73"/>
    </row>
    <row r="301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  <c r="AA301" s="73"/>
    </row>
    <row r="302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  <c r="AA302" s="73"/>
    </row>
    <row r="303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  <c r="AA303" s="73"/>
    </row>
    <row r="304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  <c r="AA304" s="73"/>
    </row>
    <row r="305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  <c r="AA305" s="73"/>
    </row>
    <row r="306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  <c r="AA306" s="73"/>
    </row>
    <row r="307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  <c r="AA307" s="73"/>
    </row>
    <row r="308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  <c r="AA308" s="73"/>
    </row>
    <row r="309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  <c r="AA309" s="73"/>
    </row>
    <row r="310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  <c r="AA310" s="73"/>
    </row>
    <row r="311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  <c r="AA311" s="73"/>
    </row>
    <row r="312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  <c r="AA312" s="73"/>
    </row>
    <row r="313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  <c r="AA313" s="73"/>
    </row>
    <row r="314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  <c r="AA314" s="73"/>
    </row>
    <row r="315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  <c r="AA315" s="73"/>
    </row>
    <row r="316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  <c r="AA316" s="73"/>
    </row>
    <row r="317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  <c r="AA317" s="73"/>
    </row>
    <row r="318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  <c r="AA318" s="73"/>
    </row>
    <row r="319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  <c r="AA319" s="73"/>
    </row>
    <row r="320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  <c r="AA320" s="73"/>
    </row>
    <row r="321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  <c r="AA321" s="73"/>
    </row>
    <row r="322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  <c r="AA322" s="73"/>
    </row>
    <row r="323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  <c r="AA323" s="73"/>
    </row>
    <row r="324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  <c r="AA324" s="73"/>
    </row>
    <row r="325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  <c r="AA325" s="73"/>
    </row>
    <row r="326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  <c r="AA326" s="73"/>
    </row>
    <row r="327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  <c r="AA327" s="73"/>
    </row>
    <row r="328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  <c r="AA328" s="73"/>
    </row>
    <row r="329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  <c r="AA329" s="73"/>
    </row>
    <row r="330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  <c r="AA330" s="73"/>
    </row>
    <row r="331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  <c r="AA331" s="73"/>
    </row>
    <row r="332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  <c r="AA332" s="73"/>
    </row>
    <row r="333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  <c r="AA333" s="73"/>
    </row>
    <row r="334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  <c r="AA334" s="73"/>
    </row>
    <row r="335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  <c r="AA335" s="73"/>
    </row>
    <row r="336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  <c r="AA336" s="73"/>
    </row>
    <row r="337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  <c r="AA337" s="73"/>
    </row>
    <row r="338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  <c r="AA338" s="73"/>
    </row>
    <row r="339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  <c r="AA339" s="73"/>
    </row>
    <row r="340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  <c r="AA340" s="73"/>
    </row>
    <row r="341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</row>
    <row r="342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</row>
    <row r="343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  <c r="AA343" s="73"/>
    </row>
    <row r="344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  <c r="AA344" s="73"/>
    </row>
    <row r="345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</row>
    <row r="346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</row>
    <row r="347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  <c r="AA347" s="73"/>
    </row>
    <row r="348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  <c r="AA348" s="73"/>
    </row>
    <row r="349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</row>
    <row r="350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  <c r="AA350" s="73"/>
    </row>
    <row r="351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  <c r="AA351" s="73"/>
    </row>
    <row r="352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  <c r="AA352" s="73"/>
    </row>
    <row r="353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  <c r="AA353" s="73"/>
    </row>
    <row r="354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  <c r="AA354" s="73"/>
    </row>
    <row r="355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  <c r="AA355" s="73"/>
    </row>
    <row r="356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  <c r="AA356" s="73"/>
    </row>
    <row r="357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  <c r="AA357" s="73"/>
    </row>
    <row r="358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  <c r="AA358" s="73"/>
    </row>
    <row r="359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  <c r="AA359" s="73"/>
    </row>
    <row r="360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  <c r="AA360" s="73"/>
    </row>
    <row r="361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</row>
    <row r="362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</row>
    <row r="363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</row>
    <row r="364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</row>
    <row r="36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</row>
    <row r="366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</row>
    <row r="367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</row>
    <row r="368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</row>
    <row r="369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</row>
    <row r="370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</row>
    <row r="371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</row>
    <row r="372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</row>
    <row r="373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</row>
    <row r="374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</row>
    <row r="37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</row>
    <row r="376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</row>
    <row r="377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</row>
    <row r="378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</row>
    <row r="379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</row>
    <row r="380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</row>
    <row r="381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</row>
    <row r="382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</row>
    <row r="383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</row>
    <row r="384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</row>
    <row r="38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</row>
    <row r="386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</row>
    <row r="387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</row>
    <row r="388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</row>
    <row r="389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</row>
    <row r="390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</row>
    <row r="391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</row>
    <row r="392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</row>
    <row r="393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</row>
    <row r="394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</row>
    <row r="39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</row>
    <row r="396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</row>
    <row r="397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</row>
    <row r="398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</row>
    <row r="399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</row>
    <row r="400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</row>
    <row r="401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</row>
    <row r="402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</row>
    <row r="403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</row>
    <row r="404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</row>
    <row r="40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</row>
    <row r="406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</row>
    <row r="407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</row>
    <row r="408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</row>
    <row r="409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</row>
    <row r="410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</row>
    <row r="411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</row>
    <row r="412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</row>
    <row r="413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</row>
    <row r="414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</row>
    <row r="41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</row>
    <row r="416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</row>
    <row r="417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</row>
    <row r="418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</row>
    <row r="419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</row>
    <row r="420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</row>
    <row r="421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</row>
    <row r="422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</row>
    <row r="423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</row>
    <row r="424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</row>
    <row r="42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</row>
    <row r="426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</row>
    <row r="427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</row>
    <row r="428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</row>
    <row r="429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</row>
    <row r="430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</row>
    <row r="431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</row>
    <row r="432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</row>
    <row r="433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</row>
    <row r="434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</row>
    <row r="43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</row>
    <row r="436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</row>
    <row r="437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</row>
    <row r="438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</row>
    <row r="439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</row>
    <row r="440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</row>
    <row r="441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</row>
    <row r="442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</row>
    <row r="443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</row>
    <row r="444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</row>
    <row r="44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</row>
    <row r="446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</row>
    <row r="447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</row>
    <row r="448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</row>
    <row r="449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</row>
    <row r="450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</row>
    <row r="451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</row>
    <row r="452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</row>
    <row r="453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</row>
    <row r="454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</row>
    <row r="45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</row>
    <row r="456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</row>
    <row r="457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</row>
    <row r="458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</row>
    <row r="459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</row>
    <row r="460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</row>
    <row r="461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</row>
    <row r="462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</row>
    <row r="463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</row>
    <row r="464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</row>
    <row r="46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</row>
    <row r="466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</row>
    <row r="467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</row>
    <row r="468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</row>
    <row r="469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</row>
    <row r="470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</row>
    <row r="471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</row>
    <row r="472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</row>
    <row r="473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</row>
    <row r="474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</row>
    <row r="47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</row>
    <row r="476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</row>
    <row r="477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</row>
    <row r="478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</row>
    <row r="479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</row>
    <row r="480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</row>
    <row r="481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</row>
    <row r="482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</row>
    <row r="483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</row>
    <row r="484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</row>
    <row r="48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</row>
    <row r="486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</row>
    <row r="487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</row>
    <row r="488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</row>
    <row r="489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</row>
    <row r="490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</row>
    <row r="491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</row>
    <row r="492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</row>
    <row r="493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</row>
    <row r="494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</row>
    <row r="49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</row>
    <row r="496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</row>
    <row r="497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</row>
    <row r="498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</row>
    <row r="499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</row>
    <row r="500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</row>
    <row r="501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</row>
    <row r="502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</row>
    <row r="503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</row>
    <row r="504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</row>
    <row r="50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</row>
    <row r="506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</row>
    <row r="507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</row>
    <row r="508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</row>
    <row r="509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</row>
    <row r="510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</row>
    <row r="511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</row>
    <row r="512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</row>
    <row r="513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</row>
    <row r="514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</row>
    <row r="51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</row>
    <row r="516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</row>
    <row r="517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</row>
    <row r="518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</row>
    <row r="519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</row>
    <row r="520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</row>
    <row r="521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</row>
    <row r="522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</row>
    <row r="523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</row>
    <row r="524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</row>
    <row r="52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</row>
    <row r="526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</row>
    <row r="527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</row>
    <row r="528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</row>
    <row r="529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</row>
    <row r="530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</row>
    <row r="531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</row>
    <row r="532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</row>
    <row r="533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</row>
    <row r="534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</row>
    <row r="53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</row>
    <row r="536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</row>
    <row r="537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</row>
    <row r="538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</row>
    <row r="539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</row>
    <row r="540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</row>
    <row r="541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</row>
    <row r="542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</row>
    <row r="543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</row>
    <row r="544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</row>
    <row r="54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</row>
    <row r="546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</row>
    <row r="547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</row>
    <row r="548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</row>
    <row r="549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</row>
    <row r="550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</row>
    <row r="551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</row>
    <row r="552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</row>
    <row r="553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</row>
    <row r="554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</row>
    <row r="55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</row>
    <row r="556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</row>
    <row r="557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</row>
    <row r="558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</row>
    <row r="559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</row>
    <row r="560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</row>
    <row r="561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</row>
    <row r="562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</row>
    <row r="563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</row>
    <row r="564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</row>
    <row r="56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</row>
    <row r="566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</row>
    <row r="567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</row>
    <row r="568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</row>
    <row r="569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</row>
    <row r="570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</row>
    <row r="571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</row>
    <row r="572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</row>
    <row r="573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</row>
    <row r="574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</row>
    <row r="57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</row>
    <row r="576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</row>
    <row r="577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</row>
    <row r="578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</row>
    <row r="579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</row>
    <row r="580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</row>
    <row r="581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</row>
    <row r="582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</row>
    <row r="583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</row>
    <row r="584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</row>
    <row r="58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</row>
    <row r="586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</row>
    <row r="587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</row>
    <row r="588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</row>
    <row r="589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</row>
    <row r="590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</row>
    <row r="591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</row>
    <row r="592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</row>
    <row r="593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</row>
    <row r="594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</row>
    <row r="59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</row>
    <row r="596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</row>
    <row r="597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</row>
    <row r="598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</row>
    <row r="599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</row>
    <row r="600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</row>
    <row r="601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</row>
    <row r="602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</row>
    <row r="603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</row>
    <row r="604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</row>
    <row r="60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</row>
    <row r="606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</row>
    <row r="607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</row>
    <row r="608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</row>
    <row r="609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</row>
    <row r="610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</row>
    <row r="611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</row>
    <row r="612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</row>
    <row r="613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</row>
    <row r="614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</row>
    <row r="61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</row>
    <row r="616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</row>
    <row r="617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</row>
    <row r="618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</row>
    <row r="619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</row>
    <row r="620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</row>
    <row r="621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</row>
    <row r="622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</row>
    <row r="623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</row>
    <row r="624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</row>
    <row r="62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</row>
    <row r="626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</row>
    <row r="627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</row>
    <row r="628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</row>
    <row r="629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</row>
    <row r="630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</row>
    <row r="631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</row>
    <row r="632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</row>
    <row r="633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</row>
    <row r="634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</row>
    <row r="63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</row>
    <row r="636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</row>
    <row r="637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</row>
    <row r="638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</row>
    <row r="639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</row>
    <row r="640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</row>
    <row r="641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</row>
    <row r="642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</row>
    <row r="643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</row>
    <row r="644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</row>
    <row r="64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</row>
    <row r="646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</row>
    <row r="647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</row>
    <row r="648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</row>
    <row r="649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</row>
    <row r="650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</row>
    <row r="651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</row>
    <row r="652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</row>
    <row r="653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</row>
    <row r="654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</row>
    <row r="65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</row>
    <row r="656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</row>
    <row r="657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</row>
    <row r="658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</row>
    <row r="659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</row>
    <row r="660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</row>
    <row r="661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</row>
    <row r="662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</row>
    <row r="663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</row>
    <row r="664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</row>
    <row r="66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</row>
    <row r="666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</row>
    <row r="667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</row>
    <row r="668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</row>
    <row r="669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</row>
    <row r="670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</row>
    <row r="671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</row>
    <row r="672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</row>
    <row r="673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</row>
    <row r="674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</row>
    <row r="67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</row>
    <row r="676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</row>
    <row r="677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</row>
    <row r="678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</row>
    <row r="679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</row>
    <row r="680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</row>
    <row r="681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</row>
    <row r="682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</row>
    <row r="683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</row>
    <row r="684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</row>
    <row r="68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</row>
    <row r="686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</row>
    <row r="687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</row>
    <row r="688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</row>
    <row r="689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</row>
    <row r="690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</row>
    <row r="691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</row>
    <row r="692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</row>
    <row r="693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</row>
    <row r="694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</row>
    <row r="69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</row>
    <row r="696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</row>
    <row r="697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</row>
    <row r="698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</row>
    <row r="699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</row>
    <row r="700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</row>
    <row r="701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</row>
    <row r="702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</row>
    <row r="703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</row>
    <row r="704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</row>
    <row r="70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</row>
    <row r="706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</row>
    <row r="707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</row>
    <row r="708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</row>
    <row r="709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</row>
    <row r="710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</row>
    <row r="711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</row>
    <row r="712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</row>
    <row r="713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</row>
    <row r="714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</row>
    <row r="71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</row>
    <row r="716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</row>
    <row r="717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</row>
    <row r="718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</row>
    <row r="719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</row>
    <row r="720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</row>
    <row r="721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</row>
    <row r="722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</row>
    <row r="723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</row>
    <row r="724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</row>
    <row r="72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</row>
    <row r="726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</row>
    <row r="727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</row>
    <row r="728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</row>
    <row r="729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</row>
    <row r="730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</row>
    <row r="731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</row>
    <row r="732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</row>
    <row r="733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</row>
    <row r="734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</row>
    <row r="73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</row>
    <row r="736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</row>
    <row r="737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</row>
    <row r="738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</row>
    <row r="739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</row>
    <row r="740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</row>
    <row r="741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</row>
    <row r="742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</row>
    <row r="743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</row>
    <row r="744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</row>
    <row r="74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</row>
    <row r="746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</row>
    <row r="747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</row>
    <row r="748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</row>
    <row r="749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</row>
    <row r="750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</row>
    <row r="751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</row>
    <row r="752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</row>
    <row r="753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</row>
    <row r="754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</row>
    <row r="75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</row>
    <row r="756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</row>
    <row r="757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</row>
    <row r="758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</row>
    <row r="759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</row>
    <row r="760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</row>
    <row r="761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</row>
    <row r="762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</row>
    <row r="763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</row>
    <row r="764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</row>
    <row r="76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</row>
    <row r="766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</row>
    <row r="767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</row>
    <row r="768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</row>
    <row r="769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</row>
    <row r="770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</row>
    <row r="771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</row>
    <row r="772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</row>
    <row r="773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</row>
    <row r="774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</row>
    <row r="77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</row>
    <row r="776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</row>
    <row r="777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</row>
    <row r="778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</row>
    <row r="779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</row>
    <row r="780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</row>
    <row r="781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</row>
    <row r="782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</row>
    <row r="783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</row>
    <row r="784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</row>
    <row r="78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</row>
    <row r="786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</row>
    <row r="787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</row>
    <row r="788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</row>
    <row r="789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</row>
    <row r="790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</row>
    <row r="791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</row>
    <row r="792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</row>
    <row r="793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</row>
    <row r="794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</row>
    <row r="79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</row>
    <row r="796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</row>
    <row r="797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</row>
    <row r="798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</row>
    <row r="799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</row>
    <row r="800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</row>
    <row r="801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</row>
    <row r="802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</row>
    <row r="803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</row>
    <row r="804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</row>
    <row r="80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</row>
    <row r="806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</row>
    <row r="807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</row>
    <row r="808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</row>
    <row r="809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</row>
    <row r="810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</row>
    <row r="811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</row>
    <row r="812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</row>
    <row r="813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</row>
    <row r="814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</row>
    <row r="81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</row>
    <row r="816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</row>
    <row r="817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</row>
    <row r="818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</row>
    <row r="819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</row>
    <row r="820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</row>
    <row r="821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</row>
    <row r="822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</row>
    <row r="823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</row>
    <row r="824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</row>
    <row r="82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</row>
    <row r="826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</row>
    <row r="827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</row>
    <row r="828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</row>
    <row r="829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</row>
    <row r="830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</row>
    <row r="831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</row>
    <row r="832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</row>
    <row r="833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</row>
    <row r="834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</row>
    <row r="83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</row>
    <row r="836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</row>
    <row r="837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</row>
    <row r="838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</row>
    <row r="839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</row>
    <row r="840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</row>
    <row r="841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</row>
    <row r="842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</row>
    <row r="843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</row>
    <row r="844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</row>
    <row r="84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</row>
    <row r="846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</row>
    <row r="847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</row>
    <row r="848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</row>
    <row r="849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</row>
    <row r="850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</row>
    <row r="851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</row>
    <row r="852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</row>
    <row r="853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</row>
    <row r="854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</row>
    <row r="85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</row>
    <row r="856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</row>
    <row r="857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</row>
    <row r="858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</row>
    <row r="859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</row>
    <row r="860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</row>
    <row r="861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</row>
    <row r="862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</row>
    <row r="863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</row>
    <row r="864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</row>
    <row r="86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</row>
    <row r="866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</row>
    <row r="867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</row>
    <row r="868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</row>
    <row r="869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</row>
    <row r="870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</row>
    <row r="871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</row>
    <row r="872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</row>
    <row r="873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</row>
    <row r="874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</row>
    <row r="87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</row>
    <row r="876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</row>
    <row r="877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</row>
    <row r="878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</row>
    <row r="879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</row>
    <row r="880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</row>
    <row r="881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</row>
    <row r="882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</row>
    <row r="883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</row>
    <row r="884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</row>
    <row r="88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</row>
    <row r="886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</row>
    <row r="887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</row>
    <row r="888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</row>
    <row r="889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</row>
    <row r="890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</row>
    <row r="891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</row>
    <row r="892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</row>
    <row r="893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</row>
    <row r="894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</row>
    <row r="89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</row>
    <row r="896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</row>
    <row r="897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</row>
    <row r="898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</row>
    <row r="899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</row>
    <row r="900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</row>
    <row r="901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</row>
    <row r="902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</row>
    <row r="903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</row>
    <row r="904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</row>
    <row r="90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</row>
    <row r="906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</row>
    <row r="907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</row>
    <row r="908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</row>
    <row r="909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</row>
    <row r="910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</row>
    <row r="911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</row>
    <row r="912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</row>
    <row r="913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</row>
    <row r="914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</row>
    <row r="91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</row>
    <row r="916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</row>
    <row r="917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</row>
    <row r="918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</row>
    <row r="919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</row>
    <row r="920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</row>
    <row r="921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</row>
    <row r="922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</row>
    <row r="923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</row>
    <row r="924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</row>
    <row r="92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</row>
    <row r="926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</row>
    <row r="927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</row>
    <row r="928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</row>
    <row r="929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</row>
    <row r="930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</row>
    <row r="931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</row>
    <row r="932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</row>
    <row r="933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</row>
    <row r="934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</row>
    <row r="93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</row>
    <row r="936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</row>
    <row r="937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</row>
    <row r="938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</row>
    <row r="939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</row>
    <row r="940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</row>
    <row r="941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</row>
    <row r="942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</row>
    <row r="943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</row>
    <row r="944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</row>
    <row r="94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</row>
    <row r="946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</row>
    <row r="947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</row>
    <row r="948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</row>
    <row r="949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</row>
    <row r="950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</row>
    <row r="951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</row>
    <row r="952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</row>
    <row r="953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</row>
    <row r="954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</row>
    <row r="95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</row>
    <row r="956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</row>
    <row r="957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</row>
    <row r="958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</row>
    <row r="959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</row>
    <row r="960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</row>
    <row r="961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</row>
    <row r="962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</row>
    <row r="963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</row>
    <row r="964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</row>
    <row r="96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</row>
    <row r="966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</row>
    <row r="967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</row>
    <row r="968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</row>
    <row r="969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</row>
    <row r="970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</row>
    <row r="971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</row>
    <row r="972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</row>
    <row r="973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  <c r="AA973" s="73"/>
    </row>
    <row r="974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  <c r="AA974" s="73"/>
    </row>
    <row r="975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  <c r="AA975" s="73"/>
    </row>
    <row r="976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  <c r="AA976" s="73"/>
    </row>
    <row r="977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  <c r="AA977" s="73"/>
    </row>
    <row r="978">
      <c r="A978" s="73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  <c r="AA978" s="73"/>
    </row>
    <row r="979">
      <c r="A979" s="73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  <c r="AA979" s="73"/>
    </row>
    <row r="980">
      <c r="A980" s="73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  <c r="AA980" s="73"/>
    </row>
    <row r="981">
      <c r="A981" s="73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  <c r="AA981" s="73"/>
    </row>
    <row r="982">
      <c r="A982" s="73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  <c r="AA982" s="73"/>
    </row>
    <row r="983">
      <c r="A983" s="73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  <c r="AA983" s="73"/>
    </row>
    <row r="984">
      <c r="A984" s="73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  <c r="AA984" s="73"/>
    </row>
    <row r="985">
      <c r="A985" s="73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  <c r="AA985" s="73"/>
    </row>
    <row r="986">
      <c r="A986" s="73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  <c r="AA986" s="73"/>
    </row>
    <row r="987">
      <c r="A987" s="73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  <c r="AA987" s="73"/>
    </row>
    <row r="988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  <c r="AA988" s="73"/>
    </row>
    <row r="989">
      <c r="A989" s="73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  <c r="AA989" s="73"/>
    </row>
    <row r="990">
      <c r="A990" s="73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  <c r="AA990" s="73"/>
    </row>
    <row r="991">
      <c r="A991" s="73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  <c r="AA991" s="73"/>
    </row>
    <row r="992">
      <c r="A992" s="73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  <c r="AA992" s="73"/>
    </row>
    <row r="993">
      <c r="A993" s="73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  <c r="AA993" s="73"/>
    </row>
    <row r="994">
      <c r="A994" s="73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  <c r="AA994" s="73"/>
    </row>
    <row r="995">
      <c r="A995" s="73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  <c r="AA995" s="73"/>
    </row>
    <row r="996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  <c r="AA996" s="73"/>
    </row>
    <row r="997">
      <c r="A997" s="73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  <c r="AA997" s="73"/>
    </row>
    <row r="998">
      <c r="A998" s="73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  <c r="AA998" s="73"/>
    </row>
    <row r="999">
      <c r="A999" s="73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  <c r="AA999" s="73"/>
    </row>
    <row r="1000">
      <c r="A1000" s="73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  <c r="AA1000" s="73"/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